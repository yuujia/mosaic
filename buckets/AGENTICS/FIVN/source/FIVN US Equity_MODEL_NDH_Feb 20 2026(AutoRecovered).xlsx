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uuji\Dropbox\Kaissa Consumer\Mosaic\buckets\AGENTICS\FIVN\source\"/>
    </mc:Choice>
  </mc:AlternateContent>
  <xr:revisionPtr revIDLastSave="0" documentId="8_{3FF9FAA1-27D0-43C1-9132-774B310AB9F4}" xr6:coauthVersionLast="47" xr6:coauthVersionMax="47" xr10:uidLastSave="{00000000-0000-0000-0000-000000000000}"/>
  <bookViews>
    <workbookView xWindow="7815" yWindow="-11715" windowWidth="8100" windowHeight="4665" firstSheet="2" activeTab="3" xr2:uid="{00000000-000D-0000-FFFF-FFFF00000000}"/>
  </bookViews>
  <sheets>
    <sheet name="__FDSCACHE__" sheetId="26" state="veryHidden" r:id="rId1"/>
    <sheet name="Comparison" sheetId="15" r:id="rId2"/>
    <sheet name="G CHANGE" sheetId="29" r:id="rId3"/>
    <sheet name="Income Statement" sheetId="12" r:id="rId4"/>
    <sheet name="Balance Sheet " sheetId="14" r:id="rId5"/>
    <sheet name="Cash Flows" sheetId="13" r:id="rId6"/>
    <sheet name="DCF" sheetId="11" state="hidden" r:id="rId7"/>
    <sheet name="Metrics" sheetId="28" r:id="rId8"/>
    <sheet name="V" sheetId="25" r:id="rId9"/>
    <sheet name="BM Upload" sheetId="27" r:id="rId10"/>
    <sheet name="Market Sizing"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wrn2" localSheetId="7" hidden="1">{#N/A,#N/A,FALSE,"ASSUMPTIONS";#N/A,#N/A,FALSE,"Valuation Summary";"page1",#N/A,FALSE,"PRESENTATION";"page2",#N/A,FALSE,"PRESENTATION";#N/A,#N/A,FALSE,"ORIGINAL_ROLLBACK"}</definedName>
    <definedName name="_____wrn2" hidden="1">{#N/A,#N/A,FALSE,"ASSUMPTIONS";#N/A,#N/A,FALSE,"Valuation Summary";"page1",#N/A,FALSE,"PRESENTATION";"page2",#N/A,FALSE,"PRESENTATION";#N/A,#N/A,FALSE,"ORIGINAL_ROLLBACK"}</definedName>
    <definedName name="_____wrn3" localSheetId="7"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wr3" localSheetId="7" hidden="1">{#N/A,#N/A,FALSE,"ASSUMPTIONS";#N/A,#N/A,FALSE,"Valuation Summary";"page1",#N/A,FALSE,"PRESENTATION";"page2",#N/A,FALSE,"PRESENTATION";#N/A,#N/A,FALSE,"ORIGINAL_ROLLBACK"}</definedName>
    <definedName name="____wr3" hidden="1">{#N/A,#N/A,FALSE,"ASSUMPTIONS";#N/A,#N/A,FALSE,"Valuation Summary";"page1",#N/A,FALSE,"PRESENTATION";"page2",#N/A,FALSE,"PRESENTATION";#N/A,#N/A,FALSE,"ORIGINAL_ROLLBACK"}</definedName>
    <definedName name="____wrn2" localSheetId="7"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localSheetId="7"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wrn2" localSheetId="7"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3" localSheetId="7"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123Graph_A" hidden="1">#REF!</definedName>
    <definedName name="__123Graph_B" hidden="1">'[1]TECH AID'!#REF!</definedName>
    <definedName name="__123Graph_C" hidden="1">'[2]Fleet Debits'!#REF!</definedName>
    <definedName name="__123Graph_D" hidden="1">'[2]Fleet Debits'!#REF!</definedName>
    <definedName name="__123Graph_E" hidden="1">'[2]Fleet Debits'!#REF!</definedName>
    <definedName name="__123Graph_F" hidden="1">#REF!</definedName>
    <definedName name="__123Graph_X" hidden="1">#REF!</definedName>
    <definedName name="__FDS_HYPERLINK_TOGGLE_STATE__" hidden="1">"ON"</definedName>
    <definedName name="__FDS_UNIQUE_RANGE_ID_GENERATOR_COUNTER" hidden="1">1</definedName>
    <definedName name="__FDS_USED_FOR_REUSING_RANGE_IDS_RECYCLE" localSheetId="7" hidden="1">{152,168,338,189,173,195,158,390,7,11,232,378,159,175,261,183,177,129,8,155,265,394,57}</definedName>
    <definedName name="__FDS_USED_FOR_REUSING_RANGE_IDS_RECYCLE" hidden="1">{152,168,338,189,173,195,158,390,7,11,232,378,159,175,261,183,177,129,8,155,265,394,57}</definedName>
    <definedName name="__IntlFixup" hidden="1">TRUE</definedName>
    <definedName name="__IntlFixupTable" hidden="1">#REF!</definedName>
    <definedName name="__n324" hidden="1">"c39"</definedName>
    <definedName name="__new1" hidden="1">"c32"</definedName>
    <definedName name="__new2" hidden="1">"c8"</definedName>
    <definedName name="__new3" hidden="1">"c7"</definedName>
    <definedName name="__new5" hidden="1">"c1471"</definedName>
    <definedName name="__wrn2" localSheetId="7" hidden="1">{#N/A,#N/A,FALSE,"ASSUMPTIONS";#N/A,#N/A,FALSE,"Valuation Summary";"page1",#N/A,FALSE,"PRESENTATION";"page2",#N/A,FALSE,"PRESENTATION";#N/A,#N/A,FALSE,"ORIGINAL_ROLLBACK"}</definedName>
    <definedName name="__wrn2" hidden="1">{#N/A,#N/A,FALSE,"ASSUMPTIONS";#N/A,#N/A,FALSE,"Valuation Summary";"page1",#N/A,FALSE,"PRESENTATION";"page2",#N/A,FALSE,"PRESENTATION";#N/A,#N/A,FALSE,"ORIGINAL_ROLLBACK"}</definedName>
    <definedName name="__wrn3" localSheetId="7"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1__123Graph_A1991_BARGRAPH" hidden="1">#REF!</definedName>
    <definedName name="_1__123Graph_ACHART_10" hidden="1">'[3]Variance Sum '!#REF!</definedName>
    <definedName name="_1__123Graph_ACHART_3" hidden="1">#REF!</definedName>
    <definedName name="_1__123Graph_ACONTRACT_BY_B_U" hidden="1">#REF!</definedName>
    <definedName name="_10__123Graph_ACHART_2" hidden="1">'[3]Variance Sum '!#REF!</definedName>
    <definedName name="_10__123Graph_ACHART_9" hidden="1">'[3]Variance Sum '!#REF!</definedName>
    <definedName name="_10__123Graph_BCONTRACT_BY_B_U" hidden="1">#REF!</definedName>
    <definedName name="_10__123Graph_BSENS_COMPARISON" hidden="1">#REF!</definedName>
    <definedName name="_10__123Graph_BSUPPLIES_BY_B_U" hidden="1">#REF!</definedName>
    <definedName name="_109__123Graph_ACHART_8" hidden="1">'[3]Variance Sum '!#REF!</definedName>
    <definedName name="_11__123Graph_BChart_1A" hidden="1">'[4]19'!#REF!</definedName>
    <definedName name="_11__123Graph_BQRE_S_BY_CO." hidden="1">#REF!</definedName>
    <definedName name="_11__123Graph_BSUPPLIES_BY_B_U" hidden="1">#REF!</definedName>
    <definedName name="_11__123Graph_BTAX_CREDIT" hidden="1">#REF!</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123Graph_ACHART_10" hidden="1">'[3]Variance Sum '!#REF!</definedName>
    <definedName name="_12__123Graph_BSENS_COMPARISON" hidden="1">#REF!</definedName>
    <definedName name="_12__123Graph_BTAX_CREDIT" hidden="1">#REF!</definedName>
    <definedName name="_12__123Graph_BWAGES_BY_B_U" hidden="1">#REF!</definedName>
    <definedName name="_12__123Graph_CChart_1A" hidden="1">'[4]19'!#REF!</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123Graph_ACHART_9" hidden="1">'[3]Variance Sum '!#REF!</definedName>
    <definedName name="_13__123Graph_ACHART_3" hidden="1">'[3]Variance Sum '!#REF!</definedName>
    <definedName name="_13__123Graph_BSUPPLIES_BY_B_U" hidden="1">#REF!</definedName>
    <definedName name="_13__123Graph_BWAGES_BY_B_U" hidden="1">#REF!</definedName>
    <definedName name="_13__123Graph_CCONTRACT_BY_B_U" hidden="1">#REF!</definedName>
    <definedName name="_13__123Graph_LBL_ACHART_10" hidden="1">'[3]Variance Sum '!#REF!</definedName>
    <definedName name="_134__123Graph_BChart_1A" hidden="1">'[4]19'!#REF!</definedName>
    <definedName name="_14__123Graph_BTAX_CREDIT" hidden="1">#REF!</definedName>
    <definedName name="_14__123Graph_CCONTRACT_BY_B_U" hidden="1">#REF!</definedName>
    <definedName name="_14__123Graph_CQRE_S_BY_CO." hidden="1">#REF!</definedName>
    <definedName name="_14__123Graph_XCHART_10" hidden="1">'[3]Variance Sum '!#REF!</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7__123Graph_CChart_1A" hidden="1">'[4]19'!#REF!</definedName>
    <definedName name="_15__123Graph_BWAGES_BY_B_U" hidden="1">#REF!</definedName>
    <definedName name="_15__123Graph_CQRE_S_BY_CO." hidden="1">#REF!</definedName>
    <definedName name="_15__123Graph_CSENS_COMPARISON" hidden="1">#REF!</definedName>
    <definedName name="_15__123Graph_XChart_1A" hidden="1">'[4]19'!#REF!</definedName>
    <definedName name="_159__123Graph_LBL_ACHART_10" hidden="1">'[3]Variance Sum '!#REF!</definedName>
    <definedName name="_16__123Graph_ACHART_4" hidden="1">'[3]Variance Sum '!#REF!</definedName>
    <definedName name="_16__123Graph_CCONTRACT_BY_B_U" hidden="1">#REF!</definedName>
    <definedName name="_16__123Graph_CSENS_COMPARISON" hidden="1">#REF!</definedName>
    <definedName name="_16__123Graph_CSUPPLIES_BY_B_U" hidden="1">#REF!</definedName>
    <definedName name="_16__123Graph_XCHART_2" hidden="1">'[3]Variance Sum '!#REF!</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123Graph_CQRE_S_BY_CO." hidden="1">#REF!</definedName>
    <definedName name="_17__123Graph_CSUPPLIES_BY_B_U" hidden="1">#REF!</definedName>
    <definedName name="_17__123Graph_CWAGES_BY_B_U" hidden="1">#REF!</definedName>
    <definedName name="_17__123Graph_XCHART_3" hidden="1">'[3]Variance Sum '!#REF!</definedName>
    <definedName name="_171__123Graph_XCHART_10" hidden="1">'[3]Variance Sum '!#REF!</definedName>
    <definedName name="_18__123Graph_CSENS_COMPARISON" hidden="1">#REF!</definedName>
    <definedName name="_18__123Graph_CWAGES_BY_B_U" hidden="1">#REF!</definedName>
    <definedName name="_18__123Graph_DCONTRACT_BY_B_U" hidden="1">#REF!</definedName>
    <definedName name="_18__123Graph_XCHART_4" hidden="1">'[3]Variance Sum '!#REF!</definedName>
    <definedName name="_184__123Graph_XChart_1A" hidden="1">'[4]19'!#REF!</definedName>
    <definedName name="_19__123Graph_ACHART_5" hidden="1">'[3]Variance Sum '!#REF!</definedName>
    <definedName name="_19__123Graph_CSUPPLIES_BY_B_U" hidden="1">#REF!</definedName>
    <definedName name="_19__123Graph_DCONTRACT_BY_B_U" hidden="1">#REF!</definedName>
    <definedName name="_19__123Graph_DQRE_S_BY_CO." hidden="1">#REF!</definedName>
    <definedName name="_19__123Graph_XCHART_5" hidden="1">'[3]Variance Sum '!#REF!</definedName>
    <definedName name="_196__123Graph_XCHART_2" hidden="1">'[3]Variance Sum '!#REF!</definedName>
    <definedName name="_2__123Graph_A1992_BARGRAPH" hidden="1">#REF!</definedName>
    <definedName name="_2__123Graph_AChart_1A" hidden="1">'[4]19'!#REF!</definedName>
    <definedName name="_2__123Graph_ACHART_3" hidden="1">#REF!</definedName>
    <definedName name="_2__123Graph_ACONTRACT_BY_B_U" hidden="1">#REF!</definedName>
    <definedName name="_2__123Graph_AQRE_S_BY_CO." hidden="1">#REF!</definedName>
    <definedName name="_2__123Graph_BCHART_3" hidden="1">#REF!</definedName>
    <definedName name="_20__123Graph_CWAGES_BY_B_U" hidden="1">#REF!</definedName>
    <definedName name="_20__123Graph_DQRE_S_BY_CO." hidden="1">#REF!</definedName>
    <definedName name="_20__123Graph_DSUPPLIES_BY_B_U" hidden="1">#REF!</definedName>
    <definedName name="_20__123Graph_XCHART_6" hidden="1">'[3]Variance Sum '!#REF!</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8__123Graph_XCHART_3" hidden="1">'[3]Variance Sum '!#REF!</definedName>
    <definedName name="_21__123Graph_DCONTRACT_BY_B_U" hidden="1">#REF!</definedName>
    <definedName name="_21__123Graph_DSUPPLIES_BY_B_U" hidden="1">#REF!</definedName>
    <definedName name="_21__123Graph_DWAGES_BY_B_U" hidden="1">#REF!</definedName>
    <definedName name="_21__123Graph_XCHART_7" hidden="1">'[3]Variance Sum '!#REF!</definedName>
    <definedName name="_22__123Graph_ACHART_6" hidden="1">'[3]Variance Sum '!#REF!</definedName>
    <definedName name="_22__123Graph_DQRE_S_BY_CO." hidden="1">#REF!</definedName>
    <definedName name="_22__123Graph_DWAGES_BY_B_U" hidden="1">#REF!</definedName>
    <definedName name="_22__123Graph_ECONTRACT_BY_B_U" hidden="1">#REF!</definedName>
    <definedName name="_22__123Graph_XCHART_8" hidden="1">'[3]Variance Sum '!#REF!</definedName>
    <definedName name="_220__123Graph_XCHART_4" hidden="1">'[3]Variance Sum '!#REF!</definedName>
    <definedName name="_23__123Graph_DSUPPLIES_BY_B_U" hidden="1">#REF!</definedName>
    <definedName name="_23__123Graph_ECONTRACT_BY_B_U" hidden="1">#REF!</definedName>
    <definedName name="_23__123Graph_EQRE_S_BY_CO." hidden="1">#REF!</definedName>
    <definedName name="_23__123Graph_XCHART_9" hidden="1">'[3]Variance Sum '!#REF!</definedName>
    <definedName name="_232__123Graph_XCHART_5" hidden="1">'[3]Variance Sum '!#REF!</definedName>
    <definedName name="_234_x" hidden="1">'[5]OPERATING EXPS.'!#REF!</definedName>
    <definedName name="_24__123Graph_DWAGES_BY_B_U" hidden="1">#REF!</definedName>
    <definedName name="_24__123Graph_EQRE_S_BY_CO." hidden="1">#REF!</definedName>
    <definedName name="_24__123Graph_ESUPPLIES_BY_B_U" hidden="1">#REF!</definedName>
    <definedName name="_244__123Graph_XCHART_6" hidden="1">'[3]Variance Sum '!#REF!</definedName>
    <definedName name="_25__123Graph_AChart_1A" hidden="1">'[4]19'!#REF!</definedName>
    <definedName name="_25__123Graph_ACHART_7" hidden="1">'[3]Variance Sum '!#REF!</definedName>
    <definedName name="_25__123Graph_ECONTRACT_BY_B_U" hidden="1">#REF!</definedName>
    <definedName name="_25__123Graph_ESUPPLIES_BY_B_U" hidden="1">#REF!</definedName>
    <definedName name="_25__123Graph_EWAGES_BY_B_U" hidden="1">#REF!</definedName>
    <definedName name="_256__123Graph_XCHART_7" hidden="1">'[3]Variance Sum '!#REF!</definedName>
    <definedName name="_26__123Graph_EQRE_S_BY_CO." hidden="1">#REF!</definedName>
    <definedName name="_26__123Graph_EWAGES_BY_B_U" hidden="1">#REF!</definedName>
    <definedName name="_26__123Graph_FCONTRACT_BY_B_U" hidden="1">#REF!</definedName>
    <definedName name="_268__123Graph_XCHART_8" hidden="1">'[3]Variance Sum '!#REF!</definedName>
    <definedName name="_27__123Graph_ESUPPLIES_BY_B_U" hidden="1">#REF!</definedName>
    <definedName name="_27__123Graph_FCONTRACT_BY_B_U" hidden="1">#REF!</definedName>
    <definedName name="_27__123Graph_FQRE_S_BY_CO." hidden="1">#REF!</definedName>
    <definedName name="_28__123Graph_ACHART_8" hidden="1">'[3]Variance Sum '!#REF!</definedName>
    <definedName name="_28__123Graph_EWAGES_BY_B_U" hidden="1">#REF!</definedName>
    <definedName name="_28__123Graph_FQRE_S_BY_CO." hidden="1">#REF!</definedName>
    <definedName name="_28__123Graph_FSUPPLIES_BY_B_U" hidden="1">#REF!</definedName>
    <definedName name="_280__123Graph_XCHART_9" hidden="1">'[3]Variance Sum '!#REF!</definedName>
    <definedName name="_29__123Graph_FCONTRACT_BY_B_U" hidden="1">#REF!</definedName>
    <definedName name="_29__123Graph_FSUPPLIES_BY_B_U" hidden="1">#REF!</definedName>
    <definedName name="_29__123Graph_FWAGES_BY_B_U" hidden="1">#REF!</definedName>
    <definedName name="_3__123Graph_ACHART_10" hidden="1">'[3]Variance Sum '!#REF!</definedName>
    <definedName name="_3__123Graph_ACHART_2" hidden="1">'[3]Variance Sum '!#REF!</definedName>
    <definedName name="_3__123Graph_ACONTRACT_BY_B_U" hidden="1">#REF!</definedName>
    <definedName name="_3__123Graph_AJULY_SALES_PIE" hidden="1">#REF!</definedName>
    <definedName name="_3__123Graph_AQRE_S_BY_CO." hidden="1">#REF!</definedName>
    <definedName name="_3__123Graph_ASENS_COMPARISON" hidden="1">#REF!</definedName>
    <definedName name="_30__123Graph_FQRE_S_BY_CO." hidden="1">#REF!</definedName>
    <definedName name="_30__123Graph_FWAGES_BY_B_U" hidden="1">#REF!</definedName>
    <definedName name="_30__123Graph_XCONTRACT_BY_B_U" hidden="1">#REF!</definedName>
    <definedName name="_31__123Graph_ACHART_9" hidden="1">'[3]Variance Sum '!#REF!</definedName>
    <definedName name="_31__123Graph_FSUPPLIES_BY_B_U" hidden="1">#REF!</definedName>
    <definedName name="_31__123Graph_XCONTRACT_BY_B_U" hidden="1">#REF!</definedName>
    <definedName name="_31__123Graph_XQRE_S_BY_CO." hidden="1">#REF!</definedName>
    <definedName name="_32__123Graph_FWAGES_BY_B_U" hidden="1">#REF!</definedName>
    <definedName name="_32__123Graph_XQRE_S_BY_CO." hidden="1">#REF!</definedName>
    <definedName name="_32__123Graph_XQRE_S_BY_TYPE" hidden="1">#REF!</definedName>
    <definedName name="_33__123Graph_XCONTRACT_BY_B_U" hidden="1">#REF!</definedName>
    <definedName name="_33__123Graph_XQRE_S_BY_TYPE" hidden="1">#REF!</definedName>
    <definedName name="_33__123Graph_XSUPPLIES_BY_B_U" hidden="1">#REF!</definedName>
    <definedName name="_34__123Graph_XQRE_S_BY_CO." hidden="1">#REF!</definedName>
    <definedName name="_34__123Graph_XSUPPLIES_BY_B_U" hidden="1">#REF!</definedName>
    <definedName name="_34__123Graph_XTAX_CREDIT" hidden="1">#REF!</definedName>
    <definedName name="_35__123Graph_BChart_1A" hidden="1">'[4]19'!#REF!</definedName>
    <definedName name="_35__123Graph_XQRE_S_BY_TYPE" hidden="1">#REF!</definedName>
    <definedName name="_35__123Graph_XTAX_CREDIT" hidden="1">#REF!</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XSUPPLIES_BY_B_U" hidden="1">#REF!</definedName>
    <definedName name="_37__123Graph_ACHART_2" hidden="1">'[3]Variance Sum '!#REF!</definedName>
    <definedName name="_37__123Graph_XTAX_CREDIT" hidden="1">#REF!</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9__123Graph_CChart_1A" hidden="1">'[4]19'!#REF!</definedName>
    <definedName name="_4__123Graph_ACHART_3" hidden="1">'[3]Variance Sum '!#REF!</definedName>
    <definedName name="_4__123Graph_AQRE_S_BY_CO." hidden="1">#REF!</definedName>
    <definedName name="_4__123Graph_ASALES_TODATE_PI" hidden="1">#REF!</definedName>
    <definedName name="_4__123Graph_ASENS_COMPARISON" hidden="1">#REF!</definedName>
    <definedName name="_4__123Graph_ASUPPLIES_BY_B_U" hidden="1">#REF!</definedName>
    <definedName name="_42__123Graph_LBL_ACHART_10" hidden="1">'[3]Variance Sum '!#REF!</definedName>
    <definedName name="_45__123Graph_XCHART_10" hidden="1">'[3]Variance Sum '!#REF!</definedName>
    <definedName name="_49__123Graph_ACHART_3" hidden="1">'[3]Variance Sum '!#REF!</definedName>
    <definedName name="_49__123Graph_XChart_1A" hidden="1">'[4]19'!#REF!</definedName>
    <definedName name="_5__123Graph_ACHART_4" hidden="1">'[3]Variance Sum '!#REF!</definedName>
    <definedName name="_5__123Graph_ASENS_COMPARISON" hidden="1">#REF!</definedName>
    <definedName name="_5__123Graph_ASUPPLIES_BY_B_U" hidden="1">#REF!</definedName>
    <definedName name="_5__123Graph_ATAX_CREDIT" hidden="1">#REF!</definedName>
    <definedName name="_5__123Graph_X1991_BARGRAPH" hidden="1">#REF!</definedName>
    <definedName name="_52__123Graph_XCHART_2" hidden="1">'[3]Variance Sum '!#REF!</definedName>
    <definedName name="_55__123Graph_XCHART_3" hidden="1">'[3]Variance Sum '!#REF!</definedName>
    <definedName name="_58__123Graph_XCHART_4" hidden="1">'[3]Variance Sum '!#REF!</definedName>
    <definedName name="_583IQ___SET_WRITEDOWN_INS" hidden="1">"c59"</definedName>
    <definedName name="_6__123Graph_ACHART_5" hidden="1">'[3]Variance Sum '!#REF!</definedName>
    <definedName name="_6__123Graph_ASUPPLIES_BY_B_U" hidden="1">#REF!</definedName>
    <definedName name="_6__123Graph_ATAX_CREDIT" hidden="1">#REF!</definedName>
    <definedName name="_6__123Graph_AWAGES_BY_B_U" hidden="1">#REF!</definedName>
    <definedName name="_6__123Graph_X1992_BARGRAPH" hidden="1">#REF!</definedName>
    <definedName name="_61__123Graph_ACHART_4" hidden="1">'[3]Variance Sum '!#REF!</definedName>
    <definedName name="_61__123Graph_XCHART_5" hidden="1">'[3]Variance Sum '!#REF!</definedName>
    <definedName name="_64__123Graph_XCHART_6" hidden="1">'[3]Variance Sum '!#REF!</definedName>
    <definedName name="_67__123Graph_XCHART_7" hidden="1">'[3]Variance Sum '!#REF!</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7__123Graph_AChart_1A" hidden="1">'[4]19'!#REF!</definedName>
    <definedName name="_7__123Graph_ACHART_6" hidden="1">'[3]Variance Sum '!#REF!</definedName>
    <definedName name="_7__123Graph_ATAX_CREDIT" hidden="1">#REF!</definedName>
    <definedName name="_7__123Graph_AWAGES_BY_B_U" hidden="1">#REF!</definedName>
    <definedName name="_7__123Graph_BCONTRACT_BY_B_U" hidden="1">#REF!</definedName>
    <definedName name="_7__123Graph_XJULY_SALES_PIE" hidden="1">#REF!</definedName>
    <definedName name="_70__123Graph_XCHART_8" hidden="1">'[3]Variance Sum '!#REF!</definedName>
    <definedName name="_73__123Graph_ACHART_5" hidden="1">'[3]Variance Sum '!#REF!</definedName>
    <definedName name="_73__123Graph_XCHART_9" hidden="1">'[3]Variance Sum '!#REF!</definedName>
    <definedName name="_8__123Graph_ACHART_7" hidden="1">'[3]Variance Sum '!#REF!</definedName>
    <definedName name="_8__123Graph_AWAGES_BY_B_U" hidden="1">#REF!</definedName>
    <definedName name="_8__123Graph_BCONTRACT_BY_B_U" hidden="1">#REF!</definedName>
    <definedName name="_8__123Graph_BQRE_S_BY_CO." hidden="1">#REF!</definedName>
    <definedName name="_8__123Graph_XSALES_TODATE_PI" hidden="1">#REF!</definedName>
    <definedName name="_85__123Graph_ACHART_6" hidden="1">'[3]Variance Sum '!#REF!</definedName>
    <definedName name="_9__123Graph_ACHART_8" hidden="1">'[3]Variance Sum '!#REF!</definedName>
    <definedName name="_9__123Graph_BCHART_3" hidden="1">#REF!</definedName>
    <definedName name="_9__123Graph_BQRE_S_BY_CO." hidden="1">#REF!</definedName>
    <definedName name="_9__123Graph_BSENS_COMPARISON" hidden="1">#REF!</definedName>
    <definedName name="_97__123Graph_ACHART_7" hidden="1">'[3]Variance Sum '!#REF!</definedName>
    <definedName name="_bdm.A41748D8CDC148869DAC28F2A19A85E3.edm" localSheetId="7" hidden="1">#REF!</definedName>
    <definedName name="_bdm.A41748D8CDC148869DAC28F2A19A85E3.edm" localSheetId="8" hidden="1">#REF!</definedName>
    <definedName name="_bdm.A41748D8CDC148869DAC28F2A19A85E3.edm" hidden="1">#REF!</definedName>
    <definedName name="_BQ4.1" hidden="1">'[6]query results'!$A$1:$G$1628</definedName>
    <definedName name="_BQ4.2" hidden="1">'[6]query results'!$A$1629:$G$3355</definedName>
    <definedName name="_BQ4.3" hidden="1">'[6]query results'!$A$3356:$G$5080</definedName>
    <definedName name="_BQ4.4" hidden="1">'[6]query results'!$A$5081:$G$6824</definedName>
    <definedName name="_BQ4.5" hidden="1">'[6]query results'!$A$6825:$G$8581</definedName>
    <definedName name="_BQ4.6" hidden="1">'[6]query results'!$A$8582:$G$10421</definedName>
    <definedName name="_BQ4.7" hidden="1">'[6]query results'!$A$10422:$G$12272</definedName>
    <definedName name="_Fill" hidden="1">[7]지급어음!#REF!</definedName>
    <definedName name="_FILL1" hidden="1">#REF!</definedName>
    <definedName name="_hod2" localSheetId="7"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bo2" localSheetId="7"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Key_ys13" hidden="1">#N/A</definedName>
    <definedName name="_Key1" hidden="1">'[8]DeltaCom wan orders'!$A$6</definedName>
    <definedName name="_Key2" hidden="1">'[8]DeltaCom wan orders'!$A$6</definedName>
    <definedName name="_Keyys2" hidden="1">#N/A</definedName>
    <definedName name="_n324" hidden="1">"c39"</definedName>
    <definedName name="_new1" hidden="1">"c32"</definedName>
    <definedName name="_new2" hidden="1">"c8"</definedName>
    <definedName name="_new3" hidden="1">"c7"</definedName>
    <definedName name="_new5" hidden="1">"c1471"</definedName>
    <definedName name="_ok2" localSheetId="7" hidden="1">{#N/A,#N/A,FALSE,"Cover";#N/A,#N/A,FALSE,"LUMI";#N/A,#N/A,FALSE,"COMD";#N/A,#N/A,FALSE,"Valuation";#N/A,#N/A,FALSE,"Assumptions";#N/A,#N/A,FALSE,"Pooling";#N/A,#N/A,FALSE,"BalanceSheet"}</definedName>
    <definedName name="_ok2" hidden="1">{#N/A,#N/A,FALSE,"Cover";#N/A,#N/A,FALSE,"LUMI";#N/A,#N/A,FALSE,"COMD";#N/A,#N/A,FALSE,"Valuation";#N/A,#N/A,FALSE,"Assumptions";#N/A,#N/A,FALSE,"Pooling";#N/A,#N/A,FALSE,"BalanceSheet"}</definedName>
    <definedName name="_Order1" hidden="1">255</definedName>
    <definedName name="_Order2" hidden="1">0</definedName>
    <definedName name="_P00comps1" hidden="1">'[9]EU Comps'!$DK$326:$FO$489</definedName>
    <definedName name="_P00comps2" hidden="1">'[9]EU Comps'!$FQ$326:$HL$489</definedName>
    <definedName name="_Regression_X" hidden="1">#REF!</definedName>
    <definedName name="_rod1" localSheetId="7"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Sort" hidden="1">'[8]DeltaCom wan orders'!$A$6:$G$21</definedName>
    <definedName name="_Sort1" hidden="1">'[8]DeltaCom wan orders'!$A$6:$G$21</definedName>
    <definedName name="_SSS1"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UUID_0" hidden="1">589638</definedName>
    <definedName name="_UUID_1" hidden="1">262297</definedName>
    <definedName name="_UUID_2" hidden="1">875385</definedName>
    <definedName name="_wrn2" localSheetId="7" hidden="1">{#N/A,#N/A,FALSE,"ASSUMPTIONS";#N/A,#N/A,FALSE,"Valuation Summary";"page1",#N/A,FALSE,"PRESENTATION";"page2",#N/A,FALSE,"PRESENTATION";#N/A,#N/A,FALSE,"ORIGINAL_ROLLBACK"}</definedName>
    <definedName name="_wrn2" hidden="1">{#N/A,#N/A,FALSE,"ASSUMPTIONS";#N/A,#N/A,FALSE,"Valuation Summary";"page1",#N/A,FALSE,"PRESENTATION";"page2",#N/A,FALSE,"PRESENTATION";#N/A,#N/A,FALSE,"ORIGINAL_ROLLBACK"}</definedName>
    <definedName name="_wrn3" localSheetId="7"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Zcomps1" localSheetId="7" hidden="1">{0,0,0,0,1,-4105,42.5196850393701,42.5196850393701,42.5196850393701,42.5196850393701,2,TRUE,TRUE,FALSE,FALSE,FALSE,#N/A,1,85,1,1,"","","","&amp;""Kennerly,Roman Bold""&amp;14L&amp;12EHMAN &amp;14 B&amp;12ROTHERS","","",FALSE}</definedName>
    <definedName name="_Zcomps1" hidden="1">{0,0,0,0,1,-4105,42.5196850393701,42.5196850393701,42.5196850393701,42.5196850393701,2,TRUE,TRUE,FALSE,FALSE,FALSE,#N/A,1,85,1,1,"","","","&amp;""Kennerly,Roman Bold""&amp;14L&amp;12EHMAN &amp;14 B&amp;12ROTHERS","","",FALSE}</definedName>
    <definedName name="_Zcomps2" localSheetId="7"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aa" localSheetId="7" hidden="1">{#N/A,#N/A,FALSE,"Projections";#N/A,#N/A,FALSE,"Multiples Valuation";#N/A,#N/A,FALSE,"LBO";#N/A,#N/A,FALSE,"Multiples_Sensitivity";#N/A,#N/A,FALSE,"Summary"}</definedName>
    <definedName name="aaa" hidden="1">{#N/A,#N/A,FALSE,"Projections";#N/A,#N/A,FALSE,"Multiples Valuation";#N/A,#N/A,FALSE,"LBO";#N/A,#N/A,FALSE,"Multiples_Sensitivity";#N/A,#N/A,FALSE,"Summary"}</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7"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e" localSheetId="7" hidden="1">{#N/A,#N/A,FALSE,"Performance Flash Report"}</definedName>
    <definedName name="abcde" hidden="1">{#N/A,#N/A,FALSE,"Performance Flash Report"}</definedName>
    <definedName name="abcdefg" localSheetId="7" hidden="1">{#N/A,#N/A,FALSE,"Performance Flash Report"}</definedName>
    <definedName name="abcdefg" hidden="1">{#N/A,#N/A,FALSE,"Performance Flash Report"}</definedName>
    <definedName name="AccessOpt" hidden="1">"Yes"</definedName>
    <definedName name="ACwvu.incearn." hidden="1">[10]EndNotes!#REF!</definedName>
    <definedName name="adg" localSheetId="7" hidden="1">{"'Sheet1'!$A$1:$O$40"}</definedName>
    <definedName name="adg" hidden="1">{"'Sheet1'!$A$1:$O$40"}</definedName>
    <definedName name="adgare" hidden="1">'[3]Variance Sum '!#REF!</definedName>
    <definedName name="adhgsfghjfgj" hidden="1">'[4]19'!#REF!</definedName>
    <definedName name="adsf"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e" localSheetId="7" hidden="1">{#N/A,#N/A,FALSE,"Performance Flash Report"}</definedName>
    <definedName name="ae" hidden="1">{#N/A,#N/A,FALSE,"Performance Flash Report"}</definedName>
    <definedName name="afasdfasdf" hidden="1">'[3]Variance Sum '!#REF!</definedName>
    <definedName name="afdafds" localSheetId="7" hidden="1">{#N/A,#N/A,FALSE,"Performance Flash Report"}</definedName>
    <definedName name="afdafds" hidden="1">{#N/A,#N/A,FALSE,"Performance Flash Report"}</definedName>
    <definedName name="Alex" localSheetId="7" hidden="1">{#N/A,#N/A,FALSE,"Performance Flash Report"}</definedName>
    <definedName name="Alex" hidden="1">{#N/A,#N/A,FALSE,"Performance Flash Report"}</definedName>
    <definedName name="amy" localSheetId="7" hidden="1">{#N/A,#N/A,FALSE,"AD_Purchase";#N/A,#N/A,FALSE,"Credit";#N/A,#N/A,FALSE,"PF Acquisition";#N/A,#N/A,FALSE,"PF Offering"}</definedName>
    <definedName name="amy" hidden="1">{#N/A,#N/A,FALSE,"AD_Purchase";#N/A,#N/A,FALSE,"Credit";#N/A,#N/A,FALSE,"PF Acquisition";#N/A,#N/A,FALSE,"PF Offering"}</definedName>
    <definedName name="amy.mistake" localSheetId="7" hidden="1">{#N/A,#N/A,FALSE,"AD_Purchase";#N/A,#N/A,FALSE,"Credit";#N/A,#N/A,FALSE,"PF Acquisition";#N/A,#N/A,FALSE,"PF Offering"}</definedName>
    <definedName name="amy.mistake" hidden="1">{#N/A,#N/A,FALSE,"AD_Purchase";#N/A,#N/A,FALSE,"Credit";#N/A,#N/A,FALSE,"PF Acquisition";#N/A,#N/A,FALSE,"PF Offering"}</definedName>
    <definedName name="ando" localSheetId="7" hidden="1">{"'下期集計（10.27迄・速報値）'!$Q$16"}</definedName>
    <definedName name="ando" hidden="1">{"'下期集計（10.27迄・速報値）'!$Q$16"}</definedName>
    <definedName name="anotherrange" localSheetId="7" hidden="1">{#N/A,#N/A,FALSE,"Performance Flash Report"}</definedName>
    <definedName name="anotherrange" hidden="1">{#N/A,#N/A,FALSE,"Performance Flash Report"}</definedName>
    <definedName name="anscount" hidden="1">1</definedName>
    <definedName name="as" hidden="1">"c2127"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"c1630"</definedName>
    <definedName name="asdas" localSheetId="7" hidden="1">{#N/A,#N/A,FALSE,"Performance Flash Report"}</definedName>
    <definedName name="asdas" hidden="1">{#N/A,#N/A,FALSE,"Performance Flash Report"}</definedName>
    <definedName name="asdas1" localSheetId="7" hidden="1">{#N/A,#N/A,FALSE,"Performance Flash Report"}</definedName>
    <definedName name="asdas1" hidden="1">{#N/A,#N/A,FALSE,"Performance Flash Report"}</definedName>
    <definedName name="asdfsa" localSheetId="7" hidden="1">{#N/A,#N/A,FALSE,"Performance Flash Report"}</definedName>
    <definedName name="asdfsa" hidden="1">{#N/A,#N/A,FALSE,"Performance Flash Report"}</definedName>
    <definedName name="asdfsd" localSheetId="7" hidden="1">{"'Planning Data'!$A$2:$X$120"}</definedName>
    <definedName name="asdfsd" hidden="1">{"'Planning Data'!$A$2:$X$120"}</definedName>
    <definedName name="ayesha" localSheetId="7" hidden="1">{"p1TOC",#N/A,FALSE,"DCF_Summary";"p23summary",#N/A,FALSE,"DCF_Summary";"p4contact",#N/A,FALSE,"Contact Lake";"p5kumtor",#N/A,FALSE,"Kumtor";#N/A,#N/A,FALSE,"CCAU_NAV";"p8compdata",#N/A,FALSE,"Gold_Comps";#N/A,#N/A,FALSE,"Comp_Valuation"}</definedName>
    <definedName name="ayesha" localSheetId="8" hidden="1">{"p1TOC",#N/A,FALSE,"DCF_Summary";"p23summary",#N/A,FALSE,"DCF_Summary";"p4contact",#N/A,FALSE,"Contact Lake";"p5kumtor",#N/A,FALSE,"Kumtor";#N/A,#N/A,FALSE,"CCAU_NAV";"p8compdata",#N/A,FALSE,"Gold_Comps";#N/A,#N/A,FALSE,"Comp_Valuation"}</definedName>
    <definedName name="ayesha" hidden="1">{"p1TOC",#N/A,FALSE,"DCF_Summary";"p23summary",#N/A,FALSE,"DCF_Summary";"p4contact",#N/A,FALSE,"Contact Lake";"p5kumtor",#N/A,FALSE,"Kumtor";#N/A,#N/A,FALSE,"CCAU_NAV";"p8compdata",#N/A,FALSE,"Gold_Comps";#N/A,#N/A,FALSE,"Comp_Valuation"}</definedName>
    <definedName name="Bear" localSheetId="7"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2" localSheetId="7"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G_Del" hidden="1">15</definedName>
    <definedName name="BG_Ins" hidden="1">4</definedName>
    <definedName name="BG_Mod" hidden="1">6</definedName>
    <definedName name="bla" localSheetId="7" hidden="1">{"PA1",#N/A,FALSE,"BORDMW";"pa2",#N/A,FALSE,"BORDMW";"PA3",#N/A,FALSE,"BORDMW";"PA4",#N/A,FALSE,"BORDMW"}</definedName>
    <definedName name="bla" hidden="1">{"PA1",#N/A,FALSE,"BORDMW";"pa2",#N/A,FALSE,"BORDMW";"PA3",#N/A,FALSE,"BORDMW";"PA4",#N/A,FALSE,"BORDMW"}</definedName>
    <definedName name="blah2" localSheetId="7" hidden="1">{#N/A,#N/A,FALSE,"Performance Flash Report"}</definedName>
    <definedName name="blah2" hidden="1">{#N/A,#N/A,FALSE,"Performance Flash Report"}</definedName>
    <definedName name="blah3" localSheetId="7" hidden="1">{#N/A,#N/A,FALSE,"Performance Flash Report"}</definedName>
    <definedName name="blah3" hidden="1">{#N/A,#N/A,FALSE,"Performance Flash Report"}</definedName>
    <definedName name="blah4" localSheetId="7" hidden="1">{#N/A,#N/A,FALSE,"Performance Flash Report"}</definedName>
    <definedName name="blah4" hidden="1">{#N/A,#N/A,FALSE,"Performance Flash Report"}</definedName>
    <definedName name="blank" localSheetId="9">#REF!</definedName>
    <definedName name="blank" localSheetId="7">#REF!</definedName>
    <definedName name="blank">#REF!</definedName>
    <definedName name="BLPH1" hidden="1">'[12]commercial construction'!$A$3</definedName>
    <definedName name="BLPH10" hidden="1">'[12]crack spreads'!$E$4</definedName>
    <definedName name="BLPH18" hidden="1">#REF!</definedName>
    <definedName name="BLPH19" hidden="1">#REF!</definedName>
    <definedName name="BLPH2" hidden="1">'[12]new orders'!$D$7</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3" hidden="1">'[12]new orders'!$G$7</definedName>
    <definedName name="BLPH31" hidden="1">[13]Data!#REF!</definedName>
    <definedName name="BLPH32" hidden="1">[13]Data!#REF!</definedName>
    <definedName name="BLPH33" hidden="1">[13]Data!#REF!</definedName>
    <definedName name="BLPH34" hidden="1">[13]Data!#REF!</definedName>
    <definedName name="BLPH35" hidden="1">[13]Data!#REF!</definedName>
    <definedName name="BLPH4" hidden="1">'[12]crack spreads'!$A$3</definedName>
    <definedName name="BLPH5" hidden="1">'[12]crack spreads'!$A$3</definedName>
    <definedName name="BLPH6" hidden="1">'[12]crack spreads'!$A$3</definedName>
    <definedName name="BLPH7" hidden="1">'[12]crack spreads'!$A$3</definedName>
    <definedName name="BLPH8" hidden="1">'[12]IFO Manufacturing Business Clim'!$E$6</definedName>
    <definedName name="BLPH9" hidden="1">'[12]commercial construction'!$D$33</definedName>
    <definedName name="Bridge" localSheetId="7" hidden="1">{"'Highlights'!$A$1:$M$123"}</definedName>
    <definedName name="Bridge" hidden="1">{"'Highlights'!$A$1:$M$123"}</definedName>
    <definedName name="bvwrg"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Cabinet" localSheetId="7" hidden="1">{"'Sheet1'!$A$1:$D$69"}</definedName>
    <definedName name="Cabinet" hidden="1">{"'Sheet1'!$A$1:$D$69"}</definedName>
    <definedName name="cance" localSheetId="7" hidden="1">{#N/A,#N/A,TRUE,"PAGE 2";#N/A,#N/A,TRUE,"PAGE 3";#N/A,#N/A,TRUE,"PAGE4"}</definedName>
    <definedName name="cance" hidden="1">{#N/A,#N/A,TRUE,"PAGE 2";#N/A,#N/A,TRUE,"PAGE 3";#N/A,#N/A,TRUE,"PAGE4"}</definedName>
    <definedName name="cawc"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sChart1D5372A5_opts" hidden="1">"1, 5, 1, False, 2, False, False, , 0, False, False, 1, 1"</definedName>
    <definedName name="cb_sChartE2218BA_opts" hidden="1">"1, 4, 1, False, 2, False, False, , 0, False, True, 1, 1"</definedName>
    <definedName name="cb_sChartE221ADA_opts" hidden="1">"1, 5, 1, False, 2, False, False, , 0, False, False, 1, 1"</definedName>
    <definedName name="CBWorkbookPriority" hidden="1">-1935235038</definedName>
    <definedName name="chiho" localSheetId="7" hidden="1">{"'下期集計（10.27迄・速報値）'!$Q$16"}</definedName>
    <definedName name="chiho" hidden="1">{"'下期集計（10.27迄・速報値）'!$Q$16"}</definedName>
    <definedName name="chris" localSheetId="7" hidden="1">{#N/A,#N/A,FALSE,"Performance Flash Report"}</definedName>
    <definedName name="chris" hidden="1">{#N/A,#N/A,FALSE,"Performance Flash Report"}</definedName>
    <definedName name="CIQWBGuid" hidden="1">"7b18bcf8-263b-4061-9e8a-67f30914c2d7"</definedName>
    <definedName name="CL" hidden="1">1</definedName>
    <definedName name="CLsysID" hidden="1">"BWP"</definedName>
    <definedName name="cm" localSheetId="7" hidden="1">{#N/A,#N/A,FALSE,"Aging Summary";#N/A,#N/A,FALSE,"Ratio Analysis";#N/A,#N/A,FALSE,"Test 120 Day Accts";#N/A,#N/A,FALSE,"Tickmarks"}</definedName>
    <definedName name="cm" hidden="1">{#N/A,#N/A,FALSE,"Aging Summary";#N/A,#N/A,FALSE,"Ratio Analysis";#N/A,#N/A,FALSE,"Test 120 Day Accts";#N/A,#N/A,FALSE,"Tickmarks"}</definedName>
    <definedName name="comeonnow" localSheetId="7" hidden="1">{#N/A,#N/A,FALSE,"Performance Flash Report"}</definedName>
    <definedName name="comeonnow" hidden="1">{#N/A,#N/A,FALSE,"Performance Flash Report"}</definedName>
    <definedName name="Consulotin" localSheetId="7" hidden="1">{#N/A,#N/A,FALSE,"BU INCOME STATEMENT ";#N/A,#N/A,FALSE,"EXPENSE SUMMARY ";#N/A,#N/A,FALSE,"DEPT1";#N/A,#N/A,FALSE,"DEPT1 (2)"}</definedName>
    <definedName name="Consulotin" hidden="1">{#N/A,#N/A,FALSE,"BU INCOME STATEMENT ";#N/A,#N/A,FALSE,"EXPENSE SUMMARY ";#N/A,#N/A,FALSE,"DEPT1";#N/A,#N/A,FALSE,"DEPT1 (2)"}</definedName>
    <definedName name="copy" localSheetId="7" hidden="1">{#N/A,#N/A,FALSE,"Projections";#N/A,#N/A,FALSE,"Multiples Valuation";#N/A,#N/A,FALSE,"LBO";#N/A,#N/A,FALSE,"Multiples_Sensitivity";#N/A,#N/A,FALSE,"Summary"}</definedName>
    <definedName name="copy" hidden="1">{#N/A,#N/A,FALSE,"Projections";#N/A,#N/A,FALSE,"Multiples Valuation";#N/A,#N/A,FALSE,"LBO";#N/A,#N/A,FALSE,"Multiples_Sensitivity";#N/A,#N/A,FALSE,"Summary"}</definedName>
    <definedName name="Covenants" localSheetId="7"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urrent_Q" localSheetId="9">#REF!</definedName>
    <definedName name="Current_Q" localSheetId="7">#REF!</definedName>
    <definedName name="Current_Q">#REF!</definedName>
    <definedName name="cxaa" localSheetId="7"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D" localSheetId="7" hidden="1">{"'Sheet1'!$A$1:$L$21"}</definedName>
    <definedName name="D" hidden="1">{"'Sheet1'!$A$1:$L$21"}</definedName>
    <definedName name="da" hidden="1">{#N/A,#N/A,FALSE,"Aging Summary";#N/A,#N/A,FALSE,"Ratio Analysis";#N/A,#N/A,FALSE,"Test 120 Day Accts";#N/A,#N/A,FALSE,"Tickmarks"}</definedName>
    <definedName name="DATA_01" localSheetId="7" hidden="1">#REF!</definedName>
    <definedName name="DATA_01" hidden="1">#REF!</definedName>
    <definedName name="DATA_02" localSheetId="7" hidden="1">#REF!</definedName>
    <definedName name="DATA_02" hidden="1">#REF!</definedName>
    <definedName name="DATA_03" localSheetId="7"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[14]MGreenberg!#REF!</definedName>
    <definedName name="DATA_11" hidden="1">[14]MGreenberg!#REF!</definedName>
    <definedName name="dd" localSheetId="7" hidden="1">{#N/A,#N/A,FALSE,"Performance Flash Report"}</definedName>
    <definedName name="dd" hidden="1">{#N/A,#N/A,FALSE,"Performance Flash Report"}</definedName>
    <definedName name="ddbmdb" localSheetId="7" hidden="1">{#N/A,#N/A,FALSE,"Aging Summary";#N/A,#N/A,FALSE,"Ratio Analysis";#N/A,#N/A,FALSE,"Test 120 Day Accts";#N/A,#N/A,FALSE,"Tickmarks"}</definedName>
    <definedName name="ddbmdb" hidden="1">{#N/A,#N/A,FALSE,"Aging Summary";#N/A,#N/A,FALSE,"Ratio Analysis";#N/A,#N/A,FALSE,"Test 120 Day Accts";#N/A,#N/A,FALSE,"Tickmarks"}</definedName>
    <definedName name="ddd" localSheetId="7" hidden="1">{#N/A,#N/A,FALSE,"Performance Flash Report"}</definedName>
    <definedName name="ddd" hidden="1">{#N/A,#N/A,FALSE,"Performance Flash Report"}</definedName>
    <definedName name="dddd" localSheetId="7" hidden="1">{#N/A,#N/A,FALSE,"AD_Purchase";#N/A,#N/A,FALSE,"Credit";#N/A,#N/A,FALSE,"PF Acquisition";#N/A,#N/A,FALSE,"PF Offering"}</definedName>
    <definedName name="dddd" hidden="1">{#N/A,#N/A,FALSE,"AD_Purchase";#N/A,#N/A,FALSE,"Credit";#N/A,#N/A,FALSE,"PF Acquisition";#N/A,#N/A,FALSE,"PF Offering"}</definedName>
    <definedName name="ddddddddd"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E" localSheetId="7" hidden="1">{#N/A,#N/A,FALSE,"Cover";#N/A,#N/A,FALSE,"LUMI";#N/A,#N/A,FALSE,"COMD";#N/A,#N/A,FALSE,"Valuation";#N/A,#N/A,FALSE,"Assumptions";#N/A,#N/A,FALSE,"Pooling";#N/A,#N/A,FALSE,"BalanceSheet"}</definedName>
    <definedName name="DE" hidden="1">{#N/A,#N/A,FALSE,"Cover";#N/A,#N/A,FALSE,"LUMI";#N/A,#N/A,FALSE,"COMD";#N/A,#N/A,FALSE,"Valuation";#N/A,#N/A,FALSE,"Assumptions";#N/A,#N/A,FALSE,"Pooling";#N/A,#N/A,FALSE,"BalanceSheet"}</definedName>
    <definedName name="DEM" hidden="1">1.95583</definedName>
    <definedName name="df" localSheetId="7" hidden="1">{#N/A,#N/A,FALSE,"Aging Summary";#N/A,#N/A,FALSE,"Ratio Analysis";#N/A,#N/A,FALSE,"Test 120 Day Accts";#N/A,#N/A,FALSE,"Tickmarks"}</definedName>
    <definedName name="df" hidden="1">{#N/A,#N/A,FALSE,"Aging Summary";#N/A,#N/A,FALSE,"Ratio Analysis";#N/A,#N/A,FALSE,"Test 120 Day Accts";#N/A,#N/A,FALSE,"Tickmarks"}</definedName>
    <definedName name="dfg" localSheetId="7" hidden="1">{#N/A,#N/A,FALSE,"HuscoCombined-Summ";#N/A,#N/A,FALSE,"HuscoCombined-Income";#N/A,#N/A,FALSE,"HuscoCombined-Offering";#N/A,#N/A,FALSE,"Husco-Income";#N/A,#N/A,FALSE,"TargetEngineer";#N/A,#N/A,FALSE,"TargetAcqCalc";#N/A,#N/A,FALSE,"Husco-Acq"}</definedName>
    <definedName name="dfg" hidden="1">{#N/A,#N/A,FALSE,"HuscoCombined-Summ";#N/A,#N/A,FALSE,"HuscoCombined-Income";#N/A,#N/A,FALSE,"HuscoCombined-Offering";#N/A,#N/A,FALSE,"Husco-Income";#N/A,#N/A,FALSE,"TargetEngineer";#N/A,#N/A,FALSE,"TargetAcqCalc";#N/A,#N/A,FALSE,"Husco-Acq"}</definedName>
    <definedName name="dfgdfg"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7"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s" hidden="1">38922.8233796296</definedName>
    <definedName name="dfhdfjdf" hidden="1">'[3]Variance Sum '!#REF!</definedName>
    <definedName name="dgfjdgjd" hidden="1">'[3]Variance Sum '!#REF!</definedName>
    <definedName name="DSHiddenYear1" localSheetId="7" hidden="1">#REF!</definedName>
    <definedName name="DSHiddenYear1" localSheetId="8" hidden="1">#REF!</definedName>
    <definedName name="DSHiddenYear1" hidden="1">#REF!</definedName>
    <definedName name="DSHiddenYear2" localSheetId="7" hidden="1">#REF!</definedName>
    <definedName name="DSHiddenYear2" localSheetId="8" hidden="1">#REF!</definedName>
    <definedName name="DSHiddenYear2" hidden="1">#REF!</definedName>
    <definedName name="DSHiddenYear3" localSheetId="7" hidden="1">#REF!</definedName>
    <definedName name="DSHiddenYear3" localSheetId="8"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o_Cabinet" localSheetId="7" hidden="1">{"'Sheet1'!$A$1:$D$69"}</definedName>
    <definedName name="dso_Cabinet" hidden="1">{"'Sheet1'!$A$1:$D$69"}</definedName>
    <definedName name="DSO_HTML_Control" localSheetId="7" hidden="1">{"'Sheet1'!$A$1:$D$69"}</definedName>
    <definedName name="DSO_HTML_Control" hidden="1">{"'Sheet1'!$A$1:$D$69"}</definedName>
    <definedName name="DVSVSDVsdvsD" localSheetId="7" hidden="1">{"'Planning Data'!$A$2:$X$120"}</definedName>
    <definedName name="DVSVSDVsdvsD" hidden="1">{"'Planning Data'!$A$2:$X$120"}</definedName>
    <definedName name="dwcwc" localSheetId="7"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ee" localSheetId="7" hidden="1">{#N/A,#N/A,FALSE,"Tabelle1"}</definedName>
    <definedName name="ee" hidden="1">{#N/A,#N/A,FALSE,"Tabelle1"}</definedName>
    <definedName name="efbar" localSheetId="7" hidden="1">{#N/A,#N/A,FALSE,"Performance Flash Report"}</definedName>
    <definedName name="efbar" hidden="1">{#N/A,#N/A,FALSE,"Performance Flash Report"}</definedName>
    <definedName name="efQFQA" hidden="1">[15]DS_Industry_Specif!#REF!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r" localSheetId="7" hidden="1">[15]DS_Industry_Specif!#REF!</definedName>
    <definedName name="er" localSheetId="8" hidden="1">[15]DS_Industry_Specif!#REF!</definedName>
    <definedName name="er" hidden="1">[15]DS_Industry_Specif!#REF!</definedName>
    <definedName name="ere" localSheetId="7" hidden="1">{#N/A,#N/A,FALSE,"Tabelle1"}</definedName>
    <definedName name="ere" hidden="1">{#N/A,#N/A,FALSE,"Tabelle1"}</definedName>
    <definedName name="etc" hidden="1">#REF!</definedName>
    <definedName name="EUR" hidden="1">1</definedName>
    <definedName name="ev.Calculation" hidden="1">-4135</definedName>
    <definedName name="ev.Initialized" hidden="1">FALSE</definedName>
    <definedName name="EV__CVPARAMS__" hidden="1">"Trend!$B$17:$C$38;"</definedName>
    <definedName name="EV__DECIMALSYMBOL__" hidden="1">"."</definedName>
    <definedName name="EV__LOCKEDCVW__CASHFLOW" hidden="1">"A_TOTCFA,AC_CASHAC,ACTUAL,LC,E_QSG,2007.Q2,PERIODIC,"</definedName>
    <definedName name="EV__LOCKEDCVW__CONSO" hidden="1">"A_None_NETINC,B_ALL,ACTUAL,C_ALL,USD,TotConso,E_QSG,G_ALL,2007.Q3,PERIODIC,"</definedName>
    <definedName name="EV__LOCKEDCVW__CORPOPS" hidden="1">"A_None_NETINC,B_ALL,BUDGET,C_ALL,USD,TotConso,E_100,G_ALL,2007.Q3,PERIODIC,"</definedName>
    <definedName name="EV__LOCKEDCVW__FINANCE" hidden="1">"Miles,Plan,TotalAdj,TOT_DEPT,TOT_COMPANY,TOT_LOB,2008.total,PERIODIC,"</definedName>
    <definedName name="EV__LOCKEDCVW__FPR" hidden="1">"A_STAT_INVENT,B_ALL,FORECAST,C_ALL,LC,Input,D_ALL,E_503,P_ALL,S_ALL,2006.Q4,PERIODIC,"</definedName>
    <definedName name="EV__LOCKEDCVW__INTERCOMATCHING" hidden="1">"ICAssets,Actual,Input,E_All,I_All,2004.TOTAL,USD,PERIODIC,"</definedName>
    <definedName name="EV__LOCKEDCVW__PAYROLL" hidden="1">"11250,Actual,TotalAdj,TOT_DEPT,ALLEMPL,TOT_COMPANY_PF,Tot_Job,TOT_LOB,ALLPAYGROUPS,2008.Total,ALLDATACONT,PERIODIC,"</definedName>
    <definedName name="EV__LOCKEDCVW__RATE" hidden="1">"ACTUAL,USD,Avg,Default,2004.TOTAL,PERIODIC,"</definedName>
    <definedName name="EV__LOCKEDCVW__RATE_INTERCO" hidden="1">"Actual,Avg,Default,2004.TOTAL,USD,PERIODIC,"</definedName>
    <definedName name="EV__LOCKEDCVW__REVENUE" hidden="1">"CustomerData,Actual,1001018,Revenue,10,TOT_LOB,2009.SEP,PERIODIC,"</definedName>
    <definedName name="EV__LOCKEDCVW__SAFETY" hidden="1">"PrevDOTRatio_PLAN,Plan,Input,LINEHAUL,TOT_COMPANY,REGULAR,2009.TOTAL,PERIODIC,"</definedName>
    <definedName name="EV__LOCKSTATUS__" hidden="1">4</definedName>
    <definedName name="EV__WSINFO__" hidden="1">"silver"</definedName>
    <definedName name="export" localSheetId="9">#REF!</definedName>
    <definedName name="export" localSheetId="7">#REF!</definedName>
    <definedName name="export">#REF!</definedName>
    <definedName name="f" hidden="1">{#N/A,#N/A,FALSE,"ACTIVO - hoja 1";#N/A,#N/A,FALSE,"ACTIVO - hoja 2";#N/A,#N/A,FALSE,"PASIVO - hoja 1";#N/A,#N/A,FALSE,"PASIVO - hoja 2";#N/A,#N/A,FALSE,"GASTOS - hoja 1 ";#N/A,#N/A,FALSE,"GASTOS - hoja 2";#N/A,#N/A,FALSE,"INGRESOS - hoja 1 ";#N/A,#N/A,FALSE,"INGRESOS - hoja 2"}</definedName>
    <definedName name="fddfghdjd" localSheetId="7" hidden="1">'[3]Variance Sum '!#REF!</definedName>
    <definedName name="fddfghdjd" hidden="1">'[3]Variance Sum '!#REF!</definedName>
    <definedName name="fdg" localSheetId="7" hidden="1">{"Assumptions",#N/A,TRUE,"Assumptions";"Income",#N/A,TRUE,"Income";"Balance",#N/A,TRUE,"Balance"}</definedName>
    <definedName name="fdg" hidden="1">{"Assumptions",#N/A,TRUE,"Assumptions";"Income",#N/A,TRUE,"Income";"Balance",#N/A,TRUE,"Balance"}</definedName>
    <definedName name="fds" hidden="1">"c275"</definedName>
    <definedName name="fdsa" hidden="1">"c301"</definedName>
    <definedName name="fg" localSheetId="7" hidden="1">{#N/A,#N/A,FALSE,"Pooling";#N/A,#N/A,FALSE,"income";#N/A,#N/A,FALSE,"valuation"}</definedName>
    <definedName name="fg" hidden="1">{#N/A,#N/A,FALSE,"Pooling";#N/A,#N/A,FALSE,"income";#N/A,#N/A,FALSE,"valuation"}</definedName>
    <definedName name="fgh" hidden="1">"c118"</definedName>
    <definedName name="fghjdfj" hidden="1">'[3]Variance Sum '!#REF!</definedName>
    <definedName name="fghkfghkf" hidden="1">'[4]19'!#REF!</definedName>
    <definedName name="fghkfghkghj" hidden="1">'[3]Variance Sum '!#REF!</definedName>
    <definedName name="fghkjfghkfghkf" hidden="1">'[3]Variance Sum '!#REF!</definedName>
    <definedName name="fhsdfghsfdg" hidden="1">'[4]19'!#REF!</definedName>
    <definedName name="Formatted" localSheetId="7" hidden="1">{"'Sheet1'!$A$1:$F$101"}</definedName>
    <definedName name="Formatted" hidden="1">{"'Sheet1'!$A$1:$F$101"}</definedName>
    <definedName name="fsfdgsfdhj" hidden="1">'[3]Variance Sum '!#REF!</definedName>
    <definedName name="fuyituy" hidden="1">'[3]Variance Sum '!#REF!</definedName>
    <definedName name="FY_92" localSheetId="9">#REF!</definedName>
    <definedName name="FY_92" localSheetId="7">#REF!</definedName>
    <definedName name="FY_92">#REF!</definedName>
    <definedName name="FY_93" localSheetId="9">#REF!</definedName>
    <definedName name="FY_93" localSheetId="7">#REF!</definedName>
    <definedName name="FY_93">#REF!</definedName>
    <definedName name="FY_94" localSheetId="9">#REF!</definedName>
    <definedName name="FY_94" localSheetId="7">#REF!</definedName>
    <definedName name="FY_94">#REF!</definedName>
    <definedName name="ｇ" localSheetId="7" hidden="1">{"'下期集計（10.27迄・速報値）'!$Q$16"}</definedName>
    <definedName name="ｇ" hidden="1">{"'下期集計（10.27迄・速報値）'!$Q$16"}</definedName>
    <definedName name="gd" localSheetId="7" hidden="1">{"'下期集計（10.27迄・速報値）'!$Q$16"}</definedName>
    <definedName name="gd" hidden="1">{"'下期集計（10.27迄・速報値）'!$Q$16"}</definedName>
    <definedName name="gda" localSheetId="7" hidden="1">{"'下期集計（10.27迄・速報値）'!$Q$16"}</definedName>
    <definedName name="gda" hidden="1">{"'下期集計（10.27迄・速報値）'!$Q$16"}</definedName>
    <definedName name="gdfs" localSheetId="7"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sa" localSheetId="7" hidden="1">{"'下期集計（10.27迄・速報値）'!$Q$16"}</definedName>
    <definedName name="gdsa" hidden="1">{"'下期集計（10.27迄・速報値）'!$Q$16"}</definedName>
    <definedName name="gf" hidden="1">"c247"</definedName>
    <definedName name="gfdfsa" hidden="1">"c261"</definedName>
    <definedName name="GlideChartMarker" hidden="1">"Chart!A1"</definedName>
    <definedName name="GlideDataMarker" hidden="1">"Data!A1"</definedName>
    <definedName name="GlideHiddenMarker" hidden="1">"Costcurvedata!A1"</definedName>
    <definedName name="GlideMaxCharts" hidden="1">7</definedName>
    <definedName name="gljghjlghj" hidden="1">'[3]Variance Sum '!#REF!</definedName>
    <definedName name="ｈ" localSheetId="7" hidden="1">{"'下期集計（10.27迄・速報値）'!$Q$16"}</definedName>
    <definedName name="ｈ" hidden="1">{"'下期集計（10.27迄・速報値）'!$Q$16"}</definedName>
    <definedName name="Ｈ16・１" localSheetId="7" hidden="1">{"'コメント'!$A$1:$C$37"}</definedName>
    <definedName name="Ｈ16・１" hidden="1">{"'コメント'!$A$1:$C$37"}</definedName>
    <definedName name="H16･1速報" localSheetId="7" hidden="1">{"'コメント'!$A$1:$C$37"}</definedName>
    <definedName name="H16･1速報" hidden="1">{"'コメント'!$A$1:$C$37"}</definedName>
    <definedName name="Headcount" hidden="1">[7]지급어음!#REF!</definedName>
    <definedName name="hello" localSheetId="7" hidden="1">{"QTR1",#N/A,FALSE,"96OUT";"QTR2",#N/A,FALSE,"96OUT";"QTR3",#N/A,FALSE,"96OUT";"QTR4",#N/A,FALSE,"96OUT";"YEAR",#N/A,FALSE,"96OUT"}</definedName>
    <definedName name="hello" hidden="1">{"QTR1",#N/A,FALSE,"96OUT";"QTR2",#N/A,FALSE,"96OUT";"QTR3",#N/A,FALSE,"96OUT";"QTR4",#N/A,FALSE,"96OUT";"YEAR",#N/A,FALSE,"96OUT"}</definedName>
    <definedName name="hellop" localSheetId="7" hidden="1">{#N/A,#N/A,TRUE,"PAGE 2";#N/A,#N/A,TRUE,"PAGE 3";#N/A,#N/A,TRUE,"PAGE4"}</definedName>
    <definedName name="hellop" hidden="1">{#N/A,#N/A,TRUE,"PAGE 2";#N/A,#N/A,TRUE,"PAGE 3";#N/A,#N/A,TRUE,"PAGE4"}</definedName>
    <definedName name="help" localSheetId="7" hidden="1">{#N/A,#N/A,FALSE,"Summary";#N/A,#N/A,FALSE,"proj1";#N/A,#N/A,FALSE,"proj2";#N/A,#N/A,FALSE,"DCF"}</definedName>
    <definedName name="help" hidden="1">{#N/A,#N/A,FALSE,"Summary";#N/A,#N/A,FALSE,"proj1";#N/A,#N/A,FALSE,"proj2";#N/A,#N/A,FALSE,"DCF"}</definedName>
    <definedName name="hjlhjklhjkl" hidden="1">'[3]Variance Sum '!#REF!</definedName>
    <definedName name="hjyny" localSheetId="7" hidden="1">{#N/A,#N/A,FALSE,"TSUM";#N/A,#N/A,FALSE,"shares";#N/A,#N/A,FALSE,"earnout";#N/A,#N/A,FALSE,"Heaty";#N/A,#N/A,FALSE,"self-tend";#N/A,#N/A,FALSE,"self-sum"}</definedName>
    <definedName name="hjyny" hidden="1">{#N/A,#N/A,FALSE,"TSUM";#N/A,#N/A,FALSE,"shares";#N/A,#N/A,FALSE,"earnout";#N/A,#N/A,FALSE,"Heaty";#N/A,#N/A,FALSE,"self-tend";#N/A,#N/A,FALSE,"self-sum"}</definedName>
    <definedName name="hkklghjlg" hidden="1">'[3]Variance Sum '!#REF!</definedName>
    <definedName name="hn.ExtDb" hidden="1">FALSE</definedName>
    <definedName name="hn.ModelType" hidden="1">"DEAL"</definedName>
    <definedName name="hn.ModelVersion" hidden="1">1</definedName>
    <definedName name="hn.NoUpload" hidden="1">0</definedName>
    <definedName name="hod" localSheetId="7"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7" hidden="1">{#N/A,#N/A,FALSE,"AD_Purchase";#N/A,#N/A,FALSE,"Credit";#N/A,#N/A,FALSE,"PF Acquisition";#N/A,#N/A,FALSE,"PF Offering"}</definedName>
    <definedName name="houy" hidden="1">{#N/A,#N/A,FALSE,"AD_Purchase";#N/A,#N/A,FALSE,"Credit";#N/A,#N/A,FALSE,"PF Acquisition";#N/A,#N/A,FALSE,"PF Offering"}</definedName>
    <definedName name="houy2" localSheetId="7" hidden="1">{#N/A,#N/A,FALSE,"AD_Purchase";#N/A,#N/A,FALSE,"Credit";#N/A,#N/A,FALSE,"PF Acquisition";#N/A,#N/A,FALSE,"PF Offering"}</definedName>
    <definedName name="houy2" hidden="1">{#N/A,#N/A,FALSE,"AD_Purchase";#N/A,#N/A,FALSE,"Credit";#N/A,#N/A,FALSE,"PF Acquisition";#N/A,#N/A,FALSE,"PF Offering"}</definedName>
    <definedName name="HTM_Control" localSheetId="7" hidden="1">{"'下期集計（10.27迄・速報値）'!$Q$16"}</definedName>
    <definedName name="HTM_Control" hidden="1">{"'下期集計（10.27迄・速報値）'!$Q$16"}</definedName>
    <definedName name="ＨＴＭＬ" localSheetId="7" hidden="1">{"'コメント'!$A$1:$C$37"}</definedName>
    <definedName name="ＨＴＭＬ" hidden="1">{"'コメント'!$A$1:$C$37"}</definedName>
    <definedName name="HTML_CodePage" hidden="1">1252</definedName>
    <definedName name="HTML_Control" localSheetId="7" hidden="1">{"'Planning Data'!$A$2:$X$120"}</definedName>
    <definedName name="HTML_Control" hidden="1">{"'Planning Data'!$A$2:$X$120"}</definedName>
    <definedName name="HTML_Control_BS" localSheetId="7" hidden="1">{"'Sheet1'!$A$1:$L$21"}</definedName>
    <definedName name="HTML_Control_BS" hidden="1">{"'Sheet1'!$A$1:$L$21"}</definedName>
    <definedName name="html_control2" localSheetId="7" hidden="1">{"'Planning Data'!$A$2:$X$120"}</definedName>
    <definedName name="html_control2" hidden="1">{"'Planning Data'!$A$2:$X$120"}</definedName>
    <definedName name="HTML_Description" hidden="1">"Week Ending 8/26/99"</definedName>
    <definedName name="HTML_Email" hidden="1">"net-planning@mindspring.com"</definedName>
    <definedName name="HTML_Header" hidden="1">"MindSpring Planning Data Report"</definedName>
    <definedName name="HTML_LastUpdate" hidden="1">"08/27/1999"</definedName>
    <definedName name="HTML_LineAfter" hidden="1">FALSE</definedName>
    <definedName name="HTML_LineBefore" hidden="1">TRUE</definedName>
    <definedName name="HTML_Name" hidden="1">"jason cohn"</definedName>
    <definedName name="HTML_OBDlg2" hidden="1">TRUE</definedName>
    <definedName name="HTML_OBDlg4" hidden="1">TRUE</definedName>
    <definedName name="HTML_OS" hidden="1">0</definedName>
    <definedName name="HTML_PathFile" hidden="1">"C:\html\august2799.htm"</definedName>
    <definedName name="HTML_PathFileMac" hidden="1">"Macintosh HD:HomePageStuff:pc:datasets:implprem.html"</definedName>
    <definedName name="HTML_Title" hidden="1">"MindSpring Planning Data Report"</definedName>
    <definedName name="I" hidden="1">#REF!</definedName>
    <definedName name="iffy"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 localSheetId="7" hidden="1">{"'Sheet1'!$A$1:$H$36"}</definedName>
    <definedName name="ii" hidden="1">{"'Sheet1'!$A$1:$H$36"}</definedName>
    <definedName name="ijn" localSheetId="7" hidden="1">{#N/A,#N/A,FALSE,"AD_Purchase";#N/A,#N/A,FALSE,"Credit";#N/A,#N/A,FALSE,"PF Acquisition";#N/A,#N/A,FALSE,"PF Offering"}</definedName>
    <definedName name="ijn" hidden="1">{#N/A,#N/A,FALSE,"AD_Purchase";#N/A,#N/A,FALSE,"Credit";#N/A,#N/A,FALSE,"PF Acquisition";#N/A,#N/A,FALSE,"PF Offering"}</definedName>
    <definedName name="Imagyn" localSheetId="7"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nflList" hidden="1">"10000000000000000000000000000000000000000000000000000000000000000000000000000000000000000000000000000000000000000000000000000000000000000000000000000000000000000000000000000000000000000000000000000000"</definedName>
    <definedName name="IntroPrintArea" hidden="1">#REF!</definedName>
    <definedName name="IQ_" hidden="1">"c59"</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FEATURE" hidden="1">"c2197"</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HIGH_EST" hidden="1">"c1669"</definedName>
    <definedName name="IQ_CFPS_HIGH_EST_REUT" hidden="1">"c3846"</definedName>
    <definedName name="IQ_CFPS_LOW_EST" hidden="1">"c1670"</definedName>
    <definedName name="IQ_CFPS_LOW_EST_REUT" hidden="1">"c3847"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_REUT" hidden="1">"c5501"</definedName>
    <definedName name="IQ_DPS_EST_REUT" hidden="1">"c3851"</definedName>
    <definedName name="IQ_DPS_HIGH_EST" hidden="1">"c1676"</definedName>
    <definedName name="IQ_DPS_HIGH_EST_REUT" hidden="1">"c3853"</definedName>
    <definedName name="IQ_DPS_LOW_EST" hidden="1">"c1677"</definedName>
    <definedName name="IQ_DPS_LOW_EST_REUT" hidden="1">"c3854"</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 hidden="1">"c1683"</definedName>
    <definedName name="IQ_EBIT_HIGH_EST_REUT" hidden="1">"c5335"</definedName>
    <definedName name="IQ_EBIT_INT" hidden="1">"c360"</definedName>
    <definedName name="IQ_EBIT_LOW_EST" hidden="1">"c1684"</definedName>
    <definedName name="IQ_EBIT_LOW_EST_REUT" hidden="1">"c5336"</definedName>
    <definedName name="IQ_EBIT_MARGIN" hidden="1">"c359"</definedName>
    <definedName name="IQ_EBIT_MEDIAN_EST" hidden="1">"c1682"</definedName>
    <definedName name="IQ_EBIT_MEDIAN_EST_REUT" hidden="1">"c5334"</definedName>
    <definedName name="IQ_EBIT_NET_INT" hidden="1">"c360"</definedName>
    <definedName name="IQ_EBIT_NUM_EST" hidden="1">"c1685"</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ET_INT" hidden="1">"c373"</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 hidden="1">"c2223"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 hidden="1">"c1673"</definedName>
    <definedName name="IQ_EST_ACT_CFPS_REUT" hidden="1">"c3850"</definedName>
    <definedName name="IQ_EST_ACT_DPS" hidden="1">"c1680"</definedName>
    <definedName name="IQ_EST_ACT_DPS_REUT" hidden="1">"c3857"</definedName>
    <definedName name="IQ_EST_ACT_EBIT" hidden="1">"c1687"</definedName>
    <definedName name="IQ_EST_ACT_EBIT_REUT" hidden="1">"c5339"</definedName>
    <definedName name="IQ_EST_ACT_EBITDA" hidden="1">"c1664"</definedName>
    <definedName name="IQ_EST_ACT_EBITDA_REUT" hidden="1">"c3836"</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 hidden="1">"c1666"</definedName>
    <definedName name="IQ_EST_ACT_FFO_REUT" hidden="1">"c3843"</definedName>
    <definedName name="IQ_EST_ACT_NAV" hidden="1">"c1757"</definedName>
    <definedName name="IQ_EST_ACT_NAV_SHARE_REUT" hidden="1">"c5616"</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GW_THOM" hidden="1">"c5139"</definedName>
    <definedName name="IQ_EST_ACT_NI_REPORTED" hidden="1">"c1736"</definedName>
    <definedName name="IQ_EST_ACT_NI_REPORTED_REUT" hidden="1">"c5388"</definedName>
    <definedName name="IQ_EST_ACT_NI_REUT" hidden="1">"c5374"</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TURN_ASSETS_REUT" hidden="1">"c3996"</definedName>
    <definedName name="IQ_EST_ACT_RETURN_EQUITY_REUT" hidden="1">"c3989"</definedName>
    <definedName name="IQ_EST_ACT_REV" hidden="1">"c2113"</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URPRISE_PERCENT" hidden="1">"c1870"</definedName>
    <definedName name="IQ_EST_FFO_SURPRISE_PERCENT_REUT" hidden="1">"c3891"</definedName>
    <definedName name="IQ_EST_FOOTNOTE_REUT" hidden="1">"c5478"</definedName>
    <definedName name="IQ_EST_NAV_DIFF" hidden="1">"c1895"</definedName>
    <definedName name="IQ_EST_NAV_SURPRISE_PERCENT" hidden="1">"c1896"</definedName>
    <definedName name="IQ_EST_NI_DIFF" hidden="1">"c1885"</definedName>
    <definedName name="IQ_EST_NI_DIFF_REUT" hidden="1">"c5423"</definedName>
    <definedName name="IQ_EST_NI_GW_DIFF" hidden="1">"c1887"</definedName>
    <definedName name="IQ_EST_NI_GW_DIFF_REUT" hidden="1">"c5425"</definedName>
    <definedName name="IQ_EST_NI_GW_DIFF_THOM" hidden="1">"c5200"</definedName>
    <definedName name="IQ_EST_NI_GW_SURPRISE_PERCENT" hidden="1">"c1888"</definedName>
    <definedName name="IQ_EST_NI_GW_SURPRISE_PERCENT_REUT" hidden="1">"c5426"</definedName>
    <definedName name="IQ_EST_NI_GW_SURPRISE_PERCENT_THOM" hidden="1">"c5201"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UT_ACT_CAPEX" hidden="1">"c3975"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TRN_PENSION_FOREIGN" hidden="1">"c408"</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TDDEV_EST" hidden="1">"c422"</definedName>
    <definedName name="IQ_FFO_STDDEV_EST_REUT" hidden="1">"c3842"</definedName>
    <definedName name="IQ_FH" hidden="1">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ISTING_CURRENCY" hidden="1">"c2127"</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40073.4698842593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W_EST" hidden="1">"c1723"</definedName>
    <definedName name="IQ_NI_GW_EST_REUT" hidden="1">"c5375"</definedName>
    <definedName name="IQ_NI_GW_EST_THOM" hidden="1">"c5133"</definedName>
    <definedName name="IQ_NI_GW_HIGH_EST" hidden="1">"c1725"</definedName>
    <definedName name="IQ_NI_GW_HIGH_EST_REUT" hidden="1">"c5377"</definedName>
    <definedName name="IQ_NI_GW_HIGH_EST_THOM" hidden="1">"c5135"</definedName>
    <definedName name="IQ_NI_GW_LOW_EST" hidden="1">"c1726"</definedName>
    <definedName name="IQ_NI_GW_LOW_EST_REUT" hidden="1">"c5378"</definedName>
    <definedName name="IQ_NI_GW_LOW_EST_THOM" hidden="1">"c5136"</definedName>
    <definedName name="IQ_NI_GW_MEDIAN_EST" hidden="1">"c1724"</definedName>
    <definedName name="IQ_NI_GW_MEDIAN_EST_REUT" hidden="1">"c5376"</definedName>
    <definedName name="IQ_NI_GW_MEDIAN_EST_THOM" hidden="1">"c5134"</definedName>
    <definedName name="IQ_NI_GW_NUM_EST" hidden="1">"c1727"</definedName>
    <definedName name="IQ_NI_GW_NUM_EST_REUT" hidden="1">"c5379"</definedName>
    <definedName name="IQ_NI_GW_NUM_EST_THOM" hidden="1">"c5137"</definedName>
    <definedName name="IQ_NI_GW_STDDEV_EST" hidden="1">"c1728"</definedName>
    <definedName name="IQ_NI_GW_STDDEV_EST_REUT" hidden="1">"c5380"</definedName>
    <definedName name="IQ_NI_GW_STDDEV_EST_THOM" hidden="1">"c5138"</definedName>
    <definedName name="IQ_NI_HIGH_EST" hidden="1">"c1718"</definedName>
    <definedName name="IQ_NI_HIGH_EST_REUT" hidden="1">"c5370"</definedName>
    <definedName name="IQ_NI_LOW_EST" hidden="1">"c1719"</definedName>
    <definedName name="IQ_NI_LOW_EST_REUT" hidden="1">"c5371"</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R" hidden="1">"c5566"</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39286.2329861111</definedName>
    <definedName name="IQ_REVISION_DATE__1" hidden="1">39111.4358564815</definedName>
    <definedName name="IQ_REVOLVING_SECURED_1_–4_NON_ACCRUAL_FFIEC" hidden="1">"c15565"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AL" hidden="1">"c1308"</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8" hidden="1">"$A$9:$A$260"</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9" hidden="1">"$B$40:$B$61"</definedName>
    <definedName name="IQRB5" hidden="1">"$B$6:$B$585"</definedName>
    <definedName name="IQRB6" hidden="1">"$B$7"</definedName>
    <definedName name="IQRB8" hidden="1">"$B$9:$B$260"</definedName>
    <definedName name="IQRC15" hidden="1">"$C$16:$C$20"</definedName>
    <definedName name="IQRC24" hidden="1">"$C$25:$C$29"</definedName>
    <definedName name="IQRC8" hidden="1">"$C$9:$C$260"</definedName>
    <definedName name="IQRD15" hidden="1">"$D$16:$D$17"</definedName>
    <definedName name="IQRD39" hidden="1">"$D$40:$D$61"</definedName>
    <definedName name="IQRD6" hidden="1">"$D$7"</definedName>
    <definedName name="IQRF39" hidden="1">"$F$40:$F$61"</definedName>
    <definedName name="IQRH59" hidden="1">"$H$60"</definedName>
    <definedName name="IQRH6" hidden="1">"$H$7:$H$112"</definedName>
    <definedName name="IQRI2" hidden="1">"$I$3:$I$66"</definedName>
    <definedName name="IQRI39" hidden="1">"$I$40:$I$61"</definedName>
    <definedName name="IQRI6" hidden="1">"$I$7:$I$112"</definedName>
    <definedName name="IQRJ3" hidden="1">"$J$4:$J$67"</definedName>
    <definedName name="IQRJ59" hidden="1">"$J$60"</definedName>
    <definedName name="IQRJ6" hidden="1">"$J$7:$J$112"</definedName>
    <definedName name="IQRL16" hidden="1">"$L$17:$L$21"</definedName>
    <definedName name="IQRL39" hidden="1">"$L$40:$L$61"</definedName>
    <definedName name="IQRL59" hidden="1">"$L$60"</definedName>
    <definedName name="IQRM15" hidden="1">"$M$16"</definedName>
    <definedName name="IQRM16" hidden="1">"$N$16"</definedName>
    <definedName name="IQRM17" hidden="1">"$M$18:$M$22"</definedName>
    <definedName name="IQRM39" hidden="1">"$M$40:$M$61"</definedName>
    <definedName name="IQRO39" hidden="1">"$O$40:$O$61"</definedName>
    <definedName name="IQRP39" hidden="1">"$P$40:$P$61"</definedName>
    <definedName name="IQRS6" hidden="1">"$S$7:$S$259"</definedName>
    <definedName name="IQRU11" hidden="1">"$U$12:$U$264"</definedName>
    <definedName name="IQRV11" hidden="1">"$V$12:$V$264"</definedName>
    <definedName name="iQShowHideColumns" hidden="1">"iQShowAll"</definedName>
    <definedName name="IsColHidden" hidden="1">FALSE</definedName>
    <definedName name="IsLTMColHidden" hidden="1">FALSE</definedName>
    <definedName name="IT수정" localSheetId="7" hidden="1">{"'Sheet1'!$A$1:$H$36"}</definedName>
    <definedName name="IT수정" hidden="1">{"'Sheet1'!$A$1:$H$36"}</definedName>
    <definedName name="jdgfghdf" hidden="1">'[3]Variance Sum '!#REF!</definedName>
    <definedName name="je" localSheetId="7" hidden="1">{"'Sheet1'!$A$1:$L$21"}</definedName>
    <definedName name="je" hidden="1">{"'Sheet1'!$A$1:$L$21"}</definedName>
    <definedName name="ji" localSheetId="7" hidden="1">{"'Highlights'!$A$1:$M$123"}</definedName>
    <definedName name="ji" hidden="1">{"'Highlights'!$A$1:$M$123"}</definedName>
    <definedName name="jim" localSheetId="7" hidden="1">{"'Directory'!$A$72:$E$91"}</definedName>
    <definedName name="jim" hidden="1">{"'Directory'!$A$72:$E$91"}</definedName>
    <definedName name="jimm" localSheetId="7" hidden="1">{"'Directory'!$A$72:$E$91"}</definedName>
    <definedName name="jimm" hidden="1">{"'Directory'!$A$72:$E$91"}</definedName>
    <definedName name="jip" localSheetId="7" hidden="1">{"'Highlights'!$A$1:$M$123"}</definedName>
    <definedName name="jip" hidden="1">{"'Highlights'!$A$1:$M$123"}</definedName>
    <definedName name="jsdfgf" hidden="1">'[3]Variance Sum '!#REF!</definedName>
    <definedName name="JU" localSheetId="7" hidden="1">{#N/A,#N/A,FALSE,"ASSUMPTIONS";#N/A,#N/A,FALSE,"Valuation Summary";"page1",#N/A,FALSE,"PRESENTATION";"page2",#N/A,FALSE,"PRESENTATION";#N/A,#N/A,FALSE,"ORIGINAL_ROLLBACK"}</definedName>
    <definedName name="JU" hidden="1">{#N/A,#N/A,FALSE,"ASSUMPTIONS";#N/A,#N/A,FALSE,"Valuation Summary";"page1",#N/A,FALSE,"PRESENTATION";"page2",#N/A,FALSE,"PRESENTATION";#N/A,#N/A,FALSE,"ORIGINAL_ROLLBACK"}</definedName>
    <definedName name="kkk" localSheetId="7" hidden="1">{"'下期集計（10.27迄・速報値）'!$Q$16"}</definedName>
    <definedName name="kkk" hidden="1">{"'下期集計（10.27迄・速報値）'!$Q$16"}</definedName>
    <definedName name="klghjlhj" hidden="1">'[4]19'!#REF!</definedName>
    <definedName name="kyd.CounterLimitCell.01." hidden="1">"x"</definedName>
    <definedName name="kyd.Dim.01." hidden="1">"toad:Company"</definedName>
    <definedName name="kyd.ElementType.01." hidden="1">3</definedName>
    <definedName name="kyd.ItemType.01." hidden="1">2</definedName>
    <definedName name="kyd.NumLevels.01." hidden="1">999</definedName>
    <definedName name="kyd.ParentName.01." hidden="1">""</definedName>
    <definedName name="kyd.PrintParent.01." hidden="1">TRUE</definedName>
    <definedName name="kyd.SelectString.01." hidden="1">"*"</definedName>
    <definedName name="l" localSheetId="7" hidden="1">{"'Sheet1'!$A$1:$L$21"}</definedName>
    <definedName name="l" hidden="1">{"'Sheet1'!$A$1:$L$21"}</definedName>
    <definedName name="lbo" localSheetId="7"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dsjglsgls" localSheetId="7" hidden="1">{#N/A,#N/A,FALSE,"Performance Flash Report"}</definedName>
    <definedName name="ldsjglsgls" hidden="1">{#N/A,#N/A,FALSE,"Performance Flash Report"}</definedName>
    <definedName name="Legal" localSheetId="7" hidden="1">{#N/A,#N/A,FALSE,"Aging Summary";#N/A,#N/A,FALSE,"Ratio Analysis";#N/A,#N/A,FALSE,"Test 120 Day Accts";#N/A,#N/A,FALSE,"Tickmarks"}</definedName>
    <definedName name="Legal" hidden="1">{#N/A,#N/A,FALSE,"Aging Summary";#N/A,#N/A,FALSE,"Ratio Analysis";#N/A,#N/A,FALSE,"Test 120 Day Accts";#N/A,#N/A,FALSE,"Tickmarks"}</definedName>
    <definedName name="lk" hidden="1">"c147"</definedName>
    <definedName name="ll" localSheetId="7" hidden="1">{#N/A,#N/A,FALSE,"Performance Flash Report"}</definedName>
    <definedName name="ll" hidden="1">{#N/A,#N/A,FALSE,"Performance Flash Report"}</definedName>
    <definedName name="lll" localSheetId="7" hidden="1">{#N/A,#N/A,FALSE,"Performance Flash Report"}</definedName>
    <definedName name="lll" hidden="1">{#N/A,#N/A,FALSE,"Performance Flash Report"}</definedName>
    <definedName name="m" localSheetId="7" hidden="1">{0,0,0,0,1,-4105,42.5196850393701,42.5196850393701,42.5196850393701,42.5196850393701,2,TRUE,TRUE,FALSE,FALSE,FALSE,#N/A,1,85,1,1,"","","","&amp;""Kennerly,Roman Bold""&amp;14L&amp;12EHMAN &amp;14 B&amp;12ROTHERS","","",FALSE}</definedName>
    <definedName name="m" hidden="1">{0,0,0,0,1,-4105,42.5196850393701,42.5196850393701,42.5196850393701,42.5196850393701,2,TRUE,TRUE,FALSE,FALSE,FALSE,#N/A,1,85,1,1,"","","","&amp;""Kennerly,Roman Bold""&amp;14L&amp;12EHMAN &amp;14 B&amp;12ROTHERS","","",FALSE}</definedName>
    <definedName name="Med_prod" localSheetId="7" hidden="1">{#N/A,#N/A,FALSE,"Prem_Sum";#N/A,#N/A,FALSE,"Prem"}</definedName>
    <definedName name="Med_prod" hidden="1">{#N/A,#N/A,FALSE,"Prem_Sum";#N/A,#N/A,FALSE,"Prem"}</definedName>
    <definedName name="Med_prod.xls" localSheetId="7" hidden="1">{#N/A,#N/A,FALSE,"FACTSHEETS";#N/A,#N/A,FALSE,"pump";#N/A,#N/A,FALSE,"filter"}</definedName>
    <definedName name="Med_prod.xls" hidden="1">{#N/A,#N/A,FALSE,"FACTSHEETS";#N/A,#N/A,FALSE,"pump";#N/A,#N/A,FALSE,"filter"}</definedName>
    <definedName name="Med_products" localSheetId="7" hidden="1">{#N/A,#N/A,FALSE,"FACTSHEETS";#N/A,#N/A,FALSE,"pump";#N/A,#N/A,FALSE,"filter"}</definedName>
    <definedName name="Med_products" hidden="1">{#N/A,#N/A,FALSE,"FACTSHEETS";#N/A,#N/A,FALSE,"pump";#N/A,#N/A,FALSE,"filter"}</definedName>
    <definedName name="MEWarning" hidden="1">0</definedName>
    <definedName name="MKK" localSheetId="7" hidden="1">{"'下期集計（10.27迄・速報値）'!$Q$16"}</definedName>
    <definedName name="MKK" hidden="1">{"'下期集計（10.27迄・速報値）'!$Q$16"}</definedName>
    <definedName name="mn" hidden="1">"c315"</definedName>
    <definedName name="model" localSheetId="7" hidden="1">{#N/A,#N/A,FALSE,"Rev Grwth";#N/A,#N/A,FALSE,"Op Inc Grwth";#N/A,#N/A,FALSE,"Net Grwth";#N/A,#N/A,FALSE,"EPS Growth"}</definedName>
    <definedName name="model" hidden="1">{#N/A,#N/A,FALSE,"Rev Grwth";#N/A,#N/A,FALSE,"Op Inc Grwth";#N/A,#N/A,FALSE,"Net Grwth";#N/A,#N/A,FALSE,"EPS Growth"}</definedName>
    <definedName name="Mt.Todd" localSheetId="7" hidden="1">{"p1TOC",#N/A,FALSE,"DCF_Summary";"p23summary",#N/A,FALSE,"DCF_Summary";"p4contact",#N/A,FALSE,"Contact Lake";"p5kumtor",#N/A,FALSE,"Kumtor";#N/A,#N/A,FALSE,"CCAU_NAV";"p8compdata",#N/A,FALSE,"Gold_Comps";#N/A,#N/A,FALSE,"Comp_Valuation"}</definedName>
    <definedName name="Mt.Todd" localSheetId="8" hidden="1">{"p1TOC",#N/A,FALSE,"DCF_Summary";"p23summary",#N/A,FALSE,"DCF_Summary";"p4contact",#N/A,FALSE,"Contact Lake";"p5kumtor",#N/A,FALSE,"Kumtor";#N/A,#N/A,FALSE,"CCAU_NAV";"p8compdata",#N/A,FALSE,"Gold_Comps";#N/A,#N/A,FALSE,"Comp_Valuation"}</definedName>
    <definedName name="Mt.Todd" hidden="1">{"p1TOC",#N/A,FALSE,"DCF_Summary";"p23summary",#N/A,FALSE,"DCF_Summary";"p4contact",#N/A,FALSE,"Contact Lake";"p5kumtor",#N/A,FALSE,"Kumtor";#N/A,#N/A,FALSE,"CCAU_NAV";"p8compdata",#N/A,FALSE,"Gold_Comps";#N/A,#N/A,FALSE,"Comp_Valuation"}</definedName>
    <definedName name="Mults02" localSheetId="7"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n" localSheetId="7" hidden="1">{"'下期集計（10.27迄・速報値）'!$Q$16"}</definedName>
    <definedName name="n" hidden="1">{"'下期集計（10.27迄・速報値）'!$Q$16"}</definedName>
    <definedName name="N_A" localSheetId="9">#REF!</definedName>
    <definedName name="N_A">#REF!</definedName>
    <definedName name="N_M" localSheetId="9">#REF!</definedName>
    <definedName name="N_M">#REF!</definedName>
    <definedName name="nert" hidden="1">"c88"</definedName>
    <definedName name="new" hidden="1">"c413"</definedName>
    <definedName name="newbel" localSheetId="7" hidden="1">{"'Directory'!$A$72:$E$91"}</definedName>
    <definedName name="newbel" hidden="1">{"'Directory'!$A$72:$E$91"}</definedName>
    <definedName name="newbls" localSheetId="7" hidden="1">{"'Directory'!$A$72:$E$91"}</definedName>
    <definedName name="newbls" hidden="1">{"'Directory'!$A$72:$E$91"}</definedName>
    <definedName name="NewMarketMedium" hidden="1">#REF!</definedName>
    <definedName name="newname" localSheetId="7" hidden="1">{#N/A,#N/A,FALSE,"Performance Flash Report"}</definedName>
    <definedName name="newname" hidden="1">{#N/A,#N/A,FALSE,"Performance Flash Report"}</definedName>
    <definedName name="newt" localSheetId="7" hidden="1">{"'Directory'!$A$72:$E$91"}</definedName>
    <definedName name="newt" hidden="1">{"'Directory'!$A$72:$E$91"}</definedName>
    <definedName name="newwcom" localSheetId="7" hidden="1">{"'Directory'!$A$72:$E$91"}</definedName>
    <definedName name="newwcom" hidden="1">{"'Directory'!$A$72:$E$91"}</definedName>
    <definedName name="Next_Actual_Period_Range">'[16]Income Statement'!$D$3:$BE$6</definedName>
    <definedName name="Nil" localSheetId="7" hidden="1">{#N/A,#N/A,FALSE,"Aging Summary";#N/A,#N/A,FALSE,"Ratio Analysis";#N/A,#N/A,FALSE,"Test 120 Day Accts";#N/A,#N/A,FALSE,"Tickmarks"}</definedName>
    <definedName name="Nil" hidden="1">{#N/A,#N/A,FALSE,"Aging Summary";#N/A,#N/A,FALSE,"Ratio Analysis";#N/A,#N/A,FALSE,"Test 120 Day Accts";#N/A,#N/A,FALSE,"Tickmarks"}</definedName>
    <definedName name="NM_T" localSheetId="9">#REF!</definedName>
    <definedName name="NM_T" localSheetId="7">#REF!</definedName>
    <definedName name="NM_T">#REF!</definedName>
    <definedName name="nnnnnnn" localSheetId="7" hidden="1">{#N/A,#N/A,TRUE,"TS";#N/A,#N/A,TRUE,"Combo";#N/A,#N/A,TRUE,"FAIR";#N/A,#N/A,TRUE,"RBC";#N/A,#N/A,TRUE,"xxxx"}</definedName>
    <definedName name="nnnnnnn" hidden="1">{#N/A,#N/A,TRUE,"TS";#N/A,#N/A,TRUE,"Combo";#N/A,#N/A,TRUE,"FAIR";#N/A,#N/A,TRUE,"RBC";#N/A,#N/A,TRUE,"xxxx"}</definedName>
    <definedName name="no" hidden="1">38995.2790740741</definedName>
    <definedName name="nofnono2" localSheetId="7" hidden="1">{#N/A,#N/A,FALSE,"Aging Summary";#N/A,#N/A,FALSE,"Ratio Analysis";#N/A,#N/A,FALSE,"Test 120 Day Accts";#N/A,#N/A,FALSE,"Tickmarks"}</definedName>
    <definedName name="nofnono2" hidden="1">{#N/A,#N/A,FALSE,"Aging Summary";#N/A,#N/A,FALSE,"Ratio Analysis";#N/A,#N/A,FALSE,"Test 120 Day Accts";#N/A,#N/A,FALSE,"Tickmarks"}</definedName>
    <definedName name="none" localSheetId="7" hidden="1">{"QTR2",#N/A,FALSE,"OTK6_27";#N/A,#N/A,FALSE,"Q2 Detail";"SIXMTH",#N/A,FALSE,"OTK6_27";"qtr3",#N/A,FALSE,"OTK6_27";#N/A,#N/A,FALSE,"Q3 Detail";"NINEMTH",#N/A,FALSE,"OTK6_27";"qtr4",#N/A,FALSE,"OTK6_27";#N/A,#N/A,FALSE,"Q4 Detail";"YEAR",#N/A,FALSE,"OTK6_27"}</definedName>
    <definedName name="none" hidden="1">{"QTR2",#N/A,FALSE,"OTK6_27";#N/A,#N/A,FALSE,"Q2 Detail";"SIXMTH",#N/A,FALSE,"OTK6_27";"qtr3",#N/A,FALSE,"OTK6_27";#N/A,#N/A,FALSE,"Q3 Detail";"NINEMTH",#N/A,FALSE,"OTK6_27";"qtr4",#N/A,FALSE,"OTK6_27";#N/A,#N/A,FALSE,"Q4 Detail";"YEAR",#N/A,FALSE,"OTK6_27"}</definedName>
    <definedName name="none2" localSheetId="7" hidden="1">{"QTR1",#N/A,FALSE,"Q1 Detail";"QTR2",#N/A,FALSE,"Q2 Detail";"QTR3",#N/A,FALSE,"Q3 Detail";"QTR4",#N/A,FALSE,"Q4 Detail"}</definedName>
    <definedName name="none2" hidden="1">{"QTR1",#N/A,FALSE,"Q1 Detail";"QTR2",#N/A,FALSE,"Q2 Detail";"QTR3",#N/A,FALSE,"Q3 Detail";"QTR4",#N/A,FALSE,"Q4 Detail"}</definedName>
    <definedName name="none3" localSheetId="7" hidden="1">{"QTR1",#N/A,FALSE,"96OUT";"QTR2",#N/A,FALSE,"96OUT";"QTR3",#N/A,FALSE,"96OUT";"QTR4",#N/A,FALSE,"96OUT";"YEAR",#N/A,FALSE,"96OUT"}</definedName>
    <definedName name="none3" hidden="1">{"QTR1",#N/A,FALSE,"96OUT";"QTR2",#N/A,FALSE,"96OUT";"QTR3",#N/A,FALSE,"96OUT";"QTR4",#N/A,FALSE,"96OUT";"YEAR",#N/A,FALSE,"96OUT"}</definedName>
    <definedName name="none4" localSheetId="7" hidden="1">{#N/A,#N/A,TRUE,"PAGE 2";#N/A,#N/A,TRUE,"PAGE 3";#N/A,#N/A,TRUE,"PAGE4"}</definedName>
    <definedName name="none4" hidden="1">{#N/A,#N/A,TRUE,"PAGE 2";#N/A,#N/A,TRUE,"PAGE 3";#N/A,#N/A,TRUE,"PAGE4"}</definedName>
    <definedName name="none5" localSheetId="7" hidden="1">{"QTR2",#N/A,FALSE,"OTK6_27";#N/A,#N/A,FALSE,"Q2 Detail";"SIXMTH",#N/A,FALSE,"OTK6_27";"qtr3",#N/A,FALSE,"OTK6_27";#N/A,#N/A,FALSE,"Q3 Detail";"NINEMTH",#N/A,FALSE,"OTK6_27";"qtr4",#N/A,FALSE,"OTK6_27";#N/A,#N/A,FALSE,"Q4 Detail";"YEAR",#N/A,FALSE,"OTK6_27"}</definedName>
    <definedName name="none5" hidden="1">{"QTR2",#N/A,FALSE,"OTK6_27";#N/A,#N/A,FALSE,"Q2 Detail";"SIXMTH",#N/A,FALSE,"OTK6_27";"qtr3",#N/A,FALSE,"OTK6_27";#N/A,#N/A,FALSE,"Q3 Detail";"NINEMTH",#N/A,FALSE,"OTK6_27";"qtr4",#N/A,FALSE,"OTK6_27";#N/A,#N/A,FALSE,"Q4 Detail";"YEAR",#N/A,FALSE,"OTK6_27"}</definedName>
    <definedName name="none6" localSheetId="7" hidden="1">{"OUTLK3YROCC",#N/A,FALSE,"3YR_OCC"}</definedName>
    <definedName name="none6" hidden="1">{"OUTLK3YROCC",#N/A,FALSE,"3YR_OCC"}</definedName>
    <definedName name="none7" localSheetId="7" hidden="1">{"QTR2",#N/A,FALSE,"OTK6_27";#N/A,#N/A,FALSE,"Q2 Detail";"SIXMTH",#N/A,FALSE,"OTK6_27";"qtr3",#N/A,FALSE,"OTK6_27";#N/A,#N/A,FALSE,"Q3 Detail";"NINEMTH",#N/A,FALSE,"OTK6_27";"qtr4",#N/A,FALSE,"OTK6_27";#N/A,#N/A,FALSE,"Q4 Detail";"YEAR",#N/A,FALSE,"OTK6_27"}</definedName>
    <definedName name="none7" hidden="1">{"QTR2",#N/A,FALSE,"OTK6_27";#N/A,#N/A,FALSE,"Q2 Detail";"SIXMTH",#N/A,FALSE,"OTK6_27";"qtr3",#N/A,FALSE,"OTK6_27";#N/A,#N/A,FALSE,"Q3 Detail";"NINEMTH",#N/A,FALSE,"OTK6_27";"qtr4",#N/A,FALSE,"OTK6_27";#N/A,#N/A,FALSE,"Q4 Detail";"YEAR",#N/A,FALSE,"OTK6_27"}</definedName>
    <definedName name="nwer" hidden="1">"c65"</definedName>
    <definedName name="ogl" localSheetId="7" hidden="1">'[11]IS Detail-budget run1_ Updated'!#REF!,'[11]IS Detail-budget run1_ Updated'!#REF!,'[11]IS Detail-budget run1_ Updated'!$E$1:$G$65536,'[11]IS Detail-budget run1_ Updated'!#REF!,'[11]IS Detail-budget run1_ Updated'!#REF!</definedName>
    <definedName name="ogl" hidden="1">'[11]IS Detail-budget run1_ Updated'!#REF!,'[11]IS Detail-budget run1_ Updated'!#REF!,'[11]IS Detail-budget run1_ Updated'!$E$1:$G$65536,'[11]IS Detail-budget run1_ Updated'!#REF!,'[11]IS Detail-budget run1_ Updated'!#REF!</definedName>
    <definedName name="oiu" hidden="1">"c313"</definedName>
    <definedName name="OK" localSheetId="7" hidden="1">{#N/A,#N/A,FALSE,"Cover";#N/A,#N/A,FALSE,"LUMI";#N/A,#N/A,FALSE,"COMD";#N/A,#N/A,FALSE,"Valuation";#N/A,#N/A,FALSE,"Assumptions";#N/A,#N/A,FALSE,"Pooling";#N/A,#N/A,FALSE,"BalanceSheet"}</definedName>
    <definedName name="OK" hidden="1">{#N/A,#N/A,FALSE,"Cover";#N/A,#N/A,FALSE,"LUMI";#N/A,#N/A,FALSE,"COMD";#N/A,#N/A,FALSE,"Valuation";#N/A,#N/A,FALSE,"Assumptions";#N/A,#N/A,FALSE,"Pooling";#N/A,#N/A,FALSE,"BalanceSheet"}</definedName>
    <definedName name="Original" localSheetId="7" hidden="1">{#N/A,#N/A,FALSE,"Performance Flash Report"}</definedName>
    <definedName name="Original" hidden="1">{#N/A,#N/A,FALSE,"Performance Flash Report"}</definedName>
    <definedName name="p.kh" localSheetId="7" hidden="1">{#N/A,#N/A,FALSE,"Heat";#N/A,#N/A,FALSE,"DCF";#N/A,#N/A,FALSE,"LBO";#N/A,#N/A,FALSE,"A";#N/A,#N/A,FALSE,"C";#N/A,#N/A,FALSE,"impd";#N/A,#N/A,FALSE,"Accr-Dilu"}</definedName>
    <definedName name="p.kh" hidden="1">{#N/A,#N/A,FALSE,"Heat";#N/A,#N/A,FALSE,"DCF";#N/A,#N/A,FALSE,"LBO";#N/A,#N/A,FALSE,"A";#N/A,#N/A,FALSE,"C";#N/A,#N/A,FALSE,"impd";#N/A,#N/A,FALSE,"Accr-Dilu"}</definedName>
    <definedName name="PC_msg" hidden="1">"Yes"</definedName>
    <definedName name="placeholder" localSheetId="7" hidden="1">{#N/A,#N/A,FALSE,"Performance Flash Report"}</definedName>
    <definedName name="placeholder" hidden="1">{#N/A,#N/A,FALSE,"Performance Flash Report"}</definedName>
    <definedName name="plan" localSheetId="7" hidden="1">{#N/A,#N/A,FALSE,"BalSheet 0899";#N/A,#N/A,FALSE,"ytdpl899";#N/A,#N/A,FALSE,"Aug PL";#N/A,#N/A,FALSE,"Minority Int";#N/A,#N/A,FALSE,"Equity Roll Forward";#N/A,#N/A,FALSE,"Book Equity Test"}</definedName>
    <definedName name="plan" hidden="1">{#N/A,#N/A,FALSE,"BalSheet 0899";#N/A,#N/A,FALSE,"ytdpl899";#N/A,#N/A,FALSE,"Aug PL";#N/A,#N/A,FALSE,"Minority Int";#N/A,#N/A,FALSE,"Equity Roll Forward";#N/A,#N/A,FALSE,"Book Equity Test"}</definedName>
    <definedName name="planning" localSheetId="7"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oi" localSheetId="7"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o" hidden="1">"c182"</definedName>
    <definedName name="poir" hidden="1">"c322"</definedName>
    <definedName name="PopCache_GL_INTERFACE_REFERENCE7" hidden="1">[17]PopCache!$A$1:$A$2</definedName>
    <definedName name="PremiumPaidSUmmary" localSheetId="7"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_xlnm.Print_Area" localSheetId="1">Comparison!$B$2:$M$30</definedName>
    <definedName name="_xlnm.Print_Area" localSheetId="3">'Income Statement'!$B$4:$CA$110</definedName>
    <definedName name="Prior_Q" localSheetId="9">#REF!</definedName>
    <definedName name="Prior_Q" localSheetId="7">#REF!</definedName>
    <definedName name="Prior_Q">#REF!</definedName>
    <definedName name="pt" localSheetId="7" hidden="1">{#N/A,#N/A,FALSE,"Aging Summary";#N/A,#N/A,FALSE,"Ratio Analysis";#N/A,#N/A,FALSE,"Test 120 Day Accts";#N/A,#N/A,FALSE,"Tickmarks"}</definedName>
    <definedName name="pt" hidden="1">{#N/A,#N/A,FALSE,"Aging Summary";#N/A,#N/A,FALSE,"Ratio Analysis";#N/A,#N/A,FALSE,"Test 120 Day Accts";#N/A,#N/A,FALSE,"Tickmarks"}</definedName>
    <definedName name="q" hidden="1">#REF!</definedName>
    <definedName name="Q1fill" localSheetId="7" hidden="1">#REF!</definedName>
    <definedName name="Q1fill" hidden="1">#REF!</definedName>
    <definedName name="q4NIvsplan" localSheetId="7"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es" localSheetId="7" hidden="1">{"p1TOC",#N/A,FALSE,"DCF_Summary";"p23summary",#N/A,FALSE,"DCF_Summary";"p4contact",#N/A,FALSE,"Contact Lake";"p5kumtor",#N/A,FALSE,"Kumtor";#N/A,#N/A,FALSE,"CCAU_NAV";"p8compdata",#N/A,FALSE,"Gold_Comps";#N/A,#N/A,FALSE,"Comp_Valuation"}</definedName>
    <definedName name="qes" localSheetId="8" hidden="1">{"p1TOC",#N/A,FALSE,"DCF_Summary";"p23summary",#N/A,FALSE,"DCF_Summary";"p4contact",#N/A,FALSE,"Contact Lake";"p5kumtor",#N/A,FALSE,"Kumtor";#N/A,#N/A,FALSE,"CCAU_NAV";"p8compdata",#N/A,FALSE,"Gold_Comps";#N/A,#N/A,FALSE,"Comp_Valuation"}</definedName>
    <definedName name="qes" hidden="1">{"p1TOC",#N/A,FALSE,"DCF_Summary";"p23summary",#N/A,FALSE,"DCF_Summary";"p4contact",#N/A,FALSE,"Contact Lake";"p5kumtor",#N/A,FALSE,"Kumtor";#N/A,#N/A,FALSE,"CCAU_NAV";"p8compdata",#N/A,FALSE,"Gold_Comps";#N/A,#N/A,FALSE,"Comp_Valuation"}</definedName>
    <definedName name="qw" hidden="1">"c115"</definedName>
    <definedName name="qwe" localSheetId="7" hidden="1">{#N/A,#N/A,FALSE,"Projections";#N/A,#N/A,FALSE,"Multiples Valuation";#N/A,#N/A,FALSE,"LBO";#N/A,#N/A,FALSE,"Multiples_Sensitivity";#N/A,#N/A,FALSE,"Summary"}</definedName>
    <definedName name="qwe" hidden="1">{#N/A,#N/A,FALSE,"Projections";#N/A,#N/A,FALSE,"Multiples Valuation";#N/A,#N/A,FALSE,"LBO";#N/A,#N/A,FALSE,"Multiples_Sensitivity";#N/A,#N/A,FALSE,"Summary"}</definedName>
    <definedName name="ＲＡＲＯＡ" localSheetId="7" hidden="1">{"'下期集計（10.27迄・速報値）'!$Q$16"}</definedName>
    <definedName name="ＲＡＲＯＡ" hidden="1">{"'下期集計（10.27迄・速報値）'!$Q$16"}</definedName>
    <definedName name="re" hidden="1">"c226"</definedName>
    <definedName name="redo" localSheetId="7" hidden="1">{#N/A,#N/A,FALSE,"ACQ_GRAPHS";#N/A,#N/A,FALSE,"T_1 GRAPHS";#N/A,#N/A,FALSE,"T_2 GRAPHS";#N/A,#N/A,FALSE,"COMB_GRAPHS"}</definedName>
    <definedName name="redo" hidden="1">{#N/A,#N/A,FALSE,"ACQ_GRAPHS";#N/A,#N/A,FALSE,"T_1 GRAPHS";#N/A,#N/A,FALSE,"T_2 GRAPHS";#N/A,#N/A,FALSE,"COMB_GRAPHS"}</definedName>
    <definedName name="rental" localSheetId="7" hidden="1">{#N/A,#N/A,FALSE,"Aging Summary";#N/A,#N/A,FALSE,"Ratio Analysis";#N/A,#N/A,FALSE,"Test 120 Day Accts";#N/A,#N/A,FALSE,"Tickmarks"}</definedName>
    <definedName name="rental" hidden="1">{#N/A,#N/A,FALSE,"Aging Summary";#N/A,#N/A,FALSE,"Ratio Analysis";#N/A,#N/A,FALSE,"Test 120 Day Accts";#N/A,#N/A,FALSE,"Tickmarks"}</definedName>
    <definedName name="Repair" localSheetId="7" hidden="1">{#N/A,#N/A,FALSE,"Aging Summary";#N/A,#N/A,FALSE,"Ratio Analysis";#N/A,#N/A,FALSE,"Test 120 Day Accts";#N/A,#N/A,FALSE,"Tickmarks"}</definedName>
    <definedName name="Repair" hidden="1">{#N/A,#N/A,FALSE,"Aging Summary";#N/A,#N/A,FALSE,"Ratio Analysis";#N/A,#N/A,FALSE,"Test 120 Day Accts";#N/A,#N/A,FALSE,"Tickmarks"}</definedName>
    <definedName name="reqw" hidden="1">"c274"</definedName>
    <definedName name="Restr" localSheetId="7" hidden="1">{"QTR2",#N/A,FALSE,"OTK6_27";#N/A,#N/A,FALSE,"Q2 Detail";"SIXMTH",#N/A,FALSE,"OTK6_27";"qtr3",#N/A,FALSE,"OTK6_27";#N/A,#N/A,FALSE,"Q3 Detail";"NINEMTH",#N/A,FALSE,"OTK6_27";"qtr4",#N/A,FALSE,"OTK6_27";#N/A,#N/A,FALSE,"Q4 Detail";"YEAR",#N/A,FALSE,"OTK6_27"}</definedName>
    <definedName name="Restr" hidden="1">{"QTR2",#N/A,FALSE,"OTK6_27";#N/A,#N/A,FALSE,"Q2 Detail";"SIXMTH",#N/A,FALSE,"OTK6_27";"qtr3",#N/A,FALSE,"OTK6_27";#N/A,#N/A,FALSE,"Q3 Detail";"NINEMTH",#N/A,FALSE,"OTK6_27";"qtr4",#N/A,FALSE,"OTK6_27";#N/A,#N/A,FALSE,"Q4 Detail";"YEAR",#N/A,FALSE,"OTK6_27"}</definedName>
    <definedName name="Revsdgfojksdlknsdf" localSheetId="7" hidden="1">{#N/A,#N/A,FALSE,"DEPTTEMPL";#N/A,#N/A,FALSE,"CATTEMPL";#N/A,#N/A,FALSE,"TEM PAYROLL";#N/A,#N/A,FALSE,"TEM T&amp;E";#N/A,#N/A,FALSE,"TEM EQUIP &amp; SOFT"}</definedName>
    <definedName name="Revsdgfojksdlknsdf" hidden="1">{#N/A,#N/A,FALSE,"DEPTTEMPL";#N/A,#N/A,FALSE,"CATTEMPL";#N/A,#N/A,FALSE,"TEM PAYROLL";#N/A,#N/A,FALSE,"TEM T&amp;E";#N/A,#N/A,FALSE,"TEM EQUIP &amp; SOFT"}</definedName>
    <definedName name="rfvbgft" localSheetId="7" hidden="1">{#N/A,#N/A,FALSE,"Performance Flash Report"}</definedName>
    <definedName name="rfvbgft" hidden="1">{#N/A,#N/A,FALSE,"Performance Flash Report"}</definedName>
    <definedName name="rtsslk" localSheetId="7" hidden="1">{"'Planning Data'!$A$2:$X$120"}</definedName>
    <definedName name="rtsslk" hidden="1">{"'Planning Data'!$A$2:$X$120"}</definedName>
    <definedName name="rty" hidden="1">"c118"</definedName>
    <definedName name="Rwvu.Analysis." hidden="1">'[18]detail9''96_oh'!$C$1:$D$65536,'[18]detail9''96_oh'!$H$1:$H$65536,'[18]detail9''96_oh'!#REF!,'[18]detail9''96_oh'!$M$1:$M$65536,'[18]detail9''96_oh'!$P$1:$P$65536,'[18]detail9''96_oh'!$R$1:$R$65536</definedName>
    <definedName name="Rwvu.incearn." localSheetId="7" hidden="1">[10]EndNotes!$E$1:$E$65536,[10]EndNotes!#REF!,[10]EndNotes!$K$1:$K$65536,[10]EndNotes!$N$1:$N$65536,[10]EndNotes!$Q$1:$Q$65536</definedName>
    <definedName name="Rwvu.incearn." hidden="1">[10]EndNotes!$E$1:$E$65536,[10]EndNotes!#REF!,[10]EndNotes!$K$1:$K$65536,[10]EndNotes!$N$1:$N$65536,[10]EndNotes!$Q$1:$Q$65536</definedName>
    <definedName name="Rwvu.Report1." hidden="1">'[18]detail9''96_oh'!$I$1:$J$65536,'[18]detail9''96_oh'!$M$1:$M$65536</definedName>
    <definedName name="Rwvu.Standard._.Report." hidden="1">'[18]detail9''96_oh'!$C$1:$D$65536,'[18]detail9''96_oh'!$J$1:$J$65536,'[18]detail9''96_oh'!$M$1:$M$65536</definedName>
    <definedName name="sadf" localSheetId="7" hidden="1">{#N/A,#N/A,FALSE,"Performance Flash Report"}</definedName>
    <definedName name="sadf" hidden="1">{#N/A,#N/A,FALSE,"Performance Flash Report"}</definedName>
    <definedName name="saf" localSheetId="7" hidden="1">{#N/A,#N/A,FALSE,"Projections";#N/A,#N/A,FALSE,"Contribution_Stock";#N/A,#N/A,FALSE,"PF_Combo_Stock";#N/A,#N/A,FALSE,"Projections";#N/A,#N/A,FALSE,"Contribution_Cash";#N/A,#N/A,FALSE,"PF_Combo_Cash";#N/A,#N/A,FALSE,"IPO_Cash"}</definedName>
    <definedName name="saf" hidden="1">{#N/A,#N/A,FALSE,"Projections";#N/A,#N/A,FALSE,"Contribution_Stock";#N/A,#N/A,FALSE,"PF_Combo_Stock";#N/A,#N/A,FALSE,"Projections";#N/A,#N/A,FALSE,"Contribution_Cash";#N/A,#N/A,FALSE,"PF_Combo_Cash";#N/A,#N/A,FALSE,"IPO_Cash"}</definedName>
    <definedName name="Same_Q_Last_Yr" localSheetId="9">#REF!</definedName>
    <definedName name="Same_Q_Last_Yr" localSheetId="7">#REF!</definedName>
    <definedName name="Same_Q_Last_Yr">#REF!</definedName>
    <definedName name="SAPBEXdnldView" hidden="1">"D2W4R5MBP08ARFN2PBOGUS7HV"</definedName>
    <definedName name="SAPBEXhrIndnt" hidden="1">3</definedName>
    <definedName name="SAPBEXrevision" hidden="1">6</definedName>
    <definedName name="SAPBEXsysID" hidden="1">"BWP"</definedName>
    <definedName name="SAPBEXwbID" hidden="1">"3UAI9K8201YSYNE5YDZKPVIDU"</definedName>
    <definedName name="SAPsysID" hidden="1">"708C5W7SBKP804JT78WJ0JNKI"</definedName>
    <definedName name="SAPwbID" hidden="1">"ARS"</definedName>
    <definedName name="sasasdas" localSheetId="7" hidden="1">{#N/A,#N/A,FALSE,"Performance Flash Report"}</definedName>
    <definedName name="sasasdas" hidden="1">{#N/A,#N/A,FALSE,"Performance Flash Report"}</definedName>
    <definedName name="sd" localSheetId="7" hidden="1">{#N/A,#N/A,FALSE,"IPO";#N/A,#N/A,FALSE,"DCF";#N/A,#N/A,FALSE,"LBO";#N/A,#N/A,FALSE,"MULT_VAL";#N/A,#N/A,FALSE,"Status Quo";#N/A,#N/A,FALSE,"Recap"}</definedName>
    <definedName name="sd" hidden="1">{#N/A,#N/A,FALSE,"IPO";#N/A,#N/A,FALSE,"DCF";#N/A,#N/A,FALSE,"LBO";#N/A,#N/A,FALSE,"MULT_VAL";#N/A,#N/A,FALSE,"Status Quo";#N/A,#N/A,FALSE,"Recap"}</definedName>
    <definedName name="sdf" localSheetId="7" hidden="1">{#N/A,#N/A,FALSE,"Adj Proj";#N/A,#N/A,FALSE,"Sheet1";#N/A,#N/A,FALSE,"LBO";#N/A,#N/A,FALSE,"LBOMER";#N/A,#N/A,FALSE,"WACC";#N/A,#N/A,FALSE,"DCF";#N/A,#N/A,FALSE,"DCFMER";#N/A,#N/A,FALSE,"Pooling";#N/A,#N/A,FALSE,"income";#N/A,#N/A,FALSE,"Offer"}</definedName>
    <definedName name="sdf" hidden="1">{#N/A,#N/A,FALSE,"Adj Proj";#N/A,#N/A,FALSE,"Sheet1";#N/A,#N/A,FALSE,"LBO";#N/A,#N/A,FALSE,"LBOMER";#N/A,#N/A,FALSE,"WACC";#N/A,#N/A,FALSE,"DCF";#N/A,#N/A,FALSE,"DCFMER";#N/A,#N/A,FALSE,"Pooling";#N/A,#N/A,FALSE,"income";#N/A,#N/A,FALSE,"Offer"}</definedName>
    <definedName name="sdfasd" localSheetId="7" hidden="1">{#N/A,#N/A,TRUE,"BS_Report";#N/A,#N/A,TRUE,"PL_Report"}</definedName>
    <definedName name="sdfasd" hidden="1">{#N/A,#N/A,TRUE,"BS_Report";#N/A,#N/A,TRUE,"PL_Report"}</definedName>
    <definedName name="sdfhdfj" hidden="1">'[3]Variance Sum '!#REF!</definedName>
    <definedName name="sds" localSheetId="7" hidden="1">{#N/A,#N/A,FALSE,"Performance Flash Report"}</definedName>
    <definedName name="sds" hidden="1">{#N/A,#N/A,FALSE,"Performance Flash Report"}</definedName>
    <definedName name="sdvsdvsDVVd" localSheetId="7" hidden="1">{"'Planning Data'!$A$2:$X$120"}</definedName>
    <definedName name="sdvsdvsDVVd" hidden="1">{"'Planning Data'!$A$2:$X$120"}</definedName>
    <definedName name="secondaries" localSheetId="7"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f" localSheetId="7" hidden="1">{#N/A,#N/A,FALSE,"Performance Flash Report"}</definedName>
    <definedName name="sf" hidden="1">{#N/A,#N/A,FALSE,"Performance Flash Report"}</definedName>
    <definedName name="sfdjdfhjd" hidden="1">'[3]Variance Sum '!#REF!</definedName>
    <definedName name="sfgasd" localSheetId="7"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gsG" localSheetId="7" hidden="1">{#N/A,#N/A,FALSE,"Performance Flash Report"}</definedName>
    <definedName name="sgsG" hidden="1">{#N/A,#N/A,FALSE,"Performance Flash Report"}</definedName>
    <definedName name="sGSGkj" localSheetId="7" hidden="1">{"'Planning Data'!$A$2:$X$120"}</definedName>
    <definedName name="sGSGkj" hidden="1">{"'Planning Data'!$A$2:$X$120"}</definedName>
    <definedName name="Sheet2" localSheetId="7" hidden="1">{#N/A,#N/A,FALSE,"Adj Proj";#N/A,#N/A,FALSE,"Sheet1";#N/A,#N/A,FALSE,"LBO";#N/A,#N/A,FALSE,"LBOMER";#N/A,#N/A,FALSE,"WACC";#N/A,#N/A,FALSE,"DCF";#N/A,#N/A,FALSE,"DCFMER";#N/A,#N/A,FALSE,"Pooling";#N/A,#N/A,FALSE,"income";#N/A,#N/A,FALSE,"Offer"}</definedName>
    <definedName name="Sheet2" hidden="1">{#N/A,#N/A,FALSE,"Adj Proj";#N/A,#N/A,FALSE,"Sheet1";#N/A,#N/A,FALSE,"LBO";#N/A,#N/A,FALSE,"LBOMER";#N/A,#N/A,FALSE,"WACC";#N/A,#N/A,FALSE,"DCF";#N/A,#N/A,FALSE,"DCFMER";#N/A,#N/A,FALSE,"Pooling";#N/A,#N/A,FALSE,"income";#N/A,#N/A,FALSE,"Offer"}</definedName>
    <definedName name="Sheet3" localSheetId="7"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7"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7"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MPS" localSheetId="7" hidden="1">{#N/A,#N/A,FALSE,"AD_Purchase";#N/A,#N/A,FALSE,"Credit";#N/A,#N/A,FALSE,"PF Acquisition";#N/A,#N/A,FALSE,"PF Offering"}</definedName>
    <definedName name="SMPS" hidden="1">{#N/A,#N/A,FALSE,"AD_Purchase";#N/A,#N/A,FALSE,"Credit";#N/A,#N/A,FALSE,"PF Acquisition";#N/A,#N/A,FALSE,"PF Offering"}</definedName>
    <definedName name="solver_adj" hidden="1">#REF!</definedName>
    <definedName name="solver_cvg" hidden="1">0.0001</definedName>
    <definedName name="solver_drv" hidden="1">1</definedName>
    <definedName name="solver_est" hidden="1">1</definedName>
    <definedName name="solver_itr" hidden="1">100</definedName>
    <definedName name="solver_neg" hidden="1">1</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200</definedName>
    <definedName name="solver_tol" hidden="1">0.05</definedName>
    <definedName name="source" localSheetId="9">#REF!</definedName>
    <definedName name="source" localSheetId="7">#REF!</definedName>
    <definedName name="source">#REF!</definedName>
    <definedName name="SPR01A_18">#REF!</definedName>
    <definedName name="SPR01C_18">#REF!</definedName>
    <definedName name="ss" localSheetId="7" hidden="1">{#N/A,#N/A,FALSE,"Performance Flash Report"}</definedName>
    <definedName name="ss" hidden="1">{#N/A,#N/A,FALSE,"Performance Flash Report"}</definedName>
    <definedName name="ssasa" localSheetId="7" hidden="1">{#N/A,#N/A,FALSE,"Performance Flash Report"}</definedName>
    <definedName name="ssasa" hidden="1">{#N/A,#N/A,FALSE,"Performance Flash Report"}</definedName>
    <definedName name="sssss" localSheetId="7" hidden="1">{#N/A,#N/A,FALSE,"Performance Flash Report"}</definedName>
    <definedName name="sssss" hidden="1">{#N/A,#N/A,FALSE,"Performance Flash Report"}</definedName>
    <definedName name="summ" localSheetId="7" hidden="1">{"'DataPrep 4.0'!$A$1:$AG$75","'DataPrep 4.0'!$AH$13"}</definedName>
    <definedName name="summ" hidden="1">{"'DataPrep 4.0'!$A$1:$AG$75","'DataPrep 4.0'!$AH$13"}</definedName>
    <definedName name="Summary2" localSheetId="7" hidden="1">{#N/A,#N/A,FALSE,"FACTSHEETS";#N/A,#N/A,FALSE,"pump";#N/A,#N/A,FALSE,"filter"}</definedName>
    <definedName name="Summary2" hidden="1">{#N/A,#N/A,FALSE,"FACTSHEETS";#N/A,#N/A,FALSE,"pump";#N/A,#N/A,FALSE,"filter"}</definedName>
    <definedName name="SuperUser" hidden="1">FALSE</definedName>
    <definedName name="Swvu.incearn." hidden="1">[10]EndNotes!#REF!</definedName>
    <definedName name="t" hidden="1">#REF!</definedName>
    <definedName name="test">#REF!</definedName>
    <definedName name="test2" localSheetId="7" hidden="1">{#N/A,#N/A,FALSE,"Performance Flash Report"}</definedName>
    <definedName name="test2" hidden="1">{#N/A,#N/A,FALSE,"Performance Flash Report"}</definedName>
    <definedName name="test3" localSheetId="7" hidden="1">{#N/A,#N/A,FALSE,"Performance Flash Report"}</definedName>
    <definedName name="test3" hidden="1">{#N/A,#N/A,FALSE,"Performance Flash Report"}</definedName>
    <definedName name="test4" localSheetId="7" hidden="1">{#N/A,#N/A,FALSE,"Performance Flash Report"}</definedName>
    <definedName name="test4" hidden="1">{#N/A,#N/A,FALSE,"Performance Flash Report"}</definedName>
    <definedName name="test5" localSheetId="7" hidden="1">{#N/A,#N/A,FALSE,"Performance Flash Report"}</definedName>
    <definedName name="test5" hidden="1">{#N/A,#N/A,FALSE,"Performance Flash Report"}</definedName>
    <definedName name="ThresholdDiscount" hidden="1">14%</definedName>
    <definedName name="Tiger" localSheetId="7" hidden="1">{#N/A,#N/A,FALSE,"TS";#N/A,#N/A,FALSE,"Combo";#N/A,#N/A,FALSE,"FAIR";#N/A,#N/A,FALSE,"RBC";#N/A,#N/A,FALSE,"xxxx";#N/A,#N/A,FALSE,"A_D";#N/A,#N/A,FALSE,"WACC";#N/A,#N/A,FALSE,"DCF";#N/A,#N/A,FALSE,"LBO";#N/A,#N/A,FALSE,"AcqMults";#N/A,#N/A,FALSE,"CompMults"}</definedName>
    <definedName name="Tiger" hidden="1">{#N/A,#N/A,FALSE,"TS";#N/A,#N/A,FALSE,"Combo";#N/A,#N/A,FALSE,"FAIR";#N/A,#N/A,FALSE,"RBC";#N/A,#N/A,FALSE,"xxxx";#N/A,#N/A,FALSE,"A_D";#N/A,#N/A,FALSE,"WACC";#N/A,#N/A,FALSE,"DCF";#N/A,#N/A,FALSE,"LBO";#N/A,#N/A,FALSE,"AcqMults";#N/A,#N/A,FALSE,"CompMults"}</definedName>
    <definedName name="TP_Footer_User" hidden="1">"Erica Bodi"</definedName>
    <definedName name="TP_Footer_Version" hidden="1">"v4.00"</definedName>
    <definedName name="TransferPerCent" hidden="1">70%</definedName>
    <definedName name="treeList" hidden="1">"11111100000000000000000000000000000000000000000000000000000000000000000000000000000000000000000000000000000000000000000000000000000000000000000000000000000000000000000000000000000000000000000000000000"</definedName>
    <definedName name="tyu" hidden="1">"c124"</definedName>
    <definedName name="UEASDAS" localSheetId="7" hidden="1">{#N/A,#N/A,FALSE,"Performance Flash Report"}</definedName>
    <definedName name="UEASDAS" hidden="1">{#N/A,#N/A,FALSE,"Performance Flash Report"}</definedName>
    <definedName name="UEBLAH2" localSheetId="7" hidden="1">{#N/A,#N/A,FALSE,"Performance Flash Report"}</definedName>
    <definedName name="UEBLAH2" hidden="1">{#N/A,#N/A,FALSE,"Performance Flash Report"}</definedName>
    <definedName name="UEEfbar" localSheetId="7" hidden="1">{#N/A,#N/A,FALSE,"Performance Flash Report"}</definedName>
    <definedName name="UEEfbar" hidden="1">{#N/A,#N/A,FALSE,"Performance Flash Report"}</definedName>
    <definedName name="UEPlaceholder" localSheetId="7" hidden="1">{#N/A,#N/A,FALSE,"Performance Flash Report"}</definedName>
    <definedName name="UEPlaceholder" hidden="1">{#N/A,#N/A,FALSE,"Performance Flash Report"}</definedName>
    <definedName name="UEtest2" localSheetId="7" hidden="1">{#N/A,#N/A,FALSE,"Performance Flash Report"}</definedName>
    <definedName name="UEtest2" hidden="1">{#N/A,#N/A,FALSE,"Performance Flash Report"}</definedName>
    <definedName name="UETest3" localSheetId="7" hidden="1">{#N/A,#N/A,FALSE,"Performance Flash Report"}</definedName>
    <definedName name="UETest3" hidden="1">{#N/A,#N/A,FALSE,"Performance Flash Report"}</definedName>
    <definedName name="UEwef" localSheetId="7" hidden="1">{#N/A,#N/A,FALSE,"Performance Flash Report"}</definedName>
    <definedName name="UEwef" hidden="1">{#N/A,#N/A,FALSE,"Performance Flash Report"}</definedName>
    <definedName name="UEwrncs" localSheetId="7" hidden="1">{#N/A,#N/A,FALSE,"Performance Flash Report"}</definedName>
    <definedName name="UEwrncs" hidden="1">{#N/A,#N/A,FALSE,"Performance Flash Report"}</definedName>
    <definedName name="uigl" localSheetId="8" hidden="1">[15]DS_Industry_Specif!#REF!</definedName>
    <definedName name="uigl" hidden="1">[15]DS_Industry_Specif!#REF!</definedName>
    <definedName name="uiknu" localSheetId="7"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ky" localSheetId="8" hidden="1">[15]DS_Industry_Specif!#REF!</definedName>
    <definedName name="uky" hidden="1">[15]DS_Industry_Specif!#REF!</definedName>
    <definedName name="UPDATESUMMARY" localSheetId="7" hidden="1">{#N/A,#N/A,FALSE,"FACTSHEETS";#N/A,#N/A,FALSE,"pump";#N/A,#N/A,FALSE,"filter"}</definedName>
    <definedName name="UPDATESUMMARY" hidden="1">{#N/A,#N/A,FALSE,"FACTSHEETS";#N/A,#N/A,FALSE,"pump";#N/A,#N/A,FALSE,"filter"}</definedName>
    <definedName name="Varanalysis2001" localSheetId="7"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bvn" hidden="1">"c116"</definedName>
    <definedName name="ve" localSheetId="7" hidden="1">{"'Sheet1'!$A$1:$D$69"}</definedName>
    <definedName name="ve" hidden="1">{"'Sheet1'!$A$1:$D$69"}</definedName>
    <definedName name="vwew32" localSheetId="7" hidden="1">{"Assumptions",#N/A,TRUE,"Assumptions";"Income",#N/A,TRUE,"Income";"Balance",#N/A,TRUE,"Balance"}</definedName>
    <definedName name="vwew32" hidden="1">{"Assumptions",#N/A,TRUE,"Assumptions";"Income",#N/A,TRUE,"Income";"Balance",#N/A,TRUE,"Balance"}</definedName>
    <definedName name="vzssw" localSheetId="7" hidden="1">{#N/A,#N/A,FALSE,"Projections";#N/A,#N/A,FALSE,"Acq Mult";#N/A,#N/A,FALSE,"TWER Mult";#N/A,#N/A,FALSE,"DCF EBITDA";#N/A,#N/A,FALSE,"DCF EBIT";#N/A,#N/A,FALSE,"Debt Accr";#N/A,#N/A,FALSE,"Stock Accr";#N/A,#N/A,FALSE,"Debt Stock Accr";#N/A,#N/A,FALSE,"Accr Dil Sensi"}</definedName>
    <definedName name="vzssw" hidden="1">{#N/A,#N/A,FALSE,"Projections";#N/A,#N/A,FALSE,"Acq Mult";#N/A,#N/A,FALSE,"TWER Mult";#N/A,#N/A,FALSE,"DCF EBITDA";#N/A,#N/A,FALSE,"DCF EBIT";#N/A,#N/A,FALSE,"Debt Accr";#N/A,#N/A,FALSE,"Stock Accr";#N/A,#N/A,FALSE,"Debt Stock Accr";#N/A,#N/A,FALSE,"Accr Dil Sensi"}</definedName>
    <definedName name="w" localSheetId="7" hidden="1">{#N/A,#N/A,FALSE,"Projections";#N/A,#N/A,FALSE,"Multiples Valuation";#N/A,#N/A,FALSE,"LBO";#N/A,#N/A,FALSE,"Multiples_Sensitivity";#N/A,#N/A,FALSE,"Summary"}</definedName>
    <definedName name="w" hidden="1">{#N/A,#N/A,FALSE,"Projections";#N/A,#N/A,FALSE,"Multiples Valuation";#N/A,#N/A,FALSE,"LBO";#N/A,#N/A,FALSE,"Multiples_Sensitivity";#N/A,#N/A,FALSE,"Summary"}</definedName>
    <definedName name="wef" localSheetId="7" hidden="1">{#N/A,#N/A,FALSE,"Performance Flash Report"}</definedName>
    <definedName name="wef" hidden="1">{#N/A,#N/A,FALSE,"Performance Flash Report"}</definedName>
    <definedName name="werrr" localSheetId="7" hidden="1">{#N/A,#N/A,FALSE,"Adj Proj";#N/A,#N/A,FALSE,"Sheet1";#N/A,#N/A,FALSE,"LBO";#N/A,#N/A,FALSE,"LBOMER";#N/A,#N/A,FALSE,"WACC";#N/A,#N/A,FALSE,"DCF";#N/A,#N/A,FALSE,"DCFMER";#N/A,#N/A,FALSE,"Pooling";#N/A,#N/A,FALSE,"income";#N/A,#N/A,FALSE,"Offer"}</definedName>
    <definedName name="werrr" hidden="1">{#N/A,#N/A,FALSE,"Adj Proj";#N/A,#N/A,FALSE,"Sheet1";#N/A,#N/A,FALSE,"LBO";#N/A,#N/A,FALSE,"LBOMER";#N/A,#N/A,FALSE,"WACC";#N/A,#N/A,FALSE,"DCF";#N/A,#N/A,FALSE,"DCFMER";#N/A,#N/A,FALSE,"Pooling";#N/A,#N/A,FALSE,"income";#N/A,#N/A,FALSE,"Offer"}</definedName>
    <definedName name="Westburne" localSheetId="7"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hat"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isthis" localSheetId="7"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7"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7"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illiam"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ZARD_3YRATCF" localSheetId="9">#REF!</definedName>
    <definedName name="WIZARD_3YRATCF" localSheetId="7">#REF!</definedName>
    <definedName name="WIZARD_3YRATCF">#REF!</definedName>
    <definedName name="WIZARD_3YREBITDA" localSheetId="9">#REF!</definedName>
    <definedName name="WIZARD_3YREBITDA" localSheetId="7">#REF!</definedName>
    <definedName name="WIZARD_3YREBITDA">#REF!</definedName>
    <definedName name="WIZARD_3YRSECGROWTH" localSheetId="9">#REF!</definedName>
    <definedName name="WIZARD_3YRSECGROWTH" localSheetId="7">#REF!</definedName>
    <definedName name="WIZARD_3YRSECGROWTH">#REF!</definedName>
    <definedName name="WIZARD_AVGTRADINGVOLUME" localSheetId="9">#REF!</definedName>
    <definedName name="WIZARD_AVGTRADINGVOLUME">#REF!</definedName>
    <definedName name="WIZARD_BKVALSHR" localSheetId="9">#REF!</definedName>
    <definedName name="WIZARD_BKVALSHR">#REF!</definedName>
    <definedName name="WIZARD_BURNRATE" localSheetId="9">#REF!</definedName>
    <definedName name="WIZARD_BURNRATE">#REF!</definedName>
    <definedName name="WIZARD_CASH" localSheetId="9">#REF!</definedName>
    <definedName name="WIZARD_CASH">#REF!</definedName>
    <definedName name="WIZARD_DIVYIELD" localSheetId="9">#REF!</definedName>
    <definedName name="WIZARD_DIVYIELD">#REF!</definedName>
    <definedName name="WIZARD_EARNINGS" localSheetId="9">#REF!</definedName>
    <definedName name="WIZARD_EARNINGS">#REF!</definedName>
    <definedName name="WIZARD_EBITDABYSHROO" localSheetId="9">#REF!</definedName>
    <definedName name="WIZARD_EBITDABYSHROO">#REF!</definedName>
    <definedName name="WIZARD_EVBYEBITDAOO" localSheetId="9">#REF!</definedName>
    <definedName name="WIZARD_EVBYEBITDAOO">#REF!</definedName>
    <definedName name="WIZARD_EVINVCAP" localSheetId="9">#REF!</definedName>
    <definedName name="WIZARD_EVINVCAP">#REF!</definedName>
    <definedName name="WIZARD_LTDEBT" localSheetId="9">#REF!</definedName>
    <definedName name="WIZARD_LTDEBT">#REF!</definedName>
    <definedName name="WIZARD_MARKETCAP" localSheetId="9">#REF!</definedName>
    <definedName name="WIZARD_MARKETCAP">#REF!</definedName>
    <definedName name="WIZARD_NETDEBTCAP" localSheetId="9">#REF!</definedName>
    <definedName name="WIZARD_NETDEBTCAP">#REF!</definedName>
    <definedName name="WIZARD_OPERMARGIN" localSheetId="9">#REF!</definedName>
    <definedName name="WIZARD_OPERMARGIN">#REF!</definedName>
    <definedName name="WIZARD_PRICEESTNAV" localSheetId="9">#REF!</definedName>
    <definedName name="WIZARD_PRICEESTNAV">#REF!</definedName>
    <definedName name="WIZARD_REVENUES" localSheetId="9">#REF!</definedName>
    <definedName name="WIZARD_REVENUES">#REF!</definedName>
    <definedName name="WIZARD_ROAA" localSheetId="9">#REF!</definedName>
    <definedName name="WIZARD_ROAA">#REF!</definedName>
    <definedName name="WIZARD_ROAE" localSheetId="9">#REF!</definedName>
    <definedName name="WIZARD_ROAE">#REF!</definedName>
    <definedName name="WIZARD_ROE" localSheetId="9">#REF!</definedName>
    <definedName name="WIZARD_ROE">#REF!</definedName>
    <definedName name="WIZARD_ROIC" localSheetId="9">#REF!</definedName>
    <definedName name="WIZARD_ROIC">#REF!</definedName>
    <definedName name="WIZARD_SHARESOUT" localSheetId="9">#REF!</definedName>
    <definedName name="WIZARD_SHARESOUT">#REF!</definedName>
    <definedName name="WIZARD_STATIONREV" localSheetId="9">#REF!</definedName>
    <definedName name="WIZARD_STATIONREV">#REF!</definedName>
    <definedName name="WIZARD_TICKER" localSheetId="9">#REF!</definedName>
    <definedName name="WIZARD_TICKER">#REF!</definedName>
    <definedName name="WIZARD_TOTDEBTCAP" localSheetId="9">#REF!</definedName>
    <definedName name="WIZARD_TOTDEBTCAP">#REF!</definedName>
    <definedName name="WIZARD_Y1CAPREVR" localSheetId="9">[19]AMAT_FC!#REF!</definedName>
    <definedName name="WIZARD_Y1CAPREVR">[19]AMAT_FC!#REF!</definedName>
    <definedName name="WIZARD_Y1CAPREVS2" localSheetId="9">#REF!</definedName>
    <definedName name="WIZARD_Y1CAPREVS2" localSheetId="7">#REF!</definedName>
    <definedName name="WIZARD_Y1CAPREVS2">#REF!</definedName>
    <definedName name="WIZARD_Y1CASHCYEPSS1" localSheetId="9">#REF!</definedName>
    <definedName name="WIZARD_Y1CASHCYEPSS1" localSheetId="7">#REF!</definedName>
    <definedName name="WIZARD_Y1CASHCYEPSS1">#REF!</definedName>
    <definedName name="WIZARD_Y1CASHCYPES1" localSheetId="9">#REF!</definedName>
    <definedName name="WIZARD_Y1CASHCYPES1" localSheetId="7">#REF!</definedName>
    <definedName name="WIZARD_Y1CASHCYPES1">#REF!</definedName>
    <definedName name="WIZARD_Y1CYE" localSheetId="9">[19]AMAT_FC!#REF!</definedName>
    <definedName name="WIZARD_Y1CYE" localSheetId="7">[19]AMAT_FC!#REF!</definedName>
    <definedName name="WIZARD_Y1CYE">[19]AMAT_FC!#REF!</definedName>
    <definedName name="WIZARD_Y1CYPEE" localSheetId="9">[19]AMAT_FC!#REF!</definedName>
    <definedName name="WIZARD_Y1CYPEE" localSheetId="7">[19]AMAT_FC!#REF!</definedName>
    <definedName name="WIZARD_Y1CYPEE">[19]AMAT_FC!#REF!</definedName>
    <definedName name="WIZARD_Y1CYPES1" localSheetId="9">#REF!</definedName>
    <definedName name="WIZARD_Y1CYPES1" localSheetId="7">#REF!</definedName>
    <definedName name="WIZARD_Y1CYPES1">#REF!</definedName>
    <definedName name="WIZARD_Y1CYREVS2" localSheetId="9">#REF!</definedName>
    <definedName name="WIZARD_Y1CYREVS2" localSheetId="7">#REF!</definedName>
    <definedName name="WIZARD_Y1CYREVS2">#REF!</definedName>
    <definedName name="WIZARD_Y1CYS1" localSheetId="9">#REF!</definedName>
    <definedName name="WIZARD_Y1CYS1" localSheetId="7">#REF!</definedName>
    <definedName name="WIZARD_Y1CYS1">#REF!</definedName>
    <definedName name="WIZARD_Y1E" localSheetId="9">[19]AMAT_FC!#REF!</definedName>
    <definedName name="WIZARD_Y1E" localSheetId="7">[19]AMAT_FC!#REF!</definedName>
    <definedName name="WIZARD_Y1E">[19]AMAT_FC!#REF!</definedName>
    <definedName name="WIZARD_Y1EBITDAYRS2" localSheetId="9">#REF!</definedName>
    <definedName name="WIZARD_Y1EBITDAYRS2" localSheetId="7">#REF!</definedName>
    <definedName name="WIZARD_Y1EBITDAYRS2">#REF!</definedName>
    <definedName name="WIZARD_Y1EMVBYREV" localSheetId="9">#REF!</definedName>
    <definedName name="WIZARD_Y1EMVBYREV" localSheetId="7">#REF!</definedName>
    <definedName name="WIZARD_Y1EMVBYREV">#REF!</definedName>
    <definedName name="WIZARD_Y1EVEBITDAS2" localSheetId="9">#REF!</definedName>
    <definedName name="WIZARD_Y1EVEBITDAS2" localSheetId="7">#REF!</definedName>
    <definedName name="WIZARD_Y1EVEBITDAS2">#REF!</definedName>
    <definedName name="WIZARD_Y1PEE" localSheetId="9">[19]AMAT_FC!#REF!</definedName>
    <definedName name="WIZARD_Y1PEE" localSheetId="7">[19]AMAT_FC!#REF!</definedName>
    <definedName name="WIZARD_Y1PEE">[19]AMAT_FC!#REF!</definedName>
    <definedName name="WIZARD_Y1PES1" localSheetId="9">#REF!</definedName>
    <definedName name="WIZARD_Y1PES1" localSheetId="7">#REF!</definedName>
    <definedName name="WIZARD_Y1PES1">#REF!</definedName>
    <definedName name="WIZARD_Y1Q1E" localSheetId="9">[19]AMAT_FC!#REF!</definedName>
    <definedName name="WIZARD_Y1Q1E" localSheetId="7">[19]AMAT_FC!#REF!</definedName>
    <definedName name="WIZARD_Y1Q1E">[19]AMAT_FC!#REF!</definedName>
    <definedName name="WIZARD_Y1Q1R" localSheetId="9">[19]AMAT_FC!#REF!</definedName>
    <definedName name="WIZARD_Y1Q1R" localSheetId="7">[19]AMAT_FC!#REF!</definedName>
    <definedName name="WIZARD_Y1Q1R">[19]AMAT_FC!#REF!</definedName>
    <definedName name="WIZARD_Y1Q1S1" localSheetId="9">#REF!</definedName>
    <definedName name="WIZARD_Y1Q1S1" localSheetId="7">#REF!</definedName>
    <definedName name="WIZARD_Y1Q1S1">#REF!</definedName>
    <definedName name="WIZARD_Y1Q1S2" localSheetId="9">#REF!</definedName>
    <definedName name="WIZARD_Y1Q1S2" localSheetId="7">#REF!</definedName>
    <definedName name="WIZARD_Y1Q1S2">#REF!</definedName>
    <definedName name="WIZARD_Y1Q2E" localSheetId="9">[19]AMAT_FC!#REF!</definedName>
    <definedName name="WIZARD_Y1Q2E" localSheetId="7">[19]AMAT_FC!#REF!</definedName>
    <definedName name="WIZARD_Y1Q2E">[19]AMAT_FC!#REF!</definedName>
    <definedName name="WIZARD_Y1Q2R" localSheetId="9">[19]AMAT_FC!#REF!</definedName>
    <definedName name="WIZARD_Y1Q2R" localSheetId="7">[19]AMAT_FC!#REF!</definedName>
    <definedName name="WIZARD_Y1Q2R">[19]AMAT_FC!#REF!</definedName>
    <definedName name="WIZARD_Y1Q2S1" localSheetId="9">#REF!</definedName>
    <definedName name="WIZARD_Y1Q2S1" localSheetId="7">#REF!</definedName>
    <definedName name="WIZARD_Y1Q2S1">#REF!</definedName>
    <definedName name="WIZARD_Y1Q2S2" localSheetId="9">#REF!</definedName>
    <definedName name="WIZARD_Y1Q2S2" localSheetId="7">#REF!</definedName>
    <definedName name="WIZARD_Y1Q2S2">#REF!</definedName>
    <definedName name="WIZARD_Y1Q3E" localSheetId="9">[19]AMAT_FC!#REF!</definedName>
    <definedName name="WIZARD_Y1Q3E" localSheetId="7">[19]AMAT_FC!#REF!</definedName>
    <definedName name="WIZARD_Y1Q3E">[19]AMAT_FC!#REF!</definedName>
    <definedName name="WIZARD_Y1Q3R" localSheetId="9">[19]AMAT_FC!#REF!</definedName>
    <definedName name="WIZARD_Y1Q3R" localSheetId="7">[19]AMAT_FC!#REF!</definedName>
    <definedName name="WIZARD_Y1Q3R">[19]AMAT_FC!#REF!</definedName>
    <definedName name="WIZARD_Y1Q3S1" localSheetId="9">#REF!</definedName>
    <definedName name="WIZARD_Y1Q3S1" localSheetId="7">#REF!</definedName>
    <definedName name="WIZARD_Y1Q3S1">#REF!</definedName>
    <definedName name="WIZARD_Y1Q3S2" localSheetId="9">#REF!</definedName>
    <definedName name="WIZARD_Y1Q3S2" localSheetId="7">#REF!</definedName>
    <definedName name="WIZARD_Y1Q3S2">#REF!</definedName>
    <definedName name="WIZARD_Y1Q4E" localSheetId="9">[19]AMAT_FC!#REF!</definedName>
    <definedName name="WIZARD_Y1Q4E" localSheetId="7">[19]AMAT_FC!#REF!</definedName>
    <definedName name="WIZARD_Y1Q4E">[19]AMAT_FC!#REF!</definedName>
    <definedName name="WIZARD_Y1Q4R" localSheetId="9">[19]AMAT_FC!#REF!</definedName>
    <definedName name="WIZARD_Y1Q4R" localSheetId="7">[19]AMAT_FC!#REF!</definedName>
    <definedName name="WIZARD_Y1Q4R">[19]AMAT_FC!#REF!</definedName>
    <definedName name="WIZARD_Y1Q4S1" localSheetId="9">#REF!</definedName>
    <definedName name="WIZARD_Y1Q4S1" localSheetId="7">#REF!</definedName>
    <definedName name="WIZARD_Y1Q4S1">#REF!</definedName>
    <definedName name="WIZARD_Y1Q4S2" localSheetId="9">#REF!</definedName>
    <definedName name="WIZARD_Y1Q4S2" localSheetId="7">#REF!</definedName>
    <definedName name="WIZARD_Y1Q4S2">#REF!</definedName>
    <definedName name="WIZARD_Y1R" localSheetId="9">[19]AMAT_FC!#REF!</definedName>
    <definedName name="WIZARD_Y1R" localSheetId="7">[19]AMAT_FC!#REF!</definedName>
    <definedName name="WIZARD_Y1R">[19]AMAT_FC!#REF!</definedName>
    <definedName name="WIZARD_Y1S1" localSheetId="9">#REF!</definedName>
    <definedName name="WIZARD_Y1S1" localSheetId="7">#REF!</definedName>
    <definedName name="WIZARD_Y1S1">#REF!</definedName>
    <definedName name="WIZARD_Y1S2" localSheetId="9">#REF!</definedName>
    <definedName name="WIZARD_Y1S2" localSheetId="7">#REF!</definedName>
    <definedName name="WIZARD_Y1S2">#REF!</definedName>
    <definedName name="WIZARD_Y1YEARE" localSheetId="9">[19]AMAT_FC!#REF!</definedName>
    <definedName name="WIZARD_Y1YEARE" localSheetId="7">[19]AMAT_FC!#REF!</definedName>
    <definedName name="WIZARD_Y1YEARE">[19]AMAT_FC!#REF!</definedName>
    <definedName name="WIZARD_Y1YEARR" localSheetId="9">[19]AMAT_FC!#REF!</definedName>
    <definedName name="WIZARD_Y1YEARR" localSheetId="7">[19]AMAT_FC!#REF!</definedName>
    <definedName name="WIZARD_Y1YEARR">[19]AMAT_FC!#REF!</definedName>
    <definedName name="WIZARD_Y1YEARS1" localSheetId="9">#REF!</definedName>
    <definedName name="WIZARD_Y1YEARS1" localSheetId="7">#REF!</definedName>
    <definedName name="WIZARD_Y1YEARS1">#REF!</definedName>
    <definedName name="WIZARD_Y1YEARS2" localSheetId="9">#REF!</definedName>
    <definedName name="WIZARD_Y1YEARS2" localSheetId="7">#REF!</definedName>
    <definedName name="WIZARD_Y1YEARS2">#REF!</definedName>
    <definedName name="WIZARD_Y2EMVBYREV" localSheetId="9">#REF!</definedName>
    <definedName name="WIZARD_Y2EMVBYREV" localSheetId="7">#REF!</definedName>
    <definedName name="WIZARD_Y2EMVBYREV">#REF!</definedName>
    <definedName name="WIZARD_Y2PES1" localSheetId="9">#REF!</definedName>
    <definedName name="WIZARD_Y2PES1">#REF!</definedName>
    <definedName name="WIZARD_Y2Q1S1" localSheetId="9">#REF!</definedName>
    <definedName name="WIZARD_Y2Q1S1">#REF!</definedName>
    <definedName name="WIZARD_Y2Q1S2" localSheetId="9">#REF!</definedName>
    <definedName name="WIZARD_Y2Q1S2">#REF!</definedName>
    <definedName name="WIZARD_Y2Q2S1" localSheetId="9">#REF!</definedName>
    <definedName name="WIZARD_Y2Q2S1">#REF!</definedName>
    <definedName name="WIZARD_Y2Q2S2" localSheetId="9">#REF!</definedName>
    <definedName name="WIZARD_Y2Q2S2">#REF!</definedName>
    <definedName name="WIZARD_Y2Q3S1" localSheetId="9">#REF!</definedName>
    <definedName name="WIZARD_Y2Q3S1">#REF!</definedName>
    <definedName name="WIZARD_Y2Q3S2" localSheetId="9">#REF!</definedName>
    <definedName name="WIZARD_Y2Q3S2">#REF!</definedName>
    <definedName name="WIZARD_Y2Q4S1" localSheetId="9">#REF!</definedName>
    <definedName name="WIZARD_Y2Q4S1">#REF!</definedName>
    <definedName name="WIZARD_Y2Q4S2" localSheetId="9">#REF!</definedName>
    <definedName name="WIZARD_Y2Q4S2">#REF!</definedName>
    <definedName name="WIZARD_Y2S1" localSheetId="9">#REF!</definedName>
    <definedName name="WIZARD_Y2S1">#REF!</definedName>
    <definedName name="WIZARD_Y2S2" localSheetId="9">#REF!</definedName>
    <definedName name="WIZARD_Y2S2">#REF!</definedName>
    <definedName name="WIZARD_Y2YEARS2" localSheetId="9">#REF!</definedName>
    <definedName name="WIZARD_Y2YEARS2">#REF!</definedName>
    <definedName name="WIZARD_Y3EMVBYREV" localSheetId="9">#REF!</definedName>
    <definedName name="WIZARD_Y3EMVBYREV">#REF!</definedName>
    <definedName name="WIZARD_Y3PES1" localSheetId="9">#REF!</definedName>
    <definedName name="WIZARD_Y3PES1">#REF!</definedName>
    <definedName name="WIZARD_Y3Q1E">[20]NVLS_FC!$G$11</definedName>
    <definedName name="WIZARD_Y3Q1S1" localSheetId="9">#REF!</definedName>
    <definedName name="WIZARD_Y3Q1S1" localSheetId="7">#REF!</definedName>
    <definedName name="WIZARD_Y3Q1S1">#REF!</definedName>
    <definedName name="WIZARD_Y3Q1S2" localSheetId="9">#REF!</definedName>
    <definedName name="WIZARD_Y3Q1S2" localSheetId="7">#REF!</definedName>
    <definedName name="WIZARD_Y3Q1S2">#REF!</definedName>
    <definedName name="WIZARD_Y3Q2S1" localSheetId="9">#REF!</definedName>
    <definedName name="WIZARD_Y3Q2S1" localSheetId="7">#REF!</definedName>
    <definedName name="WIZARD_Y3Q2S1">#REF!</definedName>
    <definedName name="WIZARD_Y3Q2S2" localSheetId="9">#REF!</definedName>
    <definedName name="WIZARD_Y3Q2S2">#REF!</definedName>
    <definedName name="WIZARD_Y3Q3S1" localSheetId="9">#REF!</definedName>
    <definedName name="WIZARD_Y3Q3S1">#REF!</definedName>
    <definedName name="WIZARD_Y3Q3S2" localSheetId="9">#REF!</definedName>
    <definedName name="WIZARD_Y3Q3S2">#REF!</definedName>
    <definedName name="WIZARD_Y3Q4S1" localSheetId="9">#REF!</definedName>
    <definedName name="WIZARD_Y3Q4S1">#REF!</definedName>
    <definedName name="WIZARD_Y3Q4S2" localSheetId="9">#REF!</definedName>
    <definedName name="WIZARD_Y3Q4S2">#REF!</definedName>
    <definedName name="WIZARD_Y3S1" localSheetId="9">#REF!</definedName>
    <definedName name="WIZARD_Y3S1">#REF!</definedName>
    <definedName name="WIZARD_Y3S2" localSheetId="9">#REF!</definedName>
    <definedName name="WIZARD_Y3S2">#REF!</definedName>
    <definedName name="WIZARD_Y3YEARE">[20]NVLS_FC!$G$15</definedName>
    <definedName name="WIZARD_Y3YEARS2" localSheetId="9">#REF!</definedName>
    <definedName name="WIZARD_Y3YEARS2" localSheetId="7">#REF!</definedName>
    <definedName name="WIZARD_Y3YEARS2">#REF!</definedName>
    <definedName name="WIZARD_YEARSOFCASH" localSheetId="9">#REF!</definedName>
    <definedName name="WIZARD_YEARSOFCASH" localSheetId="7">#REF!</definedName>
    <definedName name="WIZARD_YEARSOFCASH">#REF!</definedName>
    <definedName name="wqwt" localSheetId="7" hidden="1">{#N/A,#N/A,FALSE,"Projections";#N/A,#N/A,FALSE,"Contribution_Stock";#N/A,#N/A,FALSE,"PF_Combo_Stock";#N/A,#N/A,FALSE,"Projections";#N/A,#N/A,FALSE,"Contribution_Cash";#N/A,#N/A,FALSE,"PF_Combo_Cash";#N/A,#N/A,FALSE,"IPO_Cash"}</definedName>
    <definedName name="wqwt" hidden="1">{#N/A,#N/A,FALSE,"Projections";#N/A,#N/A,FALSE,"Contribution_Stock";#N/A,#N/A,FALSE,"PF_Combo_Stock";#N/A,#N/A,FALSE,"Projections";#N/A,#N/A,FALSE,"Contribution_Cash";#N/A,#N/A,FALSE,"PF_Combo_Cash";#N/A,#N/A,FALSE,"IPO_Cash"}</definedName>
    <definedName name="wrn.2NDQTRRPT." localSheetId="7" hidden="1">{"QTR2",#N/A,FALSE,"OTK6_27";#N/A,#N/A,FALSE,"Q2 Detail";"SIXMTH",#N/A,FALSE,"OTK6_27";"qtr3",#N/A,FALSE,"OTK6_27";#N/A,#N/A,FALSE,"Q3 Detail";"NINEMTH",#N/A,FALSE,"OTK6_27";"qtr4",#N/A,FALSE,"OTK6_27";#N/A,#N/A,FALSE,"Q4 Detail";"YEAR",#N/A,FALSE,"OTK6_27"}</definedName>
    <definedName name="wrn.2NDQTRRPT." hidden="1">{"QTR2",#N/A,FALSE,"OTK6_27";#N/A,#N/A,FALSE,"Q2 Detail";"SIXMTH",#N/A,FALSE,"OTK6_27";"qtr3",#N/A,FALSE,"OTK6_27";#N/A,#N/A,FALSE,"Q3 Detail";"NINEMTH",#N/A,FALSE,"OTK6_27";"qtr4",#N/A,FALSE,"OTK6_27";#N/A,#N/A,FALSE,"Q4 Detail";"YEAR",#N/A,FALSE,"OTK6_27"}</definedName>
    <definedName name="wrn.A._.Summary._.View." localSheetId="7" hidden="1">{#N/A,#N/A,FALSE,"BU INCOME STATEMENT ";#N/A,#N/A,FALSE,"EXPENSE SUMMARY ";#N/A,#N/A,FALSE,"DEPT1";#N/A,#N/A,FALSE,"DEPT1 (2)"}</definedName>
    <definedName name="wrn.A._.Summary._.View." hidden="1">{#N/A,#N/A,FALSE,"BU INCOME STATEMENT ";#N/A,#N/A,FALSE,"EXPENSE SUMMARY ";#N/A,#N/A,FALSE,"DEPT1";#N/A,#N/A,FALSE,"DEPT1 (2)"}</definedName>
    <definedName name="wrn.A_VALUATION." localSheetId="7"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7" hidden="1">{#N/A,#N/A,FALSE,"Debt Accr";#N/A,#N/A,FALSE,"Stock Accr";#N/A,#N/A,FALSE,"Debt Stock Accr"}</definedName>
    <definedName name="wrn.Accr_Dil." hidden="1">{#N/A,#N/A,FALSE,"Debt Accr";#N/A,#N/A,FALSE,"Stock Accr";#N/A,#N/A,FALSE,"Debt Stock Accr"}</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7"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_.gulp._.sheets." localSheetId="7"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localSheetId="7"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Models." localSheetId="7"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2" localSheetId="7"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Sheets." localSheetId="7"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4" localSheetId="7"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7"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7"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7"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7" hidden="1">{#N/A,#N/A,FALSE,"AD_Purchase";#N/A,#N/A,FALSE,"Credit";#N/A,#N/A,FALSE,"PF Acquisition";#N/A,#N/A,FALSE,"PF Offering"}</definedName>
    <definedName name="wrn.AllModels." hidden="1">{#N/A,#N/A,FALSE,"AD_Purchase";#N/A,#N/A,FALSE,"Credit";#N/A,#N/A,FALSE,"PF Acquisition";#N/A,#N/A,FALSE,"PF Offering"}</definedName>
    <definedName name="wrn.ALLQTRS." localSheetId="7" hidden="1">{"QTR1",#N/A,FALSE,"Q1 Detail";"QTR2",#N/A,FALSE,"Q2 Detail";"QTR3",#N/A,FALSE,"Q3 Detail";"QTR4",#N/A,FALSE,"Q4 Detail"}</definedName>
    <definedName name="wrn.ALLQTRS." hidden="1">{"QTR1",#N/A,FALSE,"Q1 Detail";"QTR2",#N/A,FALSE,"Q2 Detail";"QTR3",#N/A,FALSE,"Q3 Detail";"QTR4",#N/A,FALSE,"Q4 Detail"}</definedName>
    <definedName name="wrn.ALLRPTS." localSheetId="7" hidden="1">{"QTR1",#N/A,FALSE,"96OUT";"QTR2",#N/A,FALSE,"96OUT";"QTR3",#N/A,FALSE,"96OUT";"QTR4",#N/A,FALSE,"96OUT";"YEAR",#N/A,FALSE,"96OUT"}</definedName>
    <definedName name="wrn.ALLRPTS." hidden="1">{"QTR1",#N/A,FALSE,"96OUT";"QTR2",#N/A,FALSE,"96OUT";"QTR3",#N/A,FALSE,"96OUT";"QTR4",#N/A,FALSE,"96OUT";"YEAR",#N/A,FALSE,"96OUT"}</definedName>
    <definedName name="wrn.Analytic." localSheetId="7"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Backup." localSheetId="7" hidden="1">{#N/A,#N/A,FALSE,"Balance";#N/A,#N/A,FALSE,"TDFX";#N/A,#N/A,FALSE,"TDDDF";#N/A,#N/A,FALSE,"ADI";#N/A,#N/A,FALSE,"CUBE";#N/A,#N/A,FALSE,"DIMD";#N/A,#N/A,FALSE,"ZRAN";#N/A,#N/A,FALSE,"GNMC"}</definedName>
    <definedName name="wrn.Backup." hidden="1">{#N/A,#N/A,FALSE,"Balance";#N/A,#N/A,FALSE,"TDFX";#N/A,#N/A,FALSE,"TDDDF";#N/A,#N/A,FALSE,"ADI";#N/A,#N/A,FALSE,"CUBE";#N/A,#N/A,FALSE,"DIMD";#N/A,#N/A,FALSE,"ZRAN";#N/A,#N/A,FALSE,"GNMC"}</definedName>
    <definedName name="wrn.balance._.sheet." localSheetId="7" hidden="1">{"bs",#N/A,FALSE,"SCF"}</definedName>
    <definedName name="wrn.balance._.sheet." hidden="1">{"bs",#N/A,FALSE,"SCF"}</definedName>
    <definedName name="wrn.Basic." localSheetId="7"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s." localSheetId="7" hidden="1">{#N/A,#N/A,FALSE,"TSUM";#N/A,#N/A,FALSE,"shares";#N/A,#N/A,FALSE,"earnout";#N/A,#N/A,FALSE,"Heaty";#N/A,#N/A,FALSE,"self-tend";#N/A,#N/A,FALSE,"self-sum"}</definedName>
    <definedName name="wrn.basics." hidden="1">{#N/A,#N/A,FALSE,"TSUM";#N/A,#N/A,FALSE,"shares";#N/A,#N/A,FALSE,"earnout";#N/A,#N/A,FALSE,"Heaty";#N/A,#N/A,FALSE,"self-tend";#N/A,#N/A,FALSE,"self-sum"}</definedName>
    <definedName name="wrn.Bericht." localSheetId="7" hidden="1">{#N/A,#N/A,FALSE,"Tabelle1"}</definedName>
    <definedName name="wrn.Bericht." hidden="1">{#N/A,#N/A,FALSE,"Tabelle1"}</definedName>
    <definedName name="wrn.Budget._.Sheets." localSheetId="7" hidden="1">{#N/A,#N/A,FALSE,"DEPTTEMPL";#N/A,#N/A,FALSE,"CATTEMPL";#N/A,#N/A,FALSE,"TEM PAYROLL";#N/A,#N/A,FALSE,"TEM T&amp;E";#N/A,#N/A,FALSE,"TEM EQUIP &amp; SOFT"}</definedName>
    <definedName name="wrn.Budget._.Sheets." hidden="1">{#N/A,#N/A,FALSE,"DEPTTEMPL";#N/A,#N/A,FALSE,"CATTEMPL";#N/A,#N/A,FALSE,"TEM PAYROLL";#N/A,#N/A,FALSE,"TEM T&amp;E";#N/A,#N/A,FALSE,"TEM EQUIP &amp; SOFT"}</definedName>
    <definedName name="wrn.bullshit1." localSheetId="7" hidden="1">{#N/A,#N/A,FALSE,"Sheet1";#N/A,#N/A,FALSE,"Summary";#N/A,#N/A,FALSE,"proj1";#N/A,#N/A,FALSE,"proj2"}</definedName>
    <definedName name="wrn.bullshit1." hidden="1">{#N/A,#N/A,FALSE,"Sheet1";#N/A,#N/A,FALSE,"Summary";#N/A,#N/A,FALSE,"proj1";#N/A,#N/A,FALSE,"proj2"}</definedName>
    <definedName name="wrn.Categories._.only." localSheetId="7" hidden="1">{#N/A,#N/A,FALSE,"DEPT1-PAYROLL"}</definedName>
    <definedName name="wrn.Categories._.only." hidden="1">{#N/A,#N/A,FALSE,"DEPT1-PAYROLL"}</definedName>
    <definedName name="wrn.COMBINED." localSheetId="7"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_.and._.Prices." localSheetId="7" hidden="1">{#N/A,#N/A,FALSE,"comp";#N/A,#N/A,FALSE,"Alpha";#N/A,#N/A,FALSE,"Hi";#N/A,#N/A,FALSE,"Lo";#N/A,#N/A,FALSE,"Mkt. Cap";#N/A,#N/A,FALSE,"Categ."}</definedName>
    <definedName name="wrn.Comp._.and._.Prices." hidden="1">{#N/A,#N/A,FALSE,"comp";#N/A,#N/A,FALSE,"Alpha";#N/A,#N/A,FALSE,"Hi";#N/A,#N/A,FALSE,"Lo";#N/A,#N/A,FALSE,"Mkt. Cap";#N/A,#N/A,FALSE,"Categ."}</definedName>
    <definedName name="wrn.Compensation." localSheetId="7" hidden="1">{"Comp sum",#N/A,FALSE,"Compensation";"Comp by emp",#N/A,FALSE,"Compensation";"Salary summary",#N/A,FALSE,"Compensation";"Payroll taxes",#N/A,FALSE,"Compensation";"HC by Month",#N/A,FALSE,"Compensation";"Misc",#N/A,FALSE,"Compensation"}</definedName>
    <definedName name="wrn.Compensation." localSheetId="8" hidden="1">{"Comp sum",#N/A,FALSE,"Compensation";"Comp by emp",#N/A,FALSE,"Compensation";"Salary summary",#N/A,FALSE,"Compensation";"Payroll taxes",#N/A,FALSE,"Compensation";"HC by Month",#N/A,FALSE,"Compensation";"Misc",#N/A,FALSE,"Compensation"}</definedName>
    <definedName name="wrn.Compensation." hidden="1">{"Comp sum",#N/A,FALSE,"Compensation";"Comp by emp",#N/A,FALSE,"Compensation";"Salary summary",#N/A,FALSE,"Compensation";"Payroll taxes",#N/A,FALSE,"Compensation";"HC by Month",#N/A,FALSE,"Compensation";"Misc",#N/A,FALSE,"Compensation"}</definedName>
    <definedName name="wrn.Complete._.Budget." localSheetId="7"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nsol._.FS." localSheetId="7"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S._.Flash._.Test." localSheetId="7" hidden="1">{#N/A,#N/A,FALSE,"Performance Flash Report"}</definedName>
    <definedName name="wrn.CS._.Flash._.Test." hidden="1">{#N/A,#N/A,FALSE,"Performance Flash Report"}</definedName>
    <definedName name="wrn.dept._.1." localSheetId="7" hidden="1">{#N/A,#N/A,FALSE,"EXPENSE SUMMARY ";#N/A,#N/A,FALSE,"DEPT1";#N/A,#N/A,FALSE,"DEPT1-PAYROLL"}</definedName>
    <definedName name="wrn.dept._.1." hidden="1">{#N/A,#N/A,FALSE,"EXPENSE SUMMARY ";#N/A,#N/A,FALSE,"DEPT1";#N/A,#N/A,FALSE,"DEPT1-PAYROLL"}</definedName>
    <definedName name="wrn.dept._.2." localSheetId="7" hidden="1">{#N/A,#N/A,FALSE,"EXPENSE SUMMARY ";#N/A,#N/A,FALSE,"DEPT1 (2)"}</definedName>
    <definedName name="wrn.dept._.2." hidden="1">{#N/A,#N/A,FALSE,"EXPENSE SUMMARY ";#N/A,#N/A,FALSE,"DEPT1 (2)"}</definedName>
    <definedName name="wrn.dir." localSheetId="7"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STADOS._.FINANCIEROS." localSheetId="7" hidden="1">{#N/A,#N/A,FALSE,"ACTIVO - hoja 1";#N/A,#N/A,FALSE,"ACTIVO - hoja 2";#N/A,#N/A,FALSE,"PASIVO - hoja 1";#N/A,#N/A,FALSE,"PASIVO - hoja 2";#N/A,#N/A,FALSE,"GASTOS - hoja 1 ";#N/A,#N/A,FALSE,"GASTOS - hoja 2";#N/A,#N/A,FALSE,"INGRESOS - hoja 1 ";#N/A,#N/A,FALSE,"INGRESOS - hoja 2"}</definedName>
    <definedName name="wrn.ESTADOS._.FINANCIEROS." hidden="1">{#N/A,#N/A,FALSE,"ACTIVO - hoja 1";#N/A,#N/A,FALSE,"ACTIVO - hoja 2";#N/A,#N/A,FALSE,"PASIVO - hoja 1";#N/A,#N/A,FALSE,"PASIVO - hoja 2";#N/A,#N/A,FALSE,"GASTOS - hoja 1 ";#N/A,#N/A,FALSE,"GASTOS - hoja 2";#N/A,#N/A,FALSE,"INGRESOS - hoja 1 ";#N/A,#N/A,FALSE,"INGRESOS - hoja 2"}</definedName>
    <definedName name="wrn.Fa.._.Englert." localSheetId="7" hidden="1">{#N/A,#N/A,TRUE,"Plan GuV Übersicht";#N/A,#N/A,TRUE,"Investionsgüterliste ";#N/A,#N/A,TRUE,"FUL";#N/A,#N/A,TRUE,"AFA"}</definedName>
    <definedName name="wrn.Fa.._.Englert." hidden="1">{#N/A,#N/A,TRUE,"Plan GuV Übersicht";#N/A,#N/A,TRUE,"Investionsgüterliste ";#N/A,#N/A,TRUE,"FUL";#N/A,#N/A,TRUE,"AFA"}</definedName>
    <definedName name="wrn.Filter." localSheetId="7"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7" hidden="1">{#N/A,#N/A,FALSE,"Total Sum";#N/A,#N/A,FALSE,"NA Summary";#N/A,#N/A,FALSE,"Junior Summary";#N/A,#N/A,FALSE,"FMC -NA Summary";#N/A,#N/A,FALSE,"Pacif Summary";#N/A,#N/A,FALSE,"NAV";#N/A,#N/A,FALSE,"Asset Summary";#N/A,#N/A,FALSE,"Bulawan";#N/A,#N/A,FALSE,"Sibutad";#N/A,#N/A,FALSE,"Prodn &amp; Reserves"}</definedName>
    <definedName name="wrn.Final." localSheetId="8" hidden="1">{#N/A,#N/A,FALSE,"Total Sum";#N/A,#N/A,FALSE,"NA Summary";#N/A,#N/A,FALSE,"Junior Summary";#N/A,#N/A,FALSE,"FMC -NA Summary";#N/A,#N/A,FALSE,"Pacif Summary";#N/A,#N/A,FALSE,"NAV";#N/A,#N/A,FALSE,"Asset Summary";#N/A,#N/A,FALSE,"Bulawan";#N/A,#N/A,FALSE,"Sibutad";#N/A,#N/A,FALSE,"Prodn &amp; Reserves"}</definedName>
    <definedName name="wrn.Final." hidden="1">{#N/A,#N/A,FALSE,"Total Sum";#N/A,#N/A,FALSE,"NA Summary";#N/A,#N/A,FALSE,"Junior Summary";#N/A,#N/A,FALSE,"FMC -NA Summary";#N/A,#N/A,FALSE,"Pacif Summary";#N/A,#N/A,FALSE,"NAV";#N/A,#N/A,FALSE,"Asset Summary";#N/A,#N/A,FALSE,"Bulawan";#N/A,#N/A,FALSE,"Sibutad";#N/A,#N/A,FALSE,"Prodn &amp; Reserves"}</definedName>
    <definedName name="wrn.financials." localSheetId="7" hidden="1">{#N/A,#N/A,TRUE,"PL_Report";#N/A,#N/A,TRUE,"ftf by cust";#N/A,#N/A,TRUE,"vita by ship";#N/A,#N/A,TRUE,"FTF Sum";#N/A,#N/A,TRUE,"VITA SUMM"}</definedName>
    <definedName name="wrn.financials." hidden="1">{#N/A,#N/A,TRUE,"PL_Report";#N/A,#N/A,TRUE,"ftf by cust";#N/A,#N/A,TRUE,"vita by ship";#N/A,#N/A,TRUE,"FTF Sum";#N/A,#N/A,TRUE,"VITA SUMM"}</definedName>
    <definedName name="wrn.first2." localSheetId="7" hidden="1">{#N/A,#N/A,FALSE,"sum-don";#N/A,#N/A,FALSE,"inc-don"}</definedName>
    <definedName name="wrn.first2." hidden="1">{#N/A,#N/A,FALSE,"sum-don";#N/A,#N/A,FALSE,"inc-don"}</definedName>
    <definedName name="wrn.first3." localSheetId="7" hidden="1">{#N/A,#N/A,FALSE,"Summary";#N/A,#N/A,FALSE,"proj1";#N/A,#N/A,FALSE,"proj2"}</definedName>
    <definedName name="wrn.first3." hidden="1">{#N/A,#N/A,FALSE,"Summary";#N/A,#N/A,FALSE,"proj1";#N/A,#N/A,FALSE,"proj2"}</definedName>
    <definedName name="wrn.first4." localSheetId="7" hidden="1">{#N/A,#N/A,FALSE,"Summary";#N/A,#N/A,FALSE,"proj1";#N/A,#N/A,FALSE,"proj2";#N/A,#N/A,FALSE,"DCF"}</definedName>
    <definedName name="wrn.first4." hidden="1">{#N/A,#N/A,FALSE,"Summary";#N/A,#N/A,FALSE,"proj1";#N/A,#N/A,FALSE,"proj2";#N/A,#N/A,FALSE,"DCF"}</definedName>
    <definedName name="wrn.first5000." localSheetId="7" hidden="1">{#N/A,#N/A,FALSE,"sum-don";#N/A,#N/A,FALSE,"inc-don"}</definedName>
    <definedName name="wrn.first5000." hidden="1">{#N/A,#N/A,FALSE,"sum-don";#N/A,#N/A,FALSE,"inc-don"}</definedName>
    <definedName name="wrn.Five._.Year._.Model."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UR._.CASES." localSheetId="7"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LL._.REPORT." localSheetId="7" hidden="1">{"p1TOC",#N/A,FALSE,"DCF_Summary";"p23summary",#N/A,FALSE,"DCF_Summary";"p4contact",#N/A,FALSE,"Contact Lake";"p5kumtor",#N/A,FALSE,"Kumtor";#N/A,#N/A,FALSE,"CCAU_NAV";"p8compdata",#N/A,FALSE,"Gold_Comps";#N/A,#N/A,FALSE,"Comp_Valuation"}</definedName>
    <definedName name="wrn.FULL._.REPORT." localSheetId="8" hidden="1">{"p1TOC",#N/A,FALSE,"DCF_Summary";"p23summary",#N/A,FALSE,"DCF_Summary";"p4contact",#N/A,FALSE,"Contact Lake";"p5kumtor",#N/A,FALSE,"Kumtor";#N/A,#N/A,FALSE,"CCAU_NAV";"p8compdata",#N/A,FALSE,"Gold_Comps";#N/A,#N/A,FALSE,"Comp_Valuation"}</definedName>
    <definedName name="wrn.FULL._.REPORT." hidden="1">{"p1TOC",#N/A,FALSE,"DCF_Summary";"p23summary",#N/A,FALSE,"DCF_Summary";"p4contact",#N/A,FALSE,"Contact Lake";"p5kumtor",#N/A,FALSE,"Kumtor";#N/A,#N/A,FALSE,"CCAU_NAV";"p8compdata",#N/A,FALSE,"Gold_Comps";#N/A,#N/A,FALSE,"Comp_Valuation"}</definedName>
    <definedName name="wrn.FY97SBP." localSheetId="7" hidden="1">{#N/A,#N/A,FALSE,"FY97";#N/A,#N/A,FALSE,"FY98";#N/A,#N/A,FALSE,"FY99";#N/A,#N/A,FALSE,"FY00";#N/A,#N/A,FALSE,"FY01"}</definedName>
    <definedName name="wrn.FY97SBP." hidden="1">{#N/A,#N/A,FALSE,"FY97";#N/A,#N/A,FALSE,"FY98";#N/A,#N/A,FALSE,"FY99";#N/A,#N/A,FALSE,"FY00";#N/A,#N/A,FALSE,"FY01"}</definedName>
    <definedName name="wrn.GRAPHS." localSheetId="7" hidden="1">{#N/A,#N/A,FALSE,"ACQ_GRAPHS";#N/A,#N/A,FALSE,"T_1 GRAPHS";#N/A,#N/A,FALSE,"T_2 GRAPHS";#N/A,#N/A,FALSE,"COMB_GRAPHS"}</definedName>
    <definedName name="wrn.GRAPHS." hidden="1">{#N/A,#N/A,FALSE,"ACQ_GRAPHS";#N/A,#N/A,FALSE,"T_1 GRAPHS";#N/A,#N/A,FALSE,"T_2 GRAPHS";#N/A,#N/A,FALSE,"COMB_GRAPHS"}</definedName>
    <definedName name="wrn.Group." localSheetId="7" hidden="1">{#N/A,#N/A,FALSE,"Summary";#N/A,#N/A,FALSE,"Projections";#N/A,#N/A,FALSE,"Debt Schedule";#N/A,#N/A,FALSE,"Mayline Sales Group";#N/A,#N/A,FALSE,"Sales Groups";#N/A,#N/A,FALSE,"Operating Expenses";#N/A,#N/A,FALSE,"Depreciation";#N/A,#N/A,FALSE,"Balance Sheet";#N/A,#N/A,FALSE,"Working Capital";#N/A,#N/A,FALSE,"Addbacks"}</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rowth." localSheetId="7" hidden="1">{#N/A,#N/A,FALSE,"Rev Grwth";#N/A,#N/A,FALSE,"Op Inc Grwth";#N/A,#N/A,FALSE,"Net Grwth";#N/A,#N/A,FALSE,"EPS Growth"}</definedName>
    <definedName name="wrn.Growth." hidden="1">{#N/A,#N/A,FALSE,"Rev Grwth";#N/A,#N/A,FALSE,"Op Inc Grwth";#N/A,#N/A,FALSE,"Net Grwth";#N/A,#N/A,FALSE,"EPS Growth"}</definedName>
    <definedName name="wrn.GTDirect." localSheetId="7" hidden="1">{"june",#N/A,FALSE,"GT Direct"}</definedName>
    <definedName name="wrn.GTDirect." hidden="1">{"june",#N/A,FALSE,"GT Direct"}</definedName>
    <definedName name="wrn.GTHV._.Cons." localSheetId="7" hidden="1">{#N/A,#N/A,TRUE,"GTHV Cons";#N/A,#N/A,TRUE,"GTHV Cons Stan";#N/A,#N/A,TRUE,"GT Home Video";#N/A,#N/A,TRUE,"GT CorpSvc";#N/A,#N/A,TRUE,"GT Int'l";#N/A,#N/A,TRUE,"GT Mnf";#N/A,#N/A,TRUE,"GT DC"}</definedName>
    <definedName name="wrn.GTHV._.Cons." hidden="1">{#N/A,#N/A,TRUE,"GTHV Cons";#N/A,#N/A,TRUE,"GTHV Cons Stan";#N/A,#N/A,TRUE,"GT Home Video";#N/A,#N/A,TRUE,"GT CorpSvc";#N/A,#N/A,TRUE,"GT Int'l";#N/A,#N/A,TRUE,"GT Mnf";#N/A,#N/A,TRUE,"GT DC"}</definedName>
    <definedName name="wrn.HEAT." localSheetId="7" hidden="1">{#N/A,#N/A,FALSE,"Heat";#N/A,#N/A,FALSE,"DCF";#N/A,#N/A,FALSE,"LBO";#N/A,#N/A,FALSE,"A";#N/A,#N/A,FALSE,"C";#N/A,#N/A,FALSE,"impd";#N/A,#N/A,FALSE,"Accr-Dilu"}</definedName>
    <definedName name="wrn.HEAT." hidden="1">{#N/A,#N/A,FALSE,"Heat";#N/A,#N/A,FALSE,"DCF";#N/A,#N/A,FALSE,"LBO";#N/A,#N/A,FALSE,"A";#N/A,#N/A,FALSE,"C";#N/A,#N/A,FALSE,"impd";#N/A,#N/A,FALSE,"Accr-Dilu"}</definedName>
    <definedName name="wrn.Hydraulic." localSheetId="7"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7"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BB._.Sanierungsfond." localSheetId="7" hidden="1">{#N/A,#N/A,TRUE,"Plan GuV monatlich 1998-1999";#N/A,#N/A,TRUE,"Absatzplanung";#N/A,#N/A,TRUE,"Planung des Aufwands";#N/A,#N/A,TRUE,"Finanzplan";#N/A,#N/A,TRUE,"Planung Investitionen und Afa";#N/A,#N/A,TRUE,"Zins- und Tilgung"}</definedName>
    <definedName name="wrn.IBB._.Sanierungsfond." hidden="1">{#N/A,#N/A,TRUE,"Plan GuV monatlich 1998-1999";#N/A,#N/A,TRUE,"Absatzplanung";#N/A,#N/A,TRUE,"Planung des Aufwands";#N/A,#N/A,TRUE,"Finanzplan";#N/A,#N/A,TRUE,"Planung Investitionen und Afa";#N/A,#N/A,TRUE,"Zins- und Tilgung"}</definedName>
    <definedName name="wrn.info." localSheetId="7"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tlandtot" localSheetId="7" hidden="1">{"tot",#N/A,FALSE,"Int'l Cons";"tot",#N/A,FALSE,"UK";"tot",#N/A,FALSE,"GER";"tot",#N/A,FALSE,"AUS";"tot",#N/A,FALSE,"SA";"tot",#N/A,FALSE,"FR";"tot",#N/A,FALSE,"RofW"}</definedName>
    <definedName name="wrn.intlandtot" hidden="1">{"tot",#N/A,FALSE,"Int'l Cons";"tot",#N/A,FALSE,"UK";"tot",#N/A,FALSE,"GER";"tot",#N/A,FALSE,"AUS";"tot",#N/A,FALSE,"SA";"tot",#N/A,FALSE,"FR";"tot",#N/A,FALSE,"RofW"}</definedName>
    <definedName name="wrn.IPO." localSheetId="7"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Analysis." localSheetId="7"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value." localSheetId="7" hidden="1">{#N/A,#N/A,FALSE,"puboff";#N/A,#N/A,FALSE,"valuation";#N/A,#N/A,FALSE,"finanalsis";#N/A,#N/A,FALSE,"split";#N/A,#N/A,FALSE,"ownership"}</definedName>
    <definedName name="wrn.ipovalue." hidden="1">{#N/A,#N/A,FALSE,"puboff";#N/A,#N/A,FALSE,"valuation";#N/A,#N/A,FALSE,"finanalsis";#N/A,#N/A,FALSE,"split";#N/A,#N/A,FALSE,"ownership"}</definedName>
    <definedName name="wrn.ISCG._.model." localSheetId="7"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ust._.Sorts." localSheetId="7" hidden="1">{#N/A,#N/A,FALSE,"Hi";#N/A,#N/A,FALSE,"Lo";#N/A,#N/A,FALSE,"Mkt. Cap";#N/A,#N/A,FALSE,"Alpha"}</definedName>
    <definedName name="wrn.Just._.Sorts." hidden="1">{#N/A,#N/A,FALSE,"Hi";#N/A,#N/A,FALSE,"Lo";#N/A,#N/A,FALSE,"Mkt. Cap";#N/A,#N/A,FALSE,"Alpha"}</definedName>
    <definedName name="wrn.k" localSheetId="7" hidden="1">{#N/A,#N/A,FALSE,"AD_Purchase";#N/A,#N/A,FALSE,"Credit";#N/A,#N/A,FALSE,"PF Acquisition";#N/A,#N/A,FALSE,"PF Offering"}</definedName>
    <definedName name="wrn.k" hidden="1">{#N/A,#N/A,FALSE,"AD_Purchase";#N/A,#N/A,FALSE,"Credit";#N/A,#N/A,FALSE,"PF Acquisition";#N/A,#N/A,FALSE,"PF Offering"}</definedName>
    <definedName name="wrn.Maine." localSheetId="7" hidden="1">{"Assumptions",#N/A,TRUE,"Assumptions";"Income",#N/A,TRUE,"Income";"Balance",#N/A,TRUE,"Balance"}</definedName>
    <definedName name="wrn.Maine." hidden="1">{"Assumptions",#N/A,TRUE,"Assumptions";"Income",#N/A,TRUE,"Income";"Balance",#N/A,TRUE,"Balance"}</definedName>
    <definedName name="wrn.Maine2."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gins." localSheetId="7" hidden="1">{#N/A,#N/A,FALSE,"Margins - GrossR&amp;D";#N/A,#N/A,FALSE,"Margins - sg&amp;a";#N/A,#N/A,FALSE,"Margins - Oper-net"}</definedName>
    <definedName name="wrn.Margins." hidden="1">{#N/A,#N/A,FALSE,"Margins - GrossR&amp;D";#N/A,#N/A,FALSE,"Margins - sg&amp;a";#N/A,#N/A,FALSE,"Margins - Oper-net"}</definedName>
    <definedName name="wrn.merge." localSheetId="7" hidden="1">{#N/A,#N/A,FALSE,"IPO";#N/A,#N/A,FALSE,"DCF";#N/A,#N/A,FALSE,"LBO";#N/A,#N/A,FALSE,"MULT_VAL";#N/A,#N/A,FALSE,"Status Quo";#N/A,#N/A,FALSE,"Recap"}</definedName>
    <definedName name="wrn.merge." hidden="1">{#N/A,#N/A,FALSE,"IPO";#N/A,#N/A,FALSE,"DCF";#N/A,#N/A,FALSE,"LBO";#N/A,#N/A,FALSE,"MULT_VAL";#N/A,#N/A,FALSE,"Status Quo";#N/A,#N/A,FALSE,"Recap"}</definedName>
    <definedName name="wrn.merge.1" localSheetId="7" hidden="1">{#N/A,#N/A,FALSE,"IPO";#N/A,#N/A,FALSE,"DCF";#N/A,#N/A,FALSE,"LBO";#N/A,#N/A,FALSE,"MULT_VAL";#N/A,#N/A,FALSE,"Status Quo";#N/A,#N/A,FALSE,"Recap"}</definedName>
    <definedName name="wrn.merge.1" hidden="1">{#N/A,#N/A,FALSE,"IPO";#N/A,#N/A,FALSE,"DCF";#N/A,#N/A,FALSE,"LBO";#N/A,#N/A,FALSE,"MULT_VAL";#N/A,#N/A,FALSE,"Status Quo";#N/A,#N/A,FALSE,"Recap"}</definedName>
    <definedName name="wrn.Model." localSheetId="7" hidden="1">{#N/A,#N/A,FALSE,"Cover";#N/A,#N/A,FALSE,"LUMI";#N/A,#N/A,FALSE,"COMD";#N/A,#N/A,FALSE,"Valuation";#N/A,#N/A,FALSE,"Assumptions";#N/A,#N/A,FALSE,"Pooling";#N/A,#N/A,FALSE,"BalanceSheet"}</definedName>
    <definedName name="wrn.Model." hidden="1">{#N/A,#N/A,FALSE,"Cover";#N/A,#N/A,FALSE,"LUMI";#N/A,#N/A,FALSE,"COMD";#N/A,#N/A,FALSE,"Valuation";#N/A,#N/A,FALSE,"Assumptions";#N/A,#N/A,FALSE,"Pooling";#N/A,#N/A,FALSE,"BalanceSheet"}</definedName>
    <definedName name="wrn.models" localSheetId="7"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newest." localSheetId="7" hidden="1">{#N/A,#N/A,TRUE,"TS";#N/A,#N/A,TRUE,"Combo";#N/A,#N/A,TRUE,"FAIR";#N/A,#N/A,TRUE,"RBC";#N/A,#N/A,TRUE,"xxxx"}</definedName>
    <definedName name="wrn.newest." hidden="1">{#N/A,#N/A,TRUE,"TS";#N/A,#N/A,TRUE,"Combo";#N/A,#N/A,TRUE,"FAIR";#N/A,#N/A,TRUE,"RBC";#N/A,#N/A,TRUE,"xxxx"}</definedName>
    <definedName name="wrn.NOVPRES." localSheetId="7" hidden="1">{#N/A,#N/A,TRUE,"PAGE 2";#N/A,#N/A,TRUE,"PAGE 3";#N/A,#N/A,TRUE,"PAGE4"}</definedName>
    <definedName name="wrn.NOVPRES." hidden="1">{#N/A,#N/A,TRUE,"PAGE 2";#N/A,#N/A,TRUE,"PAGE 3";#N/A,#N/A,TRUE,"PAGE4"}</definedName>
    <definedName name="wrn.OUTLOOKFULLYEAR." localSheetId="7" hidden="1">{"QTR2",#N/A,FALSE,"OTK6_27";#N/A,#N/A,FALSE,"Q2 Detail";"SIXMTH",#N/A,FALSE,"OTK6_27";"qtr3",#N/A,FALSE,"OTK6_27";#N/A,#N/A,FALSE,"Q3 Detail";"NINEMTH",#N/A,FALSE,"OTK6_27";"qtr4",#N/A,FALSE,"OTK6_27";#N/A,#N/A,FALSE,"Q4 Detail";"YEAR",#N/A,FALSE,"OTK6_27"}</definedName>
    <definedName name="wrn.OUTLOOKFULLYEAR." hidden="1">{"QTR2",#N/A,FALSE,"OTK6_27";#N/A,#N/A,FALSE,"Q2 Detail";"SIXMTH",#N/A,FALSE,"OTK6_27";"qtr3",#N/A,FALSE,"OTK6_27";#N/A,#N/A,FALSE,"Q3 Detail";"NINEMTH",#N/A,FALSE,"OTK6_27";"qtr4",#N/A,FALSE,"OTK6_27";#N/A,#N/A,FALSE,"Q4 Detail";"YEAR",#N/A,FALSE,"OTK6_27"}</definedName>
    <definedName name="wrn.OUTPUT." localSheetId="7" hidden="1">{"DCF","UPSIDE CASE",FALSE,"Sheet1";"DCF","BASE CASE",FALSE,"Sheet1";"DCF","DOWNSIDE CASE",FALSE,"Sheet1"}</definedName>
    <definedName name="wrn.OUTPUT." hidden="1">{"DCF","UPSIDE CASE",FALSE,"Sheet1";"DCF","BASE CASE",FALSE,"Sheet1";"DCF","DOWNSIDE CASE",FALSE,"Sheet1"}</definedName>
    <definedName name="wrn.packer._.1." localSheetId="7"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gasus." localSheetId="7"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8"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lacer._.NAV." localSheetId="7"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8"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RES_OUT." localSheetId="7" hidden="1">{"page1",#N/A,FALSE,"PRESENTATION";"page2",#N/A,FALSE,"PRESENTATION";#N/A,#N/A,FALSE,"Valuation Summary"}</definedName>
    <definedName name="wrn.PRES_OUT." hidden="1">{"page1",#N/A,FALSE,"PRESENTATION";"page2",#N/A,FALSE,"PRESENTATION";#N/A,#N/A,FALSE,"Valuation Summary"}</definedName>
    <definedName name="wrn.PRES_OUT2" localSheetId="7" hidden="1">{"page1",#N/A,FALSE,"PRESENTATION";"page2",#N/A,FALSE,"PRESENTATION";#N/A,#N/A,FALSE,"Valuation Summary"}</definedName>
    <definedName name="wrn.PRES_OUT2" hidden="1">{"page1",#N/A,FALSE,"PRESENTATION";"page2",#N/A,FALSE,"PRESENTATION";#N/A,#N/A,FALSE,"Valuation Summary"}</definedName>
    <definedName name="wrn.Pres_OUT3" localSheetId="7" hidden="1">{"page1",#N/A,FALSE,"PRESENTATION";"page2",#N/A,FALSE,"PRESENTATION";#N/A,#N/A,FALSE,"Valuation Summary"}</definedName>
    <definedName name="wrn.Pres_OUT3" hidden="1">{"page1",#N/A,FALSE,"PRESENTATION";"page2",#N/A,FALSE,"PRESENTATION";#N/A,#N/A,FALSE,"Valuation Summary"}</definedName>
    <definedName name="wrn.PRES_OUT4" localSheetId="7" hidden="1">{"page1",#N/A,FALSE,"PRESENTATION";"page2",#N/A,FALSE,"PRESENTATION";#N/A,#N/A,FALSE,"Valuation Summary"}</definedName>
    <definedName name="wrn.PRES_OUT4" hidden="1">{"page1",#N/A,FALSE,"PRESENTATION";"page2",#N/A,FALSE,"PRESENTATION";#N/A,#N/A,FALSE,"Valuation Summary"}</definedName>
    <definedName name="wrn.PRES_OUT5" localSheetId="7" hidden="1">{"page1",#N/A,FALSE,"PRESENTATION";"page2",#N/A,FALSE,"PRESENTATION";#N/A,#N/A,FALSE,"Valuation Summary"}</definedName>
    <definedName name="wrn.PRES_OUT5" hidden="1">{"page1",#N/A,FALSE,"PRESENTATION";"page2",#N/A,FALSE,"PRESENTATION";#N/A,#N/A,FALSE,"Valuation Summary"}</definedName>
    <definedName name="wrn.PRES_OUT6" localSheetId="7" hidden="1">{"page1",#N/A,FALSE,"PRESENTATION";"page2",#N/A,FALSE,"PRESENTATION";#N/A,#N/A,FALSE,"Valuation Summary"}</definedName>
    <definedName name="wrn.PRES_OUT6" hidden="1">{"page1",#N/A,FALSE,"PRESENTATION";"page2",#N/A,FALSE,"PRESENTATION";#N/A,#N/A,FALSE,"Valuation Summary"}</definedName>
    <definedName name="wrn.PRES_OUT8" localSheetId="7" hidden="1">{"page1",#N/A,FALSE,"PRESENTATION";"page2",#N/A,FALSE,"PRESENTATION";#N/A,#N/A,FALSE,"Valuation Summary"}</definedName>
    <definedName name="wrn.PRES_OUT8" hidden="1">{"page1",#N/A,FALSE,"PRESENTATION";"page2",#N/A,FALSE,"PRESENTATION";#N/A,#N/A,FALSE,"Valuation Summary"}</definedName>
    <definedName name="wrn.Print." localSheetId="7" hidden="1">{"vi1",#N/A,FALSE,"Financial Statements";"vi2",#N/A,FALSE,"Financial Statements";#N/A,#N/A,FALSE,"DCF"}</definedName>
    <definedName name="wrn.Print." hidden="1">{"vi1",#N/A,FALSE,"Financial Statements";"vi2",#N/A,FALSE,"Financial Statements";#N/A,#N/A,FALSE,"DCF"}</definedName>
    <definedName name="wrn.PRINT2." localSheetId="7"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3." localSheetId="7" hidden="1">{"PAGE1",#N/A,FALSE,"ADJMODL";"PAGE2",#N/A,FALSE,"ADJMODL";"PAGE3",#N/A,FALSE,"ADJMODL";"PAGE4",#N/A,FALSE,"ADJMODL";"PAGE5",#N/A,FALSE,"ADJMODL";"PAGE6",#N/A,FALSE,"ADJMODL";"PAGE7",#N/A,FALSE,"ADJMODL";"PAGE8",#N/A,FALSE,"ADJMODL"}</definedName>
    <definedName name="wrn.print3." hidden="1">{"PAGE1",#N/A,FALSE,"ADJMODL";"PAGE2",#N/A,FALSE,"ADJMODL";"PAGE3",#N/A,FALSE,"ADJMODL";"PAGE4",#N/A,FALSE,"ADJMODL";"PAGE5",#N/A,FALSE,"ADJMODL";"PAGE6",#N/A,FALSE,"ADJMODL";"PAGE7",#N/A,FALSE,"ADJMODL";"PAGE8",#N/A,FALSE,"ADJMODL"}</definedName>
    <definedName name="wrn.PrintAll." localSheetId="7" hidden="1">{"PA1",#N/A,FALSE,"BORDMW";"pa2",#N/A,FALSE,"BORDMW";"PA3",#N/A,FALSE,"BORDMW";"PA4",#N/A,FALSE,"BORDMW"}</definedName>
    <definedName name="wrn.PrintAll." hidden="1">{"PA1",#N/A,FALSE,"BORDMW";"pa2",#N/A,FALSE,"BORDMW";"PA3",#N/A,FALSE,"BORDMW";"PA4",#N/A,FALSE,"BORDMW"}</definedName>
    <definedName name="wrn.Pump." localSheetId="7"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Red._.Book." localSheetId="7" hidden="1">{#N/A,#N/A,FALSE,"P&amp;LQGRP";#N/A,#N/A,FALSE,"BSQGRP";#N/A,#N/A,FALSE,"P&amp;LFYGP"}</definedName>
    <definedName name="wrn.Red._.Book." hidden="1">{#N/A,#N/A,FALSE,"P&amp;LQGRP";#N/A,#N/A,FALSE,"BSQGRP";#N/A,#N/A,FALSE,"P&amp;LFYGP"}</definedName>
    <definedName name="wrn.RELEVANTSHEETS." localSheetId="7" hidden="1">{#N/A,#N/A,FALSE,"AD_Purch";#N/A,#N/A,FALSE,"Projections";#N/A,#N/A,FALSE,"DCF";#N/A,#N/A,FALSE,"Mkt Val"}</definedName>
    <definedName name="wrn.RELEVANTSHEETS." hidden="1">{#N/A,#N/A,FALSE,"AD_Purch";#N/A,#N/A,FALSE,"Projections";#N/A,#N/A,FALSE,"DCF";#N/A,#N/A,FALSE,"Mkt Val"}</definedName>
    <definedName name="wrn.report." localSheetId="7"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SalesBudgets." localSheetId="7" hidden="1">{#N/A,#N/A,FALSE,"Summary";#N/A,#N/A,FALSE,"Infomercial";#N/A,#N/A,FALSE,"QVC";#N/A,#N/A,FALSE,"Avon";#N/A,#N/A,FALSE,"Fingerhut";#N/A,#N/A,FALSE,"FTF Retail";#N/A,#N/A,FALSE,"Vita - Intit Order";#N/A,#N/A,FALSE,"Vita - 2 Shots";#N/A,#N/A,FALSE,"QVC Vita";#N/A,#N/A,FALSE,"QVC Sales";#N/A,#N/A,FALSE,"DAM"}</definedName>
    <definedName name="wrn.SalesBudgets." hidden="1">{#N/A,#N/A,FALSE,"Summary";#N/A,#N/A,FALSE,"Infomercial";#N/A,#N/A,FALSE,"QVC";#N/A,#N/A,FALSE,"Avon";#N/A,#N/A,FALSE,"Fingerhut";#N/A,#N/A,FALSE,"FTF Retail";#N/A,#N/A,FALSE,"Vita - Intit Order";#N/A,#N/A,FALSE,"Vita - 2 Shots";#N/A,#N/A,FALSE,"QVC Vita";#N/A,#N/A,FALSE,"QVC Sales";#N/A,#N/A,FALSE,"DAM"}</definedName>
    <definedName name="wrn.Set." localSheetId="7" hidden="1">{#N/A,#N/A,FALSE,"High";#N/A,#N/A,FALSE,"Low";#N/A,#N/A,FALSE,"MarketCap";#N/A,#N/A,FALSE,"Alpha"}</definedName>
    <definedName name="wrn.Set." hidden="1">{#N/A,#N/A,FALSE,"High";#N/A,#N/A,FALSE,"Low";#N/A,#N/A,FALSE,"MarketCap";#N/A,#N/A,FALSE,"Alpha"}</definedName>
    <definedName name="wrn.Spec." localSheetId="7" hidden="1">{#N/A,#N/A,FALSE,"Sheet1"}</definedName>
    <definedName name="wrn.Spec." hidden="1">{#N/A,#N/A,FALSE,"Sheet1"}</definedName>
    <definedName name="wrn.Structure." localSheetId="7" hidden="1">{#N/A,#N/A,FALSE,"Structure";#N/A,#N/A,FALSE,"Proj-Cal";#N/A,#N/A,FALSE,"Market"}</definedName>
    <definedName name="wrn.Structure." hidden="1">{#N/A,#N/A,FALSE,"Structure";#N/A,#N/A,FALSE,"Proj-Cal";#N/A,#N/A,FALSE,"Market"}</definedName>
    <definedName name="wrn.summaryANDbackup." localSheetId="7" hidden="1">{#N/A,#N/A,FALSE,"Prem_Sum";#N/A,#N/A,FALSE,"Prem"}</definedName>
    <definedName name="wrn.summaryANDbackup." hidden="1">{#N/A,#N/A,FALSE,"Prem_Sum";#N/A,#N/A,FALSE,"Prem"}</definedName>
    <definedName name="wrn.Szenario." localSheetId="7" hidden="1">{#N/A,#N/A,FALSE,"Deckblatt";#N/A,#N/A,FALSE,"Graphik";#N/A,#N/A,FALSE,"Bilanz"}</definedName>
    <definedName name="wrn.Szenario." hidden="1">{#N/A,#N/A,FALSE,"Deckblatt";#N/A,#N/A,FALSE,"Graphik";#N/A,#N/A,FALSE,"Bilanz"}</definedName>
    <definedName name="wrn.tel2." localSheetId="7"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7"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7" hidden="1">{"OUTLK3YROCC",#N/A,FALSE,"3YR_OCC"}</definedName>
    <definedName name="wrn.TEST." hidden="1">{"OUTLK3YROCC",#N/A,FALSE,"3YR_OCC"}</definedName>
    <definedName name="wrn.TOOL."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7"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7" hidden="1">{#N/A,#N/A,TRUE,"TransPrcd 1";#N/A,#N/A,TRUE,"TransPrcd 2";#N/A,#N/A,TRUE,"TransPrcd 3"}</definedName>
    <definedName name="wrn.TransPrcd_123." hidden="1">{#N/A,#N/A,TRUE,"TransPrcd 1";#N/A,#N/A,TRUE,"TransPrcd 2";#N/A,#N/A,TRUE,"TransPrcd 3"}</definedName>
    <definedName name="wrn.VALUATION." localSheetId="7"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orlage." localSheetId="7" hidden="1">{#N/A,#N/A,FALSE,"Personaleinsatzkosten";#N/A,#N/A,FALSE,"Finanzierungsplan";#N/A,#N/A,FALSE,"Kostenplan Anlage 2";#N/A,#N/A,FALSE,"Absatzplanung";#N/A,#N/A,FALSE,"Anforderungen";#N/A,#N/A,FALSE,"Konzepte";#N/A,#N/A,FALSE,"Konstruktion&amp;Entwicklung";#N/A,#N/A,FALSE,"Fertigung&amp;Erprobung"}</definedName>
    <definedName name="wrn.Vorlage." hidden="1">{#N/A,#N/A,FALSE,"Personaleinsatzkosten";#N/A,#N/A,FALSE,"Finanzierungsplan";#N/A,#N/A,FALSE,"Kostenplan Anlage 2";#N/A,#N/A,FALSE,"Absatzplanung";#N/A,#N/A,FALSE,"Anforderungen";#N/A,#N/A,FALSE,"Konzepte";#N/A,#N/A,FALSE,"Konstruktion&amp;Entwicklung";#N/A,#N/A,FALSE,"Fertigung&amp;Erprobung"}</definedName>
    <definedName name="wrn.WATERTOWN._.BUDGET." localSheetId="7"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estern._.Metal." localSheetId="7"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icor." localSheetId="7" hidden="1">{#N/A,#N/A,FALSE,"FACTSHEETS";#N/A,#N/A,FALSE,"pump";#N/A,#N/A,FALSE,"filter"}</definedName>
    <definedName name="wrn.wicor." hidden="1">{#N/A,#N/A,FALSE,"FACTSHEETS";#N/A,#N/A,FALSE,"pump";#N/A,#N/A,FALSE,"filter"}</definedName>
    <definedName name="wrn2.All." localSheetId="7"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x" localSheetId="7" hidden="1">{#N/A,#N/A,FALSE,"FY97";#N/A,#N/A,FALSE,"FY98";#N/A,#N/A,FALSE,"FY99";#N/A,#N/A,FALSE,"FY00";#N/A,#N/A,FALSE,"FY01"}</definedName>
    <definedName name="x" hidden="1">{#N/A,#N/A,FALSE,"FY97";#N/A,#N/A,FALSE,"FY98";#N/A,#N/A,FALSE,"FY99";#N/A,#N/A,FALSE,"FY00";#N/A,#N/A,FALSE,"FY01"}</definedName>
    <definedName name="xcv" hidden="1">"c161"</definedName>
    <definedName name="xcxzc" localSheetId="7" hidden="1">{#N/A,#N/A,FALSE,"AD_Purchase";#N/A,#N/A,FALSE,"Credit";#N/A,#N/A,FALSE,"PF Acquisition";#N/A,#N/A,FALSE,"PF Offering"}</definedName>
    <definedName name="xcxzc" hidden="1">{#N/A,#N/A,FALSE,"AD_Purchase";#N/A,#N/A,FALSE,"Credit";#N/A,#N/A,FALSE,"PF Acquisition";#N/A,#N/A,FALSE,"PF Offering"}</definedName>
    <definedName name="XREF_COLUMN_1" hidden="1">#REF!</definedName>
    <definedName name="XREF_COLUMN_2" hidden="1">'[21]Intl def'!#REF!</definedName>
    <definedName name="XREF_COLUMN_3" hidden="1">'[21]Intl def'!#REF!</definedName>
    <definedName name="XREF_COLUMN_4" localSheetId="7" hidden="1">#REF!</definedName>
    <definedName name="XREF_COLUMN_4" hidden="1">#REF!</definedName>
    <definedName name="XREF_COLUMN_8" localSheetId="7" hidden="1">#REF!</definedName>
    <definedName name="XREF_COLUMN_8" hidden="1">#REF!</definedName>
    <definedName name="XREF_COLUMN_9" localSheetId="7" hidden="1">#REF!</definedName>
    <definedName name="XREF_COLUMN_9" hidden="1">#REF!</definedName>
    <definedName name="XRefActiveRow" hidden="1">#REF!</definedName>
    <definedName name="XRefCopy1" hidden="1">#REF!</definedName>
    <definedName name="XRefCopy10Row" hidden="1">#REF!</definedName>
    <definedName name="XRefCopy11Row" hidden="1">#REF!</definedName>
    <definedName name="XRefCopy1Row" hidden="1">#REF!</definedName>
    <definedName name="XRefCopy2" hidden="1">#REF!</definedName>
    <definedName name="XRefCopy2Row" hidden="1">#REF!</definedName>
    <definedName name="XRefCopy3" hidden="1">'[22]Exp-vested over periods'!#REF!</definedName>
    <definedName name="XRefCopy3Row" localSheetId="7" hidden="1">#REF!</definedName>
    <definedName name="XRefCopy3Row" hidden="1">#REF!</definedName>
    <definedName name="XRefCopy4Row" localSheetId="7" hidden="1">#REF!</definedName>
    <definedName name="XRefCopy4Row" hidden="1">#REF!</definedName>
    <definedName name="XRefCopy5Row" localSheetId="7" hidden="1">#REF!</definedName>
    <definedName name="XRefCopy5Row" hidden="1">#REF!</definedName>
    <definedName name="XRefCopy6Row" hidden="1">#REF!</definedName>
    <definedName name="XRefCopy8Row" hidden="1">#REF!</definedName>
    <definedName name="XRefCopy9Row" hidden="1">#REF!</definedName>
    <definedName name="XRefPaste1" hidden="1">#REF!</definedName>
    <definedName name="XRefPaste10" hidden="1">[23]Warrants!#REF!</definedName>
    <definedName name="XRefPaste10Row" localSheetId="7" hidden="1">#REF!</definedName>
    <definedName name="XRefPaste10Row" hidden="1">#REF!</definedName>
    <definedName name="XRefPaste11" hidden="1">[23]Warrants!#REF!</definedName>
    <definedName name="XRefPaste11Row" localSheetId="7" hidden="1">#REF!</definedName>
    <definedName name="XRefPaste11Row" hidden="1">#REF!</definedName>
    <definedName name="XRefPaste12" hidden="1">[23]Warrants!#REF!</definedName>
    <definedName name="XRefPaste12Row" localSheetId="7" hidden="1">#REF!</definedName>
    <definedName name="XRefPaste12Row" hidden="1">#REF!</definedName>
    <definedName name="XRefPaste13Row" localSheetId="7" hidden="1">#REF!</definedName>
    <definedName name="XRefPaste13Row" hidden="1">#REF!</definedName>
    <definedName name="XRefPaste14Row" localSheetId="7"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Row" hidden="1">#REF!</definedName>
    <definedName name="XRefPaste2" hidden="1">'[22]Exp-vested over periods'!#REF!</definedName>
    <definedName name="XRefPaste2Row" localSheetId="7" hidden="1">#REF!</definedName>
    <definedName name="XRefPaste2Row" hidden="1">#REF!</definedName>
    <definedName name="XRefPaste3Row" localSheetId="7" hidden="1">#REF!</definedName>
    <definedName name="XRefPaste3Row" hidden="1">#REF!</definedName>
    <definedName name="XRefPaste4Row" localSheetId="7" hidden="1">#REF!</definedName>
    <definedName name="XRefPaste4Row" hidden="1">#REF!</definedName>
    <definedName name="XRefPaste5Row" hidden="1">#REF!</definedName>
    <definedName name="XRefPaste6" hidden="1">[23]Warrants!#REF!</definedName>
    <definedName name="XRefPaste6Row" localSheetId="7" hidden="1">#REF!</definedName>
    <definedName name="XRefPaste6Row" hidden="1">#REF!</definedName>
    <definedName name="XRefPaste7" localSheetId="7" hidden="1">#REF!</definedName>
    <definedName name="XRefPaste7" hidden="1">#REF!</definedName>
    <definedName name="XRefPaste7Row" localSheetId="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XXX" localSheetId="7" hidden="1">{"QTR2",#N/A,FALSE,"OTK6_27";#N/A,#N/A,FALSE,"Q2 Detail";"SIXMTH",#N/A,FALSE,"OTK6_27";"qtr3",#N/A,FALSE,"OTK6_27";#N/A,#N/A,FALSE,"Q3 Detail";"NINEMTH",#N/A,FALSE,"OTK6_27";"qtr4",#N/A,FALSE,"OTK6_27";#N/A,#N/A,FALSE,"Q4 Detail";"YEAR",#N/A,FALSE,"OTK6_27"}</definedName>
    <definedName name="XXXX" hidden="1">{"QTR2",#N/A,FALSE,"OTK6_27";#N/A,#N/A,FALSE,"Q2 Detail";"SIXMTH",#N/A,FALSE,"OTK6_27";"qtr3",#N/A,FALSE,"OTK6_27";#N/A,#N/A,FALSE,"Q3 Detail";"NINEMTH",#N/A,FALSE,"OTK6_27";"qtr4",#N/A,FALSE,"OTK6_27";#N/A,#N/A,FALSE,"Q4 Detail";"YEAR",#N/A,FALSE,"OTK6_27"}</definedName>
    <definedName name="xzxzx" localSheetId="7" hidden="1">{#N/A,#N/A,FALSE,"Performance Flash Report"}</definedName>
    <definedName name="xzxzx" hidden="1">{#N/A,#N/A,FALSE,"Performance Flash Report"}</definedName>
    <definedName name="xzzx" localSheetId="7" hidden="1">{#N/A,#N/A,FALSE,"Performance Flash Report"}</definedName>
    <definedName name="xzzx" hidden="1">{#N/A,#N/A,FALSE,"Performance Flash Report"}</definedName>
    <definedName name="xzzzdvdvd" localSheetId="7" hidden="1">{#N/A,#N/A,FALSE,"Performance Flash Report"}</definedName>
    <definedName name="xzzzdvdvd" hidden="1">{#N/A,#N/A,FALSE,"Performance Flash Report"}</definedName>
    <definedName name="yery" hidden="1">'[3]Variance Sum '!#REF!</definedName>
    <definedName name="yhn" localSheetId="7" hidden="1">{#N/A,#N/A,FALSE,"TS";#N/A,#N/A,FALSE,"Combo";#N/A,#N/A,FALSE,"FAIR";#N/A,#N/A,FALSE,"RBC";#N/A,#N/A,FALSE,"xxxx";#N/A,#N/A,FALSE,"A_D";#N/A,#N/A,FALSE,"WACC";#N/A,#N/A,FALSE,"DCF";#N/A,#N/A,FALSE,"LBO";#N/A,#N/A,FALSE,"AcqMults";#N/A,#N/A,FALSE,"CompMults"}</definedName>
    <definedName name="yhn" hidden="1">{#N/A,#N/A,FALSE,"TS";#N/A,#N/A,FALSE,"Combo";#N/A,#N/A,FALSE,"FAIR";#N/A,#N/A,FALSE,"RBC";#N/A,#N/A,FALSE,"xxxx";#N/A,#N/A,FALSE,"A_D";#N/A,#N/A,FALSE,"WACC";#N/A,#N/A,FALSE,"DCF";#N/A,#N/A,FALSE,"LBO";#N/A,#N/A,FALSE,"AcqMults";#N/A,#N/A,FALSE,"CompMults"}</definedName>
    <definedName name="yu"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ｚ" localSheetId="7" hidden="1">{"'下期集計（10.27迄・速報値）'!$Q$16"}</definedName>
    <definedName name="ｚ" hidden="1">{"'下期集計（10.27迄・速報値）'!$Q$16"}</definedName>
    <definedName name="Z_00AC0B71_AA97_11D0_B456_0000F62B346E_.wvu.Cols" hidden="1">[10]EndNotes!$E$1:$E$65536,[10]EndNotes!#REF!,[10]EndNotes!$K$1:$K$65536,[10]EndNotes!$N$1:$N$65536,[10]EndNotes!$Q$1:$Q$65536</definedName>
    <definedName name="Z_03612579_9F94_11D0_B44C_0000F62B346E_.wvu.Cols" hidden="1">[10]EndNotes!$E$1:$E$65536,[10]EndNotes!#REF!,[10]EndNotes!$K$1:$K$65536,[10]EndNotes!$N$1:$N$65536,[10]EndNotes!$Q$1:$Q$65536</definedName>
    <definedName name="Z_0D98A7A4_2260_11D4_AA58_0000F6853C78_.wvu.PrintArea" hidden="1">#REF!</definedName>
    <definedName name="Z_0D98A7A4_2260_11D4_AA58_0000F6853C78_.wvu.PrintTitles" hidden="1">#REF!</definedName>
    <definedName name="Z_128D8F34_9864_4F93_98E2_12587B58B6EC_.wvu.Cols" hidden="1">'[11]IS Detail-budget run1_ Updated'!#REF!,'[11]IS Detail-budget run1_ Updated'!#REF!,'[11]IS Detail-budget run1_ Updated'!$E$1:$G$65536,'[11]IS Detail-budget run1_ Updated'!#REF!,'[11]IS Detail-budget run1_ Updated'!#REF!</definedName>
    <definedName name="Z_128D8F34_9864_4F93_98E2_12587B58B6EC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Cols" hidden="1">'[11]IS Detail-budget run1_ Updated'!#REF!,'[11]IS Detail-budget run1_ Updated'!$E$1:$N$65536,'[11]IS Detail-budget run1_ Updated'!#REF!</definedName>
    <definedName name="Z_47939A2C_A55D_46B4_84FB_3CD5372CD5C0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75267AA9_531D_11D4_AA58_0000F6785B90_.wvu.PrintArea" hidden="1">#REF!</definedName>
    <definedName name="Z_87C0A393_8FDF_11D0_B43D_0000F62B346E_.wvu.Cols" hidden="1">[10]EndNotes!$E$1:$E$65536,[10]EndNotes!#REF!,[10]EndNotes!$K$1:$K$65536,[10]EndNotes!$N$1:$N$65536,[10]EndNotes!$Q$1:$Q$65536</definedName>
    <definedName name="Z_919A0F12_8EB4_11D0_B43A_0000F62B346E_.wvu.Cols" hidden="1">[10]EndNotes!$E$1:$E$65536,[10]EndNotes!#REF!,[10]EndNotes!$K$1:$K$65536,[10]EndNotes!$N$1:$N$65536,[10]EndNotes!$Q$1:$Q$65536</definedName>
    <definedName name="Z_9B47E6EA_A5DE_11D0_B453_0000F62B346E_.wvu.Cols" hidden="1">[10]EndNotes!$E$1:$E$65536,[10]EndNotes!#REF!,[10]EndNotes!$K$1:$K$65536,[10]EndNotes!$N$1:$N$65536,[10]EndNotes!$Q$1:$Q$65536</definedName>
    <definedName name="Z_AB4E8A99_200A_11D4_AA58_0000F685A907_.wvu.Cols" hidden="1">#REF!</definedName>
    <definedName name="Z_AB4E8A99_200A_11D4_AA58_0000F685A907_.wvu.PrintArea" hidden="1">#REF!</definedName>
    <definedName name="Z_BE5CA973_A6A8_11D0_B454_0000F62B346E_.wvu.Cols" hidden="1">[10]EndNotes!$E$1:$E$65536,[10]EndNotes!#REF!,[10]EndNotes!$K$1:$K$65536,[10]EndNotes!$N$1:$N$65536,[10]EndNotes!$Q$1:$Q$65536</definedName>
    <definedName name="Z_BE5CA977_A6A8_11D0_B454_0000F62B346E_.wvu.Cols" hidden="1">[10]EndNotes!$E$1:$E$65536,[10]EndNotes!#REF!,[10]EndNotes!$K$1:$K$65536,[10]EndNotes!$N$1:$N$65536,[10]EndNotes!$Q$1:$Q$65536</definedName>
    <definedName name="Z_CD3E4CF3_A54F_11D0_B452_0000F62B346E_.wvu.Cols" hidden="1">[10]EndNotes!$E$1:$E$65536,[10]EndNotes!#REF!,[10]EndNotes!$K$1:$K$65536,[10]EndNotes!$N$1:$N$65536,[10]EndNotes!$Q$1:$Q$65536</definedName>
    <definedName name="zcvqa" localSheetId="7" hidden="1">{#N/A,#N/A,FALSE,"AD_Purchase";#N/A,#N/A,FALSE,"Credit";#N/A,#N/A,FALSE,"PF Acquisition";#N/A,#N/A,FALSE,"PF Offering"}</definedName>
    <definedName name="zcvqa" hidden="1">{#N/A,#N/A,FALSE,"AD_Purchase";#N/A,#N/A,FALSE,"Credit";#N/A,#N/A,FALSE,"PF Acquisition";#N/A,#N/A,FALSE,"PF Offering"}</definedName>
    <definedName name="zcvzaa" localSheetId="7" hidden="1">{#N/A,#N/A,FALSE,"Debt Accr";#N/A,#N/A,FALSE,"Stock Accr";#N/A,#N/A,FALSE,"Debt Stock Accr"}</definedName>
    <definedName name="zcvzaa" hidden="1">{#N/A,#N/A,FALSE,"Debt Accr";#N/A,#N/A,FALSE,"Stock Accr";#N/A,#N/A,FALSE,"Debt Stock Accr"}</definedName>
    <definedName name="zcxzxva" localSheetId="7" hidden="1">{#N/A,#N/A,FALSE,"HuscoCombined-Summ";#N/A,#N/A,FALSE,"HuscoCombined-Income";#N/A,#N/A,FALSE,"HuscoCombined-Offering";#N/A,#N/A,FALSE,"Husco-Income";#N/A,#N/A,FALSE,"TargetEngineer";#N/A,#N/A,FALSE,"TargetAcqCalc";#N/A,#N/A,FALSE,"Husco-Acq"}</definedName>
    <definedName name="zcxzxva" hidden="1">{#N/A,#N/A,FALSE,"HuscoCombined-Summ";#N/A,#N/A,FALSE,"HuscoCombined-Income";#N/A,#N/A,FALSE,"HuscoCombined-Offering";#N/A,#N/A,FALSE,"Husco-Income";#N/A,#N/A,FALSE,"TargetEngineer";#N/A,#N/A,FALSE,"TargetAcqCalc";#N/A,#N/A,FALSE,"Husco-Acq"}</definedName>
    <definedName name="zdcgsdfgsdf" hidden="1">'[3]Variance Sum '!#REF!</definedName>
    <definedName name="Zortnew" localSheetId="7" hidden="1">{"p1TOC",#N/A,FALSE,"DCF_Summary";"p23summary",#N/A,FALSE,"DCF_Summary";"p4contact",#N/A,FALSE,"Contact Lake";"p5kumtor",#N/A,FALSE,"Kumtor";#N/A,#N/A,FALSE,"CCAU_NAV";"p8compdata",#N/A,FALSE,"Gold_Comps";#N/A,#N/A,FALSE,"Comp_Valuation"}</definedName>
    <definedName name="Zortnew" localSheetId="8" hidden="1">{"p1TOC",#N/A,FALSE,"DCF_Summary";"p23summary",#N/A,FALSE,"DCF_Summary";"p4contact",#N/A,FALSE,"Contact Lake";"p5kumtor",#N/A,FALSE,"Kumtor";#N/A,#N/A,FALSE,"CCAU_NAV";"p8compdata",#N/A,FALSE,"Gold_Comps";#N/A,#N/A,FALSE,"Comp_Valuation"}</definedName>
    <definedName name="Zortnew" hidden="1">{"p1TOC",#N/A,FALSE,"DCF_Summary";"p23summary",#N/A,FALSE,"DCF_Summary";"p4contact",#N/A,FALSE,"Contact Lake";"p5kumtor",#N/A,FALSE,"Kumtor";#N/A,#N/A,FALSE,"CCAU_NAV";"p8compdata",#N/A,FALSE,"Gold_Comps";#N/A,#N/A,FALSE,"Comp_Valuation"}</definedName>
    <definedName name="zscz" localSheetId="7" hidden="1">{#N/A,#N/A,FALSE,"Pooling";#N/A,#N/A,FALSE,"income";#N/A,#N/A,FALSE,"valuation"}</definedName>
    <definedName name="zscz" hidden="1">{#N/A,#N/A,FALSE,"Pooling";#N/A,#N/A,FALSE,"income";#N/A,#N/A,FALSE,"valuation"}</definedName>
    <definedName name="zx" localSheetId="7" hidden="1">{#N/A,#N/A,FALSE,"AD_Purchase";#N/A,#N/A,FALSE,"Credit";#N/A,#N/A,FALSE,"PF Acquisition";#N/A,#N/A,FALSE,"PF Offering"}</definedName>
    <definedName name="zx" hidden="1">{#N/A,#N/A,FALSE,"AD_Purchase";#N/A,#N/A,FALSE,"Credit";#N/A,#N/A,FALSE,"PF Acquisition";#N/A,#N/A,FALSE,"PF Offering"}</definedName>
    <definedName name="zxcc" localSheetId="7" hidden="1">{#N/A,#N/A,FALSE,"Projections";#N/A,#N/A,FALSE,"Contribution_Stock";#N/A,#N/A,FALSE,"PF_Combo_Stock";#N/A,#N/A,FALSE,"Projections";#N/A,#N/A,FALSE,"Contribution_Cash";#N/A,#N/A,FALSE,"PF_Combo_Cash";#N/A,#N/A,FALSE,"IPO_Cash"}</definedName>
    <definedName name="zxcc" hidden="1">{#N/A,#N/A,FALSE,"Projections";#N/A,#N/A,FALSE,"Contribution_Stock";#N/A,#N/A,FALSE,"PF_Combo_Stock";#N/A,#N/A,FALSE,"Projections";#N/A,#N/A,FALSE,"Contribution_Cash";#N/A,#N/A,FALSE,"PF_Combo_Cash";#N/A,#N/A,FALSE,"IPO_Cash"}</definedName>
    <definedName name="ぁ" localSheetId="7" hidden="1">{"'下期集計（10.27迄・速報値）'!$Q$16"}</definedName>
    <definedName name="ぁ" hidden="1">{"'下期集計（10.27迄・速報値）'!$Q$16"}</definedName>
    <definedName name="あ" localSheetId="7" hidden="1">{"'下期集計（10.27迄・速報値）'!$Q$16"}</definedName>
    <definedName name="あ" hidden="1">{"'下期集計（10.27迄・速報値）'!$Q$16"}</definedName>
    <definedName name="あああ" localSheetId="7" hidden="1">{"'下期集計（10.27迄・速報値）'!$Q$16"}</definedName>
    <definedName name="あああ" hidden="1">{"'下期集計（10.27迄・速報値）'!$Q$16"}</definedName>
    <definedName name="なんで" localSheetId="7" hidden="1">{"'下期集計（10.27迄・速報値）'!$Q$16"}</definedName>
    <definedName name="なんで" hidden="1">{"'下期集計（10.27迄・速報値）'!$Q$16"}</definedName>
    <definedName name="なんなの" localSheetId="7" hidden="1">{"'下期集計（10.27迄・速報値）'!$Q$16"}</definedName>
    <definedName name="なんなの" hidden="1">{"'下期集計（10.27迄・速報値）'!$Q$16"}</definedName>
    <definedName name="경영" localSheetId="7" hidden="1">{"'Sheet1'!$A$1:$H$36"}</definedName>
    <definedName name="경영" hidden="1">{"'Sheet1'!$A$1:$H$36"}</definedName>
    <definedName name="급여1" hidden="1">#REF!</definedName>
    <definedName name="ㅁㅁ" hidden="1">[24]FAB별!#REF!</definedName>
    <definedName name="수정4월25일" localSheetId="7" hidden="1">{"'Sheet1'!$A$1:$H$36"}</definedName>
    <definedName name="수정4월25일" hidden="1">{"'Sheet1'!$A$1:$H$36"}</definedName>
    <definedName name="이" hidden="1">#REF!</definedName>
    <definedName name="전산장비" localSheetId="7" hidden="1">{"'Sheet1'!$A$1:$H$36"}</definedName>
    <definedName name="전산장비" hidden="1">{"'Sheet1'!$A$1:$H$36"}</definedName>
    <definedName name="청" hidden="1">#REF!</definedName>
    <definedName name="표지2" hidden="1">0</definedName>
    <definedName name="年間収支買掛" localSheetId="7" hidden="1">{"'下期集計（10.27迄・速報値）'!$Q$16"}</definedName>
    <definedName name="年間収支買掛" hidden="1">{"'下期集計（10.27迄・速報値）'!$Q$16"}</definedName>
    <definedName name="年間資金収支あ" localSheetId="7" hidden="1">{"'下期集計（10.27迄・速報値）'!$Q$16"}</definedName>
    <definedName name="年間資金収支あ" hidden="1">{"'下期集計（10.27迄・速報値）'!$Q$16"}</definedName>
    <definedName name="日繰06" localSheetId="7" hidden="1">{"'下期集計（10.27迄・速報値）'!$Q$16"}</definedName>
    <definedName name="日繰06" hidden="1">{"'下期集計（10.27迄・速報値）'!$Q$16"}</definedName>
    <definedName name="要処理資産②" localSheetId="7" hidden="1">{"'下期集計（10.27迄・速報値）'!$Q$16"}</definedName>
    <definedName name="要処理資産②" hidden="1">{"'下期集計（10.27迄・速報値）'!$Q$16"}</definedName>
    <definedName name="資金" localSheetId="7" hidden="1">{"'下期集計（10.27迄・速報値）'!$Q$16"}</definedName>
    <definedName name="資金" hidden="1">{"'下期集計（10.27迄・速報値）'!$Q$16"}</definedName>
    <definedName name="金利体系" localSheetId="7" hidden="1">{"'下期集計（10.27迄・速報値）'!$Q$16"}</definedName>
    <definedName name="金利体系" hidden="1">{"'下期集計（10.27迄・速報値）'!$Q$16"}</definedName>
    <definedName name="関連" localSheetId="7" hidden="1">{"'下期集計（10.27迄・速報値）'!$Q$16"}</definedName>
    <definedName name="関連" hidden="1">{"'下期集計（10.27迄・速報値）'!$Q$16"}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V84" i="13" l="1"/>
  <c r="BU55" i="13"/>
  <c r="BV55" i="13" s="1"/>
  <c r="BU50" i="13"/>
  <c r="BV50" i="13" s="1"/>
  <c r="CC35" i="13"/>
  <c r="BV77" i="12" l="1"/>
  <c r="BU62" i="12"/>
  <c r="BU45" i="12"/>
  <c r="BU43" i="12"/>
  <c r="BU41" i="12"/>
  <c r="BU33" i="12"/>
  <c r="BU87" i="12"/>
  <c r="BU109" i="12" l="1"/>
  <c r="BU110" i="12" s="1"/>
  <c r="BU108" i="12"/>
  <c r="BU74" i="12"/>
  <c r="BU79" i="12" s="1"/>
  <c r="BU64" i="12"/>
  <c r="BU47" i="12"/>
  <c r="BU35" i="12"/>
  <c r="BU28" i="12"/>
  <c r="BU24" i="12"/>
  <c r="BU19" i="12"/>
  <c r="BU14" i="12"/>
  <c r="BU7" i="12"/>
  <c r="BU6" i="12"/>
  <c r="BU39" i="13"/>
  <c r="BU10" i="13"/>
  <c r="BU11" i="14"/>
  <c r="BU20" i="14" s="1"/>
  <c r="D39" i="15"/>
  <c r="D38" i="15"/>
  <c r="D32" i="15"/>
  <c r="D5" i="15"/>
  <c r="G39" i="15"/>
  <c r="G38" i="15"/>
  <c r="G32" i="15"/>
  <c r="K28" i="15"/>
  <c r="BU37" i="12" l="1"/>
  <c r="BU49" i="12" s="1"/>
  <c r="BU44" i="12"/>
  <c r="BU46" i="12"/>
  <c r="BU9" i="12"/>
  <c r="BU38" i="12"/>
  <c r="BU42" i="12"/>
  <c r="BU29" i="12"/>
  <c r="BU34" i="12"/>
  <c r="BT87" i="12"/>
  <c r="G28" i="15" s="1"/>
  <c r="BT74" i="12"/>
  <c r="BT59" i="12"/>
  <c r="BS2" i="13"/>
  <c r="BT72" i="13"/>
  <c r="BU72" i="13" s="1"/>
  <c r="BT68" i="13"/>
  <c r="BU68" i="13" s="1"/>
  <c r="BT62" i="12"/>
  <c r="BT45" i="12"/>
  <c r="G13" i="15" s="1"/>
  <c r="BT43" i="12"/>
  <c r="G12" i="15" s="1"/>
  <c r="BT41" i="12"/>
  <c r="G11" i="15" s="1"/>
  <c r="BT33" i="12"/>
  <c r="BT34" i="12"/>
  <c r="BT39" i="13"/>
  <c r="BT10" i="13"/>
  <c r="BT109" i="12"/>
  <c r="BT110" i="12" s="1"/>
  <c r="BT108" i="12"/>
  <c r="BT28" i="12"/>
  <c r="G5" i="15" s="1"/>
  <c r="BT24" i="12"/>
  <c r="BU27" i="12" s="1"/>
  <c r="BT19" i="12"/>
  <c r="BU22" i="12" s="1"/>
  <c r="BT14" i="12"/>
  <c r="BT7" i="12"/>
  <c r="BT6" i="12"/>
  <c r="BT11" i="14"/>
  <c r="BT20" i="14" s="1"/>
  <c r="BT47" i="12" l="1"/>
  <c r="BU30" i="12"/>
  <c r="BU17" i="12"/>
  <c r="BU10" i="12"/>
  <c r="BU66" i="12"/>
  <c r="BU50" i="12"/>
  <c r="BU86" i="12"/>
  <c r="BT79" i="12"/>
  <c r="G25" i="15" s="1"/>
  <c r="G24" i="15"/>
  <c r="BT64" i="12"/>
  <c r="G19" i="15" s="1"/>
  <c r="BT44" i="12"/>
  <c r="BT42" i="12"/>
  <c r="BT46" i="12"/>
  <c r="BT9" i="12"/>
  <c r="BT35" i="12"/>
  <c r="BT4" i="13"/>
  <c r="BT4" i="14"/>
  <c r="BT10" i="12" l="1"/>
  <c r="BU12" i="12"/>
  <c r="BU89" i="12"/>
  <c r="BU88" i="12"/>
  <c r="BU92" i="12"/>
  <c r="BU67" i="12"/>
  <c r="BT37" i="12"/>
  <c r="BT38" i="12" s="1"/>
  <c r="G6" i="15"/>
  <c r="BS109" i="12"/>
  <c r="BS110" i="12" s="1"/>
  <c r="BS108" i="12"/>
  <c r="BR81" i="12"/>
  <c r="BS14" i="12"/>
  <c r="BS24" i="12"/>
  <c r="BT27" i="12" s="1"/>
  <c r="BS19" i="12"/>
  <c r="BS34" i="12"/>
  <c r="BS45" i="12"/>
  <c r="BS59" i="12"/>
  <c r="BS62" i="12"/>
  <c r="BV62" i="12" s="1"/>
  <c r="BS43" i="12"/>
  <c r="BS41" i="12"/>
  <c r="BS33" i="12"/>
  <c r="BS79" i="13"/>
  <c r="BT79" i="13" s="1"/>
  <c r="BU79" i="13" s="1"/>
  <c r="BS73" i="13"/>
  <c r="BT73" i="13" s="1"/>
  <c r="BU73" i="13" s="1"/>
  <c r="BU89" i="13" s="1"/>
  <c r="BS49" i="13"/>
  <c r="BT49" i="13" s="1"/>
  <c r="BU49" i="13" s="1"/>
  <c r="BS48" i="13"/>
  <c r="BT48" i="13" s="1"/>
  <c r="BU48" i="13" s="1"/>
  <c r="BS51" i="13"/>
  <c r="BS46" i="13"/>
  <c r="BS41" i="13"/>
  <c r="BT41" i="13" s="1"/>
  <c r="BU41" i="13" s="1"/>
  <c r="BS40" i="13"/>
  <c r="BT40" i="13" s="1"/>
  <c r="BU40" i="13" s="1"/>
  <c r="BS38" i="13"/>
  <c r="BT38" i="13" s="1"/>
  <c r="BU38" i="13" s="1"/>
  <c r="BS37" i="13"/>
  <c r="BT37" i="13" s="1"/>
  <c r="BU37" i="13" s="1"/>
  <c r="BS36" i="13"/>
  <c r="BT36" i="13" s="1"/>
  <c r="BU36" i="13" s="1"/>
  <c r="BS35" i="13"/>
  <c r="BT35" i="13" s="1"/>
  <c r="BU35" i="13" s="1"/>
  <c r="BS34" i="13"/>
  <c r="BT34" i="13" s="1"/>
  <c r="BU34" i="13" s="1"/>
  <c r="BS33" i="13"/>
  <c r="BT33" i="13" s="1"/>
  <c r="BU33" i="13" s="1"/>
  <c r="BS19" i="13"/>
  <c r="BS27" i="13"/>
  <c r="BT27" i="13" s="1"/>
  <c r="BU27" i="13" s="1"/>
  <c r="BS18" i="13"/>
  <c r="BT18" i="13" s="1"/>
  <c r="BU18" i="13" s="1"/>
  <c r="BS24" i="13"/>
  <c r="BS29" i="13"/>
  <c r="BT29" i="13" s="1"/>
  <c r="BU29" i="13" s="1"/>
  <c r="BS15" i="13"/>
  <c r="BT15" i="13" s="1"/>
  <c r="BU15" i="13" s="1"/>
  <c r="BS14" i="13"/>
  <c r="BT14" i="13" s="1"/>
  <c r="BU14" i="13" s="1"/>
  <c r="BS12" i="13"/>
  <c r="BT12" i="13" s="1"/>
  <c r="BU12" i="13" s="1"/>
  <c r="BS13" i="13"/>
  <c r="BT13" i="13" s="1"/>
  <c r="BU13" i="13" s="1"/>
  <c r="BS11" i="13"/>
  <c r="BT11" i="13" s="1"/>
  <c r="BU11" i="13" s="1"/>
  <c r="BS8" i="13"/>
  <c r="BS10" i="13"/>
  <c r="D10" i="27"/>
  <c r="D13" i="27"/>
  <c r="BT51" i="13" l="1"/>
  <c r="BU51" i="13" s="1"/>
  <c r="BT49" i="12"/>
  <c r="BT50" i="12" s="1"/>
  <c r="BT24" i="13"/>
  <c r="BU24" i="13" s="1"/>
  <c r="BV24" i="13"/>
  <c r="BT22" i="12"/>
  <c r="BT17" i="12"/>
  <c r="BU95" i="12"/>
  <c r="BU94" i="12"/>
  <c r="BU90" i="12"/>
  <c r="BU98" i="12"/>
  <c r="BN14" i="12"/>
  <c r="BS16" i="12" s="1"/>
  <c r="BT89" i="13"/>
  <c r="G14" i="15"/>
  <c r="BT46" i="13"/>
  <c r="BT8" i="13"/>
  <c r="BT66" i="12"/>
  <c r="BT86" i="12"/>
  <c r="BS9" i="13"/>
  <c r="BT60" i="13" l="1"/>
  <c r="BU46" i="13"/>
  <c r="BU60" i="13" s="1"/>
  <c r="BT9" i="13"/>
  <c r="BU8" i="13"/>
  <c r="BU9" i="13" s="1"/>
  <c r="BV51" i="13"/>
  <c r="BU83" i="12"/>
  <c r="BU84" i="12" s="1"/>
  <c r="BU96" i="12"/>
  <c r="BU100" i="12"/>
  <c r="BT67" i="12"/>
  <c r="BT92" i="12"/>
  <c r="BT88" i="12"/>
  <c r="BT89" i="12"/>
  <c r="BR24" i="12"/>
  <c r="BT98" i="12" l="1"/>
  <c r="BT90" i="12"/>
  <c r="BT95" i="12"/>
  <c r="BT94" i="12"/>
  <c r="BR109" i="12"/>
  <c r="BR110" i="12" s="1"/>
  <c r="BR108" i="12"/>
  <c r="BT100" i="12" l="1"/>
  <c r="BT96" i="12"/>
  <c r="BR59" i="12"/>
  <c r="BR45" i="12"/>
  <c r="BR46" i="12" s="1"/>
  <c r="BR43" i="12"/>
  <c r="BR44" i="12" s="1"/>
  <c r="BR41" i="12"/>
  <c r="BR42" i="12" s="1"/>
  <c r="BR33" i="12"/>
  <c r="BR10" i="13"/>
  <c r="BR9" i="13" s="1"/>
  <c r="S21" i="27" l="1"/>
  <c r="Q21" i="27"/>
  <c r="K21" i="27"/>
  <c r="O26" i="27"/>
  <c r="Q28" i="27"/>
  <c r="M26" i="27"/>
  <c r="J26" i="27"/>
  <c r="I26" i="27"/>
  <c r="P26" i="27"/>
  <c r="L26" i="27"/>
  <c r="G30" i="27"/>
  <c r="AB28" i="27"/>
  <c r="Z26" i="27"/>
  <c r="AB30" i="27"/>
  <c r="J30" i="27"/>
  <c r="K26" i="27"/>
  <c r="Q26" i="27"/>
  <c r="Y28" i="27"/>
  <c r="AB26" i="27"/>
  <c r="P30" i="27"/>
  <c r="L28" i="27"/>
  <c r="H30" i="27"/>
  <c r="H26" i="27"/>
  <c r="H28" i="27"/>
  <c r="Y30" i="27"/>
  <c r="X30" i="27"/>
  <c r="Q30" i="27"/>
  <c r="E30" i="27"/>
  <c r="N28" i="27"/>
  <c r="N30" i="27"/>
  <c r="M28" i="27"/>
  <c r="G26" i="27"/>
  <c r="Z28" i="27"/>
  <c r="P28" i="27"/>
  <c r="S28" i="27"/>
  <c r="N26" i="27"/>
  <c r="O28" i="27"/>
  <c r="K30" i="27"/>
  <c r="J28" i="27"/>
  <c r="I28" i="27"/>
  <c r="S26" i="27"/>
  <c r="O30" i="27"/>
  <c r="R28" i="27"/>
  <c r="L30" i="27"/>
  <c r="S30" i="27"/>
  <c r="F28" i="27"/>
  <c r="R26" i="27"/>
  <c r="X26" i="27"/>
  <c r="E28" i="27"/>
  <c r="F30" i="27"/>
  <c r="AA26" i="27"/>
  <c r="AA30" i="27"/>
  <c r="M30" i="27"/>
  <c r="G28" i="27"/>
  <c r="K28" i="27"/>
  <c r="I30" i="27"/>
  <c r="Y26" i="27"/>
  <c r="E26" i="27"/>
  <c r="X28" i="27"/>
  <c r="R30" i="27"/>
  <c r="AA28" i="27"/>
  <c r="Z30" i="27"/>
  <c r="F26" i="27"/>
  <c r="U28" i="27"/>
  <c r="U30" i="27"/>
  <c r="U26" i="27"/>
  <c r="T26" i="27"/>
  <c r="T30" i="27"/>
  <c r="T28" i="27"/>
  <c r="W30" i="27"/>
  <c r="W28" i="27"/>
  <c r="W26" i="27"/>
  <c r="V28" i="27"/>
  <c r="V30" i="27"/>
  <c r="V26" i="27"/>
  <c r="S22" i="27"/>
  <c r="K22" i="27"/>
  <c r="Q22" i="27"/>
  <c r="BP109" i="12" l="1"/>
  <c r="BP110" i="12" s="1"/>
  <c r="BP108" i="12"/>
  <c r="AK40" i="28"/>
  <c r="AJ40" i="28"/>
  <c r="AI40" i="28"/>
  <c r="AH40" i="28"/>
  <c r="AK39" i="28"/>
  <c r="AJ39" i="28"/>
  <c r="AI39" i="28"/>
  <c r="AH39" i="28"/>
  <c r="AK37" i="28"/>
  <c r="AJ37" i="28"/>
  <c r="AI37" i="28"/>
  <c r="AH37" i="28"/>
  <c r="AK36" i="28"/>
  <c r="AJ36" i="28"/>
  <c r="AI36" i="28"/>
  <c r="AH36" i="28"/>
  <c r="AK32" i="28"/>
  <c r="AJ32" i="28"/>
  <c r="AI32" i="28"/>
  <c r="AH32" i="28"/>
  <c r="AK28" i="28"/>
  <c r="AJ28" i="28"/>
  <c r="AI28" i="28"/>
  <c r="AH28" i="28"/>
  <c r="AK24" i="28"/>
  <c r="AJ24" i="28"/>
  <c r="AI24" i="28"/>
  <c r="AH24" i="28"/>
  <c r="AK16" i="28"/>
  <c r="AJ16" i="28"/>
  <c r="AI16" i="28"/>
  <c r="AH16" i="28"/>
  <c r="AK8" i="28"/>
  <c r="AJ8" i="28"/>
  <c r="AI8" i="28"/>
  <c r="AH8" i="28"/>
  <c r="AK7" i="28"/>
  <c r="AJ7" i="28"/>
  <c r="AI7" i="28"/>
  <c r="AH7" i="28"/>
  <c r="AK6" i="28"/>
  <c r="AJ6" i="28"/>
  <c r="AI6" i="28"/>
  <c r="AH6" i="28"/>
  <c r="AL5" i="28"/>
  <c r="AL4" i="28"/>
  <c r="AK4" i="28"/>
  <c r="AJ4" i="28"/>
  <c r="AI4" i="28"/>
  <c r="AH4" i="28"/>
  <c r="CA91" i="13"/>
  <c r="BZ89" i="13"/>
  <c r="BY89" i="13"/>
  <c r="BX89" i="13"/>
  <c r="BW89" i="13"/>
  <c r="CA88" i="13"/>
  <c r="CA86" i="13"/>
  <c r="CA85" i="13"/>
  <c r="CA83" i="13"/>
  <c r="CA82" i="13"/>
  <c r="CA81" i="13"/>
  <c r="CA80" i="13"/>
  <c r="CA79" i="13"/>
  <c r="CA77" i="13"/>
  <c r="CA76" i="13"/>
  <c r="CA75" i="13"/>
  <c r="CA73" i="13"/>
  <c r="CA72" i="13"/>
  <c r="CA71" i="13"/>
  <c r="CA69" i="13"/>
  <c r="CA68" i="13"/>
  <c r="CA67" i="13"/>
  <c r="BZ60" i="13"/>
  <c r="BY60" i="13"/>
  <c r="BX60" i="13"/>
  <c r="BW60" i="13"/>
  <c r="CA59" i="13"/>
  <c r="CA58" i="13"/>
  <c r="CA57" i="13"/>
  <c r="CA54" i="13"/>
  <c r="CA49" i="13"/>
  <c r="CA48" i="13"/>
  <c r="CA47" i="13"/>
  <c r="CA46" i="13"/>
  <c r="CA35" i="13"/>
  <c r="CA31" i="13"/>
  <c r="BZ29" i="13"/>
  <c r="BY29" i="13"/>
  <c r="BX29" i="13"/>
  <c r="BW29" i="13"/>
  <c r="CA28" i="13"/>
  <c r="CA27" i="13"/>
  <c r="CA26" i="13"/>
  <c r="CA25" i="13"/>
  <c r="CA21" i="13"/>
  <c r="CA20" i="13"/>
  <c r="CA19" i="13"/>
  <c r="CA18" i="13"/>
  <c r="CA17" i="13"/>
  <c r="CA16" i="13"/>
  <c r="BZ15" i="13"/>
  <c r="BY15" i="13"/>
  <c r="BX15" i="13"/>
  <c r="BW15" i="13"/>
  <c r="CA14" i="13"/>
  <c r="CA13" i="13"/>
  <c r="CA12" i="13"/>
  <c r="CA11" i="13"/>
  <c r="BZ10" i="13"/>
  <c r="BY10" i="13"/>
  <c r="BX10" i="13"/>
  <c r="BW10" i="13"/>
  <c r="CA43" i="14"/>
  <c r="BY42" i="14"/>
  <c r="BZ42" i="14" s="1"/>
  <c r="CA42" i="14" s="1"/>
  <c r="CA41" i="14"/>
  <c r="CA40" i="14"/>
  <c r="CA36" i="14"/>
  <c r="BX35" i="14"/>
  <c r="BY35" i="14" s="1"/>
  <c r="BZ35" i="14" s="1"/>
  <c r="CA35" i="14" s="1"/>
  <c r="CA17" i="14"/>
  <c r="CA14" i="14"/>
  <c r="BZ133" i="12"/>
  <c r="BY133" i="12"/>
  <c r="BX133" i="12"/>
  <c r="BW133" i="12"/>
  <c r="BZ117" i="12"/>
  <c r="BY117" i="12"/>
  <c r="BX117" i="12"/>
  <c r="CA115" i="12"/>
  <c r="BZ115" i="12"/>
  <c r="BY115" i="12"/>
  <c r="BX115" i="12"/>
  <c r="BW115" i="12"/>
  <c r="BZ93" i="12"/>
  <c r="BY93" i="12"/>
  <c r="BX93" i="12"/>
  <c r="BW93" i="12"/>
  <c r="CA87" i="12"/>
  <c r="CA81" i="12"/>
  <c r="CA78" i="12"/>
  <c r="CA76" i="12"/>
  <c r="BZ74" i="12"/>
  <c r="BZ79" i="12" s="1"/>
  <c r="BY74" i="12"/>
  <c r="BY79" i="12" s="1"/>
  <c r="BX74" i="12"/>
  <c r="BX79" i="12" s="1"/>
  <c r="BW74" i="12"/>
  <c r="BW79" i="12" s="1"/>
  <c r="CA73" i="12"/>
  <c r="CA72" i="12"/>
  <c r="CA70" i="12"/>
  <c r="CA69" i="12"/>
  <c r="BZ64" i="12"/>
  <c r="BY64" i="12"/>
  <c r="BX64" i="12"/>
  <c r="BW64" i="12"/>
  <c r="CA63" i="12"/>
  <c r="CA61" i="12"/>
  <c r="CA60" i="12"/>
  <c r="CA59" i="12"/>
  <c r="CA58" i="12"/>
  <c r="CA57" i="12"/>
  <c r="CA56" i="12"/>
  <c r="CA55" i="12"/>
  <c r="CA54" i="12"/>
  <c r="CA53" i="12"/>
  <c r="CA60" i="13" l="1"/>
  <c r="CA64" i="12"/>
  <c r="CA29" i="13"/>
  <c r="CA93" i="12"/>
  <c r="CA10" i="13"/>
  <c r="CA89" i="13"/>
  <c r="CA74" i="12"/>
  <c r="CA79" i="12" s="1"/>
  <c r="CA15" i="13"/>
  <c r="BP73" i="14"/>
  <c r="BP72" i="14"/>
  <c r="BP71" i="14"/>
  <c r="BP70" i="14"/>
  <c r="BP69" i="14"/>
  <c r="BP68" i="14"/>
  <c r="BP67" i="14"/>
  <c r="BP63" i="14"/>
  <c r="BP62" i="14"/>
  <c r="BP61" i="14"/>
  <c r="BP39" i="13"/>
  <c r="BP14" i="12" l="1"/>
  <c r="BU16" i="12" s="1"/>
  <c r="BP10" i="12" l="1"/>
  <c r="BP25" i="12" s="1"/>
  <c r="BP24" i="12" s="1"/>
  <c r="BU26" i="12" s="1"/>
  <c r="BP19" i="12"/>
  <c r="BU21" i="12" s="1"/>
  <c r="BP87" i="12"/>
  <c r="D28" i="15" s="1"/>
  <c r="BP77" i="12"/>
  <c r="BP59" i="12"/>
  <c r="BP43" i="12"/>
  <c r="BP45" i="12"/>
  <c r="BP41" i="12"/>
  <c r="BP33" i="12"/>
  <c r="BP34" i="12" s="1"/>
  <c r="BQ24" i="13"/>
  <c r="BP21" i="13"/>
  <c r="BQ23" i="13"/>
  <c r="BQ22" i="13"/>
  <c r="BP46" i="12" l="1"/>
  <c r="D13" i="15"/>
  <c r="BP42" i="12"/>
  <c r="D11" i="15"/>
  <c r="BP44" i="12"/>
  <c r="D12" i="15"/>
  <c r="BO10" i="12"/>
  <c r="BO19" i="12"/>
  <c r="BO14" i="12"/>
  <c r="BT16" i="12" s="1"/>
  <c r="BY19" i="12" l="1"/>
  <c r="BT21" i="12"/>
  <c r="BO9" i="12"/>
  <c r="BT11" i="12" s="1"/>
  <c r="BO25" i="12"/>
  <c r="BO24" i="12" s="1"/>
  <c r="BT26" i="12" s="1"/>
  <c r="BO77" i="12" l="1"/>
  <c r="BO87" i="12"/>
  <c r="BO45" i="12"/>
  <c r="BO43" i="12"/>
  <c r="BO41" i="12"/>
  <c r="BO33" i="12"/>
  <c r="BO34" i="12" s="1"/>
  <c r="BO59" i="12"/>
  <c r="BO109" i="12"/>
  <c r="BO110" i="12" s="1"/>
  <c r="BO108" i="12"/>
  <c r="BO70" i="13"/>
  <c r="BO69" i="13"/>
  <c r="BO68" i="13"/>
  <c r="BO53" i="13"/>
  <c r="BO52" i="13"/>
  <c r="BP52" i="13" s="1"/>
  <c r="BO20" i="13"/>
  <c r="BP20" i="13" s="1"/>
  <c r="BO26" i="13"/>
  <c r="BO10" i="13"/>
  <c r="BQ52" i="13" l="1"/>
  <c r="BQ62" i="12"/>
  <c r="BN9" i="12" l="1"/>
  <c r="BN19" i="12" s="1"/>
  <c r="BS21" i="12" s="1"/>
  <c r="BN25" i="12"/>
  <c r="BN24" i="12" s="1"/>
  <c r="BS26" i="12" s="1"/>
  <c r="BN109" i="12"/>
  <c r="BN110" i="12" s="1"/>
  <c r="BN77" i="12"/>
  <c r="BN87" i="12"/>
  <c r="BN59" i="12"/>
  <c r="BN33" i="12"/>
  <c r="BN34" i="12" s="1"/>
  <c r="BN45" i="12"/>
  <c r="BN41" i="12"/>
  <c r="BN43" i="12"/>
  <c r="BN108" i="12"/>
  <c r="BN79" i="13"/>
  <c r="BO79" i="13" s="1"/>
  <c r="BP79" i="13" s="1"/>
  <c r="BN73" i="13"/>
  <c r="BO73" i="13" s="1"/>
  <c r="BP73" i="13" s="1"/>
  <c r="BN72" i="13"/>
  <c r="BO72" i="13" s="1"/>
  <c r="BP72" i="13" s="1"/>
  <c r="BN70" i="13"/>
  <c r="BN69" i="13"/>
  <c r="BN68" i="13"/>
  <c r="BN66" i="13"/>
  <c r="BO66" i="13" s="1"/>
  <c r="BP66" i="13" s="1"/>
  <c r="BN53" i="13"/>
  <c r="BN51" i="13"/>
  <c r="BO51" i="13" s="1"/>
  <c r="BP51" i="13" s="1"/>
  <c r="BN50" i="13"/>
  <c r="BO50" i="13" s="1"/>
  <c r="BP50" i="13" s="1"/>
  <c r="BN49" i="13"/>
  <c r="BO49" i="13" s="1"/>
  <c r="BP49" i="13" s="1"/>
  <c r="BN48" i="13"/>
  <c r="BO48" i="13" s="1"/>
  <c r="BP48" i="13" s="1"/>
  <c r="BN46" i="13"/>
  <c r="BO46" i="13" s="1"/>
  <c r="BP46" i="13" s="1"/>
  <c r="BN41" i="13"/>
  <c r="BO41" i="13" s="1"/>
  <c r="BP41" i="13" s="1"/>
  <c r="BN40" i="13"/>
  <c r="BO40" i="13" s="1"/>
  <c r="BP40" i="13" s="1"/>
  <c r="BN38" i="13"/>
  <c r="BO38" i="13" s="1"/>
  <c r="BP38" i="13" s="1"/>
  <c r="BN37" i="13"/>
  <c r="BO37" i="13" s="1"/>
  <c r="BP37" i="13" s="1"/>
  <c r="BN36" i="13"/>
  <c r="BO36" i="13" s="1"/>
  <c r="BP36" i="13" s="1"/>
  <c r="BN35" i="13"/>
  <c r="BO35" i="13" s="1"/>
  <c r="BP35" i="13" s="1"/>
  <c r="BN34" i="13"/>
  <c r="BO34" i="13" s="1"/>
  <c r="BP34" i="13" s="1"/>
  <c r="BN33" i="13"/>
  <c r="BO33" i="13" s="1"/>
  <c r="BP33" i="13" s="1"/>
  <c r="BN18" i="13"/>
  <c r="BO18" i="13" s="1"/>
  <c r="BP18" i="13" s="1"/>
  <c r="BN27" i="13"/>
  <c r="BO27" i="13" s="1"/>
  <c r="BP27" i="13" s="1"/>
  <c r="BN26" i="13"/>
  <c r="BN15" i="13"/>
  <c r="BO15" i="13" s="1"/>
  <c r="BP15" i="13" s="1"/>
  <c r="BN14" i="13"/>
  <c r="BO14" i="13" s="1"/>
  <c r="BP14" i="13" s="1"/>
  <c r="BN13" i="13"/>
  <c r="BO13" i="13" s="1"/>
  <c r="BP13" i="13" s="1"/>
  <c r="BN29" i="13"/>
  <c r="BO29" i="13" s="1"/>
  <c r="BP29" i="13" s="1"/>
  <c r="BN12" i="13"/>
  <c r="BO12" i="13" s="1"/>
  <c r="BP12" i="13" s="1"/>
  <c r="BN11" i="13"/>
  <c r="BO11" i="13" s="1"/>
  <c r="BP11" i="13" s="1"/>
  <c r="BN10" i="13"/>
  <c r="BN8" i="13"/>
  <c r="BN6" i="13"/>
  <c r="BO6" i="13" l="1"/>
  <c r="BP6" i="13" s="1"/>
  <c r="BN100" i="13"/>
  <c r="BO8" i="13"/>
  <c r="BP8" i="13" s="1"/>
  <c r="BP100" i="13" s="1"/>
  <c r="BN9" i="13"/>
  <c r="BQ6" i="13" l="1"/>
  <c r="BO100" i="13"/>
  <c r="BO9" i="13"/>
  <c r="BM59" i="12" l="1"/>
  <c r="BM33" i="12"/>
  <c r="BM77" i="12"/>
  <c r="BQ77" i="12" s="1"/>
  <c r="BM41" i="12"/>
  <c r="BM45" i="12"/>
  <c r="BM43" i="12"/>
  <c r="BM34" i="12" l="1"/>
  <c r="BM109" i="12"/>
  <c r="BM108" i="12"/>
  <c r="BM25" i="12"/>
  <c r="BM24" i="12" s="1"/>
  <c r="BR26" i="12" s="1"/>
  <c r="BM9" i="12"/>
  <c r="BV14" i="14"/>
  <c r="BQ14" i="14"/>
  <c r="BM100" i="13"/>
  <c r="BP89" i="13"/>
  <c r="BO89" i="13"/>
  <c r="BN89" i="13"/>
  <c r="BM89" i="13"/>
  <c r="BQ70" i="13"/>
  <c r="BQ66" i="13"/>
  <c r="BQ53" i="13"/>
  <c r="BQ51" i="13"/>
  <c r="BQ50" i="13"/>
  <c r="BM10" i="13"/>
  <c r="BM9" i="13" s="1"/>
  <c r="BU133" i="12" l="1"/>
  <c r="BZ134" i="12" s="1"/>
  <c r="BT133" i="12"/>
  <c r="BY134" i="12" s="1"/>
  <c r="BS133" i="12"/>
  <c r="BX134" i="12" s="1"/>
  <c r="BR133" i="12"/>
  <c r="BW134" i="12" s="1"/>
  <c r="BV115" i="12"/>
  <c r="BU115" i="12"/>
  <c r="BT115" i="12"/>
  <c r="BS115" i="12"/>
  <c r="BR115" i="12"/>
  <c r="K32" i="15"/>
  <c r="BR93" i="12"/>
  <c r="BV87" i="12"/>
  <c r="BV81" i="12"/>
  <c r="BV78" i="12"/>
  <c r="BV76" i="12"/>
  <c r="BS74" i="12"/>
  <c r="BR74" i="12"/>
  <c r="BV73" i="12"/>
  <c r="BV72" i="12"/>
  <c r="BV70" i="12"/>
  <c r="BV69" i="12"/>
  <c r="K19" i="15"/>
  <c r="BS64" i="12"/>
  <c r="BR64" i="12"/>
  <c r="BV63" i="12"/>
  <c r="BV61" i="12"/>
  <c r="BV60" i="12"/>
  <c r="BV59" i="12"/>
  <c r="BV58" i="12"/>
  <c r="BV57" i="12"/>
  <c r="BV56" i="12"/>
  <c r="BV55" i="12"/>
  <c r="BV54" i="12"/>
  <c r="BV53" i="12"/>
  <c r="BV43" i="14"/>
  <c r="BV42" i="14"/>
  <c r="BV41" i="14"/>
  <c r="BV40" i="14"/>
  <c r="BV36" i="14"/>
  <c r="BV35" i="14"/>
  <c r="BV17" i="14"/>
  <c r="BV91" i="13"/>
  <c r="BS89" i="13"/>
  <c r="BR89" i="13"/>
  <c r="BV88" i="13"/>
  <c r="BV86" i="13"/>
  <c r="BV85" i="13"/>
  <c r="BV83" i="13"/>
  <c r="BV82" i="13"/>
  <c r="BV81" i="13"/>
  <c r="BV80" i="13"/>
  <c r="BV79" i="13"/>
  <c r="BV77" i="13"/>
  <c r="BV76" i="13"/>
  <c r="BV75" i="13"/>
  <c r="BV73" i="13"/>
  <c r="BV72" i="13"/>
  <c r="BV71" i="13"/>
  <c r="BV69" i="13"/>
  <c r="BV68" i="13"/>
  <c r="BV67" i="13"/>
  <c r="BS60" i="13"/>
  <c r="BR60" i="13"/>
  <c r="BV59" i="13"/>
  <c r="BV58" i="13"/>
  <c r="BV57" i="13"/>
  <c r="BV54" i="13"/>
  <c r="BV49" i="13"/>
  <c r="BV48" i="13"/>
  <c r="BV47" i="13"/>
  <c r="BV46" i="13"/>
  <c r="BV35" i="13"/>
  <c r="BV31" i="13"/>
  <c r="BV28" i="13"/>
  <c r="BV27" i="13"/>
  <c r="BV26" i="13"/>
  <c r="BV25" i="13"/>
  <c r="BV21" i="13"/>
  <c r="BV20" i="13"/>
  <c r="BV19" i="13"/>
  <c r="BV18" i="13"/>
  <c r="BV17" i="13"/>
  <c r="BV16" i="13"/>
  <c r="BV14" i="13"/>
  <c r="BV13" i="13"/>
  <c r="BV12" i="13"/>
  <c r="BV11" i="13"/>
  <c r="AF40" i="28"/>
  <c r="AE40" i="28"/>
  <c r="AD40" i="28"/>
  <c r="AC40" i="28"/>
  <c r="AF39" i="28"/>
  <c r="AE39" i="28"/>
  <c r="AD39" i="28"/>
  <c r="AC39" i="28"/>
  <c r="AF37" i="28"/>
  <c r="AE37" i="28"/>
  <c r="AD37" i="28"/>
  <c r="AC37" i="28"/>
  <c r="AF36" i="28"/>
  <c r="AE36" i="28"/>
  <c r="AD36" i="28"/>
  <c r="AC36" i="28"/>
  <c r="AF32" i="28"/>
  <c r="AE32" i="28"/>
  <c r="AD32" i="28"/>
  <c r="AC32" i="28"/>
  <c r="AF28" i="28"/>
  <c r="AE28" i="28"/>
  <c r="AD28" i="28"/>
  <c r="AC28" i="28"/>
  <c r="AF24" i="28"/>
  <c r="AE24" i="28"/>
  <c r="AD24" i="28"/>
  <c r="AC24" i="28"/>
  <c r="AF16" i="28"/>
  <c r="AE16" i="28"/>
  <c r="AD16" i="28"/>
  <c r="AF8" i="28"/>
  <c r="AE8" i="28"/>
  <c r="AD8" i="28"/>
  <c r="AC8" i="28"/>
  <c r="AF7" i="28"/>
  <c r="AE7" i="28"/>
  <c r="AD7" i="28"/>
  <c r="AC7" i="28"/>
  <c r="AF6" i="28"/>
  <c r="AE6" i="28"/>
  <c r="AD6" i="28"/>
  <c r="AC6" i="28"/>
  <c r="AG5" i="28"/>
  <c r="AG4" i="28"/>
  <c r="AF4" i="28"/>
  <c r="AE4" i="28"/>
  <c r="AD4" i="28"/>
  <c r="AC4" i="28"/>
  <c r="K25" i="15" l="1"/>
  <c r="K24" i="15"/>
  <c r="BS79" i="12"/>
  <c r="BR79" i="12"/>
  <c r="BV93" i="12"/>
  <c r="BV60" i="13"/>
  <c r="BV89" i="13"/>
  <c r="BV64" i="12"/>
  <c r="BV74" i="12"/>
  <c r="BV79" i="12" s="1"/>
  <c r="BV29" i="13"/>
  <c r="BV15" i="13"/>
  <c r="BV10" i="13"/>
  <c r="BK77" i="12" l="1"/>
  <c r="BK33" i="12"/>
  <c r="BK34" i="12" s="1"/>
  <c r="BK45" i="12"/>
  <c r="BK41" i="12"/>
  <c r="BK59" i="12"/>
  <c r="BK43" i="12"/>
  <c r="BK109" i="12"/>
  <c r="BK110" i="12" s="1"/>
  <c r="BK108" i="12"/>
  <c r="BK9" i="12"/>
  <c r="BL87" i="13"/>
  <c r="BK79" i="13"/>
  <c r="BK74" i="13"/>
  <c r="BL74" i="13" s="1"/>
  <c r="BL56" i="13"/>
  <c r="BL55" i="13"/>
  <c r="BK10" i="13"/>
  <c r="BJ61" i="14"/>
  <c r="BJ62" i="14"/>
  <c r="BJ63" i="14"/>
  <c r="BJ67" i="14"/>
  <c r="BJ68" i="14"/>
  <c r="BJ69" i="14"/>
  <c r="BJ70" i="14"/>
  <c r="BJ71" i="14"/>
  <c r="BJ72" i="14"/>
  <c r="BJ73" i="14"/>
  <c r="BL14" i="14"/>
  <c r="BJ24" i="12" l="1"/>
  <c r="BO26" i="12" s="1"/>
  <c r="BQ81" i="12"/>
  <c r="BL81" i="12"/>
  <c r="BJ59" i="12" l="1"/>
  <c r="BJ45" i="12"/>
  <c r="BJ33" i="12"/>
  <c r="BJ43" i="12"/>
  <c r="BJ41" i="12"/>
  <c r="BJ10" i="13"/>
  <c r="BJ109" i="12"/>
  <c r="BJ108" i="12"/>
  <c r="BJ42" i="12" l="1"/>
  <c r="BJ44" i="12"/>
  <c r="BJ46" i="12"/>
  <c r="BI77" i="12"/>
  <c r="BL77" i="12" s="1"/>
  <c r="BI59" i="12"/>
  <c r="BI45" i="12"/>
  <c r="BI43" i="12"/>
  <c r="BI41" i="12"/>
  <c r="BI33" i="12"/>
  <c r="BI34" i="12" s="1"/>
  <c r="BI109" i="12"/>
  <c r="BI110" i="12" s="1"/>
  <c r="BI108" i="12"/>
  <c r="BI9" i="12"/>
  <c r="BN11" i="12" s="1"/>
  <c r="BI25" i="12"/>
  <c r="BI24" i="12" s="1"/>
  <c r="BH100" i="13"/>
  <c r="BI73" i="13"/>
  <c r="BK73" i="13" s="1"/>
  <c r="BI72" i="13"/>
  <c r="BJ72" i="13" s="1"/>
  <c r="BK72" i="13" s="1"/>
  <c r="BI68" i="13"/>
  <c r="BI69" i="13"/>
  <c r="BK69" i="13" s="1"/>
  <c r="BI51" i="13"/>
  <c r="BI50" i="13"/>
  <c r="BI49" i="13"/>
  <c r="BJ49" i="13" s="1"/>
  <c r="BK49" i="13" s="1"/>
  <c r="BI48" i="13"/>
  <c r="BJ48" i="13" s="1"/>
  <c r="BK48" i="13" s="1"/>
  <c r="BI46" i="13"/>
  <c r="BJ46" i="13" s="1"/>
  <c r="BK46" i="13" s="1"/>
  <c r="BI41" i="13"/>
  <c r="BJ41" i="13" s="1"/>
  <c r="BK41" i="13" s="1"/>
  <c r="BI40" i="13"/>
  <c r="BJ40" i="13" s="1"/>
  <c r="BK40" i="13" s="1"/>
  <c r="BI39" i="13"/>
  <c r="BI38" i="13"/>
  <c r="BJ38" i="13" s="1"/>
  <c r="BK38" i="13" s="1"/>
  <c r="BI37" i="13"/>
  <c r="BJ37" i="13" s="1"/>
  <c r="BK37" i="13" s="1"/>
  <c r="BI36" i="13"/>
  <c r="BJ36" i="13" s="1"/>
  <c r="BK36" i="13" s="1"/>
  <c r="BI35" i="13"/>
  <c r="BJ35" i="13" s="1"/>
  <c r="BK35" i="13" s="1"/>
  <c r="BI34" i="13"/>
  <c r="BJ34" i="13" s="1"/>
  <c r="BK34" i="13" s="1"/>
  <c r="BI33" i="13"/>
  <c r="BJ33" i="13" s="1"/>
  <c r="BK33" i="13" s="1"/>
  <c r="BI18" i="13"/>
  <c r="BI27" i="13"/>
  <c r="BJ27" i="13" s="1"/>
  <c r="BK27" i="13" s="1"/>
  <c r="BI29" i="13"/>
  <c r="BJ29" i="13" s="1"/>
  <c r="BK29" i="13" s="1"/>
  <c r="BI15" i="13"/>
  <c r="BJ15" i="13" s="1"/>
  <c r="BK15" i="13" s="1"/>
  <c r="BI14" i="13"/>
  <c r="BJ14" i="13" s="1"/>
  <c r="BK14" i="13" s="1"/>
  <c r="BI12" i="13"/>
  <c r="BJ12" i="13" s="1"/>
  <c r="BK12" i="13" s="1"/>
  <c r="BI13" i="13"/>
  <c r="BJ13" i="13" s="1"/>
  <c r="BK13" i="13" s="1"/>
  <c r="BI11" i="13"/>
  <c r="BJ11" i="13" s="1"/>
  <c r="BK11" i="13" s="1"/>
  <c r="BI10" i="13"/>
  <c r="BI8" i="13"/>
  <c r="BJ8" i="13" s="1"/>
  <c r="BJ9" i="13" l="1"/>
  <c r="BK8" i="13"/>
  <c r="BJ100" i="13"/>
  <c r="BI9" i="13"/>
  <c r="BJ18" i="13"/>
  <c r="BK18" i="13" s="1"/>
  <c r="BJ50" i="13"/>
  <c r="BK50" i="13" s="1"/>
  <c r="BL50" i="13" s="1"/>
  <c r="BJ39" i="13"/>
  <c r="BK39" i="13" s="1"/>
  <c r="BJ51" i="13"/>
  <c r="BK51" i="13" s="1"/>
  <c r="BL51" i="13" s="1"/>
  <c r="BI100" i="13"/>
  <c r="BH9" i="12"/>
  <c r="BL39" i="13" l="1"/>
  <c r="BK100" i="13"/>
  <c r="BK9" i="13"/>
  <c r="BJ104" i="12"/>
  <c r="BH45" i="12"/>
  <c r="BH59" i="12"/>
  <c r="BH43" i="12"/>
  <c r="BH41" i="12"/>
  <c r="BH33" i="12"/>
  <c r="BH34" i="12" s="1"/>
  <c r="BH109" i="12"/>
  <c r="BH110" i="12" s="1"/>
  <c r="BH108" i="12"/>
  <c r="BJ110" i="12" l="1"/>
  <c r="F8" i="29"/>
  <c r="F6" i="29"/>
  <c r="BM110" i="12" l="1"/>
  <c r="Y4" i="28"/>
  <c r="Z4" i="28"/>
  <c r="AA4" i="28"/>
  <c r="AB4" i="28"/>
  <c r="BQ91" i="13"/>
  <c r="BQ88" i="13"/>
  <c r="BQ86" i="13"/>
  <c r="BQ85" i="13"/>
  <c r="BQ83" i="13"/>
  <c r="BQ82" i="13"/>
  <c r="BQ81" i="13"/>
  <c r="BQ80" i="13"/>
  <c r="BQ79" i="13"/>
  <c r="BQ77" i="13"/>
  <c r="BQ76" i="13"/>
  <c r="BQ75" i="13"/>
  <c r="BQ73" i="13"/>
  <c r="BQ72" i="13"/>
  <c r="BQ71" i="13"/>
  <c r="BQ69" i="13"/>
  <c r="BQ68" i="13"/>
  <c r="BQ67" i="13"/>
  <c r="BP60" i="13"/>
  <c r="BO60" i="13"/>
  <c r="BN60" i="13"/>
  <c r="BM60" i="13"/>
  <c r="BQ59" i="13"/>
  <c r="BQ58" i="13"/>
  <c r="BQ57" i="13"/>
  <c r="BQ54" i="13"/>
  <c r="BQ49" i="13"/>
  <c r="BQ48" i="13"/>
  <c r="BQ47" i="13"/>
  <c r="BQ46" i="13"/>
  <c r="BQ35" i="13"/>
  <c r="BQ31" i="13"/>
  <c r="BQ28" i="13"/>
  <c r="BQ27" i="13"/>
  <c r="BQ26" i="13"/>
  <c r="BQ25" i="13"/>
  <c r="BQ21" i="13"/>
  <c r="BQ20" i="13"/>
  <c r="BQ19" i="13"/>
  <c r="BQ18" i="13"/>
  <c r="BQ17" i="13"/>
  <c r="BQ16" i="13"/>
  <c r="BQ14" i="13"/>
  <c r="BQ13" i="13"/>
  <c r="BQ12" i="13"/>
  <c r="BQ11" i="13"/>
  <c r="BP10" i="13"/>
  <c r="BQ43" i="14"/>
  <c r="BQ42" i="14"/>
  <c r="BQ41" i="14"/>
  <c r="BQ40" i="14"/>
  <c r="BQ36" i="14"/>
  <c r="BQ35" i="14"/>
  <c r="BQ17" i="14"/>
  <c r="BQ115" i="12"/>
  <c r="BP115" i="12"/>
  <c r="BO115" i="12"/>
  <c r="BN115" i="12"/>
  <c r="BM115" i="12"/>
  <c r="BQ87" i="12"/>
  <c r="BQ78" i="12"/>
  <c r="BQ76" i="12"/>
  <c r="BP74" i="12"/>
  <c r="D24" i="15" s="1"/>
  <c r="BO74" i="12"/>
  <c r="BN74" i="12"/>
  <c r="BM74" i="12"/>
  <c r="BQ73" i="12"/>
  <c r="BQ72" i="12"/>
  <c r="BQ70" i="12"/>
  <c r="BQ69" i="12"/>
  <c r="BP64" i="12"/>
  <c r="D19" i="15" s="1"/>
  <c r="BO64" i="12"/>
  <c r="BN64" i="12"/>
  <c r="BM64" i="12"/>
  <c r="BQ63" i="12"/>
  <c r="BQ61" i="12"/>
  <c r="BQ60" i="12"/>
  <c r="BQ59" i="12"/>
  <c r="BQ58" i="12"/>
  <c r="BQ57" i="12"/>
  <c r="BQ56" i="12"/>
  <c r="BQ55" i="12"/>
  <c r="BQ54" i="12"/>
  <c r="BQ53" i="12"/>
  <c r="X4" i="28"/>
  <c r="AA40" i="28"/>
  <c r="Z40" i="28"/>
  <c r="Y40" i="28"/>
  <c r="X40" i="28"/>
  <c r="AA39" i="28"/>
  <c r="Z39" i="28"/>
  <c r="Y39" i="28"/>
  <c r="X39" i="28"/>
  <c r="AA37" i="28"/>
  <c r="Z37" i="28"/>
  <c r="Y37" i="28"/>
  <c r="X37" i="28"/>
  <c r="AA36" i="28"/>
  <c r="Z36" i="28"/>
  <c r="Y36" i="28"/>
  <c r="X36" i="28"/>
  <c r="AA32" i="28"/>
  <c r="Z32" i="28"/>
  <c r="Y32" i="28"/>
  <c r="X32" i="28"/>
  <c r="AA28" i="28"/>
  <c r="Z28" i="28"/>
  <c r="Y28" i="28"/>
  <c r="X28" i="28"/>
  <c r="AA24" i="28"/>
  <c r="Z24" i="28"/>
  <c r="Y24" i="28"/>
  <c r="X24" i="28"/>
  <c r="AA8" i="28"/>
  <c r="Z8" i="28"/>
  <c r="Y8" i="28"/>
  <c r="X8" i="28"/>
  <c r="AA7" i="28"/>
  <c r="Z7" i="28"/>
  <c r="Y7" i="28"/>
  <c r="X7" i="28"/>
  <c r="AA6" i="28"/>
  <c r="Z6" i="28"/>
  <c r="Y6" i="28"/>
  <c r="X6" i="28"/>
  <c r="AB5" i="28"/>
  <c r="BP9" i="13" l="1"/>
  <c r="BP101" i="13" s="1"/>
  <c r="BQ89" i="13"/>
  <c r="BP79" i="12"/>
  <c r="D25" i="15" s="1"/>
  <c r="BO79" i="12"/>
  <c r="BN79" i="12"/>
  <c r="BM79" i="12"/>
  <c r="BQ15" i="13"/>
  <c r="BQ29" i="13"/>
  <c r="BQ64" i="12"/>
  <c r="BQ74" i="12"/>
  <c r="BQ79" i="12" s="1"/>
  <c r="BQ93" i="12"/>
  <c r="BQ10" i="13"/>
  <c r="BQ60" i="13"/>
  <c r="BC45" i="12"/>
  <c r="BC59" i="12"/>
  <c r="BG54" i="13"/>
  <c r="BP42" i="13" l="1"/>
  <c r="BF56" i="14"/>
  <c r="BF106" i="12" s="1"/>
  <c r="BF10" i="13"/>
  <c r="BF25" i="12"/>
  <c r="BF24" i="12" s="1"/>
  <c r="BF9" i="12"/>
  <c r="BF45" i="12"/>
  <c r="BF41" i="12"/>
  <c r="BF108" i="12"/>
  <c r="BF109" i="12"/>
  <c r="BF110" i="12" s="1"/>
  <c r="BF77" i="12"/>
  <c r="BF59" i="12"/>
  <c r="BF43" i="12"/>
  <c r="BF33" i="12"/>
  <c r="BF34" i="12" s="1"/>
  <c r="BG32" i="14"/>
  <c r="BF55" i="13"/>
  <c r="BG55" i="13" s="1"/>
  <c r="BP43" i="13" l="1"/>
  <c r="BP107" i="12"/>
  <c r="C7" i="25"/>
  <c r="C22" i="25"/>
  <c r="C20" i="25"/>
  <c r="C5" i="25"/>
  <c r="BV103" i="12" l="1"/>
  <c r="BE25" i="12"/>
  <c r="BE24" i="12" s="1"/>
  <c r="BE9" i="12"/>
  <c r="BE109" i="12"/>
  <c r="BE110" i="12" s="1"/>
  <c r="BE108" i="12"/>
  <c r="BE78" i="13"/>
  <c r="BE73" i="13"/>
  <c r="BF73" i="13" s="1"/>
  <c r="BE30" i="13"/>
  <c r="BD41" i="12"/>
  <c r="BE41" i="12"/>
  <c r="BE45" i="12"/>
  <c r="BE77" i="12"/>
  <c r="BG77" i="12" s="1"/>
  <c r="BE59" i="12"/>
  <c r="BE33" i="12"/>
  <c r="BE43" i="12"/>
  <c r="BE28" i="12"/>
  <c r="F21" i="27" s="1"/>
  <c r="F22" i="27"/>
  <c r="BW103" i="12" l="1"/>
  <c r="BX103" i="12" s="1"/>
  <c r="BY103" i="12" s="1"/>
  <c r="BZ103" i="12" s="1"/>
  <c r="K38" i="15"/>
  <c r="BV104" i="12"/>
  <c r="BE67" i="14"/>
  <c r="BF78" i="13"/>
  <c r="BG78" i="13" s="1"/>
  <c r="BE72" i="14"/>
  <c r="BF30" i="13"/>
  <c r="BG30" i="13" s="1"/>
  <c r="BE69" i="14"/>
  <c r="BE70" i="14"/>
  <c r="BE68" i="14"/>
  <c r="BE71" i="14"/>
  <c r="BE61" i="14"/>
  <c r="BE42" i="12"/>
  <c r="BE62" i="14"/>
  <c r="BE73" i="14"/>
  <c r="BE44" i="12"/>
  <c r="BE63" i="14"/>
  <c r="BE46" i="12"/>
  <c r="BE47" i="12"/>
  <c r="BC100" i="13"/>
  <c r="BW104" i="12" l="1"/>
  <c r="BX104" i="12" s="1"/>
  <c r="BY104" i="12" s="1"/>
  <c r="BZ104" i="12" s="1"/>
  <c r="K39" i="15"/>
  <c r="CA104" i="12"/>
  <c r="CA103" i="12"/>
  <c r="Z20" i="25"/>
  <c r="Z13" i="25"/>
  <c r="BD45" i="12" l="1"/>
  <c r="BD59" i="12"/>
  <c r="BD108" i="12" l="1"/>
  <c r="BD109" i="12"/>
  <c r="BD110" i="12" s="1"/>
  <c r="BD72" i="13"/>
  <c r="BE72" i="13" s="1"/>
  <c r="BF72" i="13" s="1"/>
  <c r="BD69" i="13"/>
  <c r="BD56" i="13"/>
  <c r="BD51" i="13"/>
  <c r="BD50" i="13"/>
  <c r="BD49" i="13"/>
  <c r="BE49" i="13" s="1"/>
  <c r="BF49" i="13" s="1"/>
  <c r="BD48" i="13"/>
  <c r="BE48" i="13" s="1"/>
  <c r="BF48" i="13" s="1"/>
  <c r="BD46" i="13"/>
  <c r="BE46" i="13" s="1"/>
  <c r="BD41" i="13"/>
  <c r="BE41" i="13" s="1"/>
  <c r="BF41" i="13" s="1"/>
  <c r="BD40" i="13"/>
  <c r="BE40" i="13" s="1"/>
  <c r="BF40" i="13" s="1"/>
  <c r="BD39" i="13"/>
  <c r="BE39" i="13" s="1"/>
  <c r="BF39" i="13" s="1"/>
  <c r="BD38" i="13"/>
  <c r="BE38" i="13" s="1"/>
  <c r="BF38" i="13" s="1"/>
  <c r="BD37" i="13"/>
  <c r="BE37" i="13" s="1"/>
  <c r="BF37" i="13" s="1"/>
  <c r="BD36" i="13"/>
  <c r="BE36" i="13" s="1"/>
  <c r="BF36" i="13" s="1"/>
  <c r="BD35" i="13"/>
  <c r="BE35" i="13" s="1"/>
  <c r="BF35" i="13" s="1"/>
  <c r="BD34" i="13"/>
  <c r="BE34" i="13" s="1"/>
  <c r="BF34" i="13" s="1"/>
  <c r="BD33" i="13"/>
  <c r="BE33" i="13" s="1"/>
  <c r="BF33" i="13" s="1"/>
  <c r="BD29" i="13"/>
  <c r="BE29" i="13" s="1"/>
  <c r="BF29" i="13" s="1"/>
  <c r="BD27" i="13"/>
  <c r="BE27" i="13" s="1"/>
  <c r="BF27" i="13" s="1"/>
  <c r="BD17" i="13"/>
  <c r="BE17" i="13" s="1"/>
  <c r="BF17" i="13" s="1"/>
  <c r="BD18" i="13"/>
  <c r="BE18" i="13" s="1"/>
  <c r="BF18" i="13" s="1"/>
  <c r="BD14" i="13"/>
  <c r="BE14" i="13" s="1"/>
  <c r="BF14" i="13" s="1"/>
  <c r="BD13" i="13"/>
  <c r="BE13" i="13" s="1"/>
  <c r="BF13" i="13" s="1"/>
  <c r="BD12" i="13"/>
  <c r="BE12" i="13" s="1"/>
  <c r="BF12" i="13" s="1"/>
  <c r="BD11" i="13"/>
  <c r="BE11" i="13" s="1"/>
  <c r="BF11" i="13" s="1"/>
  <c r="BD8" i="13"/>
  <c r="BD33" i="12"/>
  <c r="BD35" i="12" s="1"/>
  <c r="BD43" i="12"/>
  <c r="BD93" i="12"/>
  <c r="BD25" i="12"/>
  <c r="BD24" i="12" s="1"/>
  <c r="BE27" i="12" s="1"/>
  <c r="BD9" i="12"/>
  <c r="BC7" i="12"/>
  <c r="BC25" i="12"/>
  <c r="BE12" i="12" l="1"/>
  <c r="BI11" i="12"/>
  <c r="BD47" i="12"/>
  <c r="BF46" i="13"/>
  <c r="BE50" i="13"/>
  <c r="BF50" i="13" s="1"/>
  <c r="BG50" i="13" s="1"/>
  <c r="BE51" i="13"/>
  <c r="BF51" i="13" s="1"/>
  <c r="BE56" i="13"/>
  <c r="BF56" i="13" s="1"/>
  <c r="BG56" i="13" s="1"/>
  <c r="BE8" i="13"/>
  <c r="BD100" i="13"/>
  <c r="BD89" i="13"/>
  <c r="BE69" i="13"/>
  <c r="BF69" i="13" s="1"/>
  <c r="BD34" i="12"/>
  <c r="BD6" i="12"/>
  <c r="BD28" i="12"/>
  <c r="E21" i="27" s="1"/>
  <c r="BD7" i="12"/>
  <c r="E22" i="27"/>
  <c r="BE60" i="13" l="1"/>
  <c r="BG51" i="13"/>
  <c r="BE100" i="13"/>
  <c r="BF8" i="13"/>
  <c r="BD44" i="12"/>
  <c r="BD69" i="14"/>
  <c r="BD62" i="14"/>
  <c r="BD61" i="14"/>
  <c r="BD71" i="14"/>
  <c r="BD70" i="14"/>
  <c r="BD68" i="14"/>
  <c r="BD67" i="14"/>
  <c r="BD63" i="14"/>
  <c r="BD73" i="14"/>
  <c r="BD72" i="14"/>
  <c r="BD46" i="12"/>
  <c r="BD42" i="12"/>
  <c r="BC41" i="12"/>
  <c r="BF9" i="13" l="1"/>
  <c r="BF100" i="13"/>
  <c r="BC87" i="12"/>
  <c r="BC33" i="12"/>
  <c r="BC34" i="12" s="1"/>
  <c r="BC9" i="12"/>
  <c r="BC109" i="12"/>
  <c r="BC110" i="12" s="1"/>
  <c r="BC108" i="12"/>
  <c r="BC43" i="12"/>
  <c r="BC10" i="13"/>
  <c r="BC9" i="13" s="1"/>
  <c r="BC70" i="12"/>
  <c r="BC69" i="12"/>
  <c r="S42" i="15"/>
  <c r="S35" i="15"/>
  <c r="S5" i="15"/>
  <c r="P42" i="15"/>
  <c r="P35" i="15"/>
  <c r="P5" i="15"/>
  <c r="P22" i="15" s="1"/>
  <c r="BL59" i="12"/>
  <c r="BC74" i="12" l="1"/>
  <c r="BC79" i="12" s="1"/>
  <c r="BD12" i="12"/>
  <c r="BH11" i="12"/>
  <c r="BC47" i="12"/>
  <c r="BL43" i="14"/>
  <c r="BL42" i="14"/>
  <c r="BL41" i="14"/>
  <c r="BL40" i="14"/>
  <c r="BL36" i="14"/>
  <c r="BL35" i="14"/>
  <c r="BL17" i="14"/>
  <c r="BL91" i="13"/>
  <c r="BK89" i="13"/>
  <c r="BJ89" i="13"/>
  <c r="BH89" i="13"/>
  <c r="BL88" i="13"/>
  <c r="BL86" i="13"/>
  <c r="BL85" i="13"/>
  <c r="BL83" i="13"/>
  <c r="BL82" i="13"/>
  <c r="BL81" i="13"/>
  <c r="BL80" i="13"/>
  <c r="BI89" i="13"/>
  <c r="BL77" i="13"/>
  <c r="BL76" i="13"/>
  <c r="BL75" i="13"/>
  <c r="BL73" i="13"/>
  <c r="BL72" i="13"/>
  <c r="BL71" i="13"/>
  <c r="BL69" i="13"/>
  <c r="BL68" i="13"/>
  <c r="BL67" i="13"/>
  <c r="BK60" i="13"/>
  <c r="BJ60" i="13"/>
  <c r="BI60" i="13"/>
  <c r="BH60" i="13"/>
  <c r="BL59" i="13"/>
  <c r="BL58" i="13"/>
  <c r="BL57" i="13"/>
  <c r="BL54" i="13"/>
  <c r="BL49" i="13"/>
  <c r="BL48" i="13"/>
  <c r="BL47" i="13"/>
  <c r="BL46" i="13"/>
  <c r="BL35" i="13"/>
  <c r="BL31" i="13"/>
  <c r="BL28" i="13"/>
  <c r="BL27" i="13"/>
  <c r="BL26" i="13"/>
  <c r="BL25" i="13"/>
  <c r="BL21" i="13"/>
  <c r="BL20" i="13"/>
  <c r="BL19" i="13"/>
  <c r="BL18" i="13"/>
  <c r="BL17" i="13"/>
  <c r="BL16" i="13"/>
  <c r="BL14" i="13"/>
  <c r="BL13" i="13"/>
  <c r="BL12" i="13"/>
  <c r="BL11" i="13"/>
  <c r="BH10" i="13"/>
  <c r="BH9" i="13" s="1"/>
  <c r="BL79" i="13" l="1"/>
  <c r="BL89" i="13" s="1"/>
  <c r="BL29" i="13"/>
  <c r="BL60" i="13"/>
  <c r="BL15" i="13"/>
  <c r="BL10" i="13"/>
  <c r="B2" i="28"/>
  <c r="W4" i="28"/>
  <c r="V4" i="28"/>
  <c r="U4" i="28"/>
  <c r="T4" i="28"/>
  <c r="S4" i="28"/>
  <c r="R4" i="28"/>
  <c r="Q4" i="28"/>
  <c r="P4" i="28"/>
  <c r="O4" i="28"/>
  <c r="N4" i="28"/>
  <c r="M4" i="28"/>
  <c r="L4" i="28"/>
  <c r="K4" i="28"/>
  <c r="J4" i="28"/>
  <c r="I4" i="28"/>
  <c r="H4" i="28"/>
  <c r="G4" i="28"/>
  <c r="F4" i="28"/>
  <c r="E4" i="28"/>
  <c r="D4" i="28"/>
  <c r="V40" i="28"/>
  <c r="U40" i="28"/>
  <c r="T40" i="28"/>
  <c r="S40" i="28"/>
  <c r="P40" i="28"/>
  <c r="O40" i="28"/>
  <c r="N40" i="28"/>
  <c r="L40" i="28"/>
  <c r="K40" i="28"/>
  <c r="J40" i="28"/>
  <c r="I40" i="28"/>
  <c r="G40" i="28"/>
  <c r="F40" i="28"/>
  <c r="E40" i="28"/>
  <c r="V39" i="28"/>
  <c r="U39" i="28"/>
  <c r="T39" i="28"/>
  <c r="S39" i="28"/>
  <c r="P39" i="28"/>
  <c r="O39" i="28"/>
  <c r="N39" i="28"/>
  <c r="L39" i="28"/>
  <c r="K39" i="28"/>
  <c r="J39" i="28"/>
  <c r="I39" i="28"/>
  <c r="V37" i="28"/>
  <c r="U37" i="28"/>
  <c r="T37" i="28"/>
  <c r="S37" i="28"/>
  <c r="P37" i="28"/>
  <c r="O37" i="28"/>
  <c r="N37" i="28"/>
  <c r="L37" i="28"/>
  <c r="K37" i="28"/>
  <c r="J37" i="28"/>
  <c r="I37" i="28"/>
  <c r="G37" i="28"/>
  <c r="F37" i="28"/>
  <c r="E37" i="28"/>
  <c r="V36" i="28"/>
  <c r="U36" i="28"/>
  <c r="T36" i="28"/>
  <c r="S36" i="28"/>
  <c r="P36" i="28"/>
  <c r="O36" i="28"/>
  <c r="N36" i="28"/>
  <c r="L36" i="28"/>
  <c r="K36" i="28"/>
  <c r="J36" i="28"/>
  <c r="I36" i="28"/>
  <c r="S32" i="28"/>
  <c r="N32" i="28"/>
  <c r="L32" i="28"/>
  <c r="J32" i="28"/>
  <c r="I32" i="28"/>
  <c r="V32" i="28"/>
  <c r="P31" i="28"/>
  <c r="O31" i="28"/>
  <c r="T32" i="28" s="1"/>
  <c r="K31" i="28"/>
  <c r="K32" i="28" s="1"/>
  <c r="H31" i="28"/>
  <c r="V28" i="28"/>
  <c r="U28" i="28"/>
  <c r="T28" i="28"/>
  <c r="S28" i="28"/>
  <c r="P28" i="28"/>
  <c r="O28" i="28"/>
  <c r="N28" i="28"/>
  <c r="L28" i="28"/>
  <c r="K28" i="28"/>
  <c r="J28" i="28"/>
  <c r="I28" i="28"/>
  <c r="V24" i="28"/>
  <c r="U24" i="28"/>
  <c r="T24" i="28"/>
  <c r="S24" i="28"/>
  <c r="Q24" i="28"/>
  <c r="P24" i="28"/>
  <c r="O24" i="28"/>
  <c r="N24" i="28"/>
  <c r="L24" i="28"/>
  <c r="K24" i="28"/>
  <c r="J24" i="28"/>
  <c r="I24" i="28"/>
  <c r="V8" i="28"/>
  <c r="U8" i="28"/>
  <c r="T8" i="28"/>
  <c r="S8" i="28"/>
  <c r="Q8" i="28"/>
  <c r="P8" i="28"/>
  <c r="O8" i="28"/>
  <c r="N8" i="28"/>
  <c r="L8" i="28"/>
  <c r="K8" i="28"/>
  <c r="J8" i="28"/>
  <c r="I8" i="28"/>
  <c r="G8" i="28"/>
  <c r="F8" i="28"/>
  <c r="E8" i="28"/>
  <c r="V7" i="28"/>
  <c r="U7" i="28"/>
  <c r="T7" i="28"/>
  <c r="S7" i="28"/>
  <c r="Q7" i="28"/>
  <c r="P7" i="28"/>
  <c r="O7" i="28"/>
  <c r="N7" i="28"/>
  <c r="L7" i="28"/>
  <c r="K7" i="28"/>
  <c r="J7" i="28"/>
  <c r="I7" i="28"/>
  <c r="G7" i="28"/>
  <c r="F7" i="28"/>
  <c r="E7" i="28"/>
  <c r="V6" i="28"/>
  <c r="U6" i="28"/>
  <c r="T6" i="28"/>
  <c r="S6" i="28"/>
  <c r="Q6" i="28"/>
  <c r="P6" i="28"/>
  <c r="O6" i="28"/>
  <c r="N6" i="28"/>
  <c r="L6" i="28"/>
  <c r="K6" i="28"/>
  <c r="J6" i="28"/>
  <c r="I6" i="28"/>
  <c r="W5" i="28"/>
  <c r="M31" i="28"/>
  <c r="P32" i="28" l="1"/>
  <c r="U32" i="28"/>
  <c r="O32" i="28"/>
  <c r="M8" i="28"/>
  <c r="T22" i="15" l="1"/>
  <c r="S22" i="15"/>
  <c r="R22" i="15"/>
  <c r="Q22" i="15"/>
  <c r="O22" i="15"/>
  <c r="T17" i="15"/>
  <c r="S17" i="15"/>
  <c r="R17" i="15"/>
  <c r="Q17" i="15"/>
  <c r="P17" i="15"/>
  <c r="O17" i="15"/>
  <c r="T8" i="15"/>
  <c r="S8" i="15"/>
  <c r="R8" i="15"/>
  <c r="Q8" i="15"/>
  <c r="P8" i="15"/>
  <c r="O8" i="15"/>
  <c r="BA109" i="12" l="1"/>
  <c r="BA110" i="12" s="1"/>
  <c r="AZ109" i="12"/>
  <c r="AY109" i="12"/>
  <c r="AX109" i="12"/>
  <c r="AV158" i="12"/>
  <c r="BA159" i="12" s="1"/>
  <c r="AX100" i="13"/>
  <c r="BL115" i="12"/>
  <c r="BK115" i="12"/>
  <c r="BJ115" i="12"/>
  <c r="BI115" i="12"/>
  <c r="BH115" i="12"/>
  <c r="BL87" i="12"/>
  <c r="BL78" i="12"/>
  <c r="BL76" i="12"/>
  <c r="BK74" i="12"/>
  <c r="BJ74" i="12"/>
  <c r="BI74" i="12"/>
  <c r="BH74" i="12"/>
  <c r="BL73" i="12"/>
  <c r="BL72" i="12"/>
  <c r="BL70" i="12"/>
  <c r="BL69" i="12"/>
  <c r="BK64" i="12"/>
  <c r="BJ64" i="12"/>
  <c r="BI64" i="12"/>
  <c r="BH64" i="12"/>
  <c r="BL63" i="12"/>
  <c r="BL61" i="12"/>
  <c r="BL60" i="12"/>
  <c r="BL58" i="12"/>
  <c r="BL57" i="12"/>
  <c r="BL56" i="12"/>
  <c r="BL55" i="12"/>
  <c r="BL54" i="12"/>
  <c r="BL53" i="12"/>
  <c r="BA9" i="12"/>
  <c r="BF11" i="12" s="1"/>
  <c r="BA24" i="12"/>
  <c r="BF26" i="12" s="1"/>
  <c r="BA108" i="12"/>
  <c r="BA87" i="12"/>
  <c r="BA45" i="12"/>
  <c r="BA27" i="13"/>
  <c r="BA10" i="13"/>
  <c r="BG17" i="14"/>
  <c r="BB17" i="14"/>
  <c r="BA43" i="12"/>
  <c r="BA41" i="12"/>
  <c r="BA33" i="12"/>
  <c r="BA34" i="12" s="1"/>
  <c r="BA59" i="12"/>
  <c r="AZ59" i="12"/>
  <c r="BJ79" i="12" l="1"/>
  <c r="BK79" i="12"/>
  <c r="BI79" i="12"/>
  <c r="BH79" i="12"/>
  <c r="BL93" i="12"/>
  <c r="BL74" i="12"/>
  <c r="BL79" i="12" s="1"/>
  <c r="BL64" i="12"/>
  <c r="AA20" i="27"/>
  <c r="AB20" i="27" s="1"/>
  <c r="Z20" i="27"/>
  <c r="Y20" i="27"/>
  <c r="X20" i="27"/>
  <c r="V20" i="27"/>
  <c r="W20" i="27" s="1"/>
  <c r="U20" i="27"/>
  <c r="T20" i="27"/>
  <c r="S20" i="27"/>
  <c r="Q20" i="27"/>
  <c r="R20" i="27" s="1"/>
  <c r="P20" i="27"/>
  <c r="O20" i="27"/>
  <c r="N20" i="27"/>
  <c r="L20" i="27"/>
  <c r="M20" i="27" s="1"/>
  <c r="K20" i="27"/>
  <c r="J20" i="27"/>
  <c r="I20" i="27"/>
  <c r="G20" i="27"/>
  <c r="H20" i="27" s="1"/>
  <c r="F20" i="27"/>
  <c r="E20" i="27"/>
  <c r="D20" i="27"/>
  <c r="AB18" i="27"/>
  <c r="AA18" i="27"/>
  <c r="Z18" i="27"/>
  <c r="Y18" i="27"/>
  <c r="X18" i="27"/>
  <c r="W18" i="27"/>
  <c r="V18" i="27"/>
  <c r="U18" i="27"/>
  <c r="T18" i="27"/>
  <c r="S18" i="27"/>
  <c r="R18" i="27"/>
  <c r="Q18" i="27"/>
  <c r="P18" i="27"/>
  <c r="O18" i="27"/>
  <c r="N18" i="27"/>
  <c r="M18" i="27"/>
  <c r="L18" i="27"/>
  <c r="K18" i="27"/>
  <c r="J18" i="27"/>
  <c r="I18" i="27"/>
  <c r="H18" i="27"/>
  <c r="G18" i="27"/>
  <c r="F18" i="27"/>
  <c r="E18" i="27"/>
  <c r="D18" i="27"/>
  <c r="O34" i="27"/>
  <c r="D28" i="27"/>
  <c r="G34" i="27"/>
  <c r="Y36" i="27"/>
  <c r="H36" i="27"/>
  <c r="N36" i="27"/>
  <c r="AA34" i="27"/>
  <c r="R36" i="27"/>
  <c r="J34" i="27"/>
  <c r="G36" i="27"/>
  <c r="K34" i="27"/>
  <c r="AB34" i="27"/>
  <c r="P34" i="27"/>
  <c r="H34" i="27"/>
  <c r="R34" i="27"/>
  <c r="M34" i="27"/>
  <c r="X34" i="27"/>
  <c r="S34" i="27"/>
  <c r="F34" i="27"/>
  <c r="E34" i="27"/>
  <c r="AB36" i="27"/>
  <c r="S36" i="27"/>
  <c r="Y34" i="27"/>
  <c r="Q36" i="27"/>
  <c r="Z34" i="27"/>
  <c r="L34" i="27"/>
  <c r="D30" i="27"/>
  <c r="E36" i="27"/>
  <c r="D34" i="27"/>
  <c r="D36" i="27"/>
  <c r="J36" i="27"/>
  <c r="M36" i="27"/>
  <c r="Q34" i="27"/>
  <c r="X36" i="27"/>
  <c r="K36" i="27"/>
  <c r="P36" i="27"/>
  <c r="N34" i="27"/>
  <c r="F36" i="27"/>
  <c r="AA36" i="27"/>
  <c r="D26" i="27"/>
  <c r="L36" i="27"/>
  <c r="Z36" i="27"/>
  <c r="O36" i="27"/>
  <c r="I34" i="27"/>
  <c r="I36" i="27"/>
  <c r="U36" i="27"/>
  <c r="U34" i="27"/>
  <c r="T36" i="27"/>
  <c r="T34" i="27"/>
  <c r="W36" i="27"/>
  <c r="W34" i="27"/>
  <c r="V36" i="27"/>
  <c r="V34" i="27"/>
  <c r="AZ110" i="12" l="1"/>
  <c r="AZ108" i="12"/>
  <c r="AZ9" i="12"/>
  <c r="BE11" i="12" s="1"/>
  <c r="AY73" i="14" l="1"/>
  <c r="AY72" i="14"/>
  <c r="AY71" i="14"/>
  <c r="AY70" i="14"/>
  <c r="AY69" i="14"/>
  <c r="AY68" i="14"/>
  <c r="AY67" i="14"/>
  <c r="AY63" i="14"/>
  <c r="AY62" i="14"/>
  <c r="AY61" i="14"/>
  <c r="AZ73" i="13"/>
  <c r="BA73" i="13" s="1"/>
  <c r="AZ33" i="12"/>
  <c r="AZ34" i="12" s="1"/>
  <c r="AZ45" i="12"/>
  <c r="BG59" i="13"/>
  <c r="BG58" i="13"/>
  <c r="BG57" i="13"/>
  <c r="BG49" i="13"/>
  <c r="BG48" i="13"/>
  <c r="BG47" i="13"/>
  <c r="BG46" i="13"/>
  <c r="BB59" i="13"/>
  <c r="BB58" i="13"/>
  <c r="BB57" i="13"/>
  <c r="BB54" i="13"/>
  <c r="BB47" i="13"/>
  <c r="BG88" i="13"/>
  <c r="BG86" i="13"/>
  <c r="BG85" i="13"/>
  <c r="BG83" i="13"/>
  <c r="BG82" i="13"/>
  <c r="BG81" i="13"/>
  <c r="BG80" i="13"/>
  <c r="BG77" i="13"/>
  <c r="BG76" i="13"/>
  <c r="BG75" i="13"/>
  <c r="BG73" i="13"/>
  <c r="BG72" i="13"/>
  <c r="BG71" i="13"/>
  <c r="BG69" i="13"/>
  <c r="BG68" i="13"/>
  <c r="BG67" i="13"/>
  <c r="BB88" i="13"/>
  <c r="BB86" i="13"/>
  <c r="BB83" i="13"/>
  <c r="BB82" i="13"/>
  <c r="BB81" i="13"/>
  <c r="BB80" i="13"/>
  <c r="BB77" i="13"/>
  <c r="BB76" i="13"/>
  <c r="BB75" i="13"/>
  <c r="BB71" i="13"/>
  <c r="BB68" i="13"/>
  <c r="AZ85" i="13"/>
  <c r="BA85" i="13" s="1"/>
  <c r="BG31" i="13"/>
  <c r="BG28" i="13"/>
  <c r="BG27" i="13"/>
  <c r="BG26" i="13"/>
  <c r="BG25" i="13"/>
  <c r="BG21" i="13"/>
  <c r="BG20" i="13"/>
  <c r="BG19" i="13"/>
  <c r="BG18" i="13"/>
  <c r="BG17" i="13"/>
  <c r="BG16" i="13"/>
  <c r="BG14" i="13"/>
  <c r="BG13" i="13"/>
  <c r="BG12" i="13"/>
  <c r="BG11" i="13"/>
  <c r="BB31" i="13"/>
  <c r="BB28" i="13"/>
  <c r="BB27" i="13"/>
  <c r="BB26" i="13"/>
  <c r="BB25" i="13"/>
  <c r="BB21" i="13"/>
  <c r="BB20" i="13"/>
  <c r="BB19" i="13"/>
  <c r="BB16" i="13"/>
  <c r="AZ10" i="13"/>
  <c r="AZ43" i="12"/>
  <c r="AZ41" i="12"/>
  <c r="BE93" i="12"/>
  <c r="AZ93" i="12"/>
  <c r="BG73" i="12"/>
  <c r="BG72" i="12"/>
  <c r="BB73" i="12"/>
  <c r="BB72" i="12"/>
  <c r="BG58" i="12"/>
  <c r="BG57" i="12"/>
  <c r="BG56" i="12"/>
  <c r="BG55" i="12"/>
  <c r="BG54" i="12"/>
  <c r="BB58" i="12"/>
  <c r="BB57" i="12"/>
  <c r="BB56" i="12"/>
  <c r="BB55" i="12"/>
  <c r="BB54" i="12"/>
  <c r="AW58" i="12"/>
  <c r="AW57" i="12"/>
  <c r="AW56" i="12"/>
  <c r="AW55" i="12"/>
  <c r="B2" i="13"/>
  <c r="B2" i="14"/>
  <c r="J22" i="25"/>
  <c r="O5" i="25"/>
  <c r="T5" i="25" s="1"/>
  <c r="Y5" i="25" s="1"/>
  <c r="J4" i="15"/>
  <c r="B2" i="15"/>
  <c r="BG60" i="13" l="1"/>
  <c r="BB73" i="13"/>
  <c r="BB85" i="13"/>
  <c r="J23" i="25"/>
  <c r="BL104" i="12" l="1"/>
  <c r="Y22" i="25" s="1"/>
  <c r="Y23" i="25" s="1"/>
  <c r="AY110" i="12"/>
  <c r="AY108" i="12"/>
  <c r="AY24" i="12"/>
  <c r="BD26" i="12" s="1"/>
  <c r="AY9" i="12"/>
  <c r="BD11" i="12" s="1"/>
  <c r="BL103" i="12" l="1"/>
  <c r="AY79" i="13"/>
  <c r="AY72" i="13"/>
  <c r="AY69" i="13"/>
  <c r="AY46" i="13"/>
  <c r="AZ46" i="13" s="1"/>
  <c r="BA46" i="13" s="1"/>
  <c r="AY49" i="13"/>
  <c r="AY48" i="13"/>
  <c r="AY41" i="13"/>
  <c r="AZ41" i="13" s="1"/>
  <c r="BA41" i="13" s="1"/>
  <c r="AY40" i="13"/>
  <c r="AZ40" i="13" s="1"/>
  <c r="BA40" i="13" s="1"/>
  <c r="AY39" i="13"/>
  <c r="AZ39" i="13" s="1"/>
  <c r="BA39" i="13" s="1"/>
  <c r="AY38" i="13"/>
  <c r="AZ38" i="13" s="1"/>
  <c r="BA38" i="13" s="1"/>
  <c r="AY37" i="13"/>
  <c r="AZ37" i="13" s="1"/>
  <c r="BA37" i="13" s="1"/>
  <c r="AY36" i="13"/>
  <c r="AZ36" i="13" s="1"/>
  <c r="BA36" i="13" s="1"/>
  <c r="AY35" i="13"/>
  <c r="AZ35" i="13" s="1"/>
  <c r="BA35" i="13" s="1"/>
  <c r="AY34" i="13"/>
  <c r="AZ34" i="13" s="1"/>
  <c r="BA34" i="13" s="1"/>
  <c r="AY33" i="13"/>
  <c r="AZ33" i="13" s="1"/>
  <c r="BA33" i="13" s="1"/>
  <c r="AY18" i="13"/>
  <c r="AY17" i="13"/>
  <c r="AY29" i="13"/>
  <c r="AZ29" i="13" s="1"/>
  <c r="BA29" i="13" s="1"/>
  <c r="AY14" i="13"/>
  <c r="AY12" i="13"/>
  <c r="AY13" i="13"/>
  <c r="AY11" i="13"/>
  <c r="AZ11" i="13" s="1"/>
  <c r="BA11" i="13" s="1"/>
  <c r="AY8" i="13"/>
  <c r="BQ104" i="12" l="1"/>
  <c r="BQ103" i="12"/>
  <c r="AZ18" i="13"/>
  <c r="BA18" i="13" s="1"/>
  <c r="AZ13" i="13"/>
  <c r="BA13" i="13" s="1"/>
  <c r="AZ12" i="13"/>
  <c r="BA12" i="13" s="1"/>
  <c r="AY100" i="13"/>
  <c r="AZ8" i="13"/>
  <c r="AZ49" i="13"/>
  <c r="BA49" i="13" s="1"/>
  <c r="AZ14" i="13"/>
  <c r="BA14" i="13" s="1"/>
  <c r="AZ69" i="13"/>
  <c r="BA69" i="13" s="1"/>
  <c r="BB69" i="13" s="1"/>
  <c r="AZ48" i="13"/>
  <c r="BA48" i="13" s="1"/>
  <c r="BB48" i="13" s="1"/>
  <c r="AZ72" i="13"/>
  <c r="BA72" i="13" s="1"/>
  <c r="AZ17" i="13"/>
  <c r="BA17" i="13" s="1"/>
  <c r="AZ79" i="13"/>
  <c r="BA79" i="13" s="1"/>
  <c r="AY59" i="12"/>
  <c r="AY45" i="12"/>
  <c r="AY43" i="12"/>
  <c r="AY41" i="12"/>
  <c r="AY33" i="12"/>
  <c r="BB72" i="13" l="1"/>
  <c r="AY44" i="12"/>
  <c r="BB17" i="13"/>
  <c r="BB12" i="13"/>
  <c r="BA8" i="13"/>
  <c r="AZ100" i="13"/>
  <c r="AZ9" i="13"/>
  <c r="BB79" i="13"/>
  <c r="BB14" i="13"/>
  <c r="BB13" i="13"/>
  <c r="BB49" i="13"/>
  <c r="BB18" i="13"/>
  <c r="AY42" i="12"/>
  <c r="AY46" i="12"/>
  <c r="AQ147" i="12"/>
  <c r="AP147" i="12"/>
  <c r="AO147" i="12"/>
  <c r="AN147" i="12"/>
  <c r="AV147" i="12"/>
  <c r="AU147" i="12"/>
  <c r="AT147" i="12"/>
  <c r="AS147" i="12"/>
  <c r="AX147" i="12"/>
  <c r="AL152" i="12"/>
  <c r="AI152" i="12"/>
  <c r="AJ152" i="12"/>
  <c r="AK152" i="12"/>
  <c r="AQ152" i="12"/>
  <c r="AV152" i="12"/>
  <c r="AN152" i="12"/>
  <c r="AO152" i="12"/>
  <c r="AP152" i="12"/>
  <c r="AS152" i="12"/>
  <c r="AT152" i="12"/>
  <c r="AU152" i="12"/>
  <c r="AX152" i="12"/>
  <c r="AX153" i="12" l="1"/>
  <c r="AQ153" i="12"/>
  <c r="AU153" i="12"/>
  <c r="AT153" i="12"/>
  <c r="BA100" i="13"/>
  <c r="BA9" i="13"/>
  <c r="AP153" i="12"/>
  <c r="AN153" i="12"/>
  <c r="AS153" i="12"/>
  <c r="AO153" i="12"/>
  <c r="AV153" i="12"/>
  <c r="BG78" i="12"/>
  <c r="BG76" i="12"/>
  <c r="BB76" i="12"/>
  <c r="BB78" i="12"/>
  <c r="AW78" i="12"/>
  <c r="AW76" i="12"/>
  <c r="AR76" i="12"/>
  <c r="AR78" i="12"/>
  <c r="AX110" i="12" l="1"/>
  <c r="AX108" i="12"/>
  <c r="AX9" i="12"/>
  <c r="AY12" i="12" l="1"/>
  <c r="AX45" i="12"/>
  <c r="AX33" i="12"/>
  <c r="AX34" i="12" s="1"/>
  <c r="AX43" i="12" l="1"/>
  <c r="AX41" i="12"/>
  <c r="AX59" i="12"/>
  <c r="AT87" i="12" l="1"/>
  <c r="AT74" i="12"/>
  <c r="AU74" i="12"/>
  <c r="AU79" i="12" l="1"/>
  <c r="AT79" i="12"/>
  <c r="AV45" i="12"/>
  <c r="AV43" i="12"/>
  <c r="AV41" i="12"/>
  <c r="AV33" i="12"/>
  <c r="AV6" i="14" l="1"/>
  <c r="BG91" i="13" l="1"/>
  <c r="BF89" i="13"/>
  <c r="BE89" i="13"/>
  <c r="BC89" i="13"/>
  <c r="BF60" i="13"/>
  <c r="BD60" i="13"/>
  <c r="BC60" i="13"/>
  <c r="BG35" i="13"/>
  <c r="BC15" i="13"/>
  <c r="BD15" i="13" s="1"/>
  <c r="BE15" i="13" s="1"/>
  <c r="BF15" i="13" s="1"/>
  <c r="BE10" i="13"/>
  <c r="BE9" i="13" s="1"/>
  <c r="BD10" i="13"/>
  <c r="BD9" i="13" s="1"/>
  <c r="BG43" i="14"/>
  <c r="BE42" i="14"/>
  <c r="BF42" i="14" s="1"/>
  <c r="BG42" i="14" s="1"/>
  <c r="BG41" i="14"/>
  <c r="BG40" i="14"/>
  <c r="BG36" i="14"/>
  <c r="BG35" i="14"/>
  <c r="BG115" i="12"/>
  <c r="BF115" i="12"/>
  <c r="BE115" i="12"/>
  <c r="BD115" i="12"/>
  <c r="BC115" i="12"/>
  <c r="BG87" i="12"/>
  <c r="BF74" i="12"/>
  <c r="BE74" i="12"/>
  <c r="BD74" i="12"/>
  <c r="BG70" i="12"/>
  <c r="BG69" i="12"/>
  <c r="BF64" i="12"/>
  <c r="BE64" i="12"/>
  <c r="BD64" i="12"/>
  <c r="BC64" i="12"/>
  <c r="BG63" i="12"/>
  <c r="BG61" i="12"/>
  <c r="BG60" i="12"/>
  <c r="BG59" i="12"/>
  <c r="BG53" i="12"/>
  <c r="BF79" i="12" l="1"/>
  <c r="BE79" i="12"/>
  <c r="BD79" i="12"/>
  <c r="BG79" i="13"/>
  <c r="BG89" i="13" s="1"/>
  <c r="BG15" i="13"/>
  <c r="BG29" i="13"/>
  <c r="BG74" i="12"/>
  <c r="BG79" i="12" s="1"/>
  <c r="BG64" i="12"/>
  <c r="BG10" i="13"/>
  <c r="BG93" i="12"/>
  <c r="AW93" i="12" l="1"/>
  <c r="AW20" i="13" l="1"/>
  <c r="AV27" i="13"/>
  <c r="AV16" i="13"/>
  <c r="AV10" i="13"/>
  <c r="AQ20" i="13"/>
  <c r="AW17" i="14"/>
  <c r="AW73" i="12"/>
  <c r="AV70" i="12"/>
  <c r="AV72" i="12"/>
  <c r="AW72" i="12" s="1"/>
  <c r="AV87" i="12"/>
  <c r="AV5" i="12"/>
  <c r="AV34" i="12" l="1"/>
  <c r="AV24" i="12"/>
  <c r="AV9" i="12"/>
  <c r="BA11" i="12" s="1"/>
  <c r="AX12" i="12" l="1"/>
  <c r="AU69" i="13"/>
  <c r="AV69" i="13" s="1"/>
  <c r="AU58" i="13"/>
  <c r="AV58" i="13" s="1"/>
  <c r="AU20" i="13"/>
  <c r="AV20" i="13" s="1"/>
  <c r="AU45" i="12"/>
  <c r="AU59" i="12"/>
  <c r="AU43" i="12"/>
  <c r="AU41" i="12"/>
  <c r="D14" i="15" s="1"/>
  <c r="AU33" i="12"/>
  <c r="AU87" i="12"/>
  <c r="AU5" i="12"/>
  <c r="AU24" i="12" l="1"/>
  <c r="AU9" i="12"/>
  <c r="AU34" i="12"/>
  <c r="AT45" i="12"/>
  <c r="AT43" i="12"/>
  <c r="AT41" i="12"/>
  <c r="AS100" i="13"/>
  <c r="AT109" i="12"/>
  <c r="AT110" i="12" s="1"/>
  <c r="AT108" i="12"/>
  <c r="AT59" i="12"/>
  <c r="AT33" i="12"/>
  <c r="AV12" i="12" l="1"/>
  <c r="AV27" i="12"/>
  <c r="AT79" i="13"/>
  <c r="AU79" i="13" s="1"/>
  <c r="AT73" i="13"/>
  <c r="AU73" i="13" s="1"/>
  <c r="AV73" i="13" s="1"/>
  <c r="AT72" i="13"/>
  <c r="AU72" i="13" s="1"/>
  <c r="AT67" i="13"/>
  <c r="AU67" i="13" s="1"/>
  <c r="AV67" i="13" s="1"/>
  <c r="AT68" i="13"/>
  <c r="AU68" i="13" s="1"/>
  <c r="AV68" i="13" s="1"/>
  <c r="AT46" i="13"/>
  <c r="AU46" i="13" s="1"/>
  <c r="AT49" i="13"/>
  <c r="AU49" i="13" s="1"/>
  <c r="AT48" i="13"/>
  <c r="AU48" i="13" s="1"/>
  <c r="AT57" i="13"/>
  <c r="AU57" i="13" s="1"/>
  <c r="AV57" i="13" s="1"/>
  <c r="AT12" i="13"/>
  <c r="AU12" i="13" s="1"/>
  <c r="AV12" i="13" s="1"/>
  <c r="AT41" i="13"/>
  <c r="AU41" i="13" s="1"/>
  <c r="AT40" i="13"/>
  <c r="AU40" i="13" s="1"/>
  <c r="AT39" i="13"/>
  <c r="AU39" i="13" s="1"/>
  <c r="AT38" i="13"/>
  <c r="AU38" i="13" s="1"/>
  <c r="AT37" i="13"/>
  <c r="AU37" i="13" s="1"/>
  <c r="AT36" i="13"/>
  <c r="AU36" i="13" s="1"/>
  <c r="AT35" i="13"/>
  <c r="AU35" i="13" s="1"/>
  <c r="AT34" i="13"/>
  <c r="AU34" i="13" s="1"/>
  <c r="AT33" i="13"/>
  <c r="AU33" i="13" s="1"/>
  <c r="AT14" i="13"/>
  <c r="AU14" i="13" s="1"/>
  <c r="AT26" i="13"/>
  <c r="AU26" i="13" s="1"/>
  <c r="AT15" i="13"/>
  <c r="AU15" i="13" s="1"/>
  <c r="AT29" i="13"/>
  <c r="AU29" i="13" s="1"/>
  <c r="AT18" i="13"/>
  <c r="AU18" i="13" s="1"/>
  <c r="AT11" i="13"/>
  <c r="AU11" i="13" s="1"/>
  <c r="AT10" i="13"/>
  <c r="AT8" i="13"/>
  <c r="AT6" i="13"/>
  <c r="AU6" i="13" s="1"/>
  <c r="AV6" i="13" s="1"/>
  <c r="AW87" i="12"/>
  <c r="AT34" i="12"/>
  <c r="AT9" i="12"/>
  <c r="AY11" i="12" l="1"/>
  <c r="AU12" i="12"/>
  <c r="BG103" i="12"/>
  <c r="AU8" i="13"/>
  <c r="AU100" i="13" s="1"/>
  <c r="AT100" i="13"/>
  <c r="AT9" i="13"/>
  <c r="G16" i="23"/>
  <c r="G10" i="23" s="1"/>
  <c r="H16" i="23"/>
  <c r="H14" i="23" s="1"/>
  <c r="I16" i="23"/>
  <c r="I10" i="23" s="1"/>
  <c r="J16" i="23"/>
  <c r="J14" i="23" s="1"/>
  <c r="K16" i="23"/>
  <c r="L16" i="23"/>
  <c r="L49" i="23" s="1"/>
  <c r="F16" i="23"/>
  <c r="F10" i="23" s="1"/>
  <c r="H13" i="23"/>
  <c r="I13" i="23"/>
  <c r="J13" i="23"/>
  <c r="K13" i="23"/>
  <c r="L13" i="23"/>
  <c r="G13" i="23"/>
  <c r="H9" i="23"/>
  <c r="I9" i="23"/>
  <c r="J9" i="23"/>
  <c r="K9" i="23"/>
  <c r="L9" i="23"/>
  <c r="G9" i="23"/>
  <c r="K17" i="23" l="1"/>
  <c r="H10" i="23"/>
  <c r="L22" i="23"/>
  <c r="L25" i="23" s="1"/>
  <c r="L26" i="23" s="1"/>
  <c r="F14" i="23"/>
  <c r="G14" i="23"/>
  <c r="I49" i="23"/>
  <c r="H49" i="23"/>
  <c r="K22" i="23"/>
  <c r="K25" i="23" s="1"/>
  <c r="K26" i="23" s="1"/>
  <c r="G17" i="23"/>
  <c r="J17" i="23"/>
  <c r="K49" i="23"/>
  <c r="L17" i="23"/>
  <c r="H17" i="23"/>
  <c r="J49" i="23"/>
  <c r="I17" i="23"/>
  <c r="L14" i="23"/>
  <c r="L10" i="23"/>
  <c r="K14" i="23"/>
  <c r="J10" i="23"/>
  <c r="I14" i="23"/>
  <c r="K10" i="23"/>
  <c r="L27" i="23" l="1"/>
  <c r="AW19" i="14"/>
  <c r="BB19" i="14" s="1"/>
  <c r="BG19" i="14" s="1"/>
  <c r="BL19" i="14" s="1"/>
  <c r="BQ19" i="14" s="1"/>
  <c r="BV19" i="14" s="1"/>
  <c r="BW19" i="14" s="1"/>
  <c r="BX19" i="14" s="1"/>
  <c r="BY19" i="14" s="1"/>
  <c r="BZ19" i="14" s="1"/>
  <c r="CA19" i="14" s="1"/>
  <c r="AW13" i="14"/>
  <c r="BB13" i="14" s="1"/>
  <c r="BG13" i="14" s="1"/>
  <c r="BL13" i="14" s="1"/>
  <c r="BQ13" i="14" s="1"/>
  <c r="BV13" i="14" s="1"/>
  <c r="BW13" i="14" s="1"/>
  <c r="BX13" i="14" s="1"/>
  <c r="BY13" i="14" s="1"/>
  <c r="BZ13" i="14" s="1"/>
  <c r="CA13" i="14" s="1"/>
  <c r="AX10" i="13"/>
  <c r="AX9" i="13" s="1"/>
  <c r="BB91" i="13"/>
  <c r="BA89" i="13"/>
  <c r="AZ89" i="13"/>
  <c r="AX89" i="13"/>
  <c r="AY89" i="13"/>
  <c r="BB67" i="13"/>
  <c r="BA60" i="13"/>
  <c r="AZ60" i="13"/>
  <c r="AY60" i="13"/>
  <c r="AX60" i="13"/>
  <c r="BB46" i="13"/>
  <c r="BB35" i="13"/>
  <c r="BB29" i="13"/>
  <c r="BA15" i="13"/>
  <c r="AZ15" i="13"/>
  <c r="AY15" i="13"/>
  <c r="BB11" i="13"/>
  <c r="AY10" i="13"/>
  <c r="AY9" i="13" s="1"/>
  <c r="BB43" i="14"/>
  <c r="AZ42" i="14"/>
  <c r="BA42" i="14" s="1"/>
  <c r="BB42" i="14" s="1"/>
  <c r="BB41" i="14"/>
  <c r="BB40" i="14"/>
  <c r="BB36" i="14"/>
  <c r="BB35" i="14"/>
  <c r="AX93" i="12"/>
  <c r="BB115" i="12"/>
  <c r="BA115" i="12"/>
  <c r="AZ115" i="12"/>
  <c r="AY115" i="12"/>
  <c r="AX115" i="12"/>
  <c r="BB87" i="12"/>
  <c r="BA74" i="12"/>
  <c r="AZ74" i="12"/>
  <c r="AY74" i="12"/>
  <c r="AX74" i="12"/>
  <c r="BB70" i="12"/>
  <c r="BB69" i="12"/>
  <c r="BA64" i="12"/>
  <c r="AZ64" i="12"/>
  <c r="AY64" i="12"/>
  <c r="AX64" i="12"/>
  <c r="BB63" i="12"/>
  <c r="BB61" i="12"/>
  <c r="BB60" i="12"/>
  <c r="BB59" i="12"/>
  <c r="BB53" i="12"/>
  <c r="BA79" i="12" l="1"/>
  <c r="BB15" i="13"/>
  <c r="AZ79" i="12"/>
  <c r="H24" i="15"/>
  <c r="AY79" i="12"/>
  <c r="AX79" i="12"/>
  <c r="BB10" i="13"/>
  <c r="BB60" i="13"/>
  <c r="BB89" i="13"/>
  <c r="BB74" i="12"/>
  <c r="BB79" i="12" s="1"/>
  <c r="BB64" i="12"/>
  <c r="BB103" i="12"/>
  <c r="BB93" i="12"/>
  <c r="BB104" i="12"/>
  <c r="O22" i="25" s="1"/>
  <c r="O23" i="25" s="1"/>
  <c r="Z22" i="25" l="1"/>
  <c r="C23" i="25"/>
  <c r="BG104" i="12"/>
  <c r="T22" i="25" s="1"/>
  <c r="T23" i="25" s="1"/>
  <c r="E24" i="15"/>
  <c r="E25" i="15"/>
  <c r="AS109" i="12"/>
  <c r="AS110" i="12" s="1"/>
  <c r="AS108" i="12"/>
  <c r="AS45" i="12"/>
  <c r="AS43" i="12"/>
  <c r="AS41" i="12"/>
  <c r="AS33" i="12"/>
  <c r="AS9" i="12" l="1"/>
  <c r="AN9" i="12"/>
  <c r="AS25" i="12"/>
  <c r="AS74" i="12"/>
  <c r="AS34" i="12"/>
  <c r="AX11" i="12" l="1"/>
  <c r="AT12" i="12"/>
  <c r="AS79" i="12"/>
  <c r="AQ57" i="13" l="1"/>
  <c r="AQ68" i="13"/>
  <c r="AQ10" i="13"/>
  <c r="AR13" i="14"/>
  <c r="AQ45" i="12"/>
  <c r="AL74" i="12"/>
  <c r="AQ33" i="12"/>
  <c r="AQ43" i="12"/>
  <c r="AQ41" i="12"/>
  <c r="AQ70" i="12"/>
  <c r="AQ5" i="12"/>
  <c r="AQ6" i="12" s="1"/>
  <c r="AQ34" i="12" l="1"/>
  <c r="AA25" i="12"/>
  <c r="AA24" i="12" s="1"/>
  <c r="W25" i="12"/>
  <c r="W24" i="12" s="1"/>
  <c r="V25" i="12"/>
  <c r="V24" i="12" s="1"/>
  <c r="U25" i="12"/>
  <c r="U24" i="12" s="1"/>
  <c r="T25" i="12"/>
  <c r="T24" i="12" s="1"/>
  <c r="T27" i="12" s="1"/>
  <c r="W9" i="12"/>
  <c r="W11" i="12" s="1"/>
  <c r="V9" i="12"/>
  <c r="U9" i="12"/>
  <c r="T9" i="12"/>
  <c r="T12" i="12" s="1"/>
  <c r="AB25" i="12"/>
  <c r="AB24" i="12" s="1"/>
  <c r="Z25" i="12"/>
  <c r="Z24" i="12" s="1"/>
  <c r="Y25" i="12"/>
  <c r="Y24" i="12" s="1"/>
  <c r="AB9" i="12"/>
  <c r="AA9" i="12"/>
  <c r="Z9" i="12"/>
  <c r="Y9" i="12"/>
  <c r="AI25" i="12"/>
  <c r="AI24" i="12" s="1"/>
  <c r="AG25" i="12"/>
  <c r="AG24" i="12" s="1"/>
  <c r="AF25" i="12"/>
  <c r="AF24" i="12" s="1"/>
  <c r="AE25" i="12"/>
  <c r="AE24" i="12" s="1"/>
  <c r="AD25" i="12"/>
  <c r="AG9" i="12"/>
  <c r="AF9" i="12"/>
  <c r="AE9" i="12"/>
  <c r="AD9" i="12"/>
  <c r="AK6" i="12"/>
  <c r="AL25" i="12"/>
  <c r="AL24" i="12" s="1"/>
  <c r="AK25" i="12"/>
  <c r="AK24" i="12" s="1"/>
  <c r="AJ25" i="12"/>
  <c r="AJ24" i="12" s="1"/>
  <c r="AL9" i="12"/>
  <c r="AK9" i="12"/>
  <c r="AJ9" i="12"/>
  <c r="AI9" i="12"/>
  <c r="AN25" i="12"/>
  <c r="AN24" i="12" s="1"/>
  <c r="AO25" i="12"/>
  <c r="AQ25" i="12"/>
  <c r="AQ24" i="12" s="1"/>
  <c r="AV26" i="12" s="1"/>
  <c r="AQ9" i="12"/>
  <c r="AV11" i="12" s="1"/>
  <c r="AP25" i="12"/>
  <c r="AP24" i="12" s="1"/>
  <c r="AP9" i="12"/>
  <c r="AU11" i="12" l="1"/>
  <c r="AU26" i="12"/>
  <c r="AH9" i="12"/>
  <c r="F26" i="23" s="1"/>
  <c r="AK26" i="12"/>
  <c r="Z26" i="12"/>
  <c r="AA12" i="12"/>
  <c r="AF26" i="12"/>
  <c r="AE12" i="12"/>
  <c r="AI12" i="12"/>
  <c r="AN11" i="12"/>
  <c r="AL12" i="12"/>
  <c r="AB12" i="12"/>
  <c r="AL27" i="12"/>
  <c r="AL26" i="12"/>
  <c r="AM24" i="12"/>
  <c r="Y12" i="12"/>
  <c r="Y27" i="12"/>
  <c r="AJ12" i="12"/>
  <c r="AK11" i="12"/>
  <c r="AJ27" i="12"/>
  <c r="AK27" i="12"/>
  <c r="AG12" i="12"/>
  <c r="Z12" i="12"/>
  <c r="AB27" i="12"/>
  <c r="AG26" i="12"/>
  <c r="AA27" i="12"/>
  <c r="AA26" i="12"/>
  <c r="AL11" i="12"/>
  <c r="AI27" i="12"/>
  <c r="Y26" i="12"/>
  <c r="AP26" i="12"/>
  <c r="AQ12" i="12"/>
  <c r="AK12" i="12"/>
  <c r="AF27" i="12"/>
  <c r="AE26" i="12"/>
  <c r="T11" i="12"/>
  <c r="Z27" i="12"/>
  <c r="AN27" i="12"/>
  <c r="AJ11" i="12"/>
  <c r="AF12" i="12"/>
  <c r="AG27" i="12"/>
  <c r="AJ26" i="12"/>
  <c r="Y11" i="12"/>
  <c r="Z11" i="12"/>
  <c r="AA11" i="12"/>
  <c r="AP11" i="12"/>
  <c r="AN26" i="12"/>
  <c r="AQ27" i="12"/>
  <c r="AM9" i="12"/>
  <c r="G26" i="23" s="1"/>
  <c r="AE11" i="12"/>
  <c r="AN12" i="12"/>
  <c r="AQ11" i="12"/>
  <c r="AQ26" i="12"/>
  <c r="U27" i="12"/>
  <c r="U12" i="12"/>
  <c r="V27" i="12"/>
  <c r="V12" i="12"/>
  <c r="AB11" i="12"/>
  <c r="W26" i="12"/>
  <c r="W27" i="12"/>
  <c r="W12" i="12"/>
  <c r="T26" i="12"/>
  <c r="U11" i="12"/>
  <c r="U26" i="12"/>
  <c r="V11" i="12"/>
  <c r="V26" i="12"/>
  <c r="AF11" i="12"/>
  <c r="AD12" i="12"/>
  <c r="AG11" i="12"/>
  <c r="AB26" i="12"/>
  <c r="AI11" i="12"/>
  <c r="AD11" i="12"/>
  <c r="AD24" i="12"/>
  <c r="AN109" i="12"/>
  <c r="G32" i="23" l="1"/>
  <c r="G25" i="23"/>
  <c r="G22" i="23" s="1"/>
  <c r="G27" i="23"/>
  <c r="F25" i="23"/>
  <c r="F22" i="23" s="1"/>
  <c r="F32" i="23"/>
  <c r="AU6" i="12"/>
  <c r="AD27" i="12"/>
  <c r="AD26" i="12"/>
  <c r="AE27" i="12"/>
  <c r="AI26" i="12"/>
  <c r="AP109" i="12"/>
  <c r="AP108" i="12"/>
  <c r="AZ35" i="12" l="1"/>
  <c r="AZ6" i="12"/>
  <c r="AZ125" i="12"/>
  <c r="AZ28" i="12"/>
  <c r="G23" i="23"/>
  <c r="G31" i="23" s="1"/>
  <c r="G30" i="23"/>
  <c r="F30" i="23"/>
  <c r="F23" i="23"/>
  <c r="F31" i="23" s="1"/>
  <c r="G33" i="23"/>
  <c r="AS6" i="12"/>
  <c r="AV6" i="12"/>
  <c r="AP110" i="12"/>
  <c r="AP33" i="12"/>
  <c r="AP45" i="12"/>
  <c r="AP43" i="12"/>
  <c r="AP41" i="12"/>
  <c r="AP16" i="13"/>
  <c r="AP6" i="12"/>
  <c r="AP11" i="14"/>
  <c r="AZ73" i="14" l="1"/>
  <c r="AZ69" i="14"/>
  <c r="AZ62" i="14"/>
  <c r="AZ46" i="12"/>
  <c r="AZ72" i="14"/>
  <c r="AZ68" i="14"/>
  <c r="AZ61" i="14"/>
  <c r="AZ70" i="14"/>
  <c r="AZ63" i="14"/>
  <c r="AZ44" i="12"/>
  <c r="AZ71" i="14"/>
  <c r="AZ67" i="14"/>
  <c r="AZ42" i="12"/>
  <c r="AZ116" i="12"/>
  <c r="AZ37" i="12"/>
  <c r="AZ38" i="12" s="1"/>
  <c r="AZ56" i="14"/>
  <c r="AZ106" i="12" s="1"/>
  <c r="BA125" i="12"/>
  <c r="BA28" i="12"/>
  <c r="BA6" i="12"/>
  <c r="BA35" i="12"/>
  <c r="BA7" i="12"/>
  <c r="AP34" i="12"/>
  <c r="AS10" i="13"/>
  <c r="AS9" i="13" s="1"/>
  <c r="AW91" i="13"/>
  <c r="AU89" i="13"/>
  <c r="AS89" i="13"/>
  <c r="AU60" i="13"/>
  <c r="AS60" i="13"/>
  <c r="AT60" i="13"/>
  <c r="AU10" i="13"/>
  <c r="AU9" i="13" s="1"/>
  <c r="AR25" i="14"/>
  <c r="AR38" i="14"/>
  <c r="AW38" i="14" s="1"/>
  <c r="BB38" i="14" s="1"/>
  <c r="BG38" i="14" s="1"/>
  <c r="BL38" i="14" s="1"/>
  <c r="BQ38" i="14" s="1"/>
  <c r="BV38" i="14" s="1"/>
  <c r="BW38" i="14" s="1"/>
  <c r="BX38" i="14" s="1"/>
  <c r="BY38" i="14" s="1"/>
  <c r="BZ38" i="14" s="1"/>
  <c r="CA38" i="14" s="1"/>
  <c r="AR35" i="14"/>
  <c r="AW35" i="14" s="1"/>
  <c r="AM35" i="14"/>
  <c r="AW43" i="14"/>
  <c r="AW41" i="14"/>
  <c r="AW40" i="14"/>
  <c r="AW36" i="14"/>
  <c r="AW115" i="12"/>
  <c r="AV115" i="12"/>
  <c r="AU115" i="12"/>
  <c r="AT115" i="12"/>
  <c r="AS115" i="12"/>
  <c r="AW103" i="12"/>
  <c r="AV74" i="12"/>
  <c r="AW70" i="12"/>
  <c r="AV64" i="12"/>
  <c r="AU64" i="12"/>
  <c r="AT64" i="12"/>
  <c r="AW63" i="12"/>
  <c r="AW61" i="12"/>
  <c r="AW60" i="12"/>
  <c r="AS64" i="12"/>
  <c r="AW54" i="12"/>
  <c r="AW53" i="12"/>
  <c r="AW10" i="13" s="1"/>
  <c r="AW9" i="13" s="1"/>
  <c r="BA70" i="14" l="1"/>
  <c r="BA63" i="14"/>
  <c r="BA67" i="14"/>
  <c r="BA73" i="14"/>
  <c r="BA69" i="14"/>
  <c r="BA62" i="14"/>
  <c r="BA71" i="14"/>
  <c r="BA72" i="14"/>
  <c r="BA68" i="14"/>
  <c r="BA61" i="14"/>
  <c r="BA161" i="12"/>
  <c r="BA46" i="12"/>
  <c r="BA44" i="12"/>
  <c r="BA42" i="12"/>
  <c r="AV79" i="12"/>
  <c r="AW74" i="12"/>
  <c r="AW79" i="12" s="1"/>
  <c r="AZ47" i="12"/>
  <c r="AZ49" i="12" s="1"/>
  <c r="AV42" i="14"/>
  <c r="AW42" i="14" s="1"/>
  <c r="BB37" i="14"/>
  <c r="BB26" i="14"/>
  <c r="BA37" i="12"/>
  <c r="BA30" i="12"/>
  <c r="BA116" i="12"/>
  <c r="AW69" i="12"/>
  <c r="AT89" i="13"/>
  <c r="AW25" i="14"/>
  <c r="BB25" i="14" s="1"/>
  <c r="BG25" i="14" s="1"/>
  <c r="BL25" i="14" s="1"/>
  <c r="BQ25" i="14" s="1"/>
  <c r="BV25" i="14" s="1"/>
  <c r="BW25" i="14" s="1"/>
  <c r="BX25" i="14" s="1"/>
  <c r="BY25" i="14" s="1"/>
  <c r="BZ25" i="14" s="1"/>
  <c r="CA25" i="14" s="1"/>
  <c r="AW59" i="12"/>
  <c r="AW64" i="12" s="1"/>
  <c r="AO79" i="13"/>
  <c r="AO73" i="13"/>
  <c r="AQ73" i="13" s="1"/>
  <c r="AO72" i="13"/>
  <c r="AP72" i="13" s="1"/>
  <c r="AO54" i="13"/>
  <c r="AO49" i="13"/>
  <c r="AP49" i="13" s="1"/>
  <c r="AO48" i="13"/>
  <c r="AP48" i="13" s="1"/>
  <c r="AO46" i="13"/>
  <c r="AP46" i="13" s="1"/>
  <c r="AO34" i="13"/>
  <c r="AP34" i="13" s="1"/>
  <c r="AO29" i="13"/>
  <c r="AP29" i="13" s="1"/>
  <c r="AO41" i="13"/>
  <c r="AP41" i="13" s="1"/>
  <c r="AO40" i="13"/>
  <c r="AP40" i="13" s="1"/>
  <c r="AO39" i="13"/>
  <c r="AP39" i="13" s="1"/>
  <c r="AO38" i="13"/>
  <c r="AP38" i="13" s="1"/>
  <c r="AO37" i="13"/>
  <c r="AP37" i="13" s="1"/>
  <c r="AO36" i="13"/>
  <c r="AP36" i="13" s="1"/>
  <c r="AO35" i="13"/>
  <c r="AP35" i="13" s="1"/>
  <c r="AO33" i="13"/>
  <c r="AP33" i="13" s="1"/>
  <c r="AO18" i="13"/>
  <c r="AP18" i="13" s="1"/>
  <c r="AO16" i="13"/>
  <c r="AQ16" i="13" s="1"/>
  <c r="AO15" i="13"/>
  <c r="AP15" i="13" s="1"/>
  <c r="AO14" i="13"/>
  <c r="AP14" i="13" s="1"/>
  <c r="AO12" i="13"/>
  <c r="AP12" i="13" s="1"/>
  <c r="AQ12" i="13" s="1"/>
  <c r="AO11" i="13"/>
  <c r="AP11" i="13" s="1"/>
  <c r="AQ11" i="13" s="1"/>
  <c r="AO10" i="13"/>
  <c r="AO8" i="13"/>
  <c r="AO7" i="14"/>
  <c r="AO6" i="14"/>
  <c r="AO45" i="12"/>
  <c r="AO43" i="12"/>
  <c r="AO41" i="12"/>
  <c r="AO33" i="12"/>
  <c r="AO59" i="12"/>
  <c r="AO5" i="12"/>
  <c r="AO108" i="12" l="1"/>
  <c r="AO11" i="14"/>
  <c r="AZ66" i="12"/>
  <c r="AZ92" i="12" s="1"/>
  <c r="AZ86" i="12"/>
  <c r="AZ89" i="12" s="1"/>
  <c r="AO34" i="12"/>
  <c r="AO109" i="12"/>
  <c r="AO110" i="12" s="1"/>
  <c r="AO9" i="13"/>
  <c r="AZ50" i="12"/>
  <c r="AP8" i="13"/>
  <c r="AP9" i="13" s="1"/>
  <c r="AO100" i="13"/>
  <c r="BB44" i="14"/>
  <c r="BB23" i="14"/>
  <c r="BB8" i="14"/>
  <c r="BA54" i="14"/>
  <c r="BB24" i="14"/>
  <c r="BB28" i="14"/>
  <c r="BB18" i="14"/>
  <c r="BA56" i="14"/>
  <c r="BB31" i="14"/>
  <c r="BB9" i="14"/>
  <c r="BA47" i="12"/>
  <c r="BA49" i="12" s="1"/>
  <c r="BA86" i="12" s="1"/>
  <c r="AO6" i="12"/>
  <c r="AO9" i="12"/>
  <c r="AO24" i="12"/>
  <c r="BA106" i="12" l="1"/>
  <c r="BA117" i="12" s="1"/>
  <c r="BA118" i="12" s="1"/>
  <c r="BF57" i="14"/>
  <c r="AZ67" i="12"/>
  <c r="AZ88" i="12"/>
  <c r="BA58" i="14"/>
  <c r="AP100" i="13"/>
  <c r="AQ8" i="13"/>
  <c r="BA66" i="12"/>
  <c r="BA50" i="12"/>
  <c r="AZ94" i="12"/>
  <c r="AZ95" i="12"/>
  <c r="AZ90" i="12"/>
  <c r="AZ98" i="12"/>
  <c r="AO11" i="12"/>
  <c r="AO12" i="12"/>
  <c r="AR9" i="12"/>
  <c r="AP12" i="12"/>
  <c r="AO26" i="12"/>
  <c r="AO27" i="12"/>
  <c r="AP27" i="12"/>
  <c r="AR24" i="12"/>
  <c r="AR26" i="12" s="1"/>
  <c r="AN110" i="12"/>
  <c r="AN108" i="12"/>
  <c r="AN41" i="12"/>
  <c r="AN45" i="12"/>
  <c r="AN59" i="12"/>
  <c r="AN43" i="12"/>
  <c r="AN33" i="12"/>
  <c r="AN34" i="12" s="1"/>
  <c r="AN100" i="13"/>
  <c r="AN10" i="13"/>
  <c r="AN9" i="13" s="1"/>
  <c r="AL10" i="13"/>
  <c r="AR10" i="14"/>
  <c r="AN11" i="14"/>
  <c r="AR7" i="14"/>
  <c r="AW7" i="14" s="1"/>
  <c r="BB7" i="14" s="1"/>
  <c r="BG7" i="14" s="1"/>
  <c r="BL7" i="14" s="1"/>
  <c r="BQ7" i="14" s="1"/>
  <c r="BV7" i="14" s="1"/>
  <c r="BW7" i="14" s="1"/>
  <c r="BX7" i="14" s="1"/>
  <c r="BY7" i="14" s="1"/>
  <c r="BZ7" i="14" s="1"/>
  <c r="CA7" i="14" s="1"/>
  <c r="AN6" i="12"/>
  <c r="AZ6" i="13" l="1"/>
  <c r="AZ100" i="12"/>
  <c r="AQ100" i="13"/>
  <c r="AQ9" i="13"/>
  <c r="AR11" i="12"/>
  <c r="H26" i="23"/>
  <c r="BA88" i="12"/>
  <c r="BA89" i="12"/>
  <c r="AZ96" i="12"/>
  <c r="BA92" i="12"/>
  <c r="BA67" i="12"/>
  <c r="AW10" i="14"/>
  <c r="BB10" i="14" s="1"/>
  <c r="BG10" i="14" s="1"/>
  <c r="BL10" i="14" s="1"/>
  <c r="BQ10" i="14" s="1"/>
  <c r="BV10" i="14" s="1"/>
  <c r="BW10" i="14" s="1"/>
  <c r="BX10" i="14" s="1"/>
  <c r="BY10" i="14" s="1"/>
  <c r="BZ10" i="14" s="1"/>
  <c r="CA10" i="14" s="1"/>
  <c r="I47" i="23" l="1"/>
  <c r="H32" i="23"/>
  <c r="H33" i="23" s="1"/>
  <c r="H27" i="23"/>
  <c r="H25" i="23"/>
  <c r="H22" i="23" s="1"/>
  <c r="BA95" i="12"/>
  <c r="BA94" i="12"/>
  <c r="BA98" i="12"/>
  <c r="BA90" i="12"/>
  <c r="AT6" i="12"/>
  <c r="AL108" i="12"/>
  <c r="AL109" i="12"/>
  <c r="AL110" i="12" s="1"/>
  <c r="BA6" i="13" l="1"/>
  <c r="BA83" i="12"/>
  <c r="H23" i="23"/>
  <c r="H31" i="23" s="1"/>
  <c r="H30" i="23"/>
  <c r="I32" i="23"/>
  <c r="J47" i="23"/>
  <c r="BA100" i="12"/>
  <c r="BA96" i="12"/>
  <c r="AN64" i="12"/>
  <c r="AL64" i="12"/>
  <c r="AK64" i="12"/>
  <c r="AL45" i="12"/>
  <c r="AL43" i="12"/>
  <c r="AL41" i="12"/>
  <c r="AL33" i="12"/>
  <c r="AL34" i="12" s="1"/>
  <c r="AL68" i="13"/>
  <c r="AL71" i="13"/>
  <c r="AL75" i="13"/>
  <c r="AL76" i="13"/>
  <c r="AL80" i="13"/>
  <c r="AL81" i="13"/>
  <c r="AL82" i="13"/>
  <c r="AL83" i="13"/>
  <c r="AL85" i="13"/>
  <c r="AL86" i="13"/>
  <c r="AL88" i="13"/>
  <c r="AL47" i="13"/>
  <c r="AL54" i="13"/>
  <c r="AL59" i="13"/>
  <c r="AL16" i="13"/>
  <c r="AL19" i="13"/>
  <c r="AL21" i="13"/>
  <c r="AL25" i="13"/>
  <c r="AL26" i="13"/>
  <c r="AL6" i="12"/>
  <c r="AL11" i="14"/>
  <c r="K47" i="23" l="1"/>
  <c r="J32" i="23"/>
  <c r="I33" i="23"/>
  <c r="I30" i="23"/>
  <c r="I31" i="23" s="1"/>
  <c r="AL47" i="12"/>
  <c r="J33" i="23" l="1"/>
  <c r="J30" i="23"/>
  <c r="J31" i="23" s="1"/>
  <c r="L47" i="23"/>
  <c r="L32" i="23" s="1"/>
  <c r="K32" i="23"/>
  <c r="AK73" i="13"/>
  <c r="AL73" i="13" s="1"/>
  <c r="AK67" i="13"/>
  <c r="AL67" i="13" s="1"/>
  <c r="K33" i="23" l="1"/>
  <c r="K30" i="23"/>
  <c r="K31" i="23" s="1"/>
  <c r="L35" i="23"/>
  <c r="L37" i="23" s="1"/>
  <c r="L38" i="23" s="1"/>
  <c r="L33" i="23"/>
  <c r="L30" i="23"/>
  <c r="L31" i="23" s="1"/>
  <c r="AK48" i="13"/>
  <c r="AL48" i="13" s="1"/>
  <c r="AK29" i="13"/>
  <c r="AL29" i="13" s="1"/>
  <c r="AK28" i="13"/>
  <c r="AL28" i="13" s="1"/>
  <c r="AK12" i="13"/>
  <c r="AL12" i="13" s="1"/>
  <c r="AI10" i="13"/>
  <c r="AI9" i="13" s="1"/>
  <c r="AK45" i="12"/>
  <c r="AK33" i="12"/>
  <c r="AK69" i="12"/>
  <c r="AK74" i="12" s="1"/>
  <c r="AK43" i="12"/>
  <c r="AK41" i="12"/>
  <c r="AK108" i="12"/>
  <c r="AK109" i="12"/>
  <c r="AK110" i="12" s="1"/>
  <c r="AK11" i="14"/>
  <c r="AK34" i="12" l="1"/>
  <c r="AK47" i="12"/>
  <c r="AR55" i="12" l="1"/>
  <c r="AM55" i="12"/>
  <c r="AJ109" i="12" l="1"/>
  <c r="AJ110" i="12" s="1"/>
  <c r="AJ108" i="12"/>
  <c r="AJ6" i="12"/>
  <c r="AJ69" i="12"/>
  <c r="AJ45" i="12"/>
  <c r="AJ43" i="12"/>
  <c r="AJ41" i="12"/>
  <c r="AJ33" i="12"/>
  <c r="AJ34" i="12" s="1"/>
  <c r="AJ79" i="13"/>
  <c r="AK79" i="13" s="1"/>
  <c r="AL79" i="13" s="1"/>
  <c r="AJ77" i="13"/>
  <c r="AL77" i="13" s="1"/>
  <c r="AJ72" i="13"/>
  <c r="AK72" i="13" s="1"/>
  <c r="AL72" i="13" s="1"/>
  <c r="AJ46" i="13"/>
  <c r="AK46" i="13" s="1"/>
  <c r="AL46" i="13" s="1"/>
  <c r="AJ49" i="13"/>
  <c r="AK49" i="13" s="1"/>
  <c r="AL49" i="13" s="1"/>
  <c r="AJ41" i="13"/>
  <c r="AK41" i="13" s="1"/>
  <c r="AL41" i="13" s="1"/>
  <c r="AJ40" i="13"/>
  <c r="AK40" i="13" s="1"/>
  <c r="AL40" i="13" s="1"/>
  <c r="AJ39" i="13"/>
  <c r="AK39" i="13" s="1"/>
  <c r="AL39" i="13" s="1"/>
  <c r="AJ38" i="13"/>
  <c r="AK38" i="13" s="1"/>
  <c r="AL38" i="13" s="1"/>
  <c r="AJ37" i="13"/>
  <c r="AK37" i="13" s="1"/>
  <c r="AL37" i="13" s="1"/>
  <c r="AJ36" i="13"/>
  <c r="AK36" i="13" s="1"/>
  <c r="AL36" i="13" s="1"/>
  <c r="AJ35" i="13"/>
  <c r="AK35" i="13" s="1"/>
  <c r="AL35" i="13" s="1"/>
  <c r="AJ34" i="13"/>
  <c r="AK34" i="13" s="1"/>
  <c r="AL34" i="13" s="1"/>
  <c r="AJ33" i="13"/>
  <c r="AK33" i="13" s="1"/>
  <c r="AL33" i="13" s="1"/>
  <c r="AJ31" i="13"/>
  <c r="AK31" i="13" s="1"/>
  <c r="AL31" i="13" s="1"/>
  <c r="AJ15" i="13"/>
  <c r="AJ14" i="13"/>
  <c r="AK14" i="13" s="1"/>
  <c r="AL14" i="13" s="1"/>
  <c r="AJ8" i="13"/>
  <c r="AJ11" i="14"/>
  <c r="AJ100" i="13" l="1"/>
  <c r="AK8" i="13"/>
  <c r="AL8" i="13" l="1"/>
  <c r="AK100" i="13"/>
  <c r="AI100" i="13"/>
  <c r="AL9" i="13" l="1"/>
  <c r="AL100" i="13"/>
  <c r="AR19" i="14"/>
  <c r="AM19" i="14"/>
  <c r="AI11" i="14"/>
  <c r="AI20" i="14" s="1"/>
  <c r="AM10" i="14"/>
  <c r="AI18" i="13"/>
  <c r="AI69" i="12"/>
  <c r="AI45" i="12"/>
  <c r="AI43" i="12"/>
  <c r="AI41" i="12"/>
  <c r="AI33" i="12"/>
  <c r="AI34" i="12" s="1"/>
  <c r="AI6" i="12"/>
  <c r="AR91" i="13"/>
  <c r="AP89" i="13"/>
  <c r="AO89" i="13"/>
  <c r="AN89" i="13"/>
  <c r="AP60" i="13"/>
  <c r="AO60" i="13"/>
  <c r="AN60" i="13"/>
  <c r="AR43" i="14"/>
  <c r="AR41" i="14"/>
  <c r="AR40" i="14"/>
  <c r="AR36" i="14"/>
  <c r="AR115" i="12"/>
  <c r="AQ115" i="12"/>
  <c r="AP115" i="12"/>
  <c r="AO115" i="12"/>
  <c r="AN115" i="12"/>
  <c r="AQ93" i="12"/>
  <c r="AO93" i="12"/>
  <c r="AR87" i="12"/>
  <c r="AQ74" i="12"/>
  <c r="AQ79" i="12" s="1"/>
  <c r="AP74" i="12"/>
  <c r="AP79" i="12" s="1"/>
  <c r="AO74" i="12"/>
  <c r="AN74" i="12"/>
  <c r="AN79" i="12" s="1"/>
  <c r="AR70" i="12"/>
  <c r="AR69" i="12"/>
  <c r="AR61" i="12"/>
  <c r="AR60" i="12"/>
  <c r="AR59" i="12"/>
  <c r="AR58" i="12"/>
  <c r="AR57" i="12"/>
  <c r="AR54" i="12"/>
  <c r="AR53" i="12"/>
  <c r="AN28" i="12"/>
  <c r="AN101" i="13" s="1"/>
  <c r="AN148" i="12" l="1"/>
  <c r="AN154" i="12"/>
  <c r="AO79" i="12"/>
  <c r="AN73" i="14"/>
  <c r="AN69" i="14"/>
  <c r="AN62" i="14"/>
  <c r="AN70" i="14"/>
  <c r="AN72" i="14"/>
  <c r="AN68" i="14"/>
  <c r="AN61" i="14"/>
  <c r="AN71" i="14"/>
  <c r="AN67" i="14"/>
  <c r="AN63" i="14"/>
  <c r="AN46" i="12"/>
  <c r="AN44" i="12"/>
  <c r="AN42" i="12"/>
  <c r="AJ18" i="13"/>
  <c r="AK18" i="13" s="1"/>
  <c r="AL18" i="13" s="1"/>
  <c r="AO64" i="12"/>
  <c r="AR93" i="12"/>
  <c r="AN125" i="12"/>
  <c r="AP64" i="12"/>
  <c r="AR63" i="12"/>
  <c r="AR64" i="12" s="1"/>
  <c r="AQ64" i="12"/>
  <c r="AR74" i="12"/>
  <c r="AR79" i="12" s="1"/>
  <c r="AR10" i="13"/>
  <c r="AR9" i="13" s="1"/>
  <c r="AN116" i="12"/>
  <c r="AH104" i="12"/>
  <c r="AM58" i="12"/>
  <c r="AM59" i="12"/>
  <c r="AM60" i="12"/>
  <c r="AH58" i="12"/>
  <c r="AH60" i="12"/>
  <c r="AG43" i="12"/>
  <c r="AG69" i="12"/>
  <c r="AF69" i="12"/>
  <c r="AG45" i="12"/>
  <c r="AG41" i="12"/>
  <c r="AG33" i="12"/>
  <c r="AN133" i="12" l="1"/>
  <c r="AN56" i="14"/>
  <c r="AN106" i="12" s="1"/>
  <c r="AN35" i="12"/>
  <c r="AN37" i="12" s="1"/>
  <c r="AN47" i="12"/>
  <c r="AG34" i="12"/>
  <c r="AG6" i="12"/>
  <c r="AN49" i="12" l="1"/>
  <c r="AN38" i="12"/>
  <c r="AN66" i="12" l="1"/>
  <c r="AN92" i="12" s="1"/>
  <c r="AN95" i="12" s="1"/>
  <c r="AN100" i="12" s="1"/>
  <c r="AN86" i="12"/>
  <c r="AN50" i="12"/>
  <c r="AF76" i="13"/>
  <c r="AF88" i="13"/>
  <c r="AG88" i="13" s="1"/>
  <c r="AF18" i="13"/>
  <c r="AF31" i="13"/>
  <c r="AG31" i="13" s="1"/>
  <c r="AF28" i="13"/>
  <c r="AG28" i="13" s="1"/>
  <c r="AF59" i="12"/>
  <c r="AF45" i="12"/>
  <c r="AF43" i="12"/>
  <c r="AF41" i="12"/>
  <c r="AF33" i="12"/>
  <c r="AN88" i="12" l="1"/>
  <c r="AN89" i="12"/>
  <c r="AN67" i="12"/>
  <c r="AG18" i="13"/>
  <c r="AH18" i="13" s="1"/>
  <c r="AF34" i="12"/>
  <c r="AF6" i="12"/>
  <c r="AN94" i="12" l="1"/>
  <c r="AN6" i="13"/>
  <c r="AN90" i="12"/>
  <c r="AE79" i="13"/>
  <c r="AF79" i="13" s="1"/>
  <c r="AG79" i="13" s="1"/>
  <c r="AE77" i="13"/>
  <c r="AF77" i="13" s="1"/>
  <c r="AG77" i="13" s="1"/>
  <c r="AE72" i="13"/>
  <c r="AF72" i="13" s="1"/>
  <c r="AG72" i="13" s="1"/>
  <c r="AE46" i="13"/>
  <c r="AF46" i="13" s="1"/>
  <c r="AG46" i="13" s="1"/>
  <c r="AE40" i="13"/>
  <c r="AF40" i="13" s="1"/>
  <c r="AG40" i="13" s="1"/>
  <c r="AE39" i="13"/>
  <c r="AF39" i="13" s="1"/>
  <c r="AG39" i="13" s="1"/>
  <c r="AE38" i="13"/>
  <c r="AF38" i="13" s="1"/>
  <c r="AG38" i="13" s="1"/>
  <c r="AE37" i="13"/>
  <c r="AF37" i="13" s="1"/>
  <c r="AG37" i="13" s="1"/>
  <c r="AE36" i="13"/>
  <c r="AF36" i="13" s="1"/>
  <c r="AG36" i="13" s="1"/>
  <c r="AE34" i="13"/>
  <c r="AF34" i="13" s="1"/>
  <c r="AG34" i="13" s="1"/>
  <c r="AE33" i="13"/>
  <c r="AF33" i="13" s="1"/>
  <c r="AG33" i="13" s="1"/>
  <c r="AE21" i="13"/>
  <c r="AF21" i="13" s="1"/>
  <c r="AE19" i="13"/>
  <c r="AF19" i="13" s="1"/>
  <c r="AH19" i="13" s="1"/>
  <c r="AE14" i="13"/>
  <c r="AE8" i="13"/>
  <c r="AE11" i="14"/>
  <c r="AN96" i="12" l="1"/>
  <c r="AG21" i="13"/>
  <c r="AH21" i="13" s="1"/>
  <c r="AF14" i="13"/>
  <c r="AG14" i="13" s="1"/>
  <c r="AF8" i="13"/>
  <c r="AE100" i="13"/>
  <c r="AE45" i="12"/>
  <c r="AE43" i="12"/>
  <c r="AE41" i="12"/>
  <c r="AE69" i="12"/>
  <c r="AE33" i="12"/>
  <c r="AH14" i="13" l="1"/>
  <c r="AF100" i="13"/>
  <c r="AG8" i="13"/>
  <c r="AG100" i="13" s="1"/>
  <c r="AE6" i="12"/>
  <c r="AE34" i="12"/>
  <c r="AD100" i="13" l="1"/>
  <c r="AD41" i="13"/>
  <c r="AE41" i="13" s="1"/>
  <c r="AF41" i="13" s="1"/>
  <c r="AG41" i="13" s="1"/>
  <c r="AD54" i="12"/>
  <c r="AD69" i="12" s="1"/>
  <c r="AD45" i="12"/>
  <c r="AD59" i="12"/>
  <c r="AH59" i="12" s="1"/>
  <c r="AD43" i="12"/>
  <c r="AD41" i="12"/>
  <c r="AD33" i="12"/>
  <c r="AD34" i="12" s="1"/>
  <c r="AD6" i="12"/>
  <c r="AN98" i="12" l="1"/>
  <c r="AR103" i="12"/>
  <c r="O109" i="12"/>
  <c r="P109" i="12"/>
  <c r="Q109" i="12"/>
  <c r="R109" i="12"/>
  <c r="T109" i="12"/>
  <c r="U109" i="12"/>
  <c r="V109" i="12"/>
  <c r="W109" i="12"/>
  <c r="Y109" i="12"/>
  <c r="Z109" i="12"/>
  <c r="AA109" i="12"/>
  <c r="AH25" i="13"/>
  <c r="AH26" i="13"/>
  <c r="AH28" i="13"/>
  <c r="AH31" i="13"/>
  <c r="AH83" i="13"/>
  <c r="AH85" i="13"/>
  <c r="AH86" i="13"/>
  <c r="S85" i="13"/>
  <c r="S86" i="13"/>
  <c r="X85" i="13"/>
  <c r="AH47" i="13"/>
  <c r="AH48" i="13"/>
  <c r="AH49" i="13"/>
  <c r="AH59" i="13"/>
  <c r="AC49" i="13"/>
  <c r="AC59" i="13"/>
  <c r="AL89" i="13"/>
  <c r="AK89" i="13"/>
  <c r="AJ89" i="13"/>
  <c r="AI89" i="13"/>
  <c r="AJ60" i="13"/>
  <c r="AI60" i="13"/>
  <c r="AK60" i="13"/>
  <c r="AK15" i="13"/>
  <c r="AL15" i="13" s="1"/>
  <c r="AK10" i="13"/>
  <c r="AK9" i="13" s="1"/>
  <c r="AJ10" i="13"/>
  <c r="AJ9" i="13" s="1"/>
  <c r="AM43" i="14"/>
  <c r="AM41" i="14"/>
  <c r="AM40" i="14"/>
  <c r="AM36" i="14"/>
  <c r="AM7" i="14"/>
  <c r="AM115" i="12"/>
  <c r="AL115" i="12"/>
  <c r="AK115" i="12"/>
  <c r="AJ115" i="12"/>
  <c r="AI115" i="12"/>
  <c r="AM87" i="12"/>
  <c r="AJ74" i="12"/>
  <c r="AI74" i="12"/>
  <c r="AM73" i="12"/>
  <c r="AM72" i="12"/>
  <c r="AM70" i="12"/>
  <c r="AM69" i="12"/>
  <c r="AJ64" i="12"/>
  <c r="AI64" i="12"/>
  <c r="AM63" i="12"/>
  <c r="AM61" i="12"/>
  <c r="AM57" i="12"/>
  <c r="AM54" i="12"/>
  <c r="AM53" i="12"/>
  <c r="AI125" i="12"/>
  <c r="AM89" i="13" l="1"/>
  <c r="AM64" i="12"/>
  <c r="AM74" i="12"/>
  <c r="AI28" i="12"/>
  <c r="AI101" i="13" s="1"/>
  <c r="AM93" i="12"/>
  <c r="AN29" i="12" l="1"/>
  <c r="AI63" i="14"/>
  <c r="AI70" i="14"/>
  <c r="AI62" i="14"/>
  <c r="AI67" i="14"/>
  <c r="AI71" i="14"/>
  <c r="AI61" i="14"/>
  <c r="AI68" i="14"/>
  <c r="AI72" i="14"/>
  <c r="AI69" i="14"/>
  <c r="AI73" i="14"/>
  <c r="AR104" i="12"/>
  <c r="AI42" i="12"/>
  <c r="AI46" i="12"/>
  <c r="AI44" i="12"/>
  <c r="AI56" i="14"/>
  <c r="AI116" i="12"/>
  <c r="AL60" i="13"/>
  <c r="AM60" i="13"/>
  <c r="AI35" i="12"/>
  <c r="AI37" i="12" s="1"/>
  <c r="AC59" i="12"/>
  <c r="AB33" i="12"/>
  <c r="AB43" i="12"/>
  <c r="AB69" i="12"/>
  <c r="AB45" i="12"/>
  <c r="AB41" i="12"/>
  <c r="AC48" i="13"/>
  <c r="AB28" i="13"/>
  <c r="AI106" i="12" l="1"/>
  <c r="AN57" i="14"/>
  <c r="AI133" i="12"/>
  <c r="AN134" i="12" s="1"/>
  <c r="AI38" i="12"/>
  <c r="AI47" i="12"/>
  <c r="AI49" i="12" s="1"/>
  <c r="P108" i="12"/>
  <c r="Q108" i="12"/>
  <c r="R108" i="12"/>
  <c r="T108" i="12"/>
  <c r="U108" i="12"/>
  <c r="V108" i="12"/>
  <c r="W108" i="12"/>
  <c r="Y108" i="12"/>
  <c r="Z108" i="12"/>
  <c r="AA108" i="12"/>
  <c r="O108" i="12"/>
  <c r="AB34" i="12"/>
  <c r="AB6" i="12"/>
  <c r="AI66" i="12" l="1"/>
  <c r="AI92" i="12" s="1"/>
  <c r="AI86" i="12"/>
  <c r="AI50" i="12"/>
  <c r="AB34" i="14"/>
  <c r="AB109" i="12" s="1"/>
  <c r="AI89" i="12" l="1"/>
  <c r="AI88" i="12"/>
  <c r="AI67" i="12"/>
  <c r="AC25" i="13"/>
  <c r="AC26" i="13"/>
  <c r="AC28" i="13"/>
  <c r="AI90" i="12" l="1"/>
  <c r="AI95" i="12"/>
  <c r="AI6" i="13" s="1"/>
  <c r="AI94" i="12"/>
  <c r="AA85" i="13"/>
  <c r="AB85" i="13" s="1"/>
  <c r="AC85" i="13" s="1"/>
  <c r="AA82" i="13"/>
  <c r="AA83" i="13"/>
  <c r="AB83" i="13" s="1"/>
  <c r="AB82" i="13" l="1"/>
  <c r="AI96" i="12"/>
  <c r="AA75" i="13"/>
  <c r="AB75" i="13" s="1"/>
  <c r="AA70" i="12" l="1"/>
  <c r="AA69" i="12"/>
  <c r="AA45" i="12"/>
  <c r="AA43" i="12"/>
  <c r="AA41" i="12"/>
  <c r="AA33" i="12"/>
  <c r="AA34" i="12" l="1"/>
  <c r="AA6" i="12"/>
  <c r="AA115" i="12" l="1"/>
  <c r="AB115" i="12"/>
  <c r="Z115" i="12"/>
  <c r="H140" i="12"/>
  <c r="H133" i="12"/>
  <c r="G133" i="12"/>
  <c r="F133" i="12"/>
  <c r="E133" i="12"/>
  <c r="M133" i="12"/>
  <c r="L133" i="12"/>
  <c r="K133" i="12"/>
  <c r="J133" i="12"/>
  <c r="R133" i="12"/>
  <c r="Q133" i="12"/>
  <c r="P133" i="12"/>
  <c r="O133" i="12"/>
  <c r="T133" i="12"/>
  <c r="U133" i="12"/>
  <c r="V133" i="12"/>
  <c r="W133" i="12"/>
  <c r="Y133" i="12"/>
  <c r="Z133" i="12"/>
  <c r="AA125" i="12"/>
  <c r="Z125" i="12"/>
  <c r="Y125" i="12"/>
  <c r="W125" i="12"/>
  <c r="V125" i="12"/>
  <c r="U125" i="12"/>
  <c r="T125" i="12"/>
  <c r="R125" i="12"/>
  <c r="Q125" i="12"/>
  <c r="P125" i="12"/>
  <c r="O125" i="12"/>
  <c r="H125" i="12"/>
  <c r="G125" i="12"/>
  <c r="F125" i="12"/>
  <c r="E125" i="12"/>
  <c r="K125" i="12"/>
  <c r="L125" i="12"/>
  <c r="M125" i="12"/>
  <c r="J125" i="12"/>
  <c r="Z134" i="12" l="1"/>
  <c r="Y134" i="12"/>
  <c r="M134" i="12"/>
  <c r="K134" i="12"/>
  <c r="T126" i="12"/>
  <c r="T129" i="12" s="1"/>
  <c r="T130" i="12" s="1"/>
  <c r="Y126" i="12"/>
  <c r="Y129" i="12" s="1"/>
  <c r="Y130" i="12" s="1"/>
  <c r="H126" i="12"/>
  <c r="H129" i="12" s="1"/>
  <c r="H130" i="12" s="1"/>
  <c r="L126" i="12"/>
  <c r="M126" i="12"/>
  <c r="M129" i="12" s="1"/>
  <c r="M130" i="12" s="1"/>
  <c r="J126" i="12"/>
  <c r="J134" i="12"/>
  <c r="W134" i="12"/>
  <c r="U134" i="12"/>
  <c r="O126" i="12"/>
  <c r="K126" i="12"/>
  <c r="U126" i="12"/>
  <c r="V134" i="12"/>
  <c r="Q126" i="12"/>
  <c r="V126" i="12"/>
  <c r="AA126" i="12"/>
  <c r="AA129" i="12" s="1"/>
  <c r="AA130" i="12" s="1"/>
  <c r="P126" i="12"/>
  <c r="Z126" i="12"/>
  <c r="R126" i="12"/>
  <c r="R129" i="12" s="1"/>
  <c r="R130" i="12" s="1"/>
  <c r="W126" i="12"/>
  <c r="L134" i="12"/>
  <c r="T134" i="12"/>
  <c r="Q134" i="12"/>
  <c r="R134" i="12"/>
  <c r="O134" i="12"/>
  <c r="P134" i="12"/>
  <c r="Y135" i="12" l="1"/>
  <c r="Y138" i="12" s="1"/>
  <c r="R135" i="12"/>
  <c r="R138" i="12" s="1"/>
  <c r="Z135" i="12"/>
  <c r="Z138" i="12" s="1"/>
  <c r="R127" i="12"/>
  <c r="R131" i="12" s="1"/>
  <c r="T127" i="12"/>
  <c r="P135" i="12"/>
  <c r="W127" i="12"/>
  <c r="W131" i="12" s="1"/>
  <c r="Y127" i="12"/>
  <c r="Y131" i="12" s="1"/>
  <c r="M127" i="12"/>
  <c r="AA127" i="12"/>
  <c r="O135" i="12"/>
  <c r="P127" i="12"/>
  <c r="P129" i="12"/>
  <c r="P130" i="12" s="1"/>
  <c r="V127" i="12"/>
  <c r="V129" i="12"/>
  <c r="V130" i="12" s="1"/>
  <c r="O127" i="12"/>
  <c r="O129" i="12"/>
  <c r="O130" i="12" s="1"/>
  <c r="U127" i="12"/>
  <c r="U129" i="12"/>
  <c r="U130" i="12" s="1"/>
  <c r="Z127" i="12"/>
  <c r="Z129" i="12"/>
  <c r="Z130" i="12" s="1"/>
  <c r="Q127" i="12"/>
  <c r="Q129" i="12"/>
  <c r="Q130" i="12" s="1"/>
  <c r="W135" i="12"/>
  <c r="W138" i="12" s="1"/>
  <c r="Q135" i="12"/>
  <c r="V135" i="12"/>
  <c r="T135" i="12"/>
  <c r="U135" i="12"/>
  <c r="Y136" i="12" l="1"/>
  <c r="Y137" i="12" s="1"/>
  <c r="R136" i="12"/>
  <c r="R137" i="12" s="1"/>
  <c r="T131" i="12"/>
  <c r="T136" i="12" s="1"/>
  <c r="AA131" i="12"/>
  <c r="W136" i="12"/>
  <c r="W137" i="12" s="1"/>
  <c r="V138" i="12"/>
  <c r="U131" i="12"/>
  <c r="U136" i="12" s="1"/>
  <c r="V131" i="12"/>
  <c r="V136" i="12" s="1"/>
  <c r="V137" i="12" s="1"/>
  <c r="Z131" i="12"/>
  <c r="Z136" i="12" s="1"/>
  <c r="Z137" i="12" s="1"/>
  <c r="T138" i="12"/>
  <c r="U138" i="12"/>
  <c r="Z77" i="13"/>
  <c r="AA77" i="13" s="1"/>
  <c r="AB77" i="13" s="1"/>
  <c r="Z79" i="13"/>
  <c r="AA79" i="13" s="1"/>
  <c r="AB79" i="13" s="1"/>
  <c r="Z72" i="13"/>
  <c r="AA72" i="13" s="1"/>
  <c r="Z47" i="13"/>
  <c r="Z46" i="13"/>
  <c r="Z41" i="13"/>
  <c r="AA41" i="13" s="1"/>
  <c r="AB41" i="13" s="1"/>
  <c r="Z40" i="13"/>
  <c r="AA40" i="13" s="1"/>
  <c r="AB40" i="13" s="1"/>
  <c r="Z39" i="13"/>
  <c r="Z38" i="13"/>
  <c r="AA38" i="13" s="1"/>
  <c r="AB38" i="13" s="1"/>
  <c r="Z37" i="13"/>
  <c r="AA37" i="13" s="1"/>
  <c r="AB37" i="13" s="1"/>
  <c r="Z36" i="13"/>
  <c r="AA36" i="13" s="1"/>
  <c r="AB36" i="13" s="1"/>
  <c r="Z34" i="13"/>
  <c r="AA34" i="13" s="1"/>
  <c r="AB34" i="13" s="1"/>
  <c r="Z33" i="13"/>
  <c r="AA33" i="13" s="1"/>
  <c r="AB33" i="13" s="1"/>
  <c r="Z31" i="13"/>
  <c r="Z21" i="13"/>
  <c r="AA21" i="13" s="1"/>
  <c r="AB21" i="13" s="1"/>
  <c r="Z19" i="13"/>
  <c r="AA19" i="13" s="1"/>
  <c r="Z15" i="13"/>
  <c r="AA15" i="13" s="1"/>
  <c r="AB15" i="13" s="1"/>
  <c r="Z14" i="13"/>
  <c r="AA14" i="13" s="1"/>
  <c r="AB14" i="13" s="1"/>
  <c r="Z8" i="13"/>
  <c r="Z45" i="12"/>
  <c r="Z43" i="12"/>
  <c r="Z41" i="12"/>
  <c r="Z69" i="12"/>
  <c r="Z33" i="12"/>
  <c r="Z6" i="12"/>
  <c r="AA31" i="13" l="1"/>
  <c r="AB31" i="13" s="1"/>
  <c r="AA46" i="13"/>
  <c r="Z60" i="13"/>
  <c r="Z34" i="12"/>
  <c r="AA39" i="13"/>
  <c r="AB39" i="13" s="1"/>
  <c r="AA47" i="13"/>
  <c r="AC47" i="13" s="1"/>
  <c r="AB72" i="13"/>
  <c r="AB89" i="13" s="1"/>
  <c r="AA89" i="13"/>
  <c r="AA8" i="13"/>
  <c r="Z100" i="13"/>
  <c r="U137" i="12"/>
  <c r="T137" i="12"/>
  <c r="AC39" i="13" l="1"/>
  <c r="AC31" i="13"/>
  <c r="AA60" i="13"/>
  <c r="AB46" i="13"/>
  <c r="AB60" i="13" s="1"/>
  <c r="AA100" i="13"/>
  <c r="AB8" i="13"/>
  <c r="AB100" i="13" s="1"/>
  <c r="Y100" i="13"/>
  <c r="P69" i="12"/>
  <c r="P70" i="12"/>
  <c r="Q69" i="12"/>
  <c r="Q70" i="12"/>
  <c r="R69" i="12"/>
  <c r="R70" i="12"/>
  <c r="T69" i="12"/>
  <c r="T70" i="12"/>
  <c r="U69" i="12"/>
  <c r="U70" i="12"/>
  <c r="V69" i="12"/>
  <c r="V70" i="12"/>
  <c r="W69" i="12"/>
  <c r="W70" i="12"/>
  <c r="Y69" i="12"/>
  <c r="Y70" i="12"/>
  <c r="AE93" i="12"/>
  <c r="S80" i="13" l="1"/>
  <c r="S81" i="13"/>
  <c r="S82" i="13"/>
  <c r="S83" i="13"/>
  <c r="S88" i="13"/>
  <c r="T89" i="13"/>
  <c r="K109" i="12"/>
  <c r="K110" i="12" s="1"/>
  <c r="L109" i="12"/>
  <c r="L110" i="12" s="1"/>
  <c r="M109" i="12"/>
  <c r="M110" i="12" s="1"/>
  <c r="Q110" i="12"/>
  <c r="R110" i="12"/>
  <c r="T110" i="12"/>
  <c r="U110" i="12"/>
  <c r="V110" i="12"/>
  <c r="W110" i="12"/>
  <c r="Y110" i="12"/>
  <c r="O110" i="12"/>
  <c r="P110" i="12"/>
  <c r="J109" i="12"/>
  <c r="J110" i="12" s="1"/>
  <c r="AC29" i="14"/>
  <c r="AC30" i="14"/>
  <c r="AH30" i="14" s="1"/>
  <c r="AM30" i="14" s="1"/>
  <c r="AR30" i="14" s="1"/>
  <c r="Y56" i="14"/>
  <c r="AH43" i="14"/>
  <c r="AH41" i="14"/>
  <c r="AH36" i="14"/>
  <c r="AH34" i="14"/>
  <c r="AK34" i="14" s="1"/>
  <c r="AM34" i="14" s="1"/>
  <c r="AN34" i="14" s="1"/>
  <c r="AO34" i="14" s="1"/>
  <c r="AP34" i="14" s="1"/>
  <c r="AQ34" i="14" s="1"/>
  <c r="AR34" i="14" s="1"/>
  <c r="AS34" i="14" s="1"/>
  <c r="AT34" i="14" s="1"/>
  <c r="AU34" i="14" s="1"/>
  <c r="AV34" i="14" s="1"/>
  <c r="AW34" i="14" s="1"/>
  <c r="AX34" i="14" s="1"/>
  <c r="AY34" i="14" s="1"/>
  <c r="AZ34" i="14" s="1"/>
  <c r="BA34" i="14" s="1"/>
  <c r="BB34" i="14" s="1"/>
  <c r="BC34" i="14" s="1"/>
  <c r="BD34" i="14" s="1"/>
  <c r="BE34" i="14" s="1"/>
  <c r="BF34" i="14" s="1"/>
  <c r="BG34" i="14" s="1"/>
  <c r="BH34" i="14" s="1"/>
  <c r="BI34" i="14" s="1"/>
  <c r="BJ34" i="14" s="1"/>
  <c r="BK34" i="14" s="1"/>
  <c r="BL34" i="14" s="1"/>
  <c r="BM34" i="14" s="1"/>
  <c r="BN34" i="14" s="1"/>
  <c r="BO34" i="14" s="1"/>
  <c r="BP34" i="14" s="1"/>
  <c r="BQ34" i="14" s="1"/>
  <c r="BR34" i="14" s="1"/>
  <c r="BS34" i="14" s="1"/>
  <c r="AH7" i="14"/>
  <c r="AE15" i="13"/>
  <c r="AH91" i="13"/>
  <c r="AG89" i="13"/>
  <c r="AF89" i="13"/>
  <c r="AE89" i="13"/>
  <c r="AD89" i="13"/>
  <c r="AH88" i="13"/>
  <c r="AH82" i="13"/>
  <c r="AH81" i="13"/>
  <c r="AH80" i="13"/>
  <c r="AH79" i="13"/>
  <c r="AH77" i="13"/>
  <c r="AH76" i="13"/>
  <c r="AH75" i="13"/>
  <c r="AH72" i="13"/>
  <c r="AH71" i="13"/>
  <c r="AH67" i="13"/>
  <c r="AD60" i="13"/>
  <c r="AE60" i="13"/>
  <c r="F56" i="14"/>
  <c r="G56" i="14"/>
  <c r="H56" i="14"/>
  <c r="J56" i="14"/>
  <c r="J106" i="12" s="1"/>
  <c r="K56" i="14"/>
  <c r="K106" i="12" s="1"/>
  <c r="L56" i="14"/>
  <c r="L106" i="12" s="1"/>
  <c r="M56" i="14"/>
  <c r="O56" i="14"/>
  <c r="O106" i="12" s="1"/>
  <c r="P56" i="14"/>
  <c r="P106" i="12" s="1"/>
  <c r="Q56" i="14"/>
  <c r="Q106" i="12" s="1"/>
  <c r="R56" i="14"/>
  <c r="T56" i="14"/>
  <c r="T106" i="12" s="1"/>
  <c r="U56" i="14"/>
  <c r="U106" i="12" s="1"/>
  <c r="V56" i="14"/>
  <c r="V106" i="12" s="1"/>
  <c r="W56" i="14"/>
  <c r="E56" i="14"/>
  <c r="AE74" i="12"/>
  <c r="AF74" i="12"/>
  <c r="AG74" i="12"/>
  <c r="AD74" i="12"/>
  <c r="AA74" i="12"/>
  <c r="AB74" i="12"/>
  <c r="Z74" i="12"/>
  <c r="D74" i="12"/>
  <c r="N73" i="12"/>
  <c r="K74" i="12"/>
  <c r="L74" i="12"/>
  <c r="AH73" i="12"/>
  <c r="AC73" i="12"/>
  <c r="AH57" i="12"/>
  <c r="AH61" i="12"/>
  <c r="AC57" i="12"/>
  <c r="AC58" i="12"/>
  <c r="AC60" i="12"/>
  <c r="AC61" i="12"/>
  <c r="AC63" i="12"/>
  <c r="AB125" i="12"/>
  <c r="Y45" i="12"/>
  <c r="Y43" i="12"/>
  <c r="Y41" i="12"/>
  <c r="Y33" i="12"/>
  <c r="W45" i="12"/>
  <c r="W43" i="12"/>
  <c r="W41" i="12"/>
  <c r="W33" i="12"/>
  <c r="W35" i="12" s="1"/>
  <c r="W74" i="12"/>
  <c r="V45" i="12"/>
  <c r="V43" i="12"/>
  <c r="V41" i="12"/>
  <c r="V33" i="12"/>
  <c r="U74" i="12"/>
  <c r="U45" i="12"/>
  <c r="U43" i="12"/>
  <c r="U41" i="12"/>
  <c r="U33" i="12"/>
  <c r="T45" i="12"/>
  <c r="T43" i="12"/>
  <c r="T41" i="12"/>
  <c r="T33" i="12"/>
  <c r="T35" i="12" s="1"/>
  <c r="V74" i="12"/>
  <c r="X73" i="12"/>
  <c r="S70" i="12"/>
  <c r="S69" i="12"/>
  <c r="S73" i="12"/>
  <c r="T74" i="12"/>
  <c r="S60" i="12"/>
  <c r="R45" i="12"/>
  <c r="R43" i="12"/>
  <c r="R41" i="12"/>
  <c r="R33" i="12"/>
  <c r="R35" i="12" s="1"/>
  <c r="R74" i="12"/>
  <c r="M70" i="12"/>
  <c r="N70" i="12" s="1"/>
  <c r="M45" i="12"/>
  <c r="M43" i="12"/>
  <c r="M41" i="12"/>
  <c r="M33" i="12"/>
  <c r="N104" i="12"/>
  <c r="N103" i="12"/>
  <c r="Q74" i="12"/>
  <c r="L33" i="12"/>
  <c r="L45" i="12"/>
  <c r="L43" i="12"/>
  <c r="L41" i="12"/>
  <c r="Q45" i="12"/>
  <c r="Q43" i="12"/>
  <c r="Q41" i="12"/>
  <c r="Q33" i="12"/>
  <c r="Q35" i="12" s="1"/>
  <c r="N60" i="12"/>
  <c r="P74" i="12"/>
  <c r="O74" i="12"/>
  <c r="P45" i="12"/>
  <c r="P43" i="12"/>
  <c r="P41" i="12"/>
  <c r="P33" i="12"/>
  <c r="P35" i="12" s="1"/>
  <c r="K45" i="12"/>
  <c r="K43" i="12"/>
  <c r="K41" i="12"/>
  <c r="K33" i="12"/>
  <c r="K34" i="12" s="1"/>
  <c r="J41" i="12"/>
  <c r="J45" i="12"/>
  <c r="J43" i="12"/>
  <c r="J140" i="12" s="1"/>
  <c r="J33" i="12"/>
  <c r="J35" i="12" s="1"/>
  <c r="O87" i="12"/>
  <c r="O41" i="12"/>
  <c r="O45" i="12"/>
  <c r="O43" i="12"/>
  <c r="O33" i="12"/>
  <c r="O35" i="12" s="1"/>
  <c r="J72" i="12"/>
  <c r="J74" i="12" s="1"/>
  <c r="X60" i="12"/>
  <c r="X61" i="12"/>
  <c r="I74" i="12"/>
  <c r="S61" i="12"/>
  <c r="N5" i="12"/>
  <c r="N69" i="12"/>
  <c r="N54" i="12"/>
  <c r="N57" i="12"/>
  <c r="N58" i="12"/>
  <c r="N61" i="12"/>
  <c r="N63" i="12"/>
  <c r="N53" i="12"/>
  <c r="S104" i="12"/>
  <c r="S103" i="12"/>
  <c r="I70" i="12"/>
  <c r="I72" i="12"/>
  <c r="I69" i="12"/>
  <c r="I54" i="12"/>
  <c r="I57" i="12"/>
  <c r="I58" i="12"/>
  <c r="I61" i="12"/>
  <c r="I63" i="12"/>
  <c r="I53" i="12"/>
  <c r="D47" i="12"/>
  <c r="I87" i="12"/>
  <c r="N87" i="12"/>
  <c r="N93" i="12"/>
  <c r="I93" i="12"/>
  <c r="O7" i="12"/>
  <c r="L7" i="12"/>
  <c r="M7" i="12"/>
  <c r="K7" i="12"/>
  <c r="J7" i="12"/>
  <c r="J6" i="12"/>
  <c r="K6" i="12"/>
  <c r="L6" i="12"/>
  <c r="M6" i="12"/>
  <c r="O6" i="12"/>
  <c r="P6" i="12"/>
  <c r="Q6" i="12"/>
  <c r="R6" i="12"/>
  <c r="D64" i="12"/>
  <c r="E64" i="12"/>
  <c r="G64" i="12"/>
  <c r="H64" i="12"/>
  <c r="J64" i="12"/>
  <c r="K64" i="12"/>
  <c r="L64" i="12"/>
  <c r="M64" i="12"/>
  <c r="D34" i="12"/>
  <c r="D35" i="12"/>
  <c r="D28" i="12"/>
  <c r="G7" i="12"/>
  <c r="H7" i="12"/>
  <c r="F7" i="12"/>
  <c r="I45" i="12"/>
  <c r="I43" i="12"/>
  <c r="I41" i="12"/>
  <c r="F47" i="12"/>
  <c r="G47" i="12"/>
  <c r="H47" i="12"/>
  <c r="E47" i="12"/>
  <c r="I5" i="12"/>
  <c r="I6" i="12" s="1"/>
  <c r="I33" i="12"/>
  <c r="F35" i="12"/>
  <c r="G35" i="12"/>
  <c r="H35" i="12"/>
  <c r="E35" i="12"/>
  <c r="H34" i="12"/>
  <c r="G34" i="12"/>
  <c r="F34" i="12"/>
  <c r="E34" i="12"/>
  <c r="BT34" i="14" l="1"/>
  <c r="M57" i="14"/>
  <c r="M74" i="12"/>
  <c r="N74" i="12" s="1"/>
  <c r="W57" i="14"/>
  <c r="R57" i="14"/>
  <c r="H58" i="14"/>
  <c r="N45" i="12"/>
  <c r="G58" i="14"/>
  <c r="K140" i="12"/>
  <c r="O140" i="12"/>
  <c r="F58" i="14"/>
  <c r="AF15" i="13"/>
  <c r="R58" i="14"/>
  <c r="L58" i="14"/>
  <c r="J58" i="14"/>
  <c r="V57" i="14"/>
  <c r="Q57" i="14"/>
  <c r="L57" i="14"/>
  <c r="Y57" i="14"/>
  <c r="W106" i="12"/>
  <c r="R106" i="12"/>
  <c r="R117" i="12" s="1"/>
  <c r="M106" i="12"/>
  <c r="O117" i="12" s="1"/>
  <c r="Q58" i="14"/>
  <c r="K58" i="14"/>
  <c r="O58" i="14"/>
  <c r="U57" i="14"/>
  <c r="P57" i="14"/>
  <c r="K57" i="14"/>
  <c r="P58" i="14"/>
  <c r="J57" i="14"/>
  <c r="T57" i="14"/>
  <c r="O57" i="14"/>
  <c r="R140" i="12"/>
  <c r="R142" i="12" s="1"/>
  <c r="M58" i="14"/>
  <c r="Y106" i="12"/>
  <c r="V140" i="12"/>
  <c r="V142" i="12" s="1"/>
  <c r="W140" i="12"/>
  <c r="W142" i="12" s="1"/>
  <c r="L140" i="12"/>
  <c r="M140" i="12"/>
  <c r="V35" i="12"/>
  <c r="Y140" i="12"/>
  <c r="Z140" i="12"/>
  <c r="P140" i="12"/>
  <c r="Q140" i="12"/>
  <c r="T140" i="12"/>
  <c r="T142" i="12" s="1"/>
  <c r="U140" i="12"/>
  <c r="U142" i="12" s="1"/>
  <c r="AB126" i="12"/>
  <c r="K35" i="12"/>
  <c r="U35" i="12"/>
  <c r="AC42" i="14"/>
  <c r="AH42" i="14" s="1"/>
  <c r="AM42" i="14" s="1"/>
  <c r="AR42" i="14" s="1"/>
  <c r="K47" i="12"/>
  <c r="D44" i="12"/>
  <c r="L35" i="12"/>
  <c r="L34" i="12"/>
  <c r="M34" i="12"/>
  <c r="M35" i="12"/>
  <c r="Y35" i="12"/>
  <c r="AH29" i="14"/>
  <c r="P117" i="12"/>
  <c r="Q117" i="12"/>
  <c r="N41" i="12"/>
  <c r="I34" i="12"/>
  <c r="L47" i="12"/>
  <c r="AH89" i="13"/>
  <c r="AH10" i="13"/>
  <c r="AC27" i="14"/>
  <c r="AD27" i="14" s="1"/>
  <c r="AE27" i="14" s="1"/>
  <c r="AF27" i="14" s="1"/>
  <c r="AG27" i="14" s="1"/>
  <c r="AH27" i="14" s="1"/>
  <c r="AI27" i="14" s="1"/>
  <c r="AJ27" i="14" s="1"/>
  <c r="AK27" i="14" s="1"/>
  <c r="AM27" i="14" s="1"/>
  <c r="AN27" i="14" s="1"/>
  <c r="AO27" i="14" s="1"/>
  <c r="AP27" i="14" s="1"/>
  <c r="AQ27" i="14" s="1"/>
  <c r="AR27" i="14" s="1"/>
  <c r="AS27" i="14" s="1"/>
  <c r="AT27" i="14" s="1"/>
  <c r="AU27" i="14" s="1"/>
  <c r="AV27" i="14" s="1"/>
  <c r="AW27" i="14" s="1"/>
  <c r="AG60" i="13"/>
  <c r="Y58" i="14"/>
  <c r="M47" i="12"/>
  <c r="N43" i="12"/>
  <c r="J34" i="12"/>
  <c r="N33" i="12"/>
  <c r="D42" i="12"/>
  <c r="S35" i="12"/>
  <c r="N72" i="12"/>
  <c r="J47" i="12"/>
  <c r="I35" i="12"/>
  <c r="D37" i="12"/>
  <c r="D49" i="12" s="1"/>
  <c r="D46" i="12"/>
  <c r="N6" i="12"/>
  <c r="I47" i="12"/>
  <c r="I64" i="12"/>
  <c r="AB28" i="12"/>
  <c r="AA28" i="12"/>
  <c r="Z28" i="12"/>
  <c r="Y28" i="12"/>
  <c r="W28" i="12"/>
  <c r="V28" i="12"/>
  <c r="U28" i="12"/>
  <c r="T28" i="12"/>
  <c r="N28" i="12"/>
  <c r="R28" i="12"/>
  <c r="Q28" i="12"/>
  <c r="P28" i="12"/>
  <c r="O28" i="12"/>
  <c r="M28" i="12"/>
  <c r="L28" i="12"/>
  <c r="K28" i="12"/>
  <c r="J28" i="12"/>
  <c r="I28" i="12"/>
  <c r="F28" i="12"/>
  <c r="G28" i="12"/>
  <c r="H28" i="12"/>
  <c r="E28" i="12"/>
  <c r="AC71" i="13"/>
  <c r="AC72" i="13"/>
  <c r="AC75" i="13"/>
  <c r="AC76" i="13"/>
  <c r="AC77" i="13"/>
  <c r="AC79" i="13"/>
  <c r="AC80" i="13"/>
  <c r="AC81" i="13"/>
  <c r="AC82" i="13"/>
  <c r="AC83" i="13"/>
  <c r="AC86" i="13"/>
  <c r="AC88" i="13"/>
  <c r="X71" i="13"/>
  <c r="X72" i="13"/>
  <c r="X75" i="13"/>
  <c r="X76" i="13"/>
  <c r="X77" i="13"/>
  <c r="X79" i="13"/>
  <c r="X80" i="13"/>
  <c r="X81" i="13"/>
  <c r="X82" i="13"/>
  <c r="X83" i="13"/>
  <c r="X86" i="13"/>
  <c r="X88" i="13"/>
  <c r="S71" i="13"/>
  <c r="S72" i="13"/>
  <c r="S75" i="13"/>
  <c r="S76" i="13"/>
  <c r="S77" i="13"/>
  <c r="S79" i="13"/>
  <c r="X47" i="13"/>
  <c r="X48" i="13"/>
  <c r="X49" i="13"/>
  <c r="X59" i="13"/>
  <c r="S47" i="13"/>
  <c r="S48" i="13"/>
  <c r="S49" i="13"/>
  <c r="S59" i="13"/>
  <c r="X34" i="13"/>
  <c r="X36" i="13"/>
  <c r="X37" i="13"/>
  <c r="X38" i="13"/>
  <c r="X39" i="13"/>
  <c r="X40" i="13"/>
  <c r="S34" i="13"/>
  <c r="S36" i="13"/>
  <c r="S37" i="13"/>
  <c r="S38" i="13"/>
  <c r="S39" i="13"/>
  <c r="S40" i="13"/>
  <c r="S21" i="13"/>
  <c r="S25" i="13"/>
  <c r="S31" i="13"/>
  <c r="N91" i="13"/>
  <c r="N88" i="13"/>
  <c r="N86" i="13"/>
  <c r="N83" i="13"/>
  <c r="N82" i="13"/>
  <c r="N81" i="13"/>
  <c r="N80" i="13"/>
  <c r="N79" i="13"/>
  <c r="N77" i="13"/>
  <c r="N76" i="13"/>
  <c r="N75" i="13"/>
  <c r="N72" i="13"/>
  <c r="N71" i="13"/>
  <c r="N67" i="13"/>
  <c r="N59" i="13"/>
  <c r="N49" i="13"/>
  <c r="N48" i="13"/>
  <c r="N47" i="13"/>
  <c r="N46" i="13"/>
  <c r="N41" i="13"/>
  <c r="N40" i="13"/>
  <c r="N39" i="13"/>
  <c r="N38" i="13"/>
  <c r="N37" i="13"/>
  <c r="N36" i="13"/>
  <c r="N34" i="13"/>
  <c r="N33" i="13"/>
  <c r="N31" i="13"/>
  <c r="N25" i="13"/>
  <c r="N21" i="13"/>
  <c r="N19" i="13"/>
  <c r="N15" i="13"/>
  <c r="N14" i="13"/>
  <c r="N10" i="13"/>
  <c r="N9" i="13"/>
  <c r="N8" i="13"/>
  <c r="I91" i="13"/>
  <c r="I71" i="13"/>
  <c r="I72" i="13"/>
  <c r="I75" i="13"/>
  <c r="I76" i="13"/>
  <c r="I77" i="13"/>
  <c r="I79" i="13"/>
  <c r="I80" i="13"/>
  <c r="I81" i="13"/>
  <c r="I82" i="13"/>
  <c r="I83" i="13"/>
  <c r="I86" i="13"/>
  <c r="I88" i="13"/>
  <c r="I67" i="13"/>
  <c r="I47" i="13"/>
  <c r="I48" i="13"/>
  <c r="I49" i="13"/>
  <c r="I59" i="13"/>
  <c r="I46" i="13"/>
  <c r="I34" i="13"/>
  <c r="I36" i="13"/>
  <c r="I37" i="13"/>
  <c r="I38" i="13"/>
  <c r="I39" i="13"/>
  <c r="I40" i="13"/>
  <c r="I41" i="13"/>
  <c r="I33" i="13"/>
  <c r="I9" i="13"/>
  <c r="I10" i="13"/>
  <c r="I14" i="13"/>
  <c r="I15" i="13"/>
  <c r="I19" i="13"/>
  <c r="I21" i="13"/>
  <c r="I25" i="13"/>
  <c r="I31" i="13"/>
  <c r="I8" i="13"/>
  <c r="P40" i="14"/>
  <c r="Q40" i="14" s="1"/>
  <c r="R40" i="14" s="1"/>
  <c r="O16" i="14"/>
  <c r="AC36" i="14"/>
  <c r="AC39" i="14"/>
  <c r="AC34" i="14"/>
  <c r="X36" i="14"/>
  <c r="X37" i="14"/>
  <c r="X39" i="14"/>
  <c r="X40" i="14"/>
  <c r="X41" i="14"/>
  <c r="X42" i="14"/>
  <c r="X43" i="14"/>
  <c r="X44" i="14"/>
  <c r="X34" i="14"/>
  <c r="X24" i="14"/>
  <c r="X26" i="14"/>
  <c r="X27" i="14"/>
  <c r="X28" i="14"/>
  <c r="X29" i="14"/>
  <c r="X30" i="14"/>
  <c r="S42" i="14"/>
  <c r="S43" i="14"/>
  <c r="S44" i="14"/>
  <c r="S36" i="14"/>
  <c r="S37" i="14"/>
  <c r="S34" i="14"/>
  <c r="S28" i="14"/>
  <c r="S29" i="14"/>
  <c r="S30" i="14"/>
  <c r="N36" i="14"/>
  <c r="N37" i="14"/>
  <c r="N39" i="14"/>
  <c r="N40" i="14"/>
  <c r="N41" i="14"/>
  <c r="N42" i="14"/>
  <c r="N43" i="14"/>
  <c r="N44" i="14"/>
  <c r="N34" i="14"/>
  <c r="N24" i="14"/>
  <c r="N26" i="14"/>
  <c r="N27" i="14"/>
  <c r="N28" i="14"/>
  <c r="N29" i="14"/>
  <c r="N30" i="14"/>
  <c r="N31" i="14"/>
  <c r="N23" i="14"/>
  <c r="N15" i="14"/>
  <c r="N16" i="14"/>
  <c r="N18" i="14"/>
  <c r="N12" i="14"/>
  <c r="N7" i="14"/>
  <c r="N8" i="14"/>
  <c r="N9" i="14"/>
  <c r="N6" i="14"/>
  <c r="I37" i="14"/>
  <c r="I39" i="14"/>
  <c r="I40" i="14"/>
  <c r="I41" i="14"/>
  <c r="I42" i="14"/>
  <c r="I43" i="14"/>
  <c r="I44" i="14"/>
  <c r="I36" i="14"/>
  <c r="I24" i="14"/>
  <c r="I26" i="14"/>
  <c r="I27" i="14"/>
  <c r="I28" i="14"/>
  <c r="I29" i="14"/>
  <c r="I30" i="14"/>
  <c r="I31" i="14"/>
  <c r="I23" i="14"/>
  <c r="I15" i="14"/>
  <c r="I16" i="14"/>
  <c r="I18" i="14"/>
  <c r="I12" i="14"/>
  <c r="I7" i="14"/>
  <c r="I8" i="14"/>
  <c r="I9" i="14"/>
  <c r="I6" i="14"/>
  <c r="BU34" i="14" l="1"/>
  <c r="BV34" i="14" s="1"/>
  <c r="BW34" i="14" s="1"/>
  <c r="BX34" i="14" s="1"/>
  <c r="BY34" i="14" s="1"/>
  <c r="BZ34" i="14" s="1"/>
  <c r="CA34" i="14" s="1"/>
  <c r="AX27" i="14"/>
  <c r="AY27" i="14" s="1"/>
  <c r="AZ27" i="14" s="1"/>
  <c r="BA27" i="14" s="1"/>
  <c r="BB27" i="14" s="1"/>
  <c r="O21" i="25" s="1"/>
  <c r="J21" i="25"/>
  <c r="H30" i="12"/>
  <c r="F30" i="12"/>
  <c r="L29" i="12"/>
  <c r="L30" i="12"/>
  <c r="Z30" i="12"/>
  <c r="Z29" i="12"/>
  <c r="I29" i="12"/>
  <c r="M29" i="12"/>
  <c r="M30" i="12"/>
  <c r="R30" i="12"/>
  <c r="R29" i="12"/>
  <c r="AA30" i="12"/>
  <c r="AA29" i="12"/>
  <c r="J30" i="12"/>
  <c r="J29" i="12"/>
  <c r="O30" i="12"/>
  <c r="O29" i="12"/>
  <c r="N29" i="12"/>
  <c r="W30" i="12"/>
  <c r="W29" i="12"/>
  <c r="AB30" i="12"/>
  <c r="AB29" i="12"/>
  <c r="Q29" i="12"/>
  <c r="Q30" i="12"/>
  <c r="U29" i="12"/>
  <c r="U30" i="12"/>
  <c r="V30" i="12"/>
  <c r="V29" i="12"/>
  <c r="G30" i="12"/>
  <c r="K30" i="12"/>
  <c r="K29" i="12"/>
  <c r="P29" i="12"/>
  <c r="P30" i="12"/>
  <c r="T30" i="12"/>
  <c r="T29" i="12"/>
  <c r="Y30" i="12"/>
  <c r="Y29" i="12"/>
  <c r="Y142" i="12"/>
  <c r="Y144" i="12"/>
  <c r="Z142" i="12"/>
  <c r="Z144" i="12"/>
  <c r="T117" i="12"/>
  <c r="AW30" i="14"/>
  <c r="X35" i="12"/>
  <c r="AG15" i="13"/>
  <c r="AH15" i="13" s="1"/>
  <c r="AB62" i="14"/>
  <c r="AB69" i="14"/>
  <c r="AB73" i="14"/>
  <c r="AB63" i="14"/>
  <c r="AB70" i="14"/>
  <c r="AB67" i="14"/>
  <c r="AB71" i="14"/>
  <c r="AB61" i="14"/>
  <c r="AB68" i="14"/>
  <c r="AB72" i="14"/>
  <c r="AI33" i="14"/>
  <c r="AB46" i="12"/>
  <c r="AB44" i="12"/>
  <c r="AB42" i="12"/>
  <c r="AA62" i="14"/>
  <c r="AA69" i="14"/>
  <c r="AA73" i="14"/>
  <c r="AA63" i="14"/>
  <c r="AA70" i="14"/>
  <c r="AA67" i="14"/>
  <c r="AA71" i="14"/>
  <c r="AA61" i="14"/>
  <c r="AA68" i="14"/>
  <c r="AA72" i="14"/>
  <c r="AB129" i="12"/>
  <c r="AB130" i="12" s="1"/>
  <c r="AB127" i="12"/>
  <c r="AF60" i="13"/>
  <c r="AA42" i="12"/>
  <c r="AA46" i="12"/>
  <c r="AA44" i="12"/>
  <c r="Z62" i="14"/>
  <c r="Z69" i="14"/>
  <c r="Z73" i="14"/>
  <c r="Z63" i="14"/>
  <c r="Z70" i="14"/>
  <c r="Z67" i="14"/>
  <c r="Z71" i="14"/>
  <c r="Z61" i="14"/>
  <c r="Z68" i="14"/>
  <c r="Z72" i="14"/>
  <c r="AF39" i="14"/>
  <c r="AG39" i="14" s="1"/>
  <c r="AH39" i="14" s="1"/>
  <c r="AI39" i="14" s="1"/>
  <c r="AJ39" i="14" s="1"/>
  <c r="AK39" i="14" s="1"/>
  <c r="AM39" i="14" s="1"/>
  <c r="AN39" i="14" s="1"/>
  <c r="AO39" i="14" s="1"/>
  <c r="AP39" i="14" s="1"/>
  <c r="AQ39" i="14" s="1"/>
  <c r="AR39" i="14" s="1"/>
  <c r="AS39" i="14" s="1"/>
  <c r="AT39" i="14" s="1"/>
  <c r="AU39" i="14" s="1"/>
  <c r="AV39" i="14" s="1"/>
  <c r="AW39" i="14" s="1"/>
  <c r="AX39" i="14" s="1"/>
  <c r="AY39" i="14" s="1"/>
  <c r="AZ39" i="14" s="1"/>
  <c r="BA39" i="14" s="1"/>
  <c r="BB39" i="14" s="1"/>
  <c r="BC39" i="14" s="1"/>
  <c r="BD39" i="14" s="1"/>
  <c r="BE39" i="14" s="1"/>
  <c r="BF39" i="14" s="1"/>
  <c r="BG39" i="14" s="1"/>
  <c r="BH39" i="14" s="1"/>
  <c r="BI39" i="14" s="1"/>
  <c r="BJ39" i="14" s="1"/>
  <c r="BK39" i="14" s="1"/>
  <c r="BL39" i="14" s="1"/>
  <c r="BM39" i="14" s="1"/>
  <c r="BN39" i="14" s="1"/>
  <c r="BO39" i="14" s="1"/>
  <c r="BP39" i="14" s="1"/>
  <c r="BQ39" i="14" s="1"/>
  <c r="BR39" i="14" s="1"/>
  <c r="BS39" i="14" s="1"/>
  <c r="Z42" i="12"/>
  <c r="Z46" i="12"/>
  <c r="Z44" i="12"/>
  <c r="N35" i="12"/>
  <c r="M61" i="14"/>
  <c r="M68" i="14"/>
  <c r="M69" i="14"/>
  <c r="M54" i="14"/>
  <c r="M67" i="14"/>
  <c r="M70" i="14"/>
  <c r="M71" i="14"/>
  <c r="M63" i="14"/>
  <c r="M62" i="14"/>
  <c r="M72" i="14"/>
  <c r="M73" i="14"/>
  <c r="V54" i="14"/>
  <c r="V67" i="14"/>
  <c r="V72" i="14"/>
  <c r="V69" i="14"/>
  <c r="V70" i="14"/>
  <c r="V63" i="14"/>
  <c r="V73" i="14"/>
  <c r="V68" i="14"/>
  <c r="V62" i="14"/>
  <c r="V61" i="14"/>
  <c r="V71" i="14"/>
  <c r="H61" i="14"/>
  <c r="H68" i="14"/>
  <c r="H70" i="14"/>
  <c r="H67" i="14"/>
  <c r="H54" i="14"/>
  <c r="H69" i="14"/>
  <c r="H62" i="14"/>
  <c r="H73" i="14"/>
  <c r="H72" i="14"/>
  <c r="H71" i="14"/>
  <c r="H63" i="14"/>
  <c r="J72" i="14"/>
  <c r="J62" i="14"/>
  <c r="J71" i="14"/>
  <c r="J61" i="14"/>
  <c r="J68" i="14"/>
  <c r="J54" i="14"/>
  <c r="J63" i="14"/>
  <c r="J73" i="14"/>
  <c r="J69" i="14"/>
  <c r="J70" i="14"/>
  <c r="J67" i="14"/>
  <c r="O72" i="14"/>
  <c r="O62" i="14"/>
  <c r="O71" i="14"/>
  <c r="O54" i="14"/>
  <c r="O61" i="14"/>
  <c r="O68" i="14"/>
  <c r="O116" i="12"/>
  <c r="O118" i="12" s="1"/>
  <c r="O69" i="14"/>
  <c r="O70" i="14"/>
  <c r="O73" i="14"/>
  <c r="O67" i="14"/>
  <c r="O63" i="14"/>
  <c r="W61" i="14"/>
  <c r="W68" i="14"/>
  <c r="W70" i="14"/>
  <c r="W54" i="14"/>
  <c r="W67" i="14"/>
  <c r="W69" i="14"/>
  <c r="W71" i="14"/>
  <c r="W72" i="14"/>
  <c r="W63" i="14"/>
  <c r="W62" i="14"/>
  <c r="W73" i="14"/>
  <c r="G67" i="14"/>
  <c r="G54" i="14"/>
  <c r="G69" i="14"/>
  <c r="G70" i="14"/>
  <c r="G63" i="14"/>
  <c r="G73" i="14"/>
  <c r="G72" i="14"/>
  <c r="G61" i="14"/>
  <c r="G71" i="14"/>
  <c r="G68" i="14"/>
  <c r="G62" i="14"/>
  <c r="P69" i="14"/>
  <c r="P70" i="14"/>
  <c r="P63" i="14"/>
  <c r="P73" i="14"/>
  <c r="P116" i="12"/>
  <c r="P118" i="12" s="1"/>
  <c r="P72" i="14"/>
  <c r="P62" i="14"/>
  <c r="P71" i="14"/>
  <c r="P54" i="14"/>
  <c r="P68" i="14"/>
  <c r="P67" i="14"/>
  <c r="P61" i="14"/>
  <c r="T72" i="14"/>
  <c r="T62" i="14"/>
  <c r="T71" i="14"/>
  <c r="T61" i="14"/>
  <c r="T68" i="14"/>
  <c r="T63" i="14"/>
  <c r="T69" i="14"/>
  <c r="T70" i="14"/>
  <c r="T73" i="14"/>
  <c r="T67" i="14"/>
  <c r="T46" i="12"/>
  <c r="Y72" i="14"/>
  <c r="Y63" i="14"/>
  <c r="Y73" i="14"/>
  <c r="Y67" i="14"/>
  <c r="Y61" i="14"/>
  <c r="Y62" i="14"/>
  <c r="Y69" i="14"/>
  <c r="Y70" i="14"/>
  <c r="Y68" i="14"/>
  <c r="Y71" i="14"/>
  <c r="F54" i="14"/>
  <c r="F69" i="14"/>
  <c r="F70" i="14"/>
  <c r="F63" i="14"/>
  <c r="F73" i="14"/>
  <c r="F72" i="14"/>
  <c r="F62" i="14"/>
  <c r="F71" i="14"/>
  <c r="F68" i="14"/>
  <c r="F67" i="14"/>
  <c r="F61" i="14"/>
  <c r="L54" i="14"/>
  <c r="L67" i="14"/>
  <c r="L72" i="14"/>
  <c r="L69" i="14"/>
  <c r="L70" i="14"/>
  <c r="L63" i="14"/>
  <c r="L73" i="14"/>
  <c r="L68" i="14"/>
  <c r="L62" i="14"/>
  <c r="L61" i="14"/>
  <c r="L71" i="14"/>
  <c r="Q116" i="12"/>
  <c r="Q118" i="12" s="1"/>
  <c r="Q54" i="14"/>
  <c r="Q67" i="14"/>
  <c r="Q69" i="14"/>
  <c r="Q70" i="14"/>
  <c r="Q63" i="14"/>
  <c r="Q73" i="14"/>
  <c r="Q72" i="14"/>
  <c r="Q61" i="14"/>
  <c r="Q71" i="14"/>
  <c r="Q68" i="14"/>
  <c r="Q62" i="14"/>
  <c r="U69" i="14"/>
  <c r="U70" i="14"/>
  <c r="U63" i="14"/>
  <c r="U73" i="14"/>
  <c r="U72" i="14"/>
  <c r="U62" i="14"/>
  <c r="U71" i="14"/>
  <c r="U67" i="14"/>
  <c r="U61" i="14"/>
  <c r="U54" i="14"/>
  <c r="U68" i="14"/>
  <c r="E70" i="14"/>
  <c r="E71" i="14"/>
  <c r="E62" i="14"/>
  <c r="E72" i="14"/>
  <c r="E69" i="14"/>
  <c r="E68" i="14"/>
  <c r="E61" i="14"/>
  <c r="E73" i="14"/>
  <c r="E67" i="14"/>
  <c r="E63" i="14"/>
  <c r="E54" i="14"/>
  <c r="R61" i="14"/>
  <c r="R68" i="14"/>
  <c r="R54" i="14"/>
  <c r="R67" i="14"/>
  <c r="R69" i="14"/>
  <c r="R70" i="14"/>
  <c r="R72" i="14"/>
  <c r="R62" i="14"/>
  <c r="R73" i="14"/>
  <c r="R71" i="14"/>
  <c r="R116" i="12"/>
  <c r="R118" i="12" s="1"/>
  <c r="R63" i="14"/>
  <c r="AC9" i="14"/>
  <c r="AC18" i="14"/>
  <c r="AC26" i="14"/>
  <c r="AC37" i="14"/>
  <c r="K54" i="14"/>
  <c r="K69" i="14"/>
  <c r="K70" i="14"/>
  <c r="K63" i="14"/>
  <c r="K73" i="14"/>
  <c r="K72" i="14"/>
  <c r="K62" i="14"/>
  <c r="K71" i="14"/>
  <c r="K67" i="14"/>
  <c r="K61" i="14"/>
  <c r="K68" i="14"/>
  <c r="AH46" i="13"/>
  <c r="AH60" i="13" s="1"/>
  <c r="D38" i="12"/>
  <c r="D50" i="12"/>
  <c r="D66" i="12"/>
  <c r="D86" i="12"/>
  <c r="D89" i="12" s="1"/>
  <c r="F64" i="12" s="1"/>
  <c r="F37" i="12"/>
  <c r="F44" i="12"/>
  <c r="F46" i="12"/>
  <c r="F42" i="12"/>
  <c r="L37" i="12"/>
  <c r="L49" i="12" s="1"/>
  <c r="L50" i="12" s="1"/>
  <c r="L42" i="12"/>
  <c r="L44" i="12"/>
  <c r="L46" i="12"/>
  <c r="E37" i="12"/>
  <c r="E44" i="12"/>
  <c r="E46" i="12"/>
  <c r="E42" i="12"/>
  <c r="I46" i="12"/>
  <c r="I37" i="12"/>
  <c r="I49" i="12" s="1"/>
  <c r="I50" i="12" s="1"/>
  <c r="M37" i="12"/>
  <c r="M49" i="12" s="1"/>
  <c r="M50" i="12" s="1"/>
  <c r="M42" i="12"/>
  <c r="M44" i="12"/>
  <c r="M46" i="12"/>
  <c r="H37" i="12"/>
  <c r="H42" i="12"/>
  <c r="H44" i="12"/>
  <c r="H46" i="12"/>
  <c r="J37" i="12"/>
  <c r="J49" i="12" s="1"/>
  <c r="J66" i="12" s="1"/>
  <c r="J67" i="12" s="1"/>
  <c r="J42" i="12"/>
  <c r="J44" i="12"/>
  <c r="J46" i="12"/>
  <c r="G37" i="12"/>
  <c r="G42" i="12"/>
  <c r="G44" i="12"/>
  <c r="G46" i="12"/>
  <c r="K37" i="12"/>
  <c r="K49" i="12" s="1"/>
  <c r="K50" i="12" s="1"/>
  <c r="K42" i="12"/>
  <c r="K44" i="12"/>
  <c r="K46" i="12"/>
  <c r="I42" i="12"/>
  <c r="I44" i="12"/>
  <c r="N60" i="13"/>
  <c r="N89" i="13"/>
  <c r="BT39" i="14" l="1"/>
  <c r="BC27" i="14"/>
  <c r="BD27" i="14" s="1"/>
  <c r="BE27" i="14" s="1"/>
  <c r="BF27" i="14" s="1"/>
  <c r="BF33" i="14" s="1"/>
  <c r="AI45" i="14"/>
  <c r="AB140" i="12"/>
  <c r="AB144" i="12" s="1"/>
  <c r="AA140" i="12"/>
  <c r="AA144" i="12" s="1"/>
  <c r="AC23" i="14"/>
  <c r="S118" i="12"/>
  <c r="AC24" i="14"/>
  <c r="AC28" i="14"/>
  <c r="AC44" i="14"/>
  <c r="AC8" i="14"/>
  <c r="AB54" i="14"/>
  <c r="AA54" i="14"/>
  <c r="Z54" i="14"/>
  <c r="AH40" i="14"/>
  <c r="AB47" i="12"/>
  <c r="AA47" i="12"/>
  <c r="Z47" i="12"/>
  <c r="D92" i="12"/>
  <c r="D95" i="12" s="1"/>
  <c r="D67" i="12"/>
  <c r="J50" i="12"/>
  <c r="D88" i="12"/>
  <c r="L38" i="12"/>
  <c r="M38" i="12"/>
  <c r="D98" i="12"/>
  <c r="D90" i="12"/>
  <c r="K86" i="12"/>
  <c r="K66" i="12"/>
  <c r="I66" i="12"/>
  <c r="I86" i="12"/>
  <c r="K38" i="12"/>
  <c r="G38" i="12"/>
  <c r="G49" i="12"/>
  <c r="G50" i="12" s="1"/>
  <c r="J38" i="12"/>
  <c r="H38" i="12"/>
  <c r="H49" i="12"/>
  <c r="H50" i="12" s="1"/>
  <c r="L66" i="12"/>
  <c r="L86" i="12"/>
  <c r="J86" i="12"/>
  <c r="M86" i="12"/>
  <c r="M66" i="12"/>
  <c r="I38" i="12"/>
  <c r="E38" i="12"/>
  <c r="E49" i="12"/>
  <c r="E50" i="12" s="1"/>
  <c r="F38" i="12"/>
  <c r="F49" i="12"/>
  <c r="F50" i="12" s="1"/>
  <c r="BU39" i="14" l="1"/>
  <c r="BV39" i="14" s="1"/>
  <c r="BW39" i="14" s="1"/>
  <c r="BX39" i="14" s="1"/>
  <c r="BY39" i="14" s="1"/>
  <c r="BZ39" i="14" s="1"/>
  <c r="CA39" i="14" s="1"/>
  <c r="BG27" i="14"/>
  <c r="C21" i="25"/>
  <c r="BA30" i="14"/>
  <c r="AC41" i="13"/>
  <c r="D96" i="12"/>
  <c r="D83" i="12"/>
  <c r="D84" i="12" s="1"/>
  <c r="AC36" i="13"/>
  <c r="AC37" i="13"/>
  <c r="AC38" i="13"/>
  <c r="D6" i="13"/>
  <c r="M92" i="12"/>
  <c r="M95" i="12" s="1"/>
  <c r="M67" i="12"/>
  <c r="K92" i="12"/>
  <c r="K95" i="12" s="1"/>
  <c r="K83" i="12" s="1"/>
  <c r="K67" i="12"/>
  <c r="L92" i="12"/>
  <c r="L94" i="12" s="1"/>
  <c r="L67" i="12"/>
  <c r="I92" i="12"/>
  <c r="I95" i="12" s="1"/>
  <c r="I83" i="12" s="1"/>
  <c r="I67" i="12"/>
  <c r="D100" i="12"/>
  <c r="D94" i="12"/>
  <c r="J92" i="12"/>
  <c r="J95" i="12" s="1"/>
  <c r="J83" i="12" s="1"/>
  <c r="F86" i="12"/>
  <c r="F66" i="12"/>
  <c r="J89" i="12"/>
  <c r="J88" i="12"/>
  <c r="L89" i="12"/>
  <c r="L88" i="12"/>
  <c r="I89" i="12"/>
  <c r="I88" i="12"/>
  <c r="E86" i="12"/>
  <c r="E66" i="12"/>
  <c r="M89" i="12"/>
  <c r="M88" i="12"/>
  <c r="G86" i="12"/>
  <c r="G66" i="12"/>
  <c r="H66" i="12"/>
  <c r="H86" i="12"/>
  <c r="K88" i="12"/>
  <c r="K89" i="12"/>
  <c r="C26" i="25" l="1"/>
  <c r="Z21" i="25"/>
  <c r="T21" i="25"/>
  <c r="BH27" i="14"/>
  <c r="BI27" i="14" s="1"/>
  <c r="BJ27" i="14" s="1"/>
  <c r="BK27" i="14" s="1"/>
  <c r="BL27" i="14" s="1"/>
  <c r="AM29" i="14"/>
  <c r="AN29" i="14" s="1"/>
  <c r="K94" i="12"/>
  <c r="I94" i="12"/>
  <c r="M96" i="12"/>
  <c r="M83" i="12"/>
  <c r="M84" i="12" s="1"/>
  <c r="M94" i="12"/>
  <c r="L95" i="12"/>
  <c r="L100" i="12" s="1"/>
  <c r="H92" i="12"/>
  <c r="H67" i="12"/>
  <c r="G92" i="12"/>
  <c r="G67" i="12"/>
  <c r="F92" i="12"/>
  <c r="F67" i="12"/>
  <c r="E92" i="12"/>
  <c r="E67" i="12"/>
  <c r="K96" i="12"/>
  <c r="J96" i="12"/>
  <c r="J94" i="12"/>
  <c r="I100" i="12"/>
  <c r="I96" i="12"/>
  <c r="I84" i="12"/>
  <c r="I6" i="13"/>
  <c r="I98" i="12"/>
  <c r="I90" i="12"/>
  <c r="M90" i="12"/>
  <c r="M98" i="12"/>
  <c r="K6" i="13"/>
  <c r="K100" i="12"/>
  <c r="K84" i="12"/>
  <c r="K90" i="12"/>
  <c r="K98" i="12"/>
  <c r="L98" i="12"/>
  <c r="L90" i="12"/>
  <c r="M100" i="12"/>
  <c r="M6" i="13"/>
  <c r="J90" i="12"/>
  <c r="J98" i="12"/>
  <c r="J100" i="12"/>
  <c r="J6" i="13"/>
  <c r="J42" i="13" s="1"/>
  <c r="J107" i="12" s="1"/>
  <c r="J84" i="12"/>
  <c r="H89" i="12"/>
  <c r="H88" i="12"/>
  <c r="G89" i="12"/>
  <c r="G88" i="12"/>
  <c r="E89" i="12"/>
  <c r="E88" i="12"/>
  <c r="F89" i="12"/>
  <c r="F88" i="12"/>
  <c r="Y21" i="25" l="1"/>
  <c r="BM27" i="14"/>
  <c r="BN27" i="14" s="1"/>
  <c r="BO27" i="14" s="1"/>
  <c r="BP27" i="14" s="1"/>
  <c r="BQ27" i="14" s="1"/>
  <c r="BR27" i="14" s="1"/>
  <c r="BS27" i="14" s="1"/>
  <c r="BB30" i="14"/>
  <c r="AO29" i="14"/>
  <c r="AN33" i="14"/>
  <c r="AN45" i="14" s="1"/>
  <c r="L96" i="12"/>
  <c r="L83" i="12"/>
  <c r="L84" i="12" s="1"/>
  <c r="L6" i="13"/>
  <c r="F98" i="12"/>
  <c r="F90" i="12"/>
  <c r="G98" i="12"/>
  <c r="G90" i="12"/>
  <c r="E90" i="12"/>
  <c r="E98" i="12"/>
  <c r="H98" i="12"/>
  <c r="H90" i="12"/>
  <c r="BT27" i="14" l="1"/>
  <c r="BU27" i="14" s="1"/>
  <c r="BD30" i="14"/>
  <c r="AP29" i="14"/>
  <c r="M89" i="13"/>
  <c r="L89" i="13"/>
  <c r="K89" i="13"/>
  <c r="J89" i="13"/>
  <c r="I89" i="13"/>
  <c r="M60" i="13"/>
  <c r="L60" i="13"/>
  <c r="K60" i="13"/>
  <c r="J60" i="13"/>
  <c r="I60" i="13"/>
  <c r="M42" i="13"/>
  <c r="M107" i="12" s="1"/>
  <c r="L42" i="13"/>
  <c r="L107" i="12" s="1"/>
  <c r="K42" i="13"/>
  <c r="I42" i="13"/>
  <c r="H89" i="13"/>
  <c r="G89" i="13"/>
  <c r="F89" i="13"/>
  <c r="E89" i="13"/>
  <c r="D89" i="13"/>
  <c r="H60" i="13"/>
  <c r="G60" i="13"/>
  <c r="F60" i="13"/>
  <c r="E60" i="13"/>
  <c r="D60" i="13"/>
  <c r="D42" i="13"/>
  <c r="D43" i="13" s="1"/>
  <c r="M33" i="14"/>
  <c r="M45" i="14" s="1"/>
  <c r="L33" i="14"/>
  <c r="L45" i="14" s="1"/>
  <c r="K33" i="14"/>
  <c r="K45" i="14" s="1"/>
  <c r="J33" i="14"/>
  <c r="J45" i="14" s="1"/>
  <c r="I33" i="14"/>
  <c r="I45" i="14" s="1"/>
  <c r="M11" i="14"/>
  <c r="M20" i="14" s="1"/>
  <c r="L11" i="14"/>
  <c r="L20" i="14" s="1"/>
  <c r="K11" i="14"/>
  <c r="K20" i="14" s="1"/>
  <c r="J11" i="14"/>
  <c r="J20" i="14" s="1"/>
  <c r="I11" i="14"/>
  <c r="I20" i="14" s="1"/>
  <c r="H33" i="14"/>
  <c r="H45" i="14" s="1"/>
  <c r="G33" i="14"/>
  <c r="G45" i="14" s="1"/>
  <c r="F33" i="14"/>
  <c r="F45" i="14" s="1"/>
  <c r="E33" i="14"/>
  <c r="E45" i="14" s="1"/>
  <c r="D33" i="14"/>
  <c r="D45" i="14" s="1"/>
  <c r="H11" i="14"/>
  <c r="H20" i="14" s="1"/>
  <c r="G11" i="14"/>
  <c r="G20" i="14" s="1"/>
  <c r="F11" i="14"/>
  <c r="F20" i="14" s="1"/>
  <c r="E11" i="14"/>
  <c r="E20" i="14" s="1"/>
  <c r="D11" i="14"/>
  <c r="D20" i="14" s="1"/>
  <c r="AC14" i="13"/>
  <c r="AC19" i="13"/>
  <c r="X31" i="13"/>
  <c r="BV27" i="14" l="1"/>
  <c r="BW27" i="14" s="1"/>
  <c r="BX27" i="14" s="1"/>
  <c r="BY27" i="14" s="1"/>
  <c r="BZ27" i="14" s="1"/>
  <c r="CA27" i="14" s="1"/>
  <c r="AQ29" i="14"/>
  <c r="K62" i="13"/>
  <c r="K107" i="12"/>
  <c r="K48" i="14"/>
  <c r="K49" i="14" s="1"/>
  <c r="K52" i="14" s="1"/>
  <c r="G48" i="14"/>
  <c r="G49" i="14" s="1"/>
  <c r="G52" i="14" s="1"/>
  <c r="E48" i="14"/>
  <c r="E49" i="14" s="1"/>
  <c r="E52" i="14" s="1"/>
  <c r="J62" i="13"/>
  <c r="J93" i="13"/>
  <c r="L62" i="13"/>
  <c r="L93" i="13"/>
  <c r="I93" i="13"/>
  <c r="I62" i="13"/>
  <c r="M93" i="13"/>
  <c r="M62" i="13"/>
  <c r="K93" i="13"/>
  <c r="D93" i="13"/>
  <c r="D96" i="13" s="1"/>
  <c r="D62" i="13"/>
  <c r="D63" i="13" s="1"/>
  <c r="L48" i="14"/>
  <c r="L49" i="14" s="1"/>
  <c r="L52" i="14" s="1"/>
  <c r="F48" i="14"/>
  <c r="F49" i="14" s="1"/>
  <c r="F52" i="14" s="1"/>
  <c r="J48" i="14"/>
  <c r="J49" i="14" s="1"/>
  <c r="J52" i="14" s="1"/>
  <c r="I48" i="14"/>
  <c r="I49" i="14" s="1"/>
  <c r="I52" i="14" s="1"/>
  <c r="M48" i="14"/>
  <c r="M49" i="14" s="1"/>
  <c r="M52" i="14" s="1"/>
  <c r="H48" i="14"/>
  <c r="H49" i="14" s="1"/>
  <c r="H52" i="14" s="1"/>
  <c r="D48" i="14"/>
  <c r="D49" i="14" s="1"/>
  <c r="D52" i="14" s="1"/>
  <c r="AC21" i="13"/>
  <c r="S27" i="14"/>
  <c r="S39" i="14"/>
  <c r="AD125" i="12"/>
  <c r="AR29" i="14" l="1"/>
  <c r="AS29" i="14" s="1"/>
  <c r="AT29" i="14" s="1"/>
  <c r="AU29" i="14" s="1"/>
  <c r="AV29" i="14" s="1"/>
  <c r="AW29" i="14" s="1"/>
  <c r="AX29" i="14" s="1"/>
  <c r="AY29" i="14" s="1"/>
  <c r="AZ29" i="14" s="1"/>
  <c r="AD126" i="12"/>
  <c r="AD7" i="12"/>
  <c r="AD28" i="12"/>
  <c r="I95" i="13"/>
  <c r="I96" i="13" s="1"/>
  <c r="E95" i="13"/>
  <c r="Z64" i="12"/>
  <c r="Y74" i="12"/>
  <c r="AB35" i="12"/>
  <c r="AA35" i="12"/>
  <c r="Z35" i="12"/>
  <c r="Y64" i="12"/>
  <c r="W47" i="12"/>
  <c r="U47" i="12"/>
  <c r="T47" i="12"/>
  <c r="S54" i="12"/>
  <c r="S57" i="12"/>
  <c r="S58" i="12"/>
  <c r="S63" i="12"/>
  <c r="V47" i="12"/>
  <c r="BG30" i="14" l="1"/>
  <c r="BH30" i="14" s="1"/>
  <c r="BA29" i="14"/>
  <c r="AZ33" i="14"/>
  <c r="AZ45" i="14" s="1"/>
  <c r="AD30" i="12"/>
  <c r="AD29" i="12"/>
  <c r="AI29" i="12"/>
  <c r="AD62" i="14"/>
  <c r="AD69" i="14"/>
  <c r="AD73" i="14"/>
  <c r="AD63" i="14"/>
  <c r="AD70" i="14"/>
  <c r="AD67" i="14"/>
  <c r="AD71" i="14"/>
  <c r="AD44" i="12"/>
  <c r="AD61" i="14"/>
  <c r="AD68" i="14"/>
  <c r="AD72" i="14"/>
  <c r="AD46" i="12"/>
  <c r="AD42" i="12"/>
  <c r="AD35" i="12"/>
  <c r="AD129" i="12"/>
  <c r="AD130" i="12" s="1"/>
  <c r="AD127" i="12"/>
  <c r="AD131" i="12" s="1"/>
  <c r="N95" i="13"/>
  <c r="I98" i="13"/>
  <c r="O47" i="12"/>
  <c r="J95" i="13"/>
  <c r="J96" i="13" s="1"/>
  <c r="Q47" i="12"/>
  <c r="R47" i="12"/>
  <c r="P47" i="12"/>
  <c r="U64" i="12"/>
  <c r="V64" i="12"/>
  <c r="W64" i="12"/>
  <c r="T64" i="12"/>
  <c r="X53" i="12"/>
  <c r="P64" i="12"/>
  <c r="Q64" i="12"/>
  <c r="R64" i="12"/>
  <c r="O64" i="12"/>
  <c r="S93" i="12"/>
  <c r="S87" i="12"/>
  <c r="S72" i="12"/>
  <c r="S74" i="12" s="1"/>
  <c r="S53" i="12"/>
  <c r="S45" i="12"/>
  <c r="S43" i="12"/>
  <c r="S41" i="12"/>
  <c r="R34" i="12"/>
  <c r="Q34" i="12"/>
  <c r="P34" i="12"/>
  <c r="O34" i="12"/>
  <c r="S33" i="12"/>
  <c r="S5" i="12"/>
  <c r="N64" i="12"/>
  <c r="Q7" i="12"/>
  <c r="R7" i="12"/>
  <c r="P7" i="12"/>
  <c r="T7" i="12"/>
  <c r="U6" i="12"/>
  <c r="V6" i="12"/>
  <c r="W6" i="12"/>
  <c r="T6" i="12"/>
  <c r="BB29" i="14" l="1"/>
  <c r="BA33" i="14"/>
  <c r="BA45" i="14" s="1"/>
  <c r="AD54" i="14"/>
  <c r="K95" i="13"/>
  <c r="K96" i="13" s="1"/>
  <c r="J98" i="13"/>
  <c r="S6" i="12"/>
  <c r="S28" i="12"/>
  <c r="N47" i="12"/>
  <c r="I43" i="13"/>
  <c r="I63" i="13"/>
  <c r="N37" i="12"/>
  <c r="S47" i="12"/>
  <c r="N42" i="12"/>
  <c r="N44" i="12"/>
  <c r="N46" i="12"/>
  <c r="N34" i="12"/>
  <c r="BB33" i="14" l="1"/>
  <c r="BB45" i="14" s="1"/>
  <c r="BC29" i="14"/>
  <c r="S29" i="12"/>
  <c r="L95" i="13"/>
  <c r="L96" i="13" s="1"/>
  <c r="K98" i="13"/>
  <c r="N49" i="12"/>
  <c r="N50" i="12" s="1"/>
  <c r="N38" i="12"/>
  <c r="W100" i="13"/>
  <c r="T100" i="13"/>
  <c r="AC91" i="13"/>
  <c r="Z89" i="13"/>
  <c r="Y89" i="13"/>
  <c r="AC67" i="13"/>
  <c r="AC89" i="13" s="1"/>
  <c r="Y60" i="13"/>
  <c r="AC46" i="13"/>
  <c r="AC7" i="14"/>
  <c r="M95" i="13" l="1"/>
  <c r="M96" i="13" s="1"/>
  <c r="M98" i="13" s="1"/>
  <c r="L98" i="13"/>
  <c r="N66" i="12"/>
  <c r="N67" i="12" s="1"/>
  <c r="N86" i="12"/>
  <c r="N89" i="12" s="1"/>
  <c r="AC60" i="13"/>
  <c r="AC15" i="13"/>
  <c r="X70" i="12"/>
  <c r="U89" i="13"/>
  <c r="X31" i="14"/>
  <c r="X7" i="14"/>
  <c r="X8" i="14"/>
  <c r="Y54" i="14" s="1"/>
  <c r="X9" i="14"/>
  <c r="S41" i="14"/>
  <c r="S40" i="14"/>
  <c r="S7" i="14"/>
  <c r="N33" i="14"/>
  <c r="N45" i="14" s="1"/>
  <c r="S64" i="12"/>
  <c r="AH54" i="12"/>
  <c r="AH53" i="12"/>
  <c r="AC70" i="12"/>
  <c r="AC72" i="12"/>
  <c r="AH70" i="12"/>
  <c r="AH72" i="12"/>
  <c r="BL30" i="14" l="1"/>
  <c r="BG29" i="14"/>
  <c r="AF125" i="12"/>
  <c r="AF28" i="12"/>
  <c r="N92" i="12"/>
  <c r="N95" i="12" s="1"/>
  <c r="N88" i="12"/>
  <c r="AC16" i="14"/>
  <c r="AH16" i="14" s="1"/>
  <c r="AM16" i="14" s="1"/>
  <c r="AP16" i="14" s="1"/>
  <c r="AR16" i="14" s="1"/>
  <c r="AW16" i="14" s="1"/>
  <c r="AY16" i="14" s="1"/>
  <c r="BB16" i="14" s="1"/>
  <c r="BG16" i="14" s="1"/>
  <c r="BK16" i="14" s="1"/>
  <c r="BL16" i="14" s="1"/>
  <c r="BQ16" i="14" s="1"/>
  <c r="BV16" i="14" s="1"/>
  <c r="BW16" i="14" s="1"/>
  <c r="BX16" i="14" s="1"/>
  <c r="BY16" i="14" s="1"/>
  <c r="BZ16" i="14" s="1"/>
  <c r="CA16" i="14" s="1"/>
  <c r="Y47" i="12"/>
  <c r="N98" i="12"/>
  <c r="N90" i="12"/>
  <c r="T58" i="14"/>
  <c r="Y34" i="12"/>
  <c r="AC54" i="12"/>
  <c r="AC53" i="12"/>
  <c r="X54" i="12"/>
  <c r="X57" i="12"/>
  <c r="BH29" i="14" l="1"/>
  <c r="AF29" i="12"/>
  <c r="AU28" i="12"/>
  <c r="AU125" i="12"/>
  <c r="AP125" i="12"/>
  <c r="AP28" i="12"/>
  <c r="AP101" i="13" s="1"/>
  <c r="AF62" i="14"/>
  <c r="AF69" i="14"/>
  <c r="AF71" i="14"/>
  <c r="AF73" i="14"/>
  <c r="AF61" i="14"/>
  <c r="AF63" i="14"/>
  <c r="AF68" i="14"/>
  <c r="AF72" i="14"/>
  <c r="AF67" i="14"/>
  <c r="AF70" i="14"/>
  <c r="AF42" i="12"/>
  <c r="AF46" i="12"/>
  <c r="AF44" i="12"/>
  <c r="AK125" i="12"/>
  <c r="AK28" i="12"/>
  <c r="AK101" i="13" s="1"/>
  <c r="N100" i="12"/>
  <c r="N83" i="12"/>
  <c r="N84" i="12" s="1"/>
  <c r="AF133" i="12"/>
  <c r="N6" i="13"/>
  <c r="N42" i="13" s="1"/>
  <c r="N96" i="12"/>
  <c r="N94" i="12"/>
  <c r="P33" i="14"/>
  <c r="P45" i="14" s="1"/>
  <c r="Q33" i="14"/>
  <c r="Q45" i="14" s="1"/>
  <c r="R33" i="14"/>
  <c r="R45" i="14" s="1"/>
  <c r="T33" i="14"/>
  <c r="T45" i="14" s="1"/>
  <c r="U33" i="14"/>
  <c r="U45" i="14" s="1"/>
  <c r="V33" i="14"/>
  <c r="V45" i="14" s="1"/>
  <c r="W33" i="14"/>
  <c r="W45" i="14" s="1"/>
  <c r="O33" i="14"/>
  <c r="O45" i="14" s="1"/>
  <c r="BI29" i="14" l="1"/>
  <c r="BJ29" i="14" s="1"/>
  <c r="BK29" i="14" s="1"/>
  <c r="BL29" i="14" s="1"/>
  <c r="BM29" i="14" s="1"/>
  <c r="BN29" i="14" s="1"/>
  <c r="BO29" i="14" s="1"/>
  <c r="BP29" i="14" s="1"/>
  <c r="BQ29" i="14" s="1"/>
  <c r="BR29" i="14" s="1"/>
  <c r="BS29" i="14" s="1"/>
  <c r="BH33" i="14"/>
  <c r="AU73" i="14"/>
  <c r="AU71" i="14"/>
  <c r="AU69" i="14"/>
  <c r="AU67" i="14"/>
  <c r="AU62" i="14"/>
  <c r="AU72" i="14"/>
  <c r="AU70" i="14"/>
  <c r="AU68" i="14"/>
  <c r="AU63" i="14"/>
  <c r="AU61" i="14"/>
  <c r="AU148" i="12"/>
  <c r="AU154" i="12"/>
  <c r="AP148" i="12"/>
  <c r="AP154" i="12"/>
  <c r="AU42" i="12"/>
  <c r="AU46" i="12"/>
  <c r="AU44" i="12"/>
  <c r="AU35" i="12"/>
  <c r="AZ29" i="12"/>
  <c r="AP29" i="12"/>
  <c r="AK29" i="12"/>
  <c r="AU29" i="12"/>
  <c r="AP73" i="14"/>
  <c r="AP69" i="14"/>
  <c r="AP62" i="14"/>
  <c r="AP72" i="14"/>
  <c r="AP68" i="14"/>
  <c r="AP61" i="14"/>
  <c r="AP63" i="14"/>
  <c r="AP71" i="14"/>
  <c r="AP67" i="14"/>
  <c r="AP70" i="14"/>
  <c r="AP44" i="12"/>
  <c r="AP46" i="12"/>
  <c r="AP42" i="12"/>
  <c r="AK61" i="14"/>
  <c r="AK68" i="14"/>
  <c r="AK72" i="14"/>
  <c r="AK62" i="14"/>
  <c r="AK69" i="14"/>
  <c r="AK73" i="14"/>
  <c r="AK63" i="14"/>
  <c r="AK70" i="14"/>
  <c r="AK67" i="14"/>
  <c r="AK71" i="14"/>
  <c r="AK46" i="12"/>
  <c r="AK42" i="12"/>
  <c r="AK44" i="12"/>
  <c r="AP35" i="12"/>
  <c r="AP37" i="12" s="1"/>
  <c r="AP38" i="12" s="1"/>
  <c r="AU116" i="12"/>
  <c r="AK35" i="12"/>
  <c r="AK37" i="12" s="1"/>
  <c r="AK38" i="12" s="1"/>
  <c r="AP116" i="12"/>
  <c r="AK116" i="12"/>
  <c r="AF56" i="14"/>
  <c r="AF33" i="14"/>
  <c r="AF45" i="14" s="1"/>
  <c r="N62" i="13"/>
  <c r="N107" i="12"/>
  <c r="AC40" i="14"/>
  <c r="AB64" i="12"/>
  <c r="AD64" i="12"/>
  <c r="AE64" i="12"/>
  <c r="AF64" i="12"/>
  <c r="AG64" i="12"/>
  <c r="BT29" i="14" l="1"/>
  <c r="AU37" i="12"/>
  <c r="AU38" i="12" s="1"/>
  <c r="AU155" i="12"/>
  <c r="AU149" i="12"/>
  <c r="AU47" i="12"/>
  <c r="AU33" i="14"/>
  <c r="AU45" i="14" s="1"/>
  <c r="AU56" i="14"/>
  <c r="AP47" i="12"/>
  <c r="AP49" i="12" s="1"/>
  <c r="AP86" i="12" s="1"/>
  <c r="AP33" i="14"/>
  <c r="AP45" i="14" s="1"/>
  <c r="AP56" i="14"/>
  <c r="AP106" i="12" s="1"/>
  <c r="AP133" i="12"/>
  <c r="AK49" i="12"/>
  <c r="AK33" i="14"/>
  <c r="AK45" i="14" s="1"/>
  <c r="AK56" i="14"/>
  <c r="AK133" i="12"/>
  <c r="AF106" i="12"/>
  <c r="BT33" i="14" l="1"/>
  <c r="BT45" i="14" s="1"/>
  <c r="BU29" i="14"/>
  <c r="BU33" i="14" s="1"/>
  <c r="BU45" i="14" s="1"/>
  <c r="BU48" i="14" s="1"/>
  <c r="BU49" i="14" s="1"/>
  <c r="BV29" i="14"/>
  <c r="BW29" i="14" s="1"/>
  <c r="BX29" i="14" s="1"/>
  <c r="BY29" i="14" s="1"/>
  <c r="BZ29" i="14" s="1"/>
  <c r="CA29" i="14" s="1"/>
  <c r="AU49" i="12"/>
  <c r="AU86" i="12" s="1"/>
  <c r="AU89" i="12" s="1"/>
  <c r="AP57" i="14"/>
  <c r="AK106" i="12"/>
  <c r="AZ57" i="14"/>
  <c r="AU106" i="12"/>
  <c r="AK66" i="12"/>
  <c r="AK86" i="12"/>
  <c r="AK89" i="12" s="1"/>
  <c r="AU57" i="14"/>
  <c r="AP66" i="12"/>
  <c r="AP50" i="12"/>
  <c r="AK50" i="12"/>
  <c r="AK134" i="12"/>
  <c r="AP134" i="12"/>
  <c r="AK57" i="14"/>
  <c r="X16" i="14"/>
  <c r="BQ30" i="14" l="1"/>
  <c r="BV30" i="14" s="1"/>
  <c r="BW30" i="14" s="1"/>
  <c r="BX30" i="14" s="1"/>
  <c r="BY30" i="14" s="1"/>
  <c r="BZ30" i="14" s="1"/>
  <c r="CA30" i="14" s="1"/>
  <c r="AU50" i="12"/>
  <c r="AU66" i="12"/>
  <c r="AU92" i="12" s="1"/>
  <c r="AU95" i="12" s="1"/>
  <c r="AU83" i="12" s="1"/>
  <c r="AU88" i="12"/>
  <c r="AU98" i="12"/>
  <c r="AU90" i="12"/>
  <c r="AK92" i="12"/>
  <c r="AK95" i="12" s="1"/>
  <c r="AP67" i="12"/>
  <c r="AP92" i="12"/>
  <c r="AP89" i="12"/>
  <c r="AP88" i="12"/>
  <c r="AP135" i="12"/>
  <c r="AK67" i="12"/>
  <c r="AK88" i="12"/>
  <c r="AK90" i="12"/>
  <c r="W129" i="12"/>
  <c r="W130" i="12" s="1"/>
  <c r="AB131" i="12" s="1"/>
  <c r="AU67" i="12" l="1"/>
  <c r="AU94" i="12"/>
  <c r="AZ99" i="12"/>
  <c r="AU100" i="12"/>
  <c r="AZ101" i="12" s="1"/>
  <c r="AU96" i="12"/>
  <c r="AK94" i="12"/>
  <c r="AP90" i="12"/>
  <c r="AP98" i="12"/>
  <c r="AP95" i="12"/>
  <c r="AP94" i="12"/>
  <c r="AK6" i="13"/>
  <c r="AK96" i="12"/>
  <c r="AC115" i="12"/>
  <c r="AE115" i="12"/>
  <c r="AF115" i="12"/>
  <c r="AG115" i="12"/>
  <c r="AH115" i="12"/>
  <c r="AD115" i="12"/>
  <c r="X67" i="13"/>
  <c r="X19" i="13"/>
  <c r="X21" i="13"/>
  <c r="O100" i="13"/>
  <c r="AU99" i="12" l="1"/>
  <c r="AP6" i="13"/>
  <c r="AP96" i="12"/>
  <c r="AP100" i="12"/>
  <c r="AU101" i="12" s="1"/>
  <c r="E4" i="15"/>
  <c r="H4" i="15"/>
  <c r="AP42" i="13" l="1"/>
  <c r="AP107" i="12" s="1"/>
  <c r="H39" i="15"/>
  <c r="E39" i="15"/>
  <c r="H38" i="15"/>
  <c r="E38" i="15"/>
  <c r="E32" i="15"/>
  <c r="H28" i="15"/>
  <c r="E28" i="15"/>
  <c r="AC43" i="14"/>
  <c r="S31" i="14"/>
  <c r="S26" i="14"/>
  <c r="S24" i="14"/>
  <c r="S23" i="14"/>
  <c r="S18" i="14"/>
  <c r="S16" i="14"/>
  <c r="X15" i="14"/>
  <c r="AC15" i="14" s="1"/>
  <c r="AH15" i="14" s="1"/>
  <c r="AM15" i="14" s="1"/>
  <c r="AR15" i="14" s="1"/>
  <c r="AW15" i="14" s="1"/>
  <c r="BB15" i="14" s="1"/>
  <c r="BG15" i="14" s="1"/>
  <c r="BL15" i="14" s="1"/>
  <c r="BQ15" i="14" s="1"/>
  <c r="BV15" i="14" s="1"/>
  <c r="BW15" i="14" s="1"/>
  <c r="BX15" i="14" s="1"/>
  <c r="BY15" i="14" s="1"/>
  <c r="BZ15" i="14" s="1"/>
  <c r="CA15" i="14" s="1"/>
  <c r="S15" i="14"/>
  <c r="S12" i="14"/>
  <c r="T11" i="14"/>
  <c r="T20" i="14" s="1"/>
  <c r="R11" i="14"/>
  <c r="R20" i="14" s="1"/>
  <c r="Q11" i="14"/>
  <c r="Q20" i="14" s="1"/>
  <c r="P11" i="14"/>
  <c r="P20" i="14" s="1"/>
  <c r="O11" i="14"/>
  <c r="O20" i="14" s="1"/>
  <c r="N11" i="14"/>
  <c r="N20" i="14" s="1"/>
  <c r="S9" i="14"/>
  <c r="S8" i="14"/>
  <c r="T54" i="14" s="1"/>
  <c r="S6" i="14"/>
  <c r="P100" i="13"/>
  <c r="S33" i="13"/>
  <c r="S41" i="13"/>
  <c r="O60" i="13"/>
  <c r="T60" i="13"/>
  <c r="S67" i="13"/>
  <c r="S89" i="13" s="1"/>
  <c r="O89" i="13"/>
  <c r="X5" i="12"/>
  <c r="X28" i="12" s="1"/>
  <c r="X29" i="12" s="1"/>
  <c r="U7" i="12"/>
  <c r="V7" i="12"/>
  <c r="W7" i="12"/>
  <c r="T34" i="12"/>
  <c r="U34" i="12"/>
  <c r="X58" i="12"/>
  <c r="X63" i="12"/>
  <c r="AH63" i="12"/>
  <c r="X69" i="12"/>
  <c r="AC69" i="12"/>
  <c r="AC74" i="12" s="1"/>
  <c r="AH69" i="12"/>
  <c r="AH74" i="12" s="1"/>
  <c r="X72" i="12"/>
  <c r="X87" i="12"/>
  <c r="X93" i="12"/>
  <c r="AC93" i="12"/>
  <c r="X103" i="12"/>
  <c r="X104" i="12"/>
  <c r="U117" i="12"/>
  <c r="W117" i="12"/>
  <c r="Y117" i="12"/>
  <c r="AG125" i="12" l="1"/>
  <c r="AI7" i="12"/>
  <c r="AG28" i="12"/>
  <c r="X74" i="12"/>
  <c r="L43" i="13"/>
  <c r="L63" i="13"/>
  <c r="K63" i="13"/>
  <c r="K43" i="13"/>
  <c r="J43" i="13"/>
  <c r="J63" i="13"/>
  <c r="M43" i="13"/>
  <c r="M63" i="13"/>
  <c r="R46" i="12"/>
  <c r="R44" i="12"/>
  <c r="R42" i="12"/>
  <c r="P46" i="12"/>
  <c r="P42" i="12"/>
  <c r="P44" i="12"/>
  <c r="O46" i="12"/>
  <c r="O44" i="12"/>
  <c r="O42" i="12"/>
  <c r="Q46" i="12"/>
  <c r="Q44" i="12"/>
  <c r="Q42" i="12"/>
  <c r="W116" i="12"/>
  <c r="W118" i="12" s="1"/>
  <c r="W119" i="12" s="1"/>
  <c r="V116" i="12"/>
  <c r="V42" i="12"/>
  <c r="X6" i="12"/>
  <c r="S19" i="13"/>
  <c r="X46" i="13"/>
  <c r="U100" i="13"/>
  <c r="X25" i="13"/>
  <c r="S33" i="14"/>
  <c r="S45" i="14" s="1"/>
  <c r="Q48" i="14"/>
  <c r="Q49" i="14" s="1"/>
  <c r="Q52" i="14" s="1"/>
  <c r="U58" i="14"/>
  <c r="O48" i="14"/>
  <c r="O49" i="14" s="1"/>
  <c r="O52" i="14" s="1"/>
  <c r="Y7" i="12"/>
  <c r="AA7" i="12"/>
  <c r="W42" i="12"/>
  <c r="U37" i="12"/>
  <c r="T44" i="12"/>
  <c r="T116" i="12"/>
  <c r="T118" i="12" s="1"/>
  <c r="T119" i="12" s="1"/>
  <c r="Q37" i="12"/>
  <c r="Q38" i="12" s="1"/>
  <c r="W44" i="12"/>
  <c r="U44" i="12"/>
  <c r="W34" i="12"/>
  <c r="U116" i="12"/>
  <c r="U118" i="12" s="1"/>
  <c r="U119" i="12" s="1"/>
  <c r="T42" i="12"/>
  <c r="W37" i="12"/>
  <c r="O37" i="12"/>
  <c r="O38" i="12" s="1"/>
  <c r="AH64" i="12"/>
  <c r="Y6" i="12"/>
  <c r="X15" i="13"/>
  <c r="AB7" i="12"/>
  <c r="H32" i="15"/>
  <c r="N48" i="14"/>
  <c r="N49" i="14" s="1"/>
  <c r="N52" i="14" s="1"/>
  <c r="S11" i="14"/>
  <c r="S20" i="14" s="1"/>
  <c r="P48" i="14"/>
  <c r="P49" i="14" s="1"/>
  <c r="P52" i="14" s="1"/>
  <c r="T48" i="14"/>
  <c r="T49" i="14" s="1"/>
  <c r="T52" i="14" s="1"/>
  <c r="P89" i="13"/>
  <c r="R60" i="13"/>
  <c r="P60" i="13"/>
  <c r="S15" i="13"/>
  <c r="S46" i="13"/>
  <c r="S14" i="13"/>
  <c r="Q100" i="13"/>
  <c r="U60" i="13"/>
  <c r="AC104" i="12"/>
  <c r="U46" i="12"/>
  <c r="Z7" i="12"/>
  <c r="AC5" i="12"/>
  <c r="AC28" i="12" s="1"/>
  <c r="AC29" i="12" s="1"/>
  <c r="P37" i="12"/>
  <c r="P38" i="12" s="1"/>
  <c r="R37" i="12"/>
  <c r="R38" i="12" s="1"/>
  <c r="V117" i="12"/>
  <c r="T37" i="12"/>
  <c r="X33" i="12"/>
  <c r="V34" i="12"/>
  <c r="V37" i="12"/>
  <c r="AC103" i="12"/>
  <c r="X43" i="12"/>
  <c r="V44" i="12"/>
  <c r="AC87" i="12"/>
  <c r="V46" i="12"/>
  <c r="X64" i="12"/>
  <c r="AC33" i="12"/>
  <c r="AC35" i="12" s="1"/>
  <c r="X41" i="12"/>
  <c r="U42" i="12"/>
  <c r="C5" i="11"/>
  <c r="D5" i="11" s="1"/>
  <c r="E5" i="11" s="1"/>
  <c r="D3" i="11"/>
  <c r="E3" i="11" s="1"/>
  <c r="F3" i="11" s="1"/>
  <c r="I15" i="11"/>
  <c r="J15" i="11"/>
  <c r="I10" i="11"/>
  <c r="L10" i="11" s="1"/>
  <c r="J2" i="11"/>
  <c r="J10" i="11"/>
  <c r="K2" i="11"/>
  <c r="K10" i="11"/>
  <c r="K13" i="11"/>
  <c r="I13" i="11"/>
  <c r="L13" i="11" s="1"/>
  <c r="J13" i="11"/>
  <c r="K14" i="11"/>
  <c r="K11" i="11"/>
  <c r="K12" i="11"/>
  <c r="J14" i="11"/>
  <c r="I14" i="11"/>
  <c r="B3" i="11"/>
  <c r="B2" i="11"/>
  <c r="B23" i="11"/>
  <c r="D23" i="11" s="1"/>
  <c r="K15" i="11"/>
  <c r="L15" i="11" s="1"/>
  <c r="B18" i="11"/>
  <c r="C18" i="11"/>
  <c r="D18" i="11" s="1"/>
  <c r="E18" i="11" s="1"/>
  <c r="F18" i="11" s="1"/>
  <c r="B13" i="11"/>
  <c r="B15" i="11"/>
  <c r="B17" i="11"/>
  <c r="C2" i="11"/>
  <c r="C13" i="11"/>
  <c r="C15" i="11"/>
  <c r="C17" i="11"/>
  <c r="D2" i="11" l="1"/>
  <c r="AG29" i="12"/>
  <c r="AG30" i="12"/>
  <c r="AI30" i="12"/>
  <c r="C16" i="11"/>
  <c r="AN7" i="12"/>
  <c r="AG63" i="14"/>
  <c r="AG70" i="14"/>
  <c r="AG62" i="14"/>
  <c r="AG73" i="14"/>
  <c r="AG67" i="14"/>
  <c r="AG71" i="14"/>
  <c r="AG69" i="14"/>
  <c r="AG61" i="14"/>
  <c r="AG68" i="14"/>
  <c r="AG72" i="14"/>
  <c r="AG46" i="12"/>
  <c r="AG44" i="12"/>
  <c r="AG42" i="12"/>
  <c r="AG35" i="12"/>
  <c r="D4" i="11"/>
  <c r="C3" i="11"/>
  <c r="K4" i="11"/>
  <c r="AI98" i="12"/>
  <c r="AI100" i="12"/>
  <c r="AN101" i="12" s="1"/>
  <c r="AL125" i="12"/>
  <c r="AL28" i="12"/>
  <c r="AL101" i="13" s="1"/>
  <c r="AL7" i="12"/>
  <c r="AG133" i="12"/>
  <c r="AE125" i="12"/>
  <c r="AI126" i="12" s="1"/>
  <c r="AH37" i="14"/>
  <c r="AH26" i="14"/>
  <c r="AE28" i="12"/>
  <c r="N43" i="13"/>
  <c r="N63" i="13"/>
  <c r="V118" i="12"/>
  <c r="Y116" i="12"/>
  <c r="Y118" i="12" s="1"/>
  <c r="Y119" i="12" s="1"/>
  <c r="W38" i="12"/>
  <c r="Q60" i="13"/>
  <c r="X14" i="13"/>
  <c r="W89" i="13"/>
  <c r="V89" i="13"/>
  <c r="W60" i="13"/>
  <c r="V60" i="13"/>
  <c r="S91" i="13"/>
  <c r="X91" i="13"/>
  <c r="R48" i="14"/>
  <c r="R49" i="14" s="1"/>
  <c r="Y37" i="12"/>
  <c r="Y38" i="12" s="1"/>
  <c r="X44" i="12"/>
  <c r="Y46" i="12"/>
  <c r="O49" i="12"/>
  <c r="O86" i="12" s="1"/>
  <c r="O89" i="12" s="1"/>
  <c r="Y42" i="12"/>
  <c r="Y44" i="12"/>
  <c r="S46" i="12"/>
  <c r="S44" i="12"/>
  <c r="X45" i="12"/>
  <c r="X46" i="12" s="1"/>
  <c r="AG7" i="12"/>
  <c r="AH5" i="12"/>
  <c r="AA116" i="12"/>
  <c r="AA37" i="12"/>
  <c r="AA38" i="12" s="1"/>
  <c r="D13" i="11"/>
  <c r="C23" i="11"/>
  <c r="K5" i="11"/>
  <c r="B16" i="11"/>
  <c r="L5" i="11"/>
  <c r="I6" i="11"/>
  <c r="K3" i="11"/>
  <c r="J7" i="11"/>
  <c r="I5" i="11"/>
  <c r="K7" i="11"/>
  <c r="B14" i="11"/>
  <c r="J5" i="11"/>
  <c r="J6" i="11"/>
  <c r="B31" i="11"/>
  <c r="C31" i="11" s="1"/>
  <c r="D31" i="11" s="1"/>
  <c r="K6" i="11"/>
  <c r="I11" i="11"/>
  <c r="D6" i="11"/>
  <c r="C4" i="11"/>
  <c r="I7" i="11"/>
  <c r="C14" i="11"/>
  <c r="L14" i="11"/>
  <c r="B6" i="11"/>
  <c r="B4" i="11"/>
  <c r="C6" i="11"/>
  <c r="E2" i="11"/>
  <c r="D15" i="11"/>
  <c r="D17" i="11" s="1"/>
  <c r="J11" i="11"/>
  <c r="J3" i="11" s="1"/>
  <c r="R89" i="13"/>
  <c r="Q89" i="13"/>
  <c r="R100" i="13"/>
  <c r="S60" i="13"/>
  <c r="V49" i="12"/>
  <c r="V38" i="12"/>
  <c r="T38" i="12"/>
  <c r="T49" i="12"/>
  <c r="S34" i="12"/>
  <c r="S37" i="12"/>
  <c r="AC6" i="12"/>
  <c r="AC34" i="12"/>
  <c r="U38" i="12"/>
  <c r="U49" i="12"/>
  <c r="Q49" i="12"/>
  <c r="Q50" i="12" s="1"/>
  <c r="X37" i="12"/>
  <c r="X34" i="12"/>
  <c r="AB116" i="12"/>
  <c r="AB37" i="12"/>
  <c r="AE7" i="12"/>
  <c r="AF7" i="12"/>
  <c r="AE35" i="12"/>
  <c r="X42" i="12"/>
  <c r="S42" i="12"/>
  <c r="P49" i="12"/>
  <c r="P50" i="12" s="1"/>
  <c r="R49" i="12"/>
  <c r="R50" i="12" s="1"/>
  <c r="W46" i="12"/>
  <c r="W49" i="12"/>
  <c r="W86" i="12" s="1"/>
  <c r="W89" i="12" s="1"/>
  <c r="Z37" i="12"/>
  <c r="Z116" i="12"/>
  <c r="D8" i="11" l="1"/>
  <c r="D11" i="11" s="1"/>
  <c r="AE29" i="12"/>
  <c r="AE30" i="12"/>
  <c r="AF30" i="12"/>
  <c r="AL29" i="12"/>
  <c r="AL30" i="12"/>
  <c r="AN30" i="12"/>
  <c r="AL62" i="14"/>
  <c r="AL69" i="14"/>
  <c r="AL73" i="14"/>
  <c r="AL70" i="14"/>
  <c r="AL71" i="14"/>
  <c r="AL72" i="14"/>
  <c r="AL63" i="14"/>
  <c r="AL67" i="14"/>
  <c r="AL61" i="14"/>
  <c r="AL68" i="14"/>
  <c r="AL44" i="12"/>
  <c r="AL46" i="12"/>
  <c r="AL42" i="12"/>
  <c r="AV125" i="12"/>
  <c r="AV28" i="12"/>
  <c r="AV161" i="12" s="1"/>
  <c r="BA162" i="12" s="1"/>
  <c r="AV7" i="12"/>
  <c r="AL35" i="12"/>
  <c r="AL37" i="12" s="1"/>
  <c r="AQ125" i="12"/>
  <c r="AQ28" i="12"/>
  <c r="AQ101" i="13" s="1"/>
  <c r="AQ7" i="12"/>
  <c r="AR5" i="12"/>
  <c r="AN99" i="12"/>
  <c r="AE62" i="14"/>
  <c r="AE67" i="14"/>
  <c r="AE69" i="14"/>
  <c r="AE71" i="14"/>
  <c r="AE73" i="14"/>
  <c r="AE61" i="14"/>
  <c r="AE68" i="14"/>
  <c r="AE72" i="14"/>
  <c r="AE63" i="14"/>
  <c r="AE70" i="14"/>
  <c r="AG126" i="12"/>
  <c r="AG129" i="12" s="1"/>
  <c r="AG130" i="12" s="1"/>
  <c r="AE46" i="12"/>
  <c r="AE44" i="12"/>
  <c r="AE42" i="12"/>
  <c r="AK98" i="12"/>
  <c r="AK100" i="12"/>
  <c r="AP101" i="12" s="1"/>
  <c r="AM26" i="14"/>
  <c r="AL116" i="12"/>
  <c r="AM37" i="14"/>
  <c r="AF126" i="12"/>
  <c r="AF127" i="12" s="1"/>
  <c r="AF131" i="12" s="1"/>
  <c r="AE126" i="12"/>
  <c r="AE127" i="12" s="1"/>
  <c r="AE131" i="12" s="1"/>
  <c r="AE133" i="12"/>
  <c r="AJ125" i="12"/>
  <c r="AN126" i="12" s="1"/>
  <c r="AN129" i="12" s="1"/>
  <c r="AN130" i="12" s="1"/>
  <c r="AJ28" i="12"/>
  <c r="AJ101" i="13" s="1"/>
  <c r="AJ7" i="12"/>
  <c r="AK7" i="12"/>
  <c r="AM5" i="12"/>
  <c r="AI129" i="12"/>
  <c r="AI130" i="12" s="1"/>
  <c r="AI127" i="12"/>
  <c r="AI131" i="12" s="1"/>
  <c r="AM104" i="12"/>
  <c r="AH28" i="12"/>
  <c r="AH29" i="12" s="1"/>
  <c r="AH23" i="14"/>
  <c r="AG33" i="14"/>
  <c r="AG45" i="14" s="1"/>
  <c r="AH8" i="14"/>
  <c r="AG54" i="14"/>
  <c r="X118" i="12"/>
  <c r="X119" i="12" s="1"/>
  <c r="V119" i="12"/>
  <c r="AH18" i="14"/>
  <c r="AH28" i="14"/>
  <c r="AH9" i="14"/>
  <c r="AH24" i="14"/>
  <c r="AH31" i="14"/>
  <c r="AG56" i="14"/>
  <c r="AG106" i="12" s="1"/>
  <c r="AH44" i="14"/>
  <c r="AD133" i="12"/>
  <c r="O66" i="12"/>
  <c r="O67" i="12" s="1"/>
  <c r="O50" i="12"/>
  <c r="AH6" i="12"/>
  <c r="N93" i="13"/>
  <c r="N96" i="13" s="1"/>
  <c r="N98" i="13" s="1"/>
  <c r="X47" i="12"/>
  <c r="X49" i="12" s="1"/>
  <c r="AB133" i="12"/>
  <c r="AB134" i="12" s="1"/>
  <c r="AB135" i="12" s="1"/>
  <c r="AB136" i="12" s="1"/>
  <c r="AB137" i="12" s="1"/>
  <c r="Y120" i="12"/>
  <c r="X60" i="13"/>
  <c r="S8" i="13"/>
  <c r="X89" i="13"/>
  <c r="S48" i="14"/>
  <c r="Y49" i="12"/>
  <c r="Y66" i="12" s="1"/>
  <c r="H25" i="15"/>
  <c r="AC43" i="12"/>
  <c r="AC44" i="12" s="1"/>
  <c r="AD37" i="12"/>
  <c r="AD38" i="12" s="1"/>
  <c r="AD116" i="12"/>
  <c r="AC45" i="12"/>
  <c r="AC46" i="12" s="1"/>
  <c r="AA49" i="12"/>
  <c r="AA64" i="12" s="1"/>
  <c r="C8" i="11"/>
  <c r="C11" i="11" s="1"/>
  <c r="B8" i="11"/>
  <c r="B11" i="11" s="1"/>
  <c r="B21" i="11" s="1"/>
  <c r="B29" i="11" s="1"/>
  <c r="I12" i="11"/>
  <c r="I3" i="11"/>
  <c r="L11" i="11"/>
  <c r="L3" i="11" s="1"/>
  <c r="L7" i="11"/>
  <c r="L6" i="11"/>
  <c r="J12" i="11"/>
  <c r="J4" i="11" s="1"/>
  <c r="E15" i="11"/>
  <c r="E17" i="11" s="1"/>
  <c r="E6" i="11"/>
  <c r="F2" i="11"/>
  <c r="E4" i="11"/>
  <c r="E13" i="11"/>
  <c r="S49" i="14"/>
  <c r="S52" i="14" s="1"/>
  <c r="R52" i="14"/>
  <c r="U50" i="12"/>
  <c r="U66" i="12"/>
  <c r="U86" i="12"/>
  <c r="V50" i="12"/>
  <c r="V66" i="12"/>
  <c r="V86" i="12"/>
  <c r="AG37" i="12"/>
  <c r="AG116" i="12"/>
  <c r="Z49" i="12"/>
  <c r="Z66" i="12" s="1"/>
  <c r="Z38" i="12"/>
  <c r="W50" i="12"/>
  <c r="W66" i="12"/>
  <c r="AH103" i="12"/>
  <c r="AC37" i="12"/>
  <c r="T50" i="12"/>
  <c r="T86" i="12"/>
  <c r="T89" i="12" s="1"/>
  <c r="T66" i="12"/>
  <c r="Q66" i="12"/>
  <c r="Q67" i="12" s="1"/>
  <c r="Q86" i="12"/>
  <c r="Q88" i="12" s="1"/>
  <c r="S38" i="12"/>
  <c r="S49" i="12"/>
  <c r="S50" i="12" s="1"/>
  <c r="AF116" i="12"/>
  <c r="R66" i="12"/>
  <c r="R67" i="12" s="1"/>
  <c r="R86" i="12"/>
  <c r="R88" i="12" s="1"/>
  <c r="AB38" i="12"/>
  <c r="P86" i="12"/>
  <c r="P88" i="12" s="1"/>
  <c r="P66" i="12"/>
  <c r="P67" i="12" s="1"/>
  <c r="AE116" i="12"/>
  <c r="AB49" i="12"/>
  <c r="AC41" i="12"/>
  <c r="X38" i="12"/>
  <c r="AV72" i="14" l="1"/>
  <c r="AV70" i="14"/>
  <c r="AV68" i="14"/>
  <c r="AV63" i="14"/>
  <c r="AV61" i="14"/>
  <c r="AV73" i="14"/>
  <c r="AV71" i="14"/>
  <c r="AV69" i="14"/>
  <c r="AV67" i="14"/>
  <c r="AV62" i="14"/>
  <c r="AQ148" i="12"/>
  <c r="AQ150" i="12" s="1"/>
  <c r="AQ154" i="12"/>
  <c r="AQ156" i="12" s="1"/>
  <c r="AV148" i="12"/>
  <c r="AV154" i="12"/>
  <c r="AF129" i="12"/>
  <c r="AF130" i="12" s="1"/>
  <c r="AV46" i="12"/>
  <c r="AV44" i="12"/>
  <c r="AV42" i="12"/>
  <c r="AV35" i="12"/>
  <c r="BA29" i="12"/>
  <c r="AQ67" i="14"/>
  <c r="AQ71" i="14"/>
  <c r="AQ61" i="14"/>
  <c r="AQ68" i="14"/>
  <c r="AQ72" i="14"/>
  <c r="AQ62" i="14"/>
  <c r="AQ69" i="14"/>
  <c r="AQ73" i="14"/>
  <c r="AQ63" i="14"/>
  <c r="AQ70" i="14"/>
  <c r="AQ30" i="12"/>
  <c r="AQ29" i="12"/>
  <c r="AQ46" i="12"/>
  <c r="AQ44" i="12"/>
  <c r="AQ42" i="12"/>
  <c r="AJ30" i="12"/>
  <c r="AJ29" i="12"/>
  <c r="AK30" i="12"/>
  <c r="AV30" i="12"/>
  <c r="AV29" i="12"/>
  <c r="AQ35" i="12"/>
  <c r="AQ37" i="12" s="1"/>
  <c r="AG127" i="12"/>
  <c r="AG131" i="12" s="1"/>
  <c r="AJ70" i="14"/>
  <c r="AJ63" i="14"/>
  <c r="AJ73" i="14"/>
  <c r="AJ69" i="14"/>
  <c r="AJ62" i="14"/>
  <c r="AJ72" i="14"/>
  <c r="AJ68" i="14"/>
  <c r="AJ61" i="14"/>
  <c r="AJ71" i="14"/>
  <c r="AJ67" i="14"/>
  <c r="AJ42" i="12"/>
  <c r="AJ46" i="12"/>
  <c r="AJ44" i="12"/>
  <c r="AW37" i="14"/>
  <c r="AW26" i="14"/>
  <c r="AV116" i="12"/>
  <c r="AL38" i="12"/>
  <c r="AL49" i="12"/>
  <c r="AR26" i="14"/>
  <c r="AR37" i="14"/>
  <c r="AQ116" i="12"/>
  <c r="AO125" i="12"/>
  <c r="AR6" i="12"/>
  <c r="AO28" i="12"/>
  <c r="AO101" i="13" s="1"/>
  <c r="AP7" i="12"/>
  <c r="AO7" i="12"/>
  <c r="AN127" i="12"/>
  <c r="AN131" i="12" s="1"/>
  <c r="AM6" i="12"/>
  <c r="AP99" i="12"/>
  <c r="AM44" i="14"/>
  <c r="AM31" i="14"/>
  <c r="AL133" i="12"/>
  <c r="AL56" i="14"/>
  <c r="AL106" i="12" s="1"/>
  <c r="AN117" i="12" s="1"/>
  <c r="AN118" i="12" s="1"/>
  <c r="AM24" i="14"/>
  <c r="AM23" i="14"/>
  <c r="AL33" i="14"/>
  <c r="AL45" i="14" s="1"/>
  <c r="AM8" i="14"/>
  <c r="AL54" i="14"/>
  <c r="AM28" i="14"/>
  <c r="AM9" i="14"/>
  <c r="AM18" i="14"/>
  <c r="AE129" i="12"/>
  <c r="AE130" i="12" s="1"/>
  <c r="AJ35" i="12"/>
  <c r="AJ37" i="12" s="1"/>
  <c r="AJ38" i="12" s="1"/>
  <c r="AM33" i="12"/>
  <c r="AM35" i="12" s="1"/>
  <c r="AJ116" i="12"/>
  <c r="AM28" i="12"/>
  <c r="AL126" i="12"/>
  <c r="AK126" i="12"/>
  <c r="AJ126" i="12"/>
  <c r="AI54" i="14"/>
  <c r="AM103" i="12"/>
  <c r="AE134" i="12"/>
  <c r="AE135" i="12" s="1"/>
  <c r="AG58" i="14"/>
  <c r="AI117" i="12"/>
  <c r="AI118" i="12" s="1"/>
  <c r="AI58" i="14"/>
  <c r="AD134" i="12"/>
  <c r="AD135" i="12" s="1"/>
  <c r="AI134" i="12"/>
  <c r="AN135" i="12" s="1"/>
  <c r="AB138" i="12"/>
  <c r="AB142" i="12"/>
  <c r="AD140" i="12"/>
  <c r="AD144" i="12" s="1"/>
  <c r="AG134" i="12"/>
  <c r="AA56" i="14"/>
  <c r="AA57" i="14" s="1"/>
  <c r="AA133" i="12"/>
  <c r="AA66" i="12"/>
  <c r="AH33" i="14"/>
  <c r="AH45" i="14" s="1"/>
  <c r="AE56" i="14"/>
  <c r="AD56" i="14"/>
  <c r="AD33" i="14"/>
  <c r="AD45" i="14" s="1"/>
  <c r="AE33" i="14"/>
  <c r="AE45" i="14" s="1"/>
  <c r="AE54" i="14"/>
  <c r="AF54" i="14"/>
  <c r="AB56" i="14"/>
  <c r="Z56" i="14"/>
  <c r="Z106" i="12" s="1"/>
  <c r="O92" i="12"/>
  <c r="O94" i="12" s="1"/>
  <c r="AD47" i="12"/>
  <c r="AD49" i="12" s="1"/>
  <c r="AC47" i="12"/>
  <c r="AC49" i="12" s="1"/>
  <c r="AC50" i="12" s="1"/>
  <c r="O88" i="12"/>
  <c r="AB33" i="14"/>
  <c r="AC31" i="14"/>
  <c r="AA33" i="14"/>
  <c r="Z33" i="14"/>
  <c r="Z45" i="14" s="1"/>
  <c r="AG47" i="12"/>
  <c r="AG49" i="12" s="1"/>
  <c r="Y86" i="12"/>
  <c r="Y50" i="12"/>
  <c r="W92" i="12"/>
  <c r="W95" i="12" s="1"/>
  <c r="W83" i="12" s="1"/>
  <c r="AC64" i="12"/>
  <c r="AC42" i="12"/>
  <c r="AA86" i="12"/>
  <c r="AA89" i="12" s="1"/>
  <c r="AA50" i="12"/>
  <c r="C21" i="11"/>
  <c r="C24" i="11" s="1"/>
  <c r="C25" i="11" s="1"/>
  <c r="E8" i="11"/>
  <c r="E11" i="11" s="1"/>
  <c r="B24" i="11"/>
  <c r="B25" i="11" s="1"/>
  <c r="I4" i="11"/>
  <c r="L12" i="11"/>
  <c r="L4" i="11" s="1"/>
  <c r="F4" i="11"/>
  <c r="B30" i="11"/>
  <c r="F6" i="11"/>
  <c r="F13" i="11"/>
  <c r="B22" i="11"/>
  <c r="F15" i="11"/>
  <c r="C29" i="11"/>
  <c r="B32" i="11"/>
  <c r="B33" i="11" s="1"/>
  <c r="X86" i="12"/>
  <c r="X50" i="12"/>
  <c r="X66" i="12"/>
  <c r="P89" i="12"/>
  <c r="V88" i="12"/>
  <c r="V89" i="12"/>
  <c r="R92" i="12"/>
  <c r="R94" i="12" s="1"/>
  <c r="S66" i="12"/>
  <c r="S86" i="12"/>
  <c r="S89" i="12" s="1"/>
  <c r="Q89" i="12"/>
  <c r="T67" i="12"/>
  <c r="T92" i="12"/>
  <c r="T95" i="12" s="1"/>
  <c r="T83" i="12" s="1"/>
  <c r="AC38" i="12"/>
  <c r="W88" i="12"/>
  <c r="V67" i="12"/>
  <c r="V92" i="12"/>
  <c r="P92" i="12"/>
  <c r="P94" i="12" s="1"/>
  <c r="Q92" i="12"/>
  <c r="Q94" i="12" s="1"/>
  <c r="T88" i="12"/>
  <c r="AB50" i="12"/>
  <c r="AB86" i="12"/>
  <c r="AB66" i="12"/>
  <c r="R89" i="12"/>
  <c r="U67" i="12"/>
  <c r="U92" i="12"/>
  <c r="Y67" i="12"/>
  <c r="Y92" i="12"/>
  <c r="W67" i="12"/>
  <c r="Z50" i="12"/>
  <c r="Z86" i="12"/>
  <c r="AG38" i="12"/>
  <c r="U88" i="12"/>
  <c r="U89" i="12"/>
  <c r="AV37" i="12" l="1"/>
  <c r="AV38" i="12" s="1"/>
  <c r="AV156" i="12"/>
  <c r="AV155" i="12"/>
  <c r="AV150" i="12"/>
  <c r="AV149" i="12"/>
  <c r="AO148" i="12"/>
  <c r="AO154" i="12"/>
  <c r="AN119" i="12"/>
  <c r="AO29" i="12"/>
  <c r="AO30" i="12"/>
  <c r="AP30" i="12"/>
  <c r="AM29" i="12"/>
  <c r="AL86" i="12"/>
  <c r="AL89" i="12" s="1"/>
  <c r="AL66" i="12"/>
  <c r="AO71" i="14"/>
  <c r="AO67" i="14"/>
  <c r="AO72" i="14"/>
  <c r="AO70" i="14"/>
  <c r="AO63" i="14"/>
  <c r="AO68" i="14"/>
  <c r="AO73" i="14"/>
  <c r="AO69" i="14"/>
  <c r="AO62" i="14"/>
  <c r="AO61" i="14"/>
  <c r="AO44" i="12"/>
  <c r="AO42" i="12"/>
  <c r="AO46" i="12"/>
  <c r="AV47" i="12"/>
  <c r="AV56" i="14"/>
  <c r="AV106" i="12" s="1"/>
  <c r="AW31" i="14"/>
  <c r="AW23" i="14"/>
  <c r="AV33" i="14"/>
  <c r="AV45" i="14" s="1"/>
  <c r="AW9" i="14"/>
  <c r="AW18" i="14"/>
  <c r="AW24" i="14"/>
  <c r="AW28" i="14"/>
  <c r="AW8" i="14"/>
  <c r="AV54" i="14"/>
  <c r="AW44" i="14"/>
  <c r="AR44" i="14"/>
  <c r="AQ38" i="12"/>
  <c r="AR23" i="14"/>
  <c r="AQ33" i="14"/>
  <c r="AQ45" i="14" s="1"/>
  <c r="AQ54" i="14"/>
  <c r="AR8" i="14"/>
  <c r="AR9" i="14"/>
  <c r="AQ47" i="12"/>
  <c r="AQ49" i="12" s="1"/>
  <c r="AR18" i="14"/>
  <c r="AR28" i="14"/>
  <c r="AQ56" i="14"/>
  <c r="AQ106" i="12" s="1"/>
  <c r="AR31" i="14"/>
  <c r="AQ133" i="12"/>
  <c r="AR24" i="14"/>
  <c r="AN140" i="12"/>
  <c r="AN144" i="12" s="1"/>
  <c r="AO35" i="12"/>
  <c r="AO37" i="12" s="1"/>
  <c r="AO38" i="12" s="1"/>
  <c r="AR33" i="12"/>
  <c r="AR35" i="12" s="1"/>
  <c r="AO116" i="12"/>
  <c r="AM45" i="12"/>
  <c r="AM46" i="12" s="1"/>
  <c r="AR28" i="12"/>
  <c r="AO126" i="12"/>
  <c r="AO129" i="12" s="1"/>
  <c r="AO130" i="12" s="1"/>
  <c r="AP126" i="12"/>
  <c r="AP127" i="12" s="1"/>
  <c r="AQ126" i="12"/>
  <c r="AQ129" i="12" s="1"/>
  <c r="AQ130" i="12" s="1"/>
  <c r="AL57" i="14"/>
  <c r="AN58" i="14"/>
  <c r="AN54" i="14"/>
  <c r="AL134" i="12"/>
  <c r="AL135" i="12" s="1"/>
  <c r="AN138" i="12"/>
  <c r="AN136" i="12"/>
  <c r="AL50" i="12"/>
  <c r="AM33" i="14"/>
  <c r="AM45" i="14" s="1"/>
  <c r="AL117" i="12"/>
  <c r="AL118" i="12" s="1"/>
  <c r="AN120" i="12" s="1"/>
  <c r="AL58" i="14"/>
  <c r="AM34" i="12"/>
  <c r="AM37" i="12"/>
  <c r="AJ56" i="14"/>
  <c r="AJ106" i="12" s="1"/>
  <c r="AJ133" i="12"/>
  <c r="AK129" i="12"/>
  <c r="AK130" i="12" s="1"/>
  <c r="AK127" i="12"/>
  <c r="AK131" i="12" s="1"/>
  <c r="AJ33" i="14"/>
  <c r="AJ45" i="14" s="1"/>
  <c r="AM43" i="12"/>
  <c r="AM44" i="12" s="1"/>
  <c r="AL140" i="12"/>
  <c r="AK140" i="12"/>
  <c r="AL129" i="12"/>
  <c r="AL130" i="12" s="1"/>
  <c r="AL127" i="12"/>
  <c r="AL131" i="12" s="1"/>
  <c r="AK54" i="14"/>
  <c r="AJ54" i="14"/>
  <c r="AJ47" i="12"/>
  <c r="AJ49" i="12" s="1"/>
  <c r="AM41" i="12"/>
  <c r="AJ129" i="12"/>
  <c r="AJ130" i="12" s="1"/>
  <c r="AJ127" i="12"/>
  <c r="AJ131" i="12" s="1"/>
  <c r="AI135" i="12"/>
  <c r="AI136" i="12" s="1"/>
  <c r="AG135" i="12"/>
  <c r="AG138" i="12" s="1"/>
  <c r="AE106" i="12"/>
  <c r="AG117" i="12"/>
  <c r="AG118" i="12" s="1"/>
  <c r="AD106" i="12"/>
  <c r="AI57" i="14"/>
  <c r="AG57" i="14"/>
  <c r="AB106" i="12"/>
  <c r="AA98" i="12"/>
  <c r="AA91" i="12"/>
  <c r="AA58" i="14"/>
  <c r="AA106" i="12"/>
  <c r="AA134" i="12"/>
  <c r="AA135" i="12" s="1"/>
  <c r="AF134" i="12"/>
  <c r="AK135" i="12" s="1"/>
  <c r="AF57" i="14"/>
  <c r="L19" i="15"/>
  <c r="E19" i="15"/>
  <c r="F19" i="15" s="1"/>
  <c r="H19" i="15"/>
  <c r="I19" i="15" s="1"/>
  <c r="O95" i="12"/>
  <c r="O83" i="12" s="1"/>
  <c r="O84" i="12" s="1"/>
  <c r="AH33" i="13"/>
  <c r="AH38" i="13"/>
  <c r="AH34" i="13"/>
  <c r="AH37" i="13"/>
  <c r="W6" i="13"/>
  <c r="W42" i="13" s="1"/>
  <c r="W107" i="12" s="1"/>
  <c r="AH41" i="13"/>
  <c r="AD57" i="14"/>
  <c r="AH40" i="13"/>
  <c r="AH39" i="13"/>
  <c r="AF58" i="14"/>
  <c r="AE58" i="14"/>
  <c r="AH36" i="13"/>
  <c r="AD58" i="14"/>
  <c r="AB58" i="14"/>
  <c r="AB57" i="14"/>
  <c r="AE57" i="14"/>
  <c r="Z57" i="14"/>
  <c r="Z117" i="12"/>
  <c r="Z118" i="12" s="1"/>
  <c r="Z58" i="14"/>
  <c r="AC40" i="13"/>
  <c r="T6" i="13"/>
  <c r="T42" i="13" s="1"/>
  <c r="T107" i="12" s="1"/>
  <c r="P98" i="12"/>
  <c r="P90" i="12"/>
  <c r="Q98" i="12"/>
  <c r="Q90" i="12"/>
  <c r="R98" i="12"/>
  <c r="R90" i="12"/>
  <c r="O98" i="12"/>
  <c r="O90" i="12"/>
  <c r="T100" i="12"/>
  <c r="W100" i="12"/>
  <c r="AA45" i="14"/>
  <c r="AC33" i="14"/>
  <c r="Y88" i="12"/>
  <c r="Y89" i="12"/>
  <c r="AD86" i="12"/>
  <c r="AD88" i="12" s="1"/>
  <c r="AB89" i="12"/>
  <c r="AE138" i="12"/>
  <c r="AE136" i="12"/>
  <c r="AD136" i="12"/>
  <c r="AD142" i="12" s="1"/>
  <c r="AD138" i="12"/>
  <c r="AD66" i="12"/>
  <c r="AD50" i="12"/>
  <c r="AA92" i="12"/>
  <c r="AA67" i="12"/>
  <c r="AA88" i="12"/>
  <c r="D21" i="11"/>
  <c r="D24" i="11" s="1"/>
  <c r="D25" i="11" s="1"/>
  <c r="F8" i="11"/>
  <c r="D30" i="11" s="1"/>
  <c r="C32" i="11"/>
  <c r="C33" i="11" s="1"/>
  <c r="D29" i="11"/>
  <c r="D32" i="11" s="1"/>
  <c r="D33" i="11" s="1"/>
  <c r="C22" i="11"/>
  <c r="F17" i="11"/>
  <c r="C30" i="11"/>
  <c r="AC66" i="12"/>
  <c r="AC86" i="12"/>
  <c r="U95" i="12"/>
  <c r="U83" i="12" s="1"/>
  <c r="U94" i="12"/>
  <c r="AB67" i="12"/>
  <c r="AB92" i="12"/>
  <c r="T90" i="12"/>
  <c r="T98" i="12"/>
  <c r="V90" i="12"/>
  <c r="V98" i="12"/>
  <c r="AG50" i="12"/>
  <c r="AG66" i="12"/>
  <c r="AG86" i="12"/>
  <c r="AG88" i="12" s="1"/>
  <c r="Y95" i="12"/>
  <c r="Y83" i="12" s="1"/>
  <c r="Y85" i="12" s="1"/>
  <c r="Y94" i="12"/>
  <c r="AB88" i="12"/>
  <c r="P95" i="12"/>
  <c r="P83" i="12" s="1"/>
  <c r="R95" i="12"/>
  <c r="R83" i="12" s="1"/>
  <c r="X67" i="12"/>
  <c r="X92" i="12"/>
  <c r="Z67" i="12"/>
  <c r="Z92" i="12"/>
  <c r="Z83" i="12" s="1"/>
  <c r="W94" i="12"/>
  <c r="Q95" i="12"/>
  <c r="Q83" i="12" s="1"/>
  <c r="W90" i="12"/>
  <c r="W98" i="12"/>
  <c r="T84" i="12"/>
  <c r="T96" i="12"/>
  <c r="S88" i="12"/>
  <c r="U98" i="12"/>
  <c r="U90" i="12"/>
  <c r="Z88" i="12"/>
  <c r="Z89" i="12"/>
  <c r="Z98" i="12" s="1"/>
  <c r="V94" i="12"/>
  <c r="V95" i="12"/>
  <c r="V83" i="12" s="1"/>
  <c r="S67" i="12"/>
  <c r="S92" i="12"/>
  <c r="S95" i="12" s="1"/>
  <c r="S83" i="12" s="1"/>
  <c r="X89" i="12"/>
  <c r="X88" i="12"/>
  <c r="AO156" i="12" l="1"/>
  <c r="AP156" i="12"/>
  <c r="AO150" i="12"/>
  <c r="AP150" i="12"/>
  <c r="AQ86" i="12"/>
  <c r="AQ89" i="12" s="1"/>
  <c r="AV49" i="12"/>
  <c r="AR29" i="12"/>
  <c r="AM38" i="12"/>
  <c r="AV117" i="12"/>
  <c r="AV118" i="12" s="1"/>
  <c r="AV58" i="14"/>
  <c r="BA57" i="14"/>
  <c r="AK144" i="12"/>
  <c r="AQ117" i="12"/>
  <c r="AQ118" i="12" s="1"/>
  <c r="AL144" i="12"/>
  <c r="AW33" i="14"/>
  <c r="AW45" i="14" s="1"/>
  <c r="AQ58" i="14"/>
  <c r="AV57" i="14"/>
  <c r="AQ134" i="12"/>
  <c r="AQ135" i="12" s="1"/>
  <c r="AQ138" i="12" s="1"/>
  <c r="AQ50" i="12"/>
  <c r="AQ66" i="12"/>
  <c r="AQ92" i="12" s="1"/>
  <c r="AQ57" i="14"/>
  <c r="AR33" i="14"/>
  <c r="AR45" i="14" s="1"/>
  <c r="AR34" i="12"/>
  <c r="AR37" i="12"/>
  <c r="AP131" i="12"/>
  <c r="AP136" i="12" s="1"/>
  <c r="AP137" i="12" s="1"/>
  <c r="AP129" i="12"/>
  <c r="AP130" i="12" s="1"/>
  <c r="AP138" i="12"/>
  <c r="AR45" i="12"/>
  <c r="AR46" i="12" s="1"/>
  <c r="AR41" i="12"/>
  <c r="AO47" i="12"/>
  <c r="AO49" i="12" s="1"/>
  <c r="AO86" i="12" s="1"/>
  <c r="AO33" i="14"/>
  <c r="AO45" i="14" s="1"/>
  <c r="AO127" i="12"/>
  <c r="AO131" i="12" s="1"/>
  <c r="AP54" i="14"/>
  <c r="AO54" i="14"/>
  <c r="AQ127" i="12"/>
  <c r="AQ131" i="12" s="1"/>
  <c r="AO140" i="12"/>
  <c r="AQ140" i="12"/>
  <c r="AP140" i="12"/>
  <c r="AP144" i="12" s="1"/>
  <c r="AR43" i="12"/>
  <c r="AR44" i="12" s="1"/>
  <c r="AO56" i="14"/>
  <c r="AO106" i="12" s="1"/>
  <c r="AO133" i="12"/>
  <c r="AJ57" i="14"/>
  <c r="AJ134" i="12"/>
  <c r="AJ135" i="12" s="1"/>
  <c r="AJ138" i="12" s="1"/>
  <c r="AN137" i="12"/>
  <c r="AN142" i="12"/>
  <c r="AI138" i="12"/>
  <c r="AL67" i="12"/>
  <c r="AL92" i="12"/>
  <c r="AL88" i="12"/>
  <c r="AJ50" i="12"/>
  <c r="AJ86" i="12"/>
  <c r="AJ66" i="12"/>
  <c r="AM42" i="12"/>
  <c r="AM47" i="12"/>
  <c r="AM49" i="12" s="1"/>
  <c r="AK58" i="14"/>
  <c r="AJ58" i="14"/>
  <c r="AD117" i="12"/>
  <c r="AD118" i="12" s="1"/>
  <c r="AI119" i="12" s="1"/>
  <c r="AG136" i="12"/>
  <c r="AG137" i="12" s="1"/>
  <c r="AL138" i="12"/>
  <c r="AL136" i="12"/>
  <c r="AK138" i="12"/>
  <c r="AK136" i="12"/>
  <c r="AI137" i="12"/>
  <c r="AL119" i="12"/>
  <c r="AI120" i="12"/>
  <c r="AB98" i="12"/>
  <c r="AB95" i="12"/>
  <c r="AB94" i="12"/>
  <c r="AF135" i="12"/>
  <c r="AA136" i="12"/>
  <c r="AA138" i="12"/>
  <c r="O96" i="12"/>
  <c r="O100" i="12"/>
  <c r="T101" i="12" s="1"/>
  <c r="O6" i="13"/>
  <c r="O42" i="13" s="1"/>
  <c r="O93" i="13" s="1"/>
  <c r="S100" i="12"/>
  <c r="V6" i="13"/>
  <c r="V42" i="13" s="1"/>
  <c r="V107" i="12" s="1"/>
  <c r="AF117" i="12"/>
  <c r="AF118" i="12" s="1"/>
  <c r="AE117" i="12"/>
  <c r="AE118" i="12" s="1"/>
  <c r="Z120" i="12"/>
  <c r="Z119" i="12"/>
  <c r="U6" i="13"/>
  <c r="U42" i="13" s="1"/>
  <c r="U107" i="12" s="1"/>
  <c r="Y6" i="13"/>
  <c r="U99" i="12"/>
  <c r="W99" i="12"/>
  <c r="V99" i="12"/>
  <c r="Q96" i="12"/>
  <c r="Q84" i="12"/>
  <c r="P96" i="12"/>
  <c r="P84" i="12"/>
  <c r="R96" i="12"/>
  <c r="R84" i="12"/>
  <c r="T99" i="12"/>
  <c r="S6" i="13"/>
  <c r="S42" i="13" s="1"/>
  <c r="S107" i="12" s="1"/>
  <c r="Q6" i="13"/>
  <c r="Q42" i="13" s="1"/>
  <c r="P6" i="13"/>
  <c r="P42" i="13" s="1"/>
  <c r="R6" i="13"/>
  <c r="R42" i="13" s="1"/>
  <c r="R107" i="12" s="1"/>
  <c r="Y98" i="12"/>
  <c r="U100" i="12"/>
  <c r="V100" i="12"/>
  <c r="Y100" i="12"/>
  <c r="Y101" i="12" s="1"/>
  <c r="Q100" i="12"/>
  <c r="R100" i="12"/>
  <c r="P100" i="12"/>
  <c r="AD89" i="12"/>
  <c r="AD90" i="12" s="1"/>
  <c r="AG89" i="12"/>
  <c r="AA95" i="12"/>
  <c r="AA6" i="13" s="1"/>
  <c r="AD92" i="12"/>
  <c r="Y90" i="12"/>
  <c r="AE137" i="12"/>
  <c r="AD137" i="12"/>
  <c r="AD67" i="12"/>
  <c r="AA90" i="12"/>
  <c r="AA94" i="12"/>
  <c r="D22" i="11"/>
  <c r="F11" i="11"/>
  <c r="X98" i="12"/>
  <c r="X90" i="12"/>
  <c r="S98" i="12"/>
  <c r="S90" i="12"/>
  <c r="Z95" i="12"/>
  <c r="Z6" i="13" s="1"/>
  <c r="Z94" i="12"/>
  <c r="X95" i="12"/>
  <c r="X94" i="12"/>
  <c r="V84" i="12"/>
  <c r="V96" i="12"/>
  <c r="U84" i="12"/>
  <c r="U96" i="12"/>
  <c r="W96" i="12"/>
  <c r="W84" i="12"/>
  <c r="Y96" i="12"/>
  <c r="Y84" i="12"/>
  <c r="AC89" i="12"/>
  <c r="AC98" i="12" s="1"/>
  <c r="AC88" i="12"/>
  <c r="AG92" i="12"/>
  <c r="AG94" i="12" s="1"/>
  <c r="AG67" i="12"/>
  <c r="S94" i="12"/>
  <c r="Z90" i="12"/>
  <c r="AB90" i="12"/>
  <c r="AC67" i="12"/>
  <c r="AC92" i="12"/>
  <c r="AV66" i="12" l="1"/>
  <c r="AV92" i="12" s="1"/>
  <c r="AV86" i="12"/>
  <c r="AV88" i="12" s="1"/>
  <c r="AV50" i="12"/>
  <c r="AR38" i="12"/>
  <c r="BA119" i="12"/>
  <c r="AV119" i="12"/>
  <c r="AQ119" i="12"/>
  <c r="AO134" i="12"/>
  <c r="AO135" i="12" s="1"/>
  <c r="AP117" i="12"/>
  <c r="AP118" i="12" s="1"/>
  <c r="AO117" i="12"/>
  <c r="AO118" i="12" s="1"/>
  <c r="AQ144" i="12"/>
  <c r="AO144" i="12"/>
  <c r="AQ136" i="12"/>
  <c r="AQ137" i="12" s="1"/>
  <c r="AQ88" i="12"/>
  <c r="AQ67" i="12"/>
  <c r="AP142" i="12"/>
  <c r="AO66" i="12"/>
  <c r="AO92" i="12" s="1"/>
  <c r="AO50" i="12"/>
  <c r="AR42" i="12"/>
  <c r="AR47" i="12"/>
  <c r="AR49" i="12" s="1"/>
  <c r="AP58" i="14"/>
  <c r="AO58" i="14"/>
  <c r="AO57" i="14"/>
  <c r="AJ136" i="12"/>
  <c r="AJ137" i="12" s="1"/>
  <c r="AD119" i="12"/>
  <c r="AL90" i="12"/>
  <c r="AL98" i="12"/>
  <c r="AL95" i="12"/>
  <c r="AL83" i="12" s="1"/>
  <c r="AL94" i="12"/>
  <c r="AK117" i="12"/>
  <c r="AK118" i="12" s="1"/>
  <c r="AJ117" i="12"/>
  <c r="AJ118" i="12" s="1"/>
  <c r="AM66" i="12"/>
  <c r="AM50" i="12"/>
  <c r="AM86" i="12"/>
  <c r="AJ92" i="12"/>
  <c r="AJ67" i="12"/>
  <c r="AJ88" i="12"/>
  <c r="AJ89" i="12"/>
  <c r="AK137" i="12"/>
  <c r="AK142" i="12"/>
  <c r="AL137" i="12"/>
  <c r="AL142" i="12"/>
  <c r="AE120" i="12"/>
  <c r="AA42" i="13"/>
  <c r="AA93" i="13" s="1"/>
  <c r="AB6" i="13"/>
  <c r="AC6" i="13" s="1"/>
  <c r="Y42" i="13"/>
  <c r="Y93" i="13" s="1"/>
  <c r="AB100" i="12"/>
  <c r="AB101" i="12" s="1"/>
  <c r="AF138" i="12"/>
  <c r="AF136" i="12"/>
  <c r="AF137" i="12" s="1"/>
  <c r="AA137" i="12"/>
  <c r="AA142" i="12"/>
  <c r="O62" i="13"/>
  <c r="O63" i="13" s="1"/>
  <c r="O107" i="12"/>
  <c r="O43" i="13"/>
  <c r="AH118" i="12"/>
  <c r="P43" i="13"/>
  <c r="P107" i="12"/>
  <c r="Q62" i="13"/>
  <c r="Q63" i="13" s="1"/>
  <c r="Q107" i="12"/>
  <c r="X6" i="13"/>
  <c r="AF120" i="12"/>
  <c r="AG120" i="12"/>
  <c r="AE119" i="12"/>
  <c r="AC41" i="14"/>
  <c r="AC45" i="14" s="1"/>
  <c r="AB45" i="14"/>
  <c r="Y99" i="12"/>
  <c r="Z100" i="12"/>
  <c r="Z101" i="12" s="1"/>
  <c r="X100" i="12"/>
  <c r="AD98" i="12"/>
  <c r="AA100" i="12"/>
  <c r="AA101" i="12" s="1"/>
  <c r="W101" i="12"/>
  <c r="V101" i="12"/>
  <c r="U101" i="12"/>
  <c r="T43" i="13"/>
  <c r="T62" i="13"/>
  <c r="T63" i="13" s="1"/>
  <c r="AD95" i="12"/>
  <c r="AD6" i="13" s="1"/>
  <c r="AD94" i="12"/>
  <c r="AG90" i="12"/>
  <c r="AG98" i="12"/>
  <c r="AG95" i="12"/>
  <c r="T93" i="13"/>
  <c r="R93" i="13"/>
  <c r="U43" i="13"/>
  <c r="P93" i="13"/>
  <c r="P62" i="13"/>
  <c r="P63" i="13" s="1"/>
  <c r="Q93" i="13"/>
  <c r="Q43" i="13"/>
  <c r="S62" i="13"/>
  <c r="S63" i="13" s="1"/>
  <c r="S43" i="13"/>
  <c r="S93" i="13"/>
  <c r="Z99" i="12"/>
  <c r="AB99" i="12"/>
  <c r="AA96" i="12"/>
  <c r="AA99" i="12"/>
  <c r="S99" i="12"/>
  <c r="AC95" i="12"/>
  <c r="AC94" i="12"/>
  <c r="AC90" i="12"/>
  <c r="X96" i="12"/>
  <c r="X99" i="12"/>
  <c r="AB96" i="12"/>
  <c r="Z96" i="12"/>
  <c r="S96" i="12"/>
  <c r="S101" i="12"/>
  <c r="S84" i="12"/>
  <c r="AV67" i="12" l="1"/>
  <c r="AV89" i="12"/>
  <c r="AP119" i="12"/>
  <c r="AV95" i="12"/>
  <c r="AV94" i="12"/>
  <c r="AR118" i="12"/>
  <c r="AO120" i="12"/>
  <c r="AQ120" i="12"/>
  <c r="AP120" i="12"/>
  <c r="AQ142" i="12"/>
  <c r="AQ95" i="12"/>
  <c r="AQ83" i="12" s="1"/>
  <c r="AQ94" i="12"/>
  <c r="AQ90" i="12"/>
  <c r="AQ98" i="12"/>
  <c r="AR66" i="12"/>
  <c r="AR86" i="12"/>
  <c r="AR50" i="12"/>
  <c r="AO67" i="12"/>
  <c r="AO89" i="12"/>
  <c r="AO88" i="12"/>
  <c r="AO138" i="12"/>
  <c r="AO136" i="12"/>
  <c r="AJ119" i="12"/>
  <c r="AO119" i="12"/>
  <c r="AG6" i="13"/>
  <c r="AL96" i="12"/>
  <c r="AL100" i="12"/>
  <c r="AK120" i="12"/>
  <c r="AL120" i="12"/>
  <c r="AM67" i="12"/>
  <c r="AM92" i="12"/>
  <c r="AJ95" i="12"/>
  <c r="AJ94" i="12"/>
  <c r="AK119" i="12"/>
  <c r="AJ90" i="12"/>
  <c r="AJ98" i="12"/>
  <c r="AM89" i="12"/>
  <c r="AM88" i="12"/>
  <c r="AJ120" i="12"/>
  <c r="AM118" i="12"/>
  <c r="Y107" i="12"/>
  <c r="Y43" i="13"/>
  <c r="AI99" i="12"/>
  <c r="AL99" i="12"/>
  <c r="AD99" i="12"/>
  <c r="AC100" i="12"/>
  <c r="AC101" i="12" s="1"/>
  <c r="AD100" i="12"/>
  <c r="AD96" i="12"/>
  <c r="AG99" i="12"/>
  <c r="AG100" i="12"/>
  <c r="AG96" i="12"/>
  <c r="R43" i="13"/>
  <c r="R62" i="13"/>
  <c r="R63" i="13" s="1"/>
  <c r="U62" i="13"/>
  <c r="U63" i="13" s="1"/>
  <c r="U93" i="13"/>
  <c r="X101" i="12"/>
  <c r="AC99" i="12"/>
  <c r="AC96" i="12"/>
  <c r="AV90" i="12" l="1"/>
  <c r="AV98" i="12"/>
  <c r="AV100" i="12"/>
  <c r="BA101" i="12" s="1"/>
  <c r="AV96" i="12"/>
  <c r="AQ99" i="12"/>
  <c r="AQ96" i="12"/>
  <c r="AQ100" i="12"/>
  <c r="AQ101" i="12" s="1"/>
  <c r="AO95" i="12"/>
  <c r="AO94" i="12"/>
  <c r="AO90" i="12"/>
  <c r="AO98" i="12"/>
  <c r="AR89" i="12"/>
  <c r="AR88" i="12"/>
  <c r="AR92" i="12"/>
  <c r="AR67" i="12"/>
  <c r="AO142" i="12"/>
  <c r="AO137" i="12"/>
  <c r="AM119" i="12"/>
  <c r="AR119" i="12"/>
  <c r="AL101" i="12"/>
  <c r="AJ6" i="13"/>
  <c r="AL6" i="13" s="1"/>
  <c r="AJ96" i="12"/>
  <c r="AJ100" i="12"/>
  <c r="AM95" i="12"/>
  <c r="AM94" i="12"/>
  <c r="AM90" i="12"/>
  <c r="AM98" i="12"/>
  <c r="AD101" i="12"/>
  <c r="AI101" i="12"/>
  <c r="AG101" i="12"/>
  <c r="O95" i="13"/>
  <c r="O96" i="13" s="1"/>
  <c r="S95" i="13"/>
  <c r="S96" i="13" s="1"/>
  <c r="AV99" i="12" l="1"/>
  <c r="BA99" i="12"/>
  <c r="AV101" i="12"/>
  <c r="AO99" i="12"/>
  <c r="AR94" i="12"/>
  <c r="AR95" i="12"/>
  <c r="AR90" i="12"/>
  <c r="AR98" i="12"/>
  <c r="AO6" i="13"/>
  <c r="AO96" i="12"/>
  <c r="AO100" i="12"/>
  <c r="AO101" i="12" s="1"/>
  <c r="AM96" i="12"/>
  <c r="AM100" i="12"/>
  <c r="P95" i="13"/>
  <c r="P96" i="13" s="1"/>
  <c r="O98" i="13"/>
  <c r="X95" i="13"/>
  <c r="S98" i="13"/>
  <c r="AO42" i="13" l="1"/>
  <c r="AQ6" i="13"/>
  <c r="AR99" i="12"/>
  <c r="AR96" i="12"/>
  <c r="AR100" i="12"/>
  <c r="AR101" i="12" s="1"/>
  <c r="Q95" i="13"/>
  <c r="Q96" i="13" s="1"/>
  <c r="P98" i="13"/>
  <c r="R95" i="13" l="1"/>
  <c r="R96" i="13" s="1"/>
  <c r="Q98" i="13"/>
  <c r="X33" i="13"/>
  <c r="T95" i="13" l="1"/>
  <c r="T96" i="13" s="1"/>
  <c r="R98" i="13"/>
  <c r="X18" i="14"/>
  <c r="T98" i="13" l="1"/>
  <c r="U95" i="13"/>
  <c r="U96" i="13" s="1"/>
  <c r="X41" i="13"/>
  <c r="AB117" i="12"/>
  <c r="AB118" i="12" s="1"/>
  <c r="AB119" i="12" s="1"/>
  <c r="V95" i="13" l="1"/>
  <c r="U98" i="13"/>
  <c r="V58" i="14"/>
  <c r="AA117" i="12"/>
  <c r="AA118" i="12" s="1"/>
  <c r="AA120" i="12" s="1"/>
  <c r="AD120" i="12"/>
  <c r="AG119" i="12"/>
  <c r="AA119" i="12" l="1"/>
  <c r="AC118" i="12"/>
  <c r="AB120" i="12"/>
  <c r="AF119" i="12"/>
  <c r="W58" i="14"/>
  <c r="AC119" i="12" l="1"/>
  <c r="AH119" i="12"/>
  <c r="X23" i="14"/>
  <c r="X33" i="14" s="1"/>
  <c r="X45" i="14" s="1"/>
  <c r="V100" i="13" l="1"/>
  <c r="V43" i="13" l="1"/>
  <c r="V93" i="13"/>
  <c r="V96" i="13" s="1"/>
  <c r="V62" i="13"/>
  <c r="V63" i="13" s="1"/>
  <c r="W95" i="13" l="1"/>
  <c r="V98" i="13"/>
  <c r="X6" i="14" l="1"/>
  <c r="X12" i="14"/>
  <c r="X8" i="13"/>
  <c r="X83" i="12" s="1"/>
  <c r="X84" i="12" s="1"/>
  <c r="X42" i="13" l="1"/>
  <c r="X107" i="12" s="1"/>
  <c r="W43" i="13"/>
  <c r="W62" i="13"/>
  <c r="W63" i="13" s="1"/>
  <c r="W93" i="13"/>
  <c r="W96" i="13" s="1"/>
  <c r="Y95" i="13" s="1"/>
  <c r="X43" i="13" l="1"/>
  <c r="X62" i="13"/>
  <c r="X63" i="13" s="1"/>
  <c r="X93" i="13"/>
  <c r="X96" i="13" s="1"/>
  <c r="AC95" i="13" s="1"/>
  <c r="W98" i="13"/>
  <c r="X98" i="13" l="1"/>
  <c r="W11" i="14" l="1"/>
  <c r="X11" i="14" s="1"/>
  <c r="X20" i="14" s="1"/>
  <c r="W20" i="14" l="1"/>
  <c r="W48" i="14" l="1"/>
  <c r="X48" i="14" l="1"/>
  <c r="W49" i="14"/>
  <c r="X49" i="14" l="1"/>
  <c r="X52" i="14" s="1"/>
  <c r="W52" i="14"/>
  <c r="U11" i="14"/>
  <c r="U20" i="14" s="1"/>
  <c r="V11" i="14"/>
  <c r="V20" i="14" s="1"/>
  <c r="V48" i="14" s="1"/>
  <c r="V49" i="14" s="1"/>
  <c r="U48" i="14" l="1"/>
  <c r="U49" i="14" s="1"/>
  <c r="U52" i="14" s="1"/>
  <c r="V52" i="14"/>
  <c r="AH33" i="12" l="1"/>
  <c r="AH34" i="12" s="1"/>
  <c r="AF35" i="12"/>
  <c r="AF37" i="12" s="1"/>
  <c r="AF38" i="12" s="1"/>
  <c r="AH35" i="12" l="1"/>
  <c r="AH41" i="12" l="1"/>
  <c r="AH42" i="12" s="1"/>
  <c r="AJ140" i="12"/>
  <c r="AJ142" i="12" l="1"/>
  <c r="AJ144" i="12"/>
  <c r="AE140" i="12"/>
  <c r="AI140" i="12"/>
  <c r="AF140" i="12"/>
  <c r="AG140" i="12"/>
  <c r="AH43" i="12"/>
  <c r="AH44" i="12" s="1"/>
  <c r="AE47" i="12"/>
  <c r="AI142" i="12" l="1"/>
  <c r="AI144" i="12"/>
  <c r="AE142" i="12"/>
  <c r="AE144" i="12"/>
  <c r="AG142" i="12"/>
  <c r="AG144" i="12"/>
  <c r="AF142" i="12"/>
  <c r="AF144" i="12"/>
  <c r="AF47" i="12"/>
  <c r="AF49" i="12" s="1"/>
  <c r="AH45" i="12"/>
  <c r="AF86" i="12" l="1"/>
  <c r="AF50" i="12"/>
  <c r="AF66" i="12"/>
  <c r="AF67" i="12" s="1"/>
  <c r="AH46" i="12"/>
  <c r="AH47" i="12"/>
  <c r="AH87" i="12" l="1"/>
  <c r="AF88" i="12"/>
  <c r="AF92" i="12"/>
  <c r="AF89" i="12"/>
  <c r="AF90" i="12" l="1"/>
  <c r="AH93" i="12"/>
  <c r="AF94" i="12"/>
  <c r="AF98" i="12"/>
  <c r="AF95" i="12"/>
  <c r="AF6" i="13" l="1"/>
  <c r="AK99" i="12"/>
  <c r="AF99" i="12"/>
  <c r="AF100" i="12"/>
  <c r="AK101" i="12" s="1"/>
  <c r="AF96" i="12"/>
  <c r="AF101" i="12" l="1"/>
  <c r="AE37" i="12" l="1"/>
  <c r="AE38" i="12" l="1"/>
  <c r="AE49" i="12"/>
  <c r="AE86" i="12" s="1"/>
  <c r="AH37" i="12" l="1"/>
  <c r="AE50" i="12"/>
  <c r="AE66" i="12"/>
  <c r="AE89" i="12" l="1"/>
  <c r="AE88" i="12"/>
  <c r="AE67" i="12"/>
  <c r="AE92" i="12"/>
  <c r="AH38" i="12"/>
  <c r="AH49" i="12"/>
  <c r="AE95" i="12" l="1"/>
  <c r="AE94" i="12"/>
  <c r="AH50" i="12"/>
  <c r="AH86" i="12"/>
  <c r="AH66" i="12"/>
  <c r="AH92" i="12" s="1"/>
  <c r="AE98" i="12"/>
  <c r="AE90" i="12"/>
  <c r="AE6" i="13" l="1"/>
  <c r="AJ99" i="12"/>
  <c r="AH88" i="12"/>
  <c r="AH89" i="12"/>
  <c r="AE99" i="12"/>
  <c r="AH67" i="12"/>
  <c r="AE96" i="12"/>
  <c r="AE100" i="12"/>
  <c r="AJ101" i="12" s="1"/>
  <c r="AH98" i="12" l="1"/>
  <c r="AH90" i="12"/>
  <c r="AE101" i="12"/>
  <c r="AH95" i="12"/>
  <c r="AH6" i="13" s="1"/>
  <c r="AH94" i="12"/>
  <c r="AM99" i="12" l="1"/>
  <c r="AH96" i="12"/>
  <c r="AH100" i="12"/>
  <c r="AM101" i="12" s="1"/>
  <c r="AH99" i="12"/>
  <c r="AH101" i="12" l="1"/>
  <c r="E94" i="12" l="1"/>
  <c r="F94" i="12"/>
  <c r="G94" i="12"/>
  <c r="H94" i="12"/>
  <c r="E95" i="12"/>
  <c r="E83" i="12" s="1"/>
  <c r="F95" i="12"/>
  <c r="F83" i="12" s="1"/>
  <c r="G95" i="12"/>
  <c r="G83" i="12" s="1"/>
  <c r="H95" i="12"/>
  <c r="H100" i="12" l="1"/>
  <c r="H83" i="12"/>
  <c r="H84" i="12" s="1"/>
  <c r="F84" i="12"/>
  <c r="F96" i="12"/>
  <c r="G84" i="12"/>
  <c r="G96" i="12"/>
  <c r="E6" i="13"/>
  <c r="E42" i="13" s="1"/>
  <c r="E93" i="13" s="1"/>
  <c r="E96" i="13" s="1"/>
  <c r="E96" i="12"/>
  <c r="H96" i="12"/>
  <c r="F100" i="12"/>
  <c r="G100" i="12"/>
  <c r="H6" i="13"/>
  <c r="H42" i="13" s="1"/>
  <c r="F6" i="13"/>
  <c r="F42" i="13" s="1"/>
  <c r="E84" i="12"/>
  <c r="G6" i="13"/>
  <c r="G42" i="13" s="1"/>
  <c r="E100" i="12"/>
  <c r="F95" i="13" l="1"/>
  <c r="E98" i="13"/>
  <c r="E62" i="13"/>
  <c r="E63" i="13" s="1"/>
  <c r="E43" i="13"/>
  <c r="F43" i="13"/>
  <c r="F62" i="13"/>
  <c r="F63" i="13" s="1"/>
  <c r="F93" i="13"/>
  <c r="H43" i="13"/>
  <c r="H93" i="13"/>
  <c r="H62" i="13"/>
  <c r="H63" i="13" s="1"/>
  <c r="G93" i="13"/>
  <c r="G43" i="13"/>
  <c r="G62" i="13"/>
  <c r="G63" i="13" s="1"/>
  <c r="F96" i="13" l="1"/>
  <c r="G95" i="13" s="1"/>
  <c r="G96" i="13" s="1"/>
  <c r="AC33" i="13"/>
  <c r="Y11" i="14"/>
  <c r="Y20" i="14" s="1"/>
  <c r="AC34" i="13"/>
  <c r="F98" i="13" l="1"/>
  <c r="H95" i="13"/>
  <c r="H96" i="13" s="1"/>
  <c r="H98" i="13" s="1"/>
  <c r="G98" i="13"/>
  <c r="Y96" i="13"/>
  <c r="Y62" i="13"/>
  <c r="Y63" i="13" s="1"/>
  <c r="Z95" i="13" l="1"/>
  <c r="Y98" i="13"/>
  <c r="Y33" i="14"/>
  <c r="Y45" i="14" s="1"/>
  <c r="Y48" i="14" s="1"/>
  <c r="Y49" i="14" s="1"/>
  <c r="Y52" i="14" s="1"/>
  <c r="Z11" i="14"/>
  <c r="Z20" i="14" s="1"/>
  <c r="Z48" i="14" s="1"/>
  <c r="Z49" i="14" s="1"/>
  <c r="Z110" i="12"/>
  <c r="Z42" i="13"/>
  <c r="Z93" i="13" l="1"/>
  <c r="Z96" i="13" s="1"/>
  <c r="Z107" i="12"/>
  <c r="Z43" i="13"/>
  <c r="Z62" i="13"/>
  <c r="Z63" i="13" s="1"/>
  <c r="Z52" i="14"/>
  <c r="Z84" i="12"/>
  <c r="AA95" i="13" l="1"/>
  <c r="Z98" i="13"/>
  <c r="AA83" i="12" l="1"/>
  <c r="AA84" i="12" s="1"/>
  <c r="AA43" i="13" l="1"/>
  <c r="AA62" i="13"/>
  <c r="AA63" i="13" s="1"/>
  <c r="AA107" i="12"/>
  <c r="AA96" i="13" l="1"/>
  <c r="AB95" i="13" l="1"/>
  <c r="AA98" i="13"/>
  <c r="AA11" i="14"/>
  <c r="AA20" i="14" s="1"/>
  <c r="AA110" i="12" l="1"/>
  <c r="AA48" i="14"/>
  <c r="AA49" i="14" s="1"/>
  <c r="AA52" i="14" s="1"/>
  <c r="AC6" i="14"/>
  <c r="AB11" i="14"/>
  <c r="AC11" i="14" s="1"/>
  <c r="AB108" i="12"/>
  <c r="AB110" i="12"/>
  <c r="AC12" i="14" l="1"/>
  <c r="AC20" i="14" s="1"/>
  <c r="AB20" i="14"/>
  <c r="AB48" i="14" s="1"/>
  <c r="AB83" i="12"/>
  <c r="AB84" i="12" s="1"/>
  <c r="AC8" i="13" l="1"/>
  <c r="AC42" i="13" s="1"/>
  <c r="AC107" i="12" s="1"/>
  <c r="AB42" i="13"/>
  <c r="AB49" i="14"/>
  <c r="AC48" i="14"/>
  <c r="AC83" i="12" l="1"/>
  <c r="AC84" i="12" s="1"/>
  <c r="AB43" i="13"/>
  <c r="AB93" i="13"/>
  <c r="AB96" i="13" s="1"/>
  <c r="AB98" i="13" s="1"/>
  <c r="AC93" i="13"/>
  <c r="AC96" i="13" s="1"/>
  <c r="AC98" i="13" s="1"/>
  <c r="AB107" i="12"/>
  <c r="AC43" i="13"/>
  <c r="AC62" i="13"/>
  <c r="AC63" i="13" s="1"/>
  <c r="AB62" i="13"/>
  <c r="AB63" i="13" s="1"/>
  <c r="AB52" i="14"/>
  <c r="AC49" i="14"/>
  <c r="AC52" i="14" s="1"/>
  <c r="AH95" i="13" l="1"/>
  <c r="AD95" i="13"/>
  <c r="AD42" i="13" l="1"/>
  <c r="AD43" i="13" s="1"/>
  <c r="AD83" i="12"/>
  <c r="AD107" i="12" l="1"/>
  <c r="AD93" i="13"/>
  <c r="AD108" i="12" s="1"/>
  <c r="AD84" i="12"/>
  <c r="AD62" i="13"/>
  <c r="AD63" i="13" s="1"/>
  <c r="AD11" i="14" l="1"/>
  <c r="AD20" i="14" s="1"/>
  <c r="AD48" i="14" s="1"/>
  <c r="AD49" i="14" s="1"/>
  <c r="AD52" i="14" s="1"/>
  <c r="AD109" i="12"/>
  <c r="AD96" i="13"/>
  <c r="AD110" i="12" l="1"/>
  <c r="AE95" i="13"/>
  <c r="AD98" i="13"/>
  <c r="AE108" i="12"/>
  <c r="AE109" i="12"/>
  <c r="AE110" i="12" s="1"/>
  <c r="AE20" i="14"/>
  <c r="AE48" i="14" s="1"/>
  <c r="AE49" i="14" s="1"/>
  <c r="AE42" i="13"/>
  <c r="AE83" i="12"/>
  <c r="AE84" i="12" s="1"/>
  <c r="AE93" i="13" l="1"/>
  <c r="AE96" i="13" s="1"/>
  <c r="AE107" i="12"/>
  <c r="AE43" i="13"/>
  <c r="AE62" i="13"/>
  <c r="AE63" i="13" s="1"/>
  <c r="AE52" i="14"/>
  <c r="AF95" i="13" l="1"/>
  <c r="AE98" i="13"/>
  <c r="AF11" i="14" l="1"/>
  <c r="AF20" i="14" s="1"/>
  <c r="AF108" i="12"/>
  <c r="AF109" i="12"/>
  <c r="AF48" i="14" l="1"/>
  <c r="AF49" i="14" s="1"/>
  <c r="AF52" i="14" s="1"/>
  <c r="AF110" i="12"/>
  <c r="AF83" i="12" l="1"/>
  <c r="AF84" i="12" s="1"/>
  <c r="AF42" i="13"/>
  <c r="AF107" i="12" l="1"/>
  <c r="AF43" i="13"/>
  <c r="AF62" i="13"/>
  <c r="AF63" i="13" s="1"/>
  <c r="AF93" i="13"/>
  <c r="AF96" i="13" s="1"/>
  <c r="AF98" i="13" l="1"/>
  <c r="AG95" i="13"/>
  <c r="AH6" i="14" l="1"/>
  <c r="AG11" i="14"/>
  <c r="AH11" i="14" s="1"/>
  <c r="AG108" i="12"/>
  <c r="AG109" i="12"/>
  <c r="AG110" i="12" s="1"/>
  <c r="AH12" i="14"/>
  <c r="AH20" i="14" l="1"/>
  <c r="AG20" i="14"/>
  <c r="AG48" i="14" s="1"/>
  <c r="AH48" i="14" s="1"/>
  <c r="AG83" i="12"/>
  <c r="AG84" i="12" s="1"/>
  <c r="AH8" i="13"/>
  <c r="AG42" i="13"/>
  <c r="AH9" i="13"/>
  <c r="AG49" i="14" l="1"/>
  <c r="AG52" i="14" s="1"/>
  <c r="AG62" i="13"/>
  <c r="AG63" i="13" s="1"/>
  <c r="AG43" i="13"/>
  <c r="AG93" i="13"/>
  <c r="AG96" i="13" s="1"/>
  <c r="AG107" i="12"/>
  <c r="AH42" i="13"/>
  <c r="AH83" i="12"/>
  <c r="AH84" i="12" s="1"/>
  <c r="AH49" i="14" l="1"/>
  <c r="AH52" i="14" s="1"/>
  <c r="AH93" i="13"/>
  <c r="AH96" i="13" s="1"/>
  <c r="AH107" i="12"/>
  <c r="AH62" i="13"/>
  <c r="AH63" i="13" s="1"/>
  <c r="AH43" i="13"/>
  <c r="AI95" i="13"/>
  <c r="AG98" i="13"/>
  <c r="AM95" i="13" l="1"/>
  <c r="AH98" i="13"/>
  <c r="AI42" i="13"/>
  <c r="AI83" i="12"/>
  <c r="AI84" i="12" s="1"/>
  <c r="AI43" i="13" l="1"/>
  <c r="AI93" i="13"/>
  <c r="AI62" i="13"/>
  <c r="AI63" i="13" s="1"/>
  <c r="AI107" i="12"/>
  <c r="AI96" i="13" l="1"/>
  <c r="AI108" i="12" l="1"/>
  <c r="AI109" i="12"/>
  <c r="AJ95" i="13"/>
  <c r="AI98" i="13"/>
  <c r="AI110" i="12" l="1"/>
  <c r="AI48" i="14"/>
  <c r="AI49" i="14" s="1"/>
  <c r="AI52" i="14" s="1"/>
  <c r="AJ20" i="14" l="1"/>
  <c r="AJ42" i="13" l="1"/>
  <c r="AJ107" i="12" s="1"/>
  <c r="AJ83" i="12"/>
  <c r="AJ84" i="12" s="1"/>
  <c r="AJ48" i="14"/>
  <c r="AJ49" i="14" s="1"/>
  <c r="AJ52" i="14" s="1"/>
  <c r="AJ93" i="13" l="1"/>
  <c r="AJ96" i="13" s="1"/>
  <c r="AJ43" i="13"/>
  <c r="AJ62" i="13"/>
  <c r="AJ63" i="13" s="1"/>
  <c r="AK95" i="13" l="1"/>
  <c r="AJ98" i="13"/>
  <c r="AK20" i="14"/>
  <c r="AK48" i="14" s="1"/>
  <c r="AK49" i="14" s="1"/>
  <c r="AK83" i="12" l="1"/>
  <c r="AK84" i="12" s="1"/>
  <c r="AK42" i="13"/>
  <c r="AK52" i="14"/>
  <c r="AK107" i="12" l="1"/>
  <c r="AK93" i="13"/>
  <c r="AK96" i="13" s="1"/>
  <c r="AK43" i="13"/>
  <c r="AK62" i="13"/>
  <c r="AK63" i="13" s="1"/>
  <c r="AK98" i="13" l="1"/>
  <c r="AL95" i="13"/>
  <c r="AM12" i="14" l="1"/>
  <c r="AL84" i="12"/>
  <c r="AL42" i="13"/>
  <c r="AL107" i="12" s="1"/>
  <c r="AL43" i="13" l="1"/>
  <c r="AL62" i="13"/>
  <c r="AL63" i="13" s="1"/>
  <c r="AL93" i="13"/>
  <c r="AM83" i="12"/>
  <c r="AM42" i="13"/>
  <c r="AM107" i="12" s="1"/>
  <c r="AM84" i="12" l="1"/>
  <c r="AL96" i="13"/>
  <c r="AM93" i="13"/>
  <c r="AM96" i="13" s="1"/>
  <c r="AM62" i="13"/>
  <c r="AM63" i="13" s="1"/>
  <c r="AM43" i="13"/>
  <c r="AL98" i="13" l="1"/>
  <c r="AN95" i="13"/>
  <c r="AR95" i="13"/>
  <c r="AM6" i="14"/>
  <c r="AM98" i="13" s="1"/>
  <c r="AL20" i="14" l="1"/>
  <c r="AM11" i="14"/>
  <c r="AM20" i="14" s="1"/>
  <c r="AL48" i="14" l="1"/>
  <c r="AM48" i="14" l="1"/>
  <c r="AL49" i="14"/>
  <c r="AM49" i="14" l="1"/>
  <c r="AM52" i="14" s="1"/>
  <c r="AL52" i="14"/>
  <c r="AN83" i="12"/>
  <c r="AN84" i="12" s="1"/>
  <c r="AN42" i="13" l="1"/>
  <c r="AN62" i="13" l="1"/>
  <c r="AN63" i="13" s="1"/>
  <c r="AN107" i="12"/>
  <c r="AN93" i="13"/>
  <c r="AN43" i="13"/>
  <c r="AN96" i="13" l="1"/>
  <c r="AO95" i="13" s="1"/>
  <c r="AN20" i="14"/>
  <c r="AN98" i="13" l="1"/>
  <c r="AN48" i="14"/>
  <c r="AN49" i="14" s="1"/>
  <c r="AN52" i="14" s="1"/>
  <c r="AO107" i="12" l="1"/>
  <c r="AO83" i="12"/>
  <c r="AO84" i="12" s="1"/>
  <c r="AO43" i="13" l="1"/>
  <c r="AO62" i="13"/>
  <c r="AO63" i="13" s="1"/>
  <c r="AO93" i="13"/>
  <c r="AO96" i="13" l="1"/>
  <c r="AP83" i="12" l="1"/>
  <c r="AP84" i="12" s="1"/>
  <c r="AO98" i="13"/>
  <c r="AP95" i="13"/>
  <c r="AO20" i="14"/>
  <c r="AO48" i="14" l="1"/>
  <c r="AO49" i="14" s="1"/>
  <c r="AO52" i="14" s="1"/>
  <c r="AP43" i="13"/>
  <c r="AP62" i="13"/>
  <c r="AP63" i="13" s="1"/>
  <c r="AP93" i="13"/>
  <c r="AP96" i="13" l="1"/>
  <c r="AP20" i="14" l="1"/>
  <c r="AP98" i="13"/>
  <c r="AQ95" i="13"/>
  <c r="AQ84" i="12"/>
  <c r="AR12" i="14"/>
  <c r="AR83" i="12" l="1"/>
  <c r="AP48" i="14"/>
  <c r="AP49" i="14" s="1"/>
  <c r="AP52" i="14" s="1"/>
  <c r="AR84" i="12" l="1"/>
  <c r="AQ11" i="14"/>
  <c r="AQ109" i="12"/>
  <c r="AQ110" i="12" s="1"/>
  <c r="AQ108" i="12"/>
  <c r="AR6" i="14"/>
  <c r="AR11" i="14" l="1"/>
  <c r="AR20" i="14" s="1"/>
  <c r="AQ20" i="14"/>
  <c r="AQ48" i="14" l="1"/>
  <c r="AR48" i="14" l="1"/>
  <c r="AQ49" i="14"/>
  <c r="AR49" i="14" l="1"/>
  <c r="AR52" i="14" s="1"/>
  <c r="AQ52" i="14"/>
  <c r="AS28" i="12"/>
  <c r="AS154" i="12" l="1"/>
  <c r="AS156" i="12" s="1"/>
  <c r="AS148" i="12"/>
  <c r="AS101" i="13"/>
  <c r="AS72" i="14"/>
  <c r="AS68" i="14"/>
  <c r="AS61" i="14"/>
  <c r="AS42" i="12"/>
  <c r="AS71" i="14"/>
  <c r="AS67" i="14"/>
  <c r="AS44" i="12"/>
  <c r="AS70" i="14"/>
  <c r="AS63" i="14"/>
  <c r="AS73" i="14"/>
  <c r="AS69" i="14"/>
  <c r="AS62" i="14"/>
  <c r="AS46" i="12"/>
  <c r="AS30" i="12"/>
  <c r="AS29" i="12"/>
  <c r="AS125" i="12"/>
  <c r="AS126" i="12" s="1"/>
  <c r="AS116" i="12"/>
  <c r="AS7" i="12"/>
  <c r="AS155" i="12" l="1"/>
  <c r="AS149" i="12"/>
  <c r="AS150" i="12"/>
  <c r="AS35" i="12"/>
  <c r="AS37" i="12" s="1"/>
  <c r="AS38" i="12" s="1"/>
  <c r="AS56" i="14"/>
  <c r="AS106" i="12" s="1"/>
  <c r="AS117" i="12" s="1"/>
  <c r="AS118" i="12" s="1"/>
  <c r="AS33" i="14"/>
  <c r="AS45" i="14" s="1"/>
  <c r="AS54" i="14"/>
  <c r="AS129" i="12"/>
  <c r="AS130" i="12" s="1"/>
  <c r="AS127" i="12"/>
  <c r="AS131" i="12" s="1"/>
  <c r="AS120" i="12" l="1"/>
  <c r="AS119" i="12"/>
  <c r="AS57" i="14"/>
  <c r="AS58" i="14"/>
  <c r="AU7" i="12" l="1"/>
  <c r="AT125" i="12" l="1"/>
  <c r="AT7" i="12"/>
  <c r="AT28" i="12"/>
  <c r="AW5" i="12"/>
  <c r="AT148" i="12" l="1"/>
  <c r="AT154" i="12"/>
  <c r="AT101" i="13"/>
  <c r="AT67" i="14"/>
  <c r="AT71" i="14"/>
  <c r="AT44" i="12"/>
  <c r="AT63" i="14"/>
  <c r="AT46" i="12"/>
  <c r="AT61" i="14"/>
  <c r="AT68" i="14"/>
  <c r="AT72" i="14"/>
  <c r="AT70" i="14"/>
  <c r="AT62" i="14"/>
  <c r="AT69" i="14"/>
  <c r="AT73" i="14"/>
  <c r="AT42" i="12"/>
  <c r="AV126" i="12"/>
  <c r="AT126" i="12"/>
  <c r="AT116" i="12"/>
  <c r="AT30" i="12"/>
  <c r="AT29" i="12"/>
  <c r="AU30" i="12"/>
  <c r="AU126" i="12"/>
  <c r="AW6" i="12"/>
  <c r="AW28" i="12"/>
  <c r="J6" i="25" l="1"/>
  <c r="J28" i="25" s="1"/>
  <c r="AT156" i="12"/>
  <c r="AT155" i="12"/>
  <c r="AU156" i="12"/>
  <c r="AT150" i="12"/>
  <c r="AT149" i="12"/>
  <c r="AU150" i="12"/>
  <c r="AV129" i="12"/>
  <c r="AV130" i="12" s="1"/>
  <c r="AW29" i="12"/>
  <c r="AT127" i="12"/>
  <c r="AT131" i="12" s="1"/>
  <c r="AV127" i="12"/>
  <c r="AV131" i="12" s="1"/>
  <c r="AU127" i="12"/>
  <c r="AU131" i="12" s="1"/>
  <c r="AT129" i="12"/>
  <c r="AT130" i="12" s="1"/>
  <c r="AU129" i="12"/>
  <c r="AU130" i="12" s="1"/>
  <c r="AT54" i="14"/>
  <c r="AU54" i="14"/>
  <c r="AT33" i="14"/>
  <c r="AT45" i="14" s="1"/>
  <c r="AT56" i="14"/>
  <c r="AT106" i="12" s="1"/>
  <c r="AT117" i="12" l="1"/>
  <c r="AT118" i="12" s="1"/>
  <c r="AU117" i="12"/>
  <c r="AU118" i="12" s="1"/>
  <c r="AT58" i="14"/>
  <c r="AT57" i="14"/>
  <c r="AU58" i="14"/>
  <c r="AV120" i="12" l="1"/>
  <c r="AU119" i="12"/>
  <c r="AU120" i="12"/>
  <c r="AT120" i="12"/>
  <c r="AW118" i="12"/>
  <c r="AW119" i="12" s="1"/>
  <c r="AT119" i="12"/>
  <c r="AT35" i="12"/>
  <c r="AT37" i="12" s="1"/>
  <c r="AT38" i="12" s="1"/>
  <c r="AW33" i="12"/>
  <c r="AW34" i="12" l="1"/>
  <c r="AW35" i="12"/>
  <c r="AW37" i="12" s="1"/>
  <c r="J7" i="25" s="1"/>
  <c r="AW38" i="12" l="1"/>
  <c r="AW41" i="12" l="1"/>
  <c r="AW42" i="12" s="1"/>
  <c r="AS140" i="12" l="1"/>
  <c r="AT140" i="12" l="1"/>
  <c r="AS144" i="12"/>
  <c r="AV140" i="12"/>
  <c r="AV144" i="12" s="1"/>
  <c r="AW43" i="12"/>
  <c r="AW44" i="12" s="1"/>
  <c r="AU140" i="12"/>
  <c r="AT144" i="12" l="1"/>
  <c r="AU144" i="12"/>
  <c r="AS47" i="12" l="1"/>
  <c r="AS49" i="12" s="1"/>
  <c r="AS86" i="12" s="1"/>
  <c r="AS50" i="12" l="1"/>
  <c r="AS66" i="12"/>
  <c r="AS88" i="12" l="1"/>
  <c r="AS89" i="12"/>
  <c r="AS90" i="12" s="1"/>
  <c r="AS67" i="12"/>
  <c r="AS92" i="12"/>
  <c r="AS94" i="12" l="1"/>
  <c r="AS98" i="12"/>
  <c r="AS95" i="12"/>
  <c r="AT47" i="12" l="1"/>
  <c r="AS99" i="12"/>
  <c r="AS96" i="12"/>
  <c r="AS100" i="12"/>
  <c r="AW45" i="12"/>
  <c r="AT49" i="12" l="1"/>
  <c r="AS101" i="12"/>
  <c r="AW47" i="12"/>
  <c r="AW49" i="12" s="1"/>
  <c r="J8" i="25" s="1"/>
  <c r="AW46" i="12"/>
  <c r="AT51" i="12" l="1"/>
  <c r="AT86" i="12"/>
  <c r="AW66" i="12"/>
  <c r="AT50" i="12"/>
  <c r="AT66" i="12"/>
  <c r="AT67" i="12" s="1"/>
  <c r="AW50" i="12"/>
  <c r="AT88" i="12" l="1"/>
  <c r="AW86" i="12"/>
  <c r="AW89" i="12" s="1"/>
  <c r="AT89" i="12"/>
  <c r="AT98" i="12" s="1"/>
  <c r="AT92" i="12"/>
  <c r="AW67" i="12"/>
  <c r="AT99" i="12" l="1"/>
  <c r="AW88" i="12"/>
  <c r="AT94" i="12"/>
  <c r="AW92" i="12"/>
  <c r="AW95" i="12" s="1"/>
  <c r="AW100" i="12" s="1"/>
  <c r="AT90" i="12"/>
  <c r="AT91" i="12"/>
  <c r="AT95" i="12"/>
  <c r="AT83" i="12" s="1"/>
  <c r="AW90" i="12"/>
  <c r="AW98" i="12"/>
  <c r="J10" i="25" l="1"/>
  <c r="J17" i="25" s="1"/>
  <c r="AW94" i="12"/>
  <c r="AT100" i="12"/>
  <c r="AT101" i="12" s="1"/>
  <c r="AT96" i="12"/>
  <c r="AW99" i="12"/>
  <c r="AW96" i="12"/>
  <c r="AS42" i="13"/>
  <c r="AS107" i="12" s="1"/>
  <c r="AW101" i="12" l="1"/>
  <c r="AT84" i="12"/>
  <c r="AS93" i="13"/>
  <c r="AS62" i="13"/>
  <c r="AS63" i="13" s="1"/>
  <c r="AS43" i="13"/>
  <c r="AS83" i="12"/>
  <c r="AS84" i="12" l="1"/>
  <c r="AT42" i="13"/>
  <c r="AT107" i="12" s="1"/>
  <c r="AU101" i="13"/>
  <c r="AS11" i="14"/>
  <c r="AT93" i="13" l="1"/>
  <c r="AT62" i="13"/>
  <c r="AT63" i="13" s="1"/>
  <c r="AT43" i="13"/>
  <c r="AS20" i="14"/>
  <c r="AT11" i="14"/>
  <c r="AT20" i="14" l="1"/>
  <c r="AS48" i="14"/>
  <c r="AS49" i="14" s="1"/>
  <c r="AS52" i="14" s="1"/>
  <c r="AU84" i="12"/>
  <c r="AU42" i="13"/>
  <c r="AU107" i="12" s="1"/>
  <c r="AU62" i="13" l="1"/>
  <c r="AU63" i="13" s="1"/>
  <c r="AU93" i="13"/>
  <c r="AU43" i="13"/>
  <c r="AT48" i="14"/>
  <c r="AT49" i="14" s="1"/>
  <c r="AT52" i="14" s="1"/>
  <c r="AU11" i="14" l="1"/>
  <c r="AU20" i="14" s="1"/>
  <c r="AU109" i="12"/>
  <c r="AU108" i="12"/>
  <c r="AW12" i="14"/>
  <c r="AU110" i="12" l="1"/>
  <c r="AU48" i="14"/>
  <c r="AU49" i="14" s="1"/>
  <c r="AU52" i="14" s="1"/>
  <c r="AV11" i="14" l="1"/>
  <c r="AV20" i="14" s="1"/>
  <c r="AV108" i="12"/>
  <c r="AV109" i="12"/>
  <c r="AW6" i="14"/>
  <c r="J20" i="25" s="1"/>
  <c r="J24" i="25" s="1"/>
  <c r="J13" i="25" l="1"/>
  <c r="J14" i="25"/>
  <c r="J15" i="25"/>
  <c r="AV110" i="12"/>
  <c r="AW11" i="14"/>
  <c r="AW20" i="14" s="1"/>
  <c r="AV48" i="14" l="1"/>
  <c r="AZ101" i="13" l="1"/>
  <c r="AW48" i="14"/>
  <c r="AV49" i="14"/>
  <c r="AW49" i="14" l="1"/>
  <c r="AW52" i="14" s="1"/>
  <c r="AV52" i="14"/>
  <c r="AQ14" i="13"/>
  <c r="AQ15" i="13"/>
  <c r="AQ18" i="13"/>
  <c r="AQ19" i="13"/>
  <c r="AQ21" i="13"/>
  <c r="AQ25" i="13"/>
  <c r="AQ26" i="13"/>
  <c r="AQ28" i="13"/>
  <c r="AQ29" i="13"/>
  <c r="AQ36" i="13"/>
  <c r="AQ41" i="13"/>
  <c r="AQ40" i="13"/>
  <c r="AQ39" i="13"/>
  <c r="AQ33" i="13"/>
  <c r="AQ38" i="13"/>
  <c r="AQ34" i="13"/>
  <c r="AQ35" i="13"/>
  <c r="AQ37" i="13"/>
  <c r="AQ31" i="13"/>
  <c r="AR42" i="13"/>
  <c r="AZ83" i="12" l="1"/>
  <c r="AZ84" i="12" s="1"/>
  <c r="AR43" i="13"/>
  <c r="AR107" i="12"/>
  <c r="AQ42" i="13"/>
  <c r="AQ107" i="12" l="1"/>
  <c r="BA101" i="13"/>
  <c r="AQ43" i="13"/>
  <c r="AR62" i="13"/>
  <c r="AQ48" i="13"/>
  <c r="AQ54" i="13"/>
  <c r="AQ59" i="13"/>
  <c r="AQ46" i="13"/>
  <c r="AQ62" i="13" s="1"/>
  <c r="AQ63" i="13" s="1"/>
  <c r="AR60" i="13"/>
  <c r="AQ47" i="13"/>
  <c r="AQ49" i="13"/>
  <c r="BB9" i="13" l="1"/>
  <c r="AQ60" i="13"/>
  <c r="AR63" i="13"/>
  <c r="AQ88" i="13"/>
  <c r="AQ80" i="13"/>
  <c r="AQ86" i="13"/>
  <c r="AQ72" i="13"/>
  <c r="AQ82" i="13"/>
  <c r="AQ85" i="13"/>
  <c r="AQ76" i="13"/>
  <c r="AQ83" i="13"/>
  <c r="AQ81" i="13"/>
  <c r="AQ77" i="13"/>
  <c r="AQ75" i="13"/>
  <c r="AQ67" i="13"/>
  <c r="AR89" i="13"/>
  <c r="AR93" i="13" s="1"/>
  <c r="AR96" i="13" s="1"/>
  <c r="AQ71" i="13"/>
  <c r="AQ79" i="13"/>
  <c r="BB8" i="13" l="1"/>
  <c r="BA42" i="13"/>
  <c r="BA107" i="12" s="1"/>
  <c r="BA84" i="12"/>
  <c r="BB12" i="14"/>
  <c r="AQ89" i="13"/>
  <c r="AQ93" i="13" s="1"/>
  <c r="AQ96" i="13" s="1"/>
  <c r="AQ98" i="13" s="1"/>
  <c r="AR98" i="13"/>
  <c r="AW95" i="13"/>
  <c r="BA62" i="13" l="1"/>
  <c r="BA63" i="13" s="1"/>
  <c r="BA43" i="13"/>
  <c r="BA93" i="13"/>
  <c r="AS95" i="13"/>
  <c r="AS96" i="13" s="1"/>
  <c r="AT95" i="13" s="1"/>
  <c r="AT96" i="13" s="1"/>
  <c r="AS98" i="13" l="1"/>
  <c r="AT98" i="13"/>
  <c r="AU95" i="13"/>
  <c r="AU96" i="13" s="1"/>
  <c r="AV95" i="13" l="1"/>
  <c r="AU98" i="13"/>
  <c r="AS24" i="12" l="1"/>
  <c r="AS27" i="12" s="1"/>
  <c r="AS26" i="12" l="1"/>
  <c r="AS12" i="12"/>
  <c r="AS11" i="12"/>
  <c r="AX35" i="12" l="1"/>
  <c r="AX7" i="12"/>
  <c r="AX28" i="12"/>
  <c r="AX6" i="12"/>
  <c r="AX25" i="12"/>
  <c r="AX24" i="12" s="1"/>
  <c r="AX125" i="12"/>
  <c r="AX71" i="14" l="1"/>
  <c r="AX67" i="14"/>
  <c r="AX72" i="14"/>
  <c r="AX70" i="14"/>
  <c r="AX63" i="14"/>
  <c r="AX68" i="14"/>
  <c r="AX61" i="14"/>
  <c r="AX73" i="14"/>
  <c r="AX69" i="14"/>
  <c r="AX62" i="14"/>
  <c r="AX27" i="12"/>
  <c r="AY27" i="12"/>
  <c r="AX148" i="12"/>
  <c r="AX154" i="12"/>
  <c r="AX44" i="12"/>
  <c r="AX42" i="12"/>
  <c r="AX46" i="12"/>
  <c r="AX26" i="12"/>
  <c r="AX101" i="13"/>
  <c r="AX126" i="12"/>
  <c r="AX29" i="12"/>
  <c r="AX37" i="12"/>
  <c r="AX116" i="12"/>
  <c r="AX30" i="12"/>
  <c r="AX156" i="12" l="1"/>
  <c r="AX155" i="12"/>
  <c r="AX150" i="12"/>
  <c r="AX149" i="12"/>
  <c r="BG9" i="13"/>
  <c r="AX56" i="14"/>
  <c r="AX106" i="12" s="1"/>
  <c r="AX117" i="12" s="1"/>
  <c r="AX118" i="12" s="1"/>
  <c r="AX47" i="12"/>
  <c r="AX49" i="12" s="1"/>
  <c r="AX66" i="12" s="1"/>
  <c r="AX33" i="14"/>
  <c r="AX45" i="14" s="1"/>
  <c r="AX140" i="12"/>
  <c r="AX38" i="12"/>
  <c r="AX127" i="12"/>
  <c r="AX129" i="12"/>
  <c r="AX130" i="12" s="1"/>
  <c r="AX120" i="12" l="1"/>
  <c r="AX119" i="12"/>
  <c r="BC24" i="12"/>
  <c r="BD27" i="12" s="1"/>
  <c r="BC35" i="12"/>
  <c r="BC125" i="12"/>
  <c r="BC28" i="12"/>
  <c r="D21" i="27" s="1"/>
  <c r="BC6" i="12"/>
  <c r="AX86" i="12"/>
  <c r="BG8" i="13"/>
  <c r="BG12" i="14"/>
  <c r="AX57" i="14"/>
  <c r="AX58" i="14"/>
  <c r="AX144" i="12"/>
  <c r="AX131" i="12"/>
  <c r="AX50" i="12"/>
  <c r="D22" i="27"/>
  <c r="BC26" i="12" l="1"/>
  <c r="BC42" i="12"/>
  <c r="BC72" i="14"/>
  <c r="BC68" i="14"/>
  <c r="BC61" i="14"/>
  <c r="BC71" i="14"/>
  <c r="BC67" i="14"/>
  <c r="BC73" i="14"/>
  <c r="BC69" i="14"/>
  <c r="BC70" i="14"/>
  <c r="BC63" i="14"/>
  <c r="BC44" i="12"/>
  <c r="BC62" i="14"/>
  <c r="BC46" i="12"/>
  <c r="BC37" i="12"/>
  <c r="BC30" i="12"/>
  <c r="BC101" i="13"/>
  <c r="BC116" i="12"/>
  <c r="BC29" i="12"/>
  <c r="AX67" i="12"/>
  <c r="AX92" i="12"/>
  <c r="AX88" i="12"/>
  <c r="AX89" i="12"/>
  <c r="BC49" i="12" l="1"/>
  <c r="BC38" i="12"/>
  <c r="BC33" i="14"/>
  <c r="BC45" i="14" s="1"/>
  <c r="BC56" i="14"/>
  <c r="BC106" i="12" s="1"/>
  <c r="BC117" i="12" s="1"/>
  <c r="BC118" i="12" s="1"/>
  <c r="AS133" i="12"/>
  <c r="BC54" i="14"/>
  <c r="AX98" i="12"/>
  <c r="AX90" i="12"/>
  <c r="AX94" i="12"/>
  <c r="AX95" i="12"/>
  <c r="BC86" i="12" l="1"/>
  <c r="BC89" i="12" s="1"/>
  <c r="BC66" i="12"/>
  <c r="BC92" i="12" s="1"/>
  <c r="BC95" i="12" s="1"/>
  <c r="BC83" i="12" s="1"/>
  <c r="BC120" i="12"/>
  <c r="BC119" i="12"/>
  <c r="BC50" i="12"/>
  <c r="D31" i="27" s="1"/>
  <c r="BC58" i="14"/>
  <c r="BC57" i="14"/>
  <c r="AS134" i="12"/>
  <c r="AS135" i="12" s="1"/>
  <c r="AX83" i="12"/>
  <c r="AX84" i="12" s="1"/>
  <c r="AX99" i="12"/>
  <c r="AX96" i="12"/>
  <c r="AX100" i="12"/>
  <c r="AX101" i="12" s="1"/>
  <c r="D32" i="27"/>
  <c r="BC88" i="12" l="1"/>
  <c r="BC67" i="12"/>
  <c r="BC94" i="12"/>
  <c r="BC90" i="12"/>
  <c r="BC98" i="12"/>
  <c r="D23" i="27" s="1"/>
  <c r="AS138" i="12"/>
  <c r="AS136" i="12"/>
  <c r="D24" i="27"/>
  <c r="BC99" i="12" l="1"/>
  <c r="AS137" i="12"/>
  <c r="AS142" i="12"/>
  <c r="AX42" i="13"/>
  <c r="AX54" i="14"/>
  <c r="BC84" i="12" l="1"/>
  <c r="BC96" i="12"/>
  <c r="BC6" i="13"/>
  <c r="BC100" i="12"/>
  <c r="AX107" i="12"/>
  <c r="AX43" i="13"/>
  <c r="AX62" i="13"/>
  <c r="AX63" i="13" s="1"/>
  <c r="AX93" i="13"/>
  <c r="BC42" i="13" l="1"/>
  <c r="BD6" i="13"/>
  <c r="BE6" i="13" s="1"/>
  <c r="BF6" i="13" s="1"/>
  <c r="BC101" i="12"/>
  <c r="AX11" i="14"/>
  <c r="AX20" i="14" s="1"/>
  <c r="BC107" i="12" l="1"/>
  <c r="BC62" i="13"/>
  <c r="BC63" i="13" s="1"/>
  <c r="BC43" i="13"/>
  <c r="BC93" i="13"/>
  <c r="AX48" i="14"/>
  <c r="AX49" i="14" s="1"/>
  <c r="AX52" i="14" s="1"/>
  <c r="AT24" i="12"/>
  <c r="AY26" i="12" s="1"/>
  <c r="AT27" i="12" l="1"/>
  <c r="AU27" i="12"/>
  <c r="AW24" i="12"/>
  <c r="AW26" i="12" s="1"/>
  <c r="AT26" i="12"/>
  <c r="BL9" i="13" l="1"/>
  <c r="AW9" i="12"/>
  <c r="AW11" i="12" s="1"/>
  <c r="BL8" i="13" l="1"/>
  <c r="BL12" i="14"/>
  <c r="I26" i="23"/>
  <c r="I27" i="23" l="1"/>
  <c r="I25" i="23"/>
  <c r="I22" i="23" s="1"/>
  <c r="I23" i="23" s="1"/>
  <c r="AT11" i="12"/>
  <c r="AY34" i="12" l="1"/>
  <c r="BD125" i="12" l="1"/>
  <c r="AY7" i="12"/>
  <c r="AY6" i="12"/>
  <c r="AZ7" i="12"/>
  <c r="AY125" i="12"/>
  <c r="AY101" i="13"/>
  <c r="BB5" i="12"/>
  <c r="BC126" i="12" l="1"/>
  <c r="BC127" i="12" s="1"/>
  <c r="BC131" i="12" s="1"/>
  <c r="BA126" i="12"/>
  <c r="BD29" i="12"/>
  <c r="BD116" i="12"/>
  <c r="BD30" i="12"/>
  <c r="BD101" i="13"/>
  <c r="BD126" i="12"/>
  <c r="BB6" i="12"/>
  <c r="BB28" i="12"/>
  <c r="AZ30" i="12"/>
  <c r="AY29" i="12"/>
  <c r="AY30" i="12"/>
  <c r="AY116" i="12"/>
  <c r="AY126" i="12"/>
  <c r="AZ126" i="12"/>
  <c r="BB33" i="12"/>
  <c r="BB35" i="12" s="1"/>
  <c r="AY35" i="12"/>
  <c r="BC129" i="12" l="1"/>
  <c r="BC130" i="12" s="1"/>
  <c r="BD37" i="12"/>
  <c r="BD49" i="12" s="1"/>
  <c r="O6" i="25"/>
  <c r="O28" i="25" s="1"/>
  <c r="AY37" i="12"/>
  <c r="AY38" i="12" s="1"/>
  <c r="BC140" i="12"/>
  <c r="BC144" i="12" s="1"/>
  <c r="BB45" i="12"/>
  <c r="BB46" i="12" s="1"/>
  <c r="BD140" i="12"/>
  <c r="BD127" i="12"/>
  <c r="BD129" i="12"/>
  <c r="BD130" i="12" s="1"/>
  <c r="BD33" i="14"/>
  <c r="BD45" i="14" s="1"/>
  <c r="BD54" i="14"/>
  <c r="BD56" i="14"/>
  <c r="BD106" i="12" s="1"/>
  <c r="AT133" i="12"/>
  <c r="AY56" i="14"/>
  <c r="AY106" i="12" s="1"/>
  <c r="BB29" i="12"/>
  <c r="BB37" i="12"/>
  <c r="O7" i="25" s="1"/>
  <c r="AY127" i="12"/>
  <c r="AY131" i="12" s="1"/>
  <c r="AY129" i="12"/>
  <c r="AY130" i="12" s="1"/>
  <c r="AY33" i="14"/>
  <c r="AY45" i="14" s="1"/>
  <c r="BB34" i="12"/>
  <c r="AZ129" i="12"/>
  <c r="AZ130" i="12" s="1"/>
  <c r="AZ127" i="12"/>
  <c r="AZ131" i="12" s="1"/>
  <c r="AZ54" i="14"/>
  <c r="AY54" i="14"/>
  <c r="AY47" i="12"/>
  <c r="BB41" i="12"/>
  <c r="BA129" i="12"/>
  <c r="BA130" i="12" s="1"/>
  <c r="BA127" i="12"/>
  <c r="BA131" i="12" s="1"/>
  <c r="BB43" i="12"/>
  <c r="BB44" i="12" s="1"/>
  <c r="AZ140" i="12"/>
  <c r="BA140" i="12"/>
  <c r="AY140" i="12"/>
  <c r="AY49" i="12" l="1"/>
  <c r="AY86" i="12" s="1"/>
  <c r="BD117" i="12"/>
  <c r="BD118" i="12" s="1"/>
  <c r="BD120" i="12" s="1"/>
  <c r="BD52" i="12"/>
  <c r="BD38" i="12"/>
  <c r="BD50" i="12"/>
  <c r="E31" i="27" s="1"/>
  <c r="AY117" i="12"/>
  <c r="AY118" i="12" s="1"/>
  <c r="AZ117" i="12"/>
  <c r="AZ118" i="12" s="1"/>
  <c r="AT134" i="12"/>
  <c r="BD144" i="12"/>
  <c r="BD57" i="14"/>
  <c r="BD131" i="12"/>
  <c r="BD58" i="14"/>
  <c r="BB39" i="13"/>
  <c r="BB34" i="13"/>
  <c r="BB40" i="13"/>
  <c r="BB37" i="13"/>
  <c r="AY144" i="12"/>
  <c r="BA144" i="12"/>
  <c r="AZ144" i="12"/>
  <c r="BB47" i="12"/>
  <c r="BB49" i="12" s="1"/>
  <c r="O8" i="25" s="1"/>
  <c r="BB42" i="12"/>
  <c r="BB38" i="12"/>
  <c r="BB36" i="13"/>
  <c r="AZ42" i="13"/>
  <c r="AZ107" i="12" s="1"/>
  <c r="BB41" i="13"/>
  <c r="BB38" i="13"/>
  <c r="BB33" i="13"/>
  <c r="AZ58" i="14"/>
  <c r="AY58" i="14"/>
  <c r="AY57" i="14"/>
  <c r="E32" i="27"/>
  <c r="AY66" i="12" l="1"/>
  <c r="AY67" i="12" s="1"/>
  <c r="AY50" i="12"/>
  <c r="BD86" i="12"/>
  <c r="BD88" i="12" s="1"/>
  <c r="BD66" i="12"/>
  <c r="BA120" i="12"/>
  <c r="AZ119" i="12"/>
  <c r="AZ120" i="12"/>
  <c r="BB118" i="12"/>
  <c r="AY119" i="12"/>
  <c r="BD119" i="12"/>
  <c r="AY120" i="12"/>
  <c r="BB86" i="12"/>
  <c r="AT135" i="12"/>
  <c r="BB50" i="12"/>
  <c r="BB66" i="12"/>
  <c r="AY88" i="12"/>
  <c r="AY89" i="12"/>
  <c r="AZ43" i="13"/>
  <c r="AZ62" i="13"/>
  <c r="AZ63" i="13" s="1"/>
  <c r="AZ93" i="13"/>
  <c r="AY92" i="12" l="1"/>
  <c r="AY95" i="12" s="1"/>
  <c r="AY100" i="12" s="1"/>
  <c r="BD92" i="12"/>
  <c r="BD94" i="12" s="1"/>
  <c r="BD89" i="12"/>
  <c r="BD91" i="12" s="1"/>
  <c r="BD67" i="12"/>
  <c r="BB119" i="12"/>
  <c r="AT138" i="12"/>
  <c r="AT136" i="12"/>
  <c r="AY90" i="12"/>
  <c r="AY98" i="12"/>
  <c r="BB67" i="12"/>
  <c r="BB92" i="12"/>
  <c r="BB88" i="12"/>
  <c r="BB89" i="12"/>
  <c r="AY94" i="12" l="1"/>
  <c r="BD95" i="12"/>
  <c r="BD83" i="12" s="1"/>
  <c r="BD90" i="12"/>
  <c r="BD98" i="12"/>
  <c r="E23" i="27" s="1"/>
  <c r="AT137" i="12"/>
  <c r="AT142" i="12"/>
  <c r="BD42" i="13"/>
  <c r="BB90" i="12"/>
  <c r="BB98" i="12"/>
  <c r="AY96" i="12"/>
  <c r="AY101" i="12"/>
  <c r="AY83" i="12"/>
  <c r="AY84" i="12" s="1"/>
  <c r="AY6" i="13"/>
  <c r="AY42" i="13" s="1"/>
  <c r="AY107" i="12" s="1"/>
  <c r="BB94" i="12"/>
  <c r="BB95" i="12"/>
  <c r="BB100" i="12" s="1"/>
  <c r="AY99" i="12"/>
  <c r="E24" i="27"/>
  <c r="BD107" i="12" l="1"/>
  <c r="BD62" i="13"/>
  <c r="BD63" i="13" s="1"/>
  <c r="BD100" i="12"/>
  <c r="BD101" i="12" s="1"/>
  <c r="BD84" i="12"/>
  <c r="BD96" i="12"/>
  <c r="BD99" i="12"/>
  <c r="O10" i="25"/>
  <c r="O17" i="25" s="1"/>
  <c r="BD93" i="13"/>
  <c r="BD43" i="13"/>
  <c r="BB99" i="12"/>
  <c r="BB96" i="12"/>
  <c r="BB83" i="12"/>
  <c r="O9" i="25" s="1"/>
  <c r="BB6" i="13"/>
  <c r="BB42" i="13" s="1"/>
  <c r="BB107" i="12" s="1"/>
  <c r="AY43" i="13"/>
  <c r="AY62" i="13"/>
  <c r="AY63" i="13" s="1"/>
  <c r="AY93" i="13"/>
  <c r="BQ9" i="13" l="1"/>
  <c r="BB101" i="12"/>
  <c r="BB84" i="12"/>
  <c r="BB93" i="13"/>
  <c r="BB62" i="13"/>
  <c r="O11" i="25" s="1"/>
  <c r="BB43" i="13"/>
  <c r="BQ8" i="13" l="1"/>
  <c r="BQ12" i="14"/>
  <c r="BB63" i="13"/>
  <c r="AY11" i="14"/>
  <c r="AY20" i="14" s="1"/>
  <c r="AZ11" i="14" l="1"/>
  <c r="AZ20" i="14" s="1"/>
  <c r="AY48" i="14"/>
  <c r="AY49" i="14" s="1"/>
  <c r="AY52" i="14" s="1"/>
  <c r="AZ48" i="14" l="1"/>
  <c r="AZ49" i="14" s="1"/>
  <c r="AZ52" i="14" s="1"/>
  <c r="BA11" i="14"/>
  <c r="BB6" i="14"/>
  <c r="O20" i="25" s="1"/>
  <c r="O24" i="25" s="1"/>
  <c r="O18" i="25" l="1"/>
  <c r="O14" i="25"/>
  <c r="O13" i="25"/>
  <c r="O15" i="25"/>
  <c r="O16" i="25"/>
  <c r="BA20" i="14"/>
  <c r="BB11" i="14"/>
  <c r="BB20" i="14" s="1"/>
  <c r="C24" i="25" l="1"/>
  <c r="BC11" i="14"/>
  <c r="BC20" i="14" s="1"/>
  <c r="BC48" i="14" s="1"/>
  <c r="BC49" i="14" s="1"/>
  <c r="BC52" i="14" s="1"/>
  <c r="BA48" i="14"/>
  <c r="J29" i="25" l="1"/>
  <c r="O29" i="25"/>
  <c r="BD11" i="14"/>
  <c r="BD20" i="14" s="1"/>
  <c r="BD48" i="14" s="1"/>
  <c r="BD49" i="14" s="1"/>
  <c r="BD52" i="14" s="1"/>
  <c r="BB48" i="14"/>
  <c r="BA49" i="14"/>
  <c r="BB49" i="14" l="1"/>
  <c r="BB52" i="14" s="1"/>
  <c r="BA52" i="14"/>
  <c r="AV8" i="13"/>
  <c r="AV83" i="12" s="1"/>
  <c r="BT83" i="12" l="1"/>
  <c r="BT84" i="12" s="1"/>
  <c r="AV9" i="13"/>
  <c r="AV101" i="13" s="1"/>
  <c r="AV100" i="13"/>
  <c r="AW83" i="12"/>
  <c r="J9" i="25" s="1"/>
  <c r="J16" i="25" s="1"/>
  <c r="AV11" i="13"/>
  <c r="AV14" i="13"/>
  <c r="AV15" i="13"/>
  <c r="AV25" i="13"/>
  <c r="AV26" i="13"/>
  <c r="AV21" i="13"/>
  <c r="AV19" i="13"/>
  <c r="AV28" i="13"/>
  <c r="AV18" i="13"/>
  <c r="AV29" i="13"/>
  <c r="AV40" i="13"/>
  <c r="AV41" i="13"/>
  <c r="AV35" i="13"/>
  <c r="AV34" i="13"/>
  <c r="AV36" i="13"/>
  <c r="AV39" i="13"/>
  <c r="AV33" i="13"/>
  <c r="AV37" i="13"/>
  <c r="AV38" i="13"/>
  <c r="AW42" i="13"/>
  <c r="AW107" i="12" s="1"/>
  <c r="AV31" i="13"/>
  <c r="AV84" i="12" l="1"/>
  <c r="AW84" i="12"/>
  <c r="AV42" i="13"/>
  <c r="AW43" i="13"/>
  <c r="AW62" i="13"/>
  <c r="J11" i="25" s="1"/>
  <c r="J18" i="25" s="1"/>
  <c r="AV46" i="13"/>
  <c r="AW63" i="13" l="1"/>
  <c r="AV107" i="12"/>
  <c r="AV2" i="13"/>
  <c r="AV43" i="13"/>
  <c r="AV62" i="13"/>
  <c r="AV63" i="13" s="1"/>
  <c r="AV47" i="13"/>
  <c r="AV48" i="13"/>
  <c r="AV49" i="13"/>
  <c r="AV54" i="13"/>
  <c r="AV59" i="13"/>
  <c r="AW60" i="13"/>
  <c r="AV71" i="13"/>
  <c r="AV72" i="13"/>
  <c r="AV79" i="13"/>
  <c r="AV75" i="13"/>
  <c r="AV76" i="13"/>
  <c r="AV77" i="13"/>
  <c r="AV80" i="13"/>
  <c r="AV81" i="13"/>
  <c r="AV82" i="13"/>
  <c r="AV83" i="13"/>
  <c r="AV85" i="13"/>
  <c r="AV86" i="13"/>
  <c r="AV88" i="13"/>
  <c r="AW89" i="13"/>
  <c r="BV9" i="13" l="1"/>
  <c r="AW93" i="13"/>
  <c r="AW96" i="13" s="1"/>
  <c r="BB95" i="13" s="1"/>
  <c r="BG95" i="13" s="1"/>
  <c r="AV89" i="13"/>
  <c r="AV60" i="13"/>
  <c r="BV8" i="13" l="1"/>
  <c r="BV12" i="14"/>
  <c r="AW98" i="13"/>
  <c r="AV93" i="13"/>
  <c r="AV96" i="13" s="1"/>
  <c r="AV98" i="13" s="1"/>
  <c r="BB98" i="13"/>
  <c r="BW9" i="13" l="1"/>
  <c r="AX95" i="13"/>
  <c r="AX96" i="13" s="1"/>
  <c r="AY95" i="13" s="1"/>
  <c r="AY96" i="13" s="1"/>
  <c r="AZ95" i="13" s="1"/>
  <c r="AZ96" i="13" s="1"/>
  <c r="BW8" i="13" l="1"/>
  <c r="AY98" i="13"/>
  <c r="AX98" i="13"/>
  <c r="BA95" i="13"/>
  <c r="AZ98" i="13"/>
  <c r="BW12" i="14" l="1"/>
  <c r="BA98" i="13"/>
  <c r="BC95" i="13"/>
  <c r="BC96" i="13" s="1"/>
  <c r="BX9" i="13" l="1"/>
  <c r="BD95" i="13"/>
  <c r="BD96" i="13" s="1"/>
  <c r="BC98" i="13"/>
  <c r="BX8" i="13" l="1"/>
  <c r="BE95" i="13"/>
  <c r="BD98" i="13"/>
  <c r="BA12" i="12"/>
  <c r="AZ12" i="12"/>
  <c r="BB9" i="12"/>
  <c r="BB11" i="12" s="1"/>
  <c r="AZ11" i="12"/>
  <c r="BX12" i="14" l="1"/>
  <c r="J26" i="23"/>
  <c r="J25" i="23" s="1"/>
  <c r="J22" i="23" s="1"/>
  <c r="J23" i="23" s="1"/>
  <c r="BF12" i="12"/>
  <c r="AZ24" i="12"/>
  <c r="BE26" i="12" s="1"/>
  <c r="BY9" i="13" l="1"/>
  <c r="K27" i="23"/>
  <c r="J27" i="23"/>
  <c r="AZ26" i="12"/>
  <c r="AZ27" i="12"/>
  <c r="BY8" i="13" l="1"/>
  <c r="BE7" i="12"/>
  <c r="BE6" i="12"/>
  <c r="BE125" i="12"/>
  <c r="BY12" i="14" l="1"/>
  <c r="BJ101" i="13"/>
  <c r="BJ116" i="12"/>
  <c r="BJ35" i="12"/>
  <c r="BJ29" i="12"/>
  <c r="BE126" i="12"/>
  <c r="BE29" i="12"/>
  <c r="BE101" i="13"/>
  <c r="BE116" i="12"/>
  <c r="BE30" i="12"/>
  <c r="BZ9" i="13" l="1"/>
  <c r="BJ37" i="12"/>
  <c r="BJ38" i="12" s="1"/>
  <c r="BJ33" i="14"/>
  <c r="BJ45" i="14" s="1"/>
  <c r="BJ56" i="14"/>
  <c r="BJ106" i="12" s="1"/>
  <c r="AZ133" i="12"/>
  <c r="BJ47" i="12"/>
  <c r="BE140" i="12"/>
  <c r="BE33" i="14"/>
  <c r="BE45" i="14" s="1"/>
  <c r="BE54" i="14"/>
  <c r="BE56" i="14"/>
  <c r="AU133" i="12"/>
  <c r="BE129" i="12"/>
  <c r="BE130" i="12" s="1"/>
  <c r="BE127" i="12"/>
  <c r="BE131" i="12" s="1"/>
  <c r="BZ8" i="13" l="1"/>
  <c r="CA9" i="13"/>
  <c r="BJ49" i="12"/>
  <c r="BJ50" i="12" s="1"/>
  <c r="K31" i="27" s="1"/>
  <c r="BE106" i="12"/>
  <c r="BF117" i="12" s="1"/>
  <c r="BF58" i="14"/>
  <c r="BJ57" i="14"/>
  <c r="BE57" i="14"/>
  <c r="BE58" i="14"/>
  <c r="BE144" i="12"/>
  <c r="AU134" i="12"/>
  <c r="AU135" i="12" s="1"/>
  <c r="AZ134" i="12"/>
  <c r="K32" i="27"/>
  <c r="CA8" i="13" l="1"/>
  <c r="BZ12" i="14"/>
  <c r="CA12" i="14" s="1"/>
  <c r="BJ86" i="12"/>
  <c r="BJ89" i="12" s="1"/>
  <c r="BJ66" i="12"/>
  <c r="BJ92" i="12" s="1"/>
  <c r="BE117" i="12"/>
  <c r="BE118" i="12" s="1"/>
  <c r="BE119" i="12" s="1"/>
  <c r="AU138" i="12"/>
  <c r="AU136" i="12"/>
  <c r="AZ135" i="12"/>
  <c r="BE120" i="12" l="1"/>
  <c r="BJ67" i="12"/>
  <c r="BJ88" i="12"/>
  <c r="BJ95" i="12"/>
  <c r="BJ83" i="12" s="1"/>
  <c r="BJ94" i="12"/>
  <c r="BJ98" i="12"/>
  <c r="K23" i="27" s="1"/>
  <c r="BJ90" i="12"/>
  <c r="AU137" i="12"/>
  <c r="AU142" i="12"/>
  <c r="AZ136" i="12"/>
  <c r="AZ138" i="12"/>
  <c r="K24" i="27"/>
  <c r="BJ6" i="13" l="1"/>
  <c r="BJ100" i="12"/>
  <c r="BJ96" i="12"/>
  <c r="AZ137" i="12"/>
  <c r="AZ142" i="12"/>
  <c r="BJ84" i="12" l="1"/>
  <c r="BC27" i="12"/>
  <c r="BB24" i="12"/>
  <c r="BB26" i="12" s="1"/>
  <c r="BA27" i="12"/>
  <c r="BA26" i="12"/>
  <c r="BF27" i="12" l="1"/>
  <c r="BG24" i="12"/>
  <c r="BG5" i="12" l="1"/>
  <c r="BG28" i="12" s="1"/>
  <c r="H21" i="27" s="1"/>
  <c r="BF35" i="12"/>
  <c r="BF6" i="12"/>
  <c r="BF28" i="12"/>
  <c r="G21" i="27" s="1"/>
  <c r="BF125" i="12"/>
  <c r="BF126" i="12" s="1"/>
  <c r="BF7" i="12"/>
  <c r="BG26" i="12"/>
  <c r="G22" i="27"/>
  <c r="H22" i="27"/>
  <c r="BF70" i="14" l="1"/>
  <c r="BF71" i="14"/>
  <c r="BF62" i="14"/>
  <c r="BF72" i="14"/>
  <c r="BF63" i="14"/>
  <c r="BF69" i="14"/>
  <c r="BF73" i="14"/>
  <c r="BF61" i="14"/>
  <c r="BF46" i="12"/>
  <c r="BF44" i="12"/>
  <c r="BF42" i="12"/>
  <c r="BF67" i="14"/>
  <c r="BF68" i="14"/>
  <c r="BF30" i="12"/>
  <c r="BF101" i="13"/>
  <c r="BF29" i="12"/>
  <c r="BG37" i="14"/>
  <c r="BG36" i="13"/>
  <c r="BG6" i="12"/>
  <c r="BG9" i="14"/>
  <c r="BG31" i="14"/>
  <c r="BF116" i="12"/>
  <c r="BF118" i="12" s="1"/>
  <c r="BG118" i="12" s="1"/>
  <c r="BF54" i="14"/>
  <c r="BG39" i="13"/>
  <c r="BG23" i="14"/>
  <c r="BG24" i="14"/>
  <c r="BG26" i="14"/>
  <c r="BF37" i="12"/>
  <c r="BF38" i="12" s="1"/>
  <c r="BK125" i="12"/>
  <c r="BK35" i="12"/>
  <c r="BK28" i="12"/>
  <c r="L21" i="27" s="1"/>
  <c r="BK6" i="12"/>
  <c r="BF129" i="12"/>
  <c r="BF130" i="12" s="1"/>
  <c r="BF127" i="12"/>
  <c r="BF131" i="12" s="1"/>
  <c r="BG29" i="12"/>
  <c r="T6" i="25"/>
  <c r="BG41" i="13"/>
  <c r="BG44" i="14"/>
  <c r="L22" i="27"/>
  <c r="BK44" i="12" l="1"/>
  <c r="BK42" i="12"/>
  <c r="BK46" i="12"/>
  <c r="BK71" i="14"/>
  <c r="BK61" i="14"/>
  <c r="BK70" i="14"/>
  <c r="BK62" i="14"/>
  <c r="BK63" i="14"/>
  <c r="BK72" i="14"/>
  <c r="BK67" i="14"/>
  <c r="BK73" i="14"/>
  <c r="BK68" i="14"/>
  <c r="BK69" i="14"/>
  <c r="BG18" i="14"/>
  <c r="BG45" i="12"/>
  <c r="BG46" i="12" s="1"/>
  <c r="BG41" i="12"/>
  <c r="BG43" i="12"/>
  <c r="BG44" i="12" s="1"/>
  <c r="BF140" i="12"/>
  <c r="BF144" i="12" s="1"/>
  <c r="AV133" i="12"/>
  <c r="AV134" i="12" s="1"/>
  <c r="AV135" i="12" s="1"/>
  <c r="BG40" i="13"/>
  <c r="BG34" i="13"/>
  <c r="BG33" i="13"/>
  <c r="BG28" i="14"/>
  <c r="BG8" i="14"/>
  <c r="BF119" i="12"/>
  <c r="BG37" i="13"/>
  <c r="BF120" i="12"/>
  <c r="BF47" i="12"/>
  <c r="BF49" i="12" s="1"/>
  <c r="BG38" i="13"/>
  <c r="BF45" i="14"/>
  <c r="BL26" i="14"/>
  <c r="BL37" i="14"/>
  <c r="BK101" i="13"/>
  <c r="BK116" i="12"/>
  <c r="BK30" i="12"/>
  <c r="BK29" i="12"/>
  <c r="BK37" i="12"/>
  <c r="BK38" i="12" s="1"/>
  <c r="BG119" i="12"/>
  <c r="T28" i="25"/>
  <c r="T29" i="25" s="1"/>
  <c r="BK33" i="14" l="1"/>
  <c r="BK45" i="14" s="1"/>
  <c r="BG33" i="14"/>
  <c r="BG45" i="14" s="1"/>
  <c r="BG47" i="12"/>
  <c r="BG42" i="12"/>
  <c r="BF50" i="12"/>
  <c r="G31" i="27" s="1"/>
  <c r="BF66" i="12"/>
  <c r="BF67" i="12" s="1"/>
  <c r="BF86" i="12"/>
  <c r="BF88" i="12" s="1"/>
  <c r="BL24" i="14"/>
  <c r="BL18" i="14"/>
  <c r="BL23" i="14"/>
  <c r="BL9" i="14"/>
  <c r="BL31" i="14"/>
  <c r="BK56" i="14"/>
  <c r="BK106" i="12" s="1"/>
  <c r="BA133" i="12"/>
  <c r="BL44" i="14"/>
  <c r="BL28" i="14"/>
  <c r="BL8" i="14"/>
  <c r="BK54" i="14"/>
  <c r="BK47" i="12"/>
  <c r="BK49" i="12" s="1"/>
  <c r="AV138" i="12"/>
  <c r="AV136" i="12"/>
  <c r="G32" i="27"/>
  <c r="BK117" i="12" l="1"/>
  <c r="BK118" i="12" s="1"/>
  <c r="BK119" i="12" s="1"/>
  <c r="BL33" i="14"/>
  <c r="BL45" i="14" s="1"/>
  <c r="BF89" i="12"/>
  <c r="BF98" i="12" s="1"/>
  <c r="G23" i="27" s="1"/>
  <c r="BF92" i="12"/>
  <c r="BF95" i="12" s="1"/>
  <c r="BF83" i="12" s="1"/>
  <c r="BA134" i="12"/>
  <c r="BA135" i="12" s="1"/>
  <c r="BA138" i="12" s="1"/>
  <c r="BK57" i="14"/>
  <c r="BK58" i="14"/>
  <c r="BK86" i="12"/>
  <c r="BK66" i="12"/>
  <c r="BK50" i="12"/>
  <c r="L31" i="27" s="1"/>
  <c r="AV142" i="12"/>
  <c r="AV137" i="12"/>
  <c r="G24" i="27"/>
  <c r="L32" i="27"/>
  <c r="BF90" i="12" l="1"/>
  <c r="BF94" i="12"/>
  <c r="BA136" i="12"/>
  <c r="BA142" i="12" s="1"/>
  <c r="BK67" i="12"/>
  <c r="BK92" i="12"/>
  <c r="BK89" i="12"/>
  <c r="BK88" i="12"/>
  <c r="BF96" i="12"/>
  <c r="BF100" i="12"/>
  <c r="BF84" i="12"/>
  <c r="BF42" i="13"/>
  <c r="BF99" i="12"/>
  <c r="BF107" i="12" l="1"/>
  <c r="BF62" i="13"/>
  <c r="BF63" i="13" s="1"/>
  <c r="BA137" i="12"/>
  <c r="BK90" i="12"/>
  <c r="BK98" i="12"/>
  <c r="L23" i="27" s="1"/>
  <c r="BK95" i="12"/>
  <c r="BK94" i="12"/>
  <c r="BF101" i="12"/>
  <c r="BF43" i="13"/>
  <c r="BF93" i="13"/>
  <c r="L24" i="27"/>
  <c r="BK83" i="12" l="1"/>
  <c r="BK84" i="12" s="1"/>
  <c r="BK100" i="12"/>
  <c r="BK101" i="12" s="1"/>
  <c r="BK96" i="12"/>
  <c r="BK99" i="12"/>
  <c r="BC12" i="12" l="1"/>
  <c r="BC11" i="12"/>
  <c r="BH25" i="12" l="1"/>
  <c r="BH24" i="12" s="1"/>
  <c r="BM26" i="12" s="1"/>
  <c r="BH12" i="12"/>
  <c r="BH26" i="12" l="1"/>
  <c r="BW24" i="12"/>
  <c r="BH27" i="12"/>
  <c r="BH125" i="12"/>
  <c r="BH126" i="12" s="1"/>
  <c r="BH6" i="12"/>
  <c r="BH28" i="12"/>
  <c r="I21" i="27" s="1"/>
  <c r="BH7" i="12"/>
  <c r="I22" i="27"/>
  <c r="BH72" i="14" l="1"/>
  <c r="BH69" i="14"/>
  <c r="BH62" i="14"/>
  <c r="BH71" i="14"/>
  <c r="BH63" i="14"/>
  <c r="BH61" i="14"/>
  <c r="BH70" i="14"/>
  <c r="BH67" i="14"/>
  <c r="BH73" i="14"/>
  <c r="BH68" i="14"/>
  <c r="BH42" i="12"/>
  <c r="BH46" i="12"/>
  <c r="BH44" i="12"/>
  <c r="BH116" i="12"/>
  <c r="BH30" i="12"/>
  <c r="AX133" i="12"/>
  <c r="BH101" i="13"/>
  <c r="BH35" i="12"/>
  <c r="BH29" i="12"/>
  <c r="BH127" i="12"/>
  <c r="BH131" i="12" s="1"/>
  <c r="BH129" i="12"/>
  <c r="BH130" i="12" s="1"/>
  <c r="BM6" i="12" l="1"/>
  <c r="BM28" i="12"/>
  <c r="N21" i="27" s="1"/>
  <c r="BM125" i="12"/>
  <c r="BM35" i="12"/>
  <c r="BM7" i="12"/>
  <c r="BH37" i="12"/>
  <c r="BH38" i="12" s="1"/>
  <c r="BH140" i="12"/>
  <c r="BH144" i="12" s="1"/>
  <c r="BH54" i="14"/>
  <c r="BH56" i="14"/>
  <c r="BH45" i="14"/>
  <c r="BH47" i="12"/>
  <c r="AX134" i="12"/>
  <c r="AX135" i="12" s="1"/>
  <c r="N22" i="27"/>
  <c r="BM42" i="12" l="1"/>
  <c r="BM44" i="12"/>
  <c r="BM46" i="12"/>
  <c r="BM72" i="14"/>
  <c r="BM71" i="14"/>
  <c r="BM70" i="14"/>
  <c r="BM69" i="14"/>
  <c r="BM67" i="14"/>
  <c r="BM63" i="14"/>
  <c r="BM62" i="14"/>
  <c r="BM61" i="14"/>
  <c r="BM101" i="13"/>
  <c r="BM68" i="14"/>
  <c r="BM73" i="14"/>
  <c r="BH57" i="14"/>
  <c r="BH106" i="12"/>
  <c r="BM37" i="12"/>
  <c r="BM38" i="12" s="1"/>
  <c r="BM116" i="12"/>
  <c r="BM30" i="12"/>
  <c r="BM29" i="12"/>
  <c r="BH58" i="14"/>
  <c r="BH49" i="12"/>
  <c r="BH50" i="12" s="1"/>
  <c r="I31" i="27" s="1"/>
  <c r="AX138" i="12"/>
  <c r="AX136" i="12"/>
  <c r="I32" i="27"/>
  <c r="BH117" i="12" l="1"/>
  <c r="BH118" i="12" s="1"/>
  <c r="BM33" i="14"/>
  <c r="BM45" i="14" s="1"/>
  <c r="BM47" i="12"/>
  <c r="BM49" i="12" s="1"/>
  <c r="BM56" i="14"/>
  <c r="BM106" i="12" s="1"/>
  <c r="BC133" i="12"/>
  <c r="BM54" i="14"/>
  <c r="BH66" i="12"/>
  <c r="BH86" i="12"/>
  <c r="BH89" i="12" s="1"/>
  <c r="AX142" i="12"/>
  <c r="AX137" i="12"/>
  <c r="BM117" i="12" l="1"/>
  <c r="BM118" i="12" s="1"/>
  <c r="BM120" i="12" s="1"/>
  <c r="BH119" i="12"/>
  <c r="BH120" i="12"/>
  <c r="BM66" i="12"/>
  <c r="BM86" i="12"/>
  <c r="BM50" i="12"/>
  <c r="N31" i="27" s="1"/>
  <c r="BC134" i="12"/>
  <c r="BM58" i="14"/>
  <c r="BM57" i="14"/>
  <c r="BH90" i="12"/>
  <c r="BH67" i="12"/>
  <c r="BH92" i="12"/>
  <c r="BH94" i="12" s="1"/>
  <c r="BH88" i="12"/>
  <c r="BH98" i="12"/>
  <c r="I23" i="27" s="1"/>
  <c r="I24" i="27"/>
  <c r="N32" i="27"/>
  <c r="BM119" i="12" l="1"/>
  <c r="BC135" i="12"/>
  <c r="BM88" i="12"/>
  <c r="BM89" i="12"/>
  <c r="BM92" i="12"/>
  <c r="BM67" i="12"/>
  <c r="BH95" i="12"/>
  <c r="BH100" i="12" s="1"/>
  <c r="BH101" i="12" s="1"/>
  <c r="BH99" i="12"/>
  <c r="BH96" i="12" l="1"/>
  <c r="BH83" i="12"/>
  <c r="BH84" i="12" s="1"/>
  <c r="BC138" i="12"/>
  <c r="BC136" i="12"/>
  <c r="BM95" i="12"/>
  <c r="BM83" i="12" s="1"/>
  <c r="BM94" i="12"/>
  <c r="BM98" i="12"/>
  <c r="N23" i="27" s="1"/>
  <c r="BM90" i="12"/>
  <c r="BH6" i="13"/>
  <c r="N24" i="27"/>
  <c r="BH42" i="13" l="1"/>
  <c r="BI6" i="13"/>
  <c r="BK6" i="13" s="1"/>
  <c r="BK42" i="13" s="1"/>
  <c r="BK107" i="12" s="1"/>
  <c r="BM99" i="12"/>
  <c r="BM96" i="12"/>
  <c r="BM84" i="12"/>
  <c r="BM42" i="13"/>
  <c r="BM100" i="12"/>
  <c r="BM101" i="12" s="1"/>
  <c r="BC137" i="12"/>
  <c r="BC142" i="12"/>
  <c r="BG9" i="12"/>
  <c r="BG11" i="12" s="1"/>
  <c r="BM62" i="13" l="1"/>
  <c r="BM63" i="13" s="1"/>
  <c r="BM107" i="12"/>
  <c r="BK62" i="13"/>
  <c r="BK63" i="13" s="1"/>
  <c r="BK93" i="13"/>
  <c r="BK43" i="13"/>
  <c r="BH107" i="12"/>
  <c r="BH62" i="13"/>
  <c r="BH63" i="13" s="1"/>
  <c r="BH43" i="13"/>
  <c r="BH93" i="13"/>
  <c r="BM43" i="13"/>
  <c r="BM93" i="13"/>
  <c r="BI12" i="12"/>
  <c r="BI7" i="12" l="1"/>
  <c r="BI6" i="12"/>
  <c r="BI125" i="12"/>
  <c r="BI28" i="12"/>
  <c r="J21" i="27" s="1"/>
  <c r="J22" i="27"/>
  <c r="BI46" i="12" l="1"/>
  <c r="BI44" i="12"/>
  <c r="BI42" i="12"/>
  <c r="BI71" i="14"/>
  <c r="BI69" i="14"/>
  <c r="BI68" i="14"/>
  <c r="BI67" i="14"/>
  <c r="BI63" i="14"/>
  <c r="BI62" i="14"/>
  <c r="BI70" i="14"/>
  <c r="BI61" i="14"/>
  <c r="BI73" i="14"/>
  <c r="BI72" i="14"/>
  <c r="BI126" i="12"/>
  <c r="BI35" i="12"/>
  <c r="BL33" i="12"/>
  <c r="BL35" i="12" s="1"/>
  <c r="BI101" i="13"/>
  <c r="BI29" i="12"/>
  <c r="BJ30" i="12"/>
  <c r="BI30" i="12"/>
  <c r="BI116" i="12"/>
  <c r="BM140" i="12" l="1"/>
  <c r="BI37" i="12"/>
  <c r="BI38" i="12" s="1"/>
  <c r="BL45" i="12"/>
  <c r="BI33" i="14"/>
  <c r="BI45" i="14" s="1"/>
  <c r="BL43" i="12"/>
  <c r="BK140" i="12"/>
  <c r="BJ140" i="12"/>
  <c r="BI140" i="12"/>
  <c r="BI129" i="12"/>
  <c r="BI130" i="12" s="1"/>
  <c r="BI127" i="12"/>
  <c r="BI131" i="12" s="1"/>
  <c r="BI54" i="14"/>
  <c r="BJ54" i="14"/>
  <c r="BI56" i="14"/>
  <c r="BI106" i="12" s="1"/>
  <c r="AY133" i="12"/>
  <c r="BI47" i="12"/>
  <c r="BL41" i="12"/>
  <c r="BJ117" i="12" l="1"/>
  <c r="BJ118" i="12" s="1"/>
  <c r="BI117" i="12"/>
  <c r="BI118" i="12" s="1"/>
  <c r="BI49" i="12"/>
  <c r="BI50" i="12" s="1"/>
  <c r="J31" i="27" s="1"/>
  <c r="BL36" i="13"/>
  <c r="BL38" i="13"/>
  <c r="BL41" i="13"/>
  <c r="BL37" i="13"/>
  <c r="BL33" i="13"/>
  <c r="BL34" i="13"/>
  <c r="BJ42" i="13"/>
  <c r="BJ62" i="13" s="1"/>
  <c r="BI144" i="12"/>
  <c r="BL40" i="13"/>
  <c r="AY134" i="12"/>
  <c r="AY135" i="12" s="1"/>
  <c r="BL47" i="12"/>
  <c r="BJ58" i="14"/>
  <c r="BI58" i="14"/>
  <c r="BI57" i="14"/>
  <c r="J32" i="27"/>
  <c r="BI66" i="12" l="1"/>
  <c r="BI67" i="12" s="1"/>
  <c r="BI86" i="12"/>
  <c r="BI89" i="12" s="1"/>
  <c r="BI120" i="12"/>
  <c r="BI119" i="12"/>
  <c r="BL118" i="12"/>
  <c r="BL119" i="12" s="1"/>
  <c r="BJ119" i="12"/>
  <c r="BK120" i="12"/>
  <c r="BJ120" i="12"/>
  <c r="BJ107" i="12"/>
  <c r="BJ63" i="13"/>
  <c r="BJ43" i="13"/>
  <c r="BJ93" i="13"/>
  <c r="AY138" i="12"/>
  <c r="AY136" i="12"/>
  <c r="BI92" i="12" l="1"/>
  <c r="BI94" i="12" s="1"/>
  <c r="BI88" i="12"/>
  <c r="BI90" i="12"/>
  <c r="BI98" i="12"/>
  <c r="J23" i="27" s="1"/>
  <c r="AY142" i="12"/>
  <c r="AY137" i="12"/>
  <c r="J24" i="27"/>
  <c r="BI95" i="12" l="1"/>
  <c r="BI83" i="12" s="1"/>
  <c r="BI84" i="12" s="1"/>
  <c r="BI99" i="12"/>
  <c r="BI42" i="13"/>
  <c r="BI100" i="12" l="1"/>
  <c r="BI101" i="12" s="1"/>
  <c r="BI96" i="12"/>
  <c r="BI107" i="12"/>
  <c r="BI62" i="13"/>
  <c r="BI63" i="13" s="1"/>
  <c r="BI43" i="13"/>
  <c r="BI93" i="13"/>
  <c r="BG33" i="12" l="1"/>
  <c r="BG34" i="12" s="1"/>
  <c r="BE34" i="12"/>
  <c r="BE35" i="12"/>
  <c r="BE37" i="12" l="1"/>
  <c r="BG35" i="12"/>
  <c r="BG37" i="12" s="1"/>
  <c r="BG38" i="12" l="1"/>
  <c r="T7" i="25"/>
  <c r="BG49" i="12"/>
  <c r="BE38" i="12"/>
  <c r="BE49" i="12"/>
  <c r="BG50" i="12" l="1"/>
  <c r="H31" i="27" s="1"/>
  <c r="BG86" i="12"/>
  <c r="BG66" i="12"/>
  <c r="T8" i="25"/>
  <c r="BE50" i="12"/>
  <c r="F31" i="27" s="1"/>
  <c r="BE86" i="12"/>
  <c r="BE66" i="12"/>
  <c r="H32" i="27"/>
  <c r="F32" i="27"/>
  <c r="BE67" i="12" l="1"/>
  <c r="BE92" i="12"/>
  <c r="BE89" i="12"/>
  <c r="BE88" i="12"/>
  <c r="BG67" i="12"/>
  <c r="BG92" i="12"/>
  <c r="BG88" i="12"/>
  <c r="BG89" i="12"/>
  <c r="BG90" i="12" l="1"/>
  <c r="BG98" i="12"/>
  <c r="H23" i="27" s="1"/>
  <c r="BE98" i="12"/>
  <c r="F23" i="27" s="1"/>
  <c r="BE90" i="12"/>
  <c r="BE94" i="12"/>
  <c r="BE95" i="12"/>
  <c r="BG94" i="12"/>
  <c r="BG95" i="12"/>
  <c r="F24" i="27"/>
  <c r="H24" i="27"/>
  <c r="BE83" i="12" l="1"/>
  <c r="BG83" i="12" s="1"/>
  <c r="BE99" i="12"/>
  <c r="BJ99" i="12"/>
  <c r="BE96" i="12"/>
  <c r="BE100" i="12"/>
  <c r="BE42" i="13"/>
  <c r="BE62" i="13" s="1"/>
  <c r="BG96" i="12"/>
  <c r="BG100" i="12"/>
  <c r="BG6" i="13"/>
  <c r="BG42" i="13" s="1"/>
  <c r="BG99" i="12"/>
  <c r="T10" i="25"/>
  <c r="BG93" i="13" l="1"/>
  <c r="BG96" i="13" s="1"/>
  <c r="BG62" i="13"/>
  <c r="BE84" i="12"/>
  <c r="BE2" i="13"/>
  <c r="BE107" i="12"/>
  <c r="BG84" i="12"/>
  <c r="T9" i="25"/>
  <c r="BG101" i="12"/>
  <c r="BE43" i="13"/>
  <c r="BE63" i="13"/>
  <c r="BE93" i="13"/>
  <c r="BE96" i="13" s="1"/>
  <c r="BG43" i="13"/>
  <c r="T17" i="25"/>
  <c r="BJ101" i="12"/>
  <c r="BE101" i="12"/>
  <c r="BE98" i="13" l="1"/>
  <c r="BF95" i="13"/>
  <c r="BF96" i="13" s="1"/>
  <c r="T11" i="25"/>
  <c r="BG63" i="13"/>
  <c r="BL95" i="13"/>
  <c r="BE11" i="14" l="1"/>
  <c r="BE20" i="14" s="1"/>
  <c r="BH95" i="13" l="1"/>
  <c r="BH96" i="13" s="1"/>
  <c r="BF98" i="13"/>
  <c r="BF11" i="14"/>
  <c r="BG6" i="14"/>
  <c r="BE48" i="14"/>
  <c r="BE49" i="14" s="1"/>
  <c r="BE52" i="14" s="1"/>
  <c r="T20" i="25" l="1"/>
  <c r="T24" i="25" s="1"/>
  <c r="BH98" i="13"/>
  <c r="BG98" i="13"/>
  <c r="BF20" i="14"/>
  <c r="BG11" i="14"/>
  <c r="BG20" i="14" s="1"/>
  <c r="BI95" i="13"/>
  <c r="BI96" i="13" s="1"/>
  <c r="BF48" i="14" l="1"/>
  <c r="BJ95" i="13"/>
  <c r="BJ96" i="13" s="1"/>
  <c r="BI98" i="13"/>
  <c r="BH11" i="14"/>
  <c r="BH20" i="14" s="1"/>
  <c r="T14" i="25"/>
  <c r="T13" i="25"/>
  <c r="T15" i="25"/>
  <c r="T16" i="25"/>
  <c r="T18" i="25"/>
  <c r="BH48" i="14" l="1"/>
  <c r="BH49" i="14" s="1"/>
  <c r="BH52" i="14" s="1"/>
  <c r="BK95" i="13"/>
  <c r="BK96" i="13" s="1"/>
  <c r="BM95" i="13" s="1"/>
  <c r="BM96" i="13" s="1"/>
  <c r="BI11" i="14"/>
  <c r="BI20" i="14" s="1"/>
  <c r="BJ98" i="13"/>
  <c r="BG48" i="14"/>
  <c r="BF49" i="14"/>
  <c r="BN95" i="13" l="1"/>
  <c r="BI48" i="14"/>
  <c r="BI49" i="14" s="1"/>
  <c r="BI52" i="14" s="1"/>
  <c r="BK98" i="13"/>
  <c r="BJ11" i="14"/>
  <c r="BJ20" i="14" s="1"/>
  <c r="BG49" i="14"/>
  <c r="BG52" i="14" s="1"/>
  <c r="BF52" i="14"/>
  <c r="BJ48" i="14" l="1"/>
  <c r="BJ49" i="14" s="1"/>
  <c r="BJ52" i="14" s="1"/>
  <c r="BL6" i="14"/>
  <c r="BK11" i="14"/>
  <c r="BM11" i="14" l="1"/>
  <c r="BM20" i="14" s="1"/>
  <c r="BM48" i="14" s="1"/>
  <c r="BM49" i="14" s="1"/>
  <c r="BM52" i="14" s="1"/>
  <c r="BM98" i="13"/>
  <c r="Y20" i="25"/>
  <c r="Y24" i="25" s="1"/>
  <c r="BK20" i="14"/>
  <c r="BL11" i="14"/>
  <c r="BL20" i="14" s="1"/>
  <c r="BK48" i="14" l="1"/>
  <c r="BL48" i="14" l="1"/>
  <c r="BK49" i="14"/>
  <c r="BL49" i="14" l="1"/>
  <c r="BL52" i="14" s="1"/>
  <c r="BK52" i="14"/>
  <c r="BI27" i="12"/>
  <c r="BI26" i="12"/>
  <c r="BN7" i="12" l="1"/>
  <c r="BN6" i="12"/>
  <c r="BN125" i="12"/>
  <c r="BN28" i="12"/>
  <c r="O21" i="27" l="1"/>
  <c r="BN44" i="12"/>
  <c r="BN42" i="12"/>
  <c r="BN46" i="12"/>
  <c r="BN101" i="13"/>
  <c r="BN72" i="14"/>
  <c r="BN68" i="14"/>
  <c r="BN62" i="14"/>
  <c r="BN73" i="14"/>
  <c r="BN71" i="14"/>
  <c r="BN70" i="14"/>
  <c r="BN69" i="14"/>
  <c r="BN63" i="14"/>
  <c r="BN61" i="14"/>
  <c r="BN67" i="14"/>
  <c r="BN29" i="12"/>
  <c r="BN30" i="12"/>
  <c r="BN116" i="12"/>
  <c r="BN35" i="12"/>
  <c r="O22" i="27"/>
  <c r="BN37" i="12" l="1"/>
  <c r="BN38" i="12" s="1"/>
  <c r="BN33" i="14"/>
  <c r="BN45" i="14" s="1"/>
  <c r="BN54" i="14"/>
  <c r="BN56" i="14"/>
  <c r="BN106" i="12" s="1"/>
  <c r="BD133" i="12"/>
  <c r="BN39" i="13"/>
  <c r="BN47" i="12"/>
  <c r="BN140" i="12"/>
  <c r="BN117" i="12" l="1"/>
  <c r="BN118" i="12" s="1"/>
  <c r="BN49" i="12"/>
  <c r="BN66" i="12" s="1"/>
  <c r="BD134" i="12"/>
  <c r="BD135" i="12" s="1"/>
  <c r="BN58" i="14"/>
  <c r="BN57" i="14"/>
  <c r="BN119" i="12" l="1"/>
  <c r="BN120" i="12"/>
  <c r="BN86" i="12"/>
  <c r="BN88" i="12" s="1"/>
  <c r="BN50" i="12"/>
  <c r="O31" i="27" s="1"/>
  <c r="BD138" i="12"/>
  <c r="BD136" i="12"/>
  <c r="BN67" i="12"/>
  <c r="BN92" i="12"/>
  <c r="O32" i="27"/>
  <c r="BN89" i="12" l="1"/>
  <c r="BN90" i="12" s="1"/>
  <c r="BD137" i="12"/>
  <c r="BD142" i="12"/>
  <c r="BN94" i="12"/>
  <c r="BN95" i="12"/>
  <c r="BN83" i="12" s="1"/>
  <c r="BN98" i="12" l="1"/>
  <c r="O23" i="27" s="1"/>
  <c r="BN96" i="12"/>
  <c r="BN84" i="12"/>
  <c r="BN42" i="13"/>
  <c r="BN100" i="12"/>
  <c r="BN101" i="12" s="1"/>
  <c r="O24" i="27"/>
  <c r="BN99" i="12" l="1"/>
  <c r="BN62" i="13"/>
  <c r="BN63" i="13" s="1"/>
  <c r="BN107" i="12"/>
  <c r="BN93" i="13"/>
  <c r="BN43" i="13"/>
  <c r="BN96" i="13" l="1"/>
  <c r="BN11" i="14" l="1"/>
  <c r="BN20" i="14" s="1"/>
  <c r="BO95" i="13"/>
  <c r="BN98" i="13"/>
  <c r="BN48" i="14" l="1"/>
  <c r="BN49" i="14" s="1"/>
  <c r="BN52" i="14" s="1"/>
  <c r="BJ34" i="12"/>
  <c r="BJ6" i="12"/>
  <c r="BJ7" i="12"/>
  <c r="BK7" i="12"/>
  <c r="BL5" i="12"/>
  <c r="BL6" i="12" l="1"/>
  <c r="BL34" i="12"/>
  <c r="BL28" i="12"/>
  <c r="M21" i="27" s="1"/>
  <c r="M22" i="27"/>
  <c r="BL29" i="12" l="1"/>
  <c r="BL44" i="12"/>
  <c r="BL46" i="12"/>
  <c r="BL42" i="12"/>
  <c r="Y6" i="25"/>
  <c r="BL37" i="12"/>
  <c r="BJ125" i="12"/>
  <c r="BN126" i="12" s="1"/>
  <c r="BN127" i="12" s="1"/>
  <c r="BN144" i="12" s="1"/>
  <c r="BL38" i="12" l="1"/>
  <c r="Y7" i="25"/>
  <c r="Y14" i="25" s="1"/>
  <c r="BL49" i="12"/>
  <c r="BN131" i="12"/>
  <c r="BJ126" i="12"/>
  <c r="BK126" i="12"/>
  <c r="BM126" i="12"/>
  <c r="BN129" i="12"/>
  <c r="BN130" i="12" s="1"/>
  <c r="Y13" i="25"/>
  <c r="Y28" i="25"/>
  <c r="Y29" i="25" s="1"/>
  <c r="Z24" i="25"/>
  <c r="BJ9" i="12"/>
  <c r="BJ11" i="12" l="1"/>
  <c r="BO11" i="12"/>
  <c r="BM129" i="12"/>
  <c r="BM130" i="12" s="1"/>
  <c r="BM127" i="12"/>
  <c r="BK129" i="12"/>
  <c r="BK130" i="12" s="1"/>
  <c r="BK127" i="12"/>
  <c r="BJ12" i="12"/>
  <c r="Z14" i="25"/>
  <c r="Z16" i="25"/>
  <c r="Z15" i="25"/>
  <c r="Z18" i="25"/>
  <c r="Z23" i="25"/>
  <c r="Z25" i="25" s="1"/>
  <c r="BJ129" i="12"/>
  <c r="BJ130" i="12" s="1"/>
  <c r="BJ127" i="12"/>
  <c r="BL50" i="12"/>
  <c r="M31" i="27" s="1"/>
  <c r="BL86" i="12"/>
  <c r="BL66" i="12"/>
  <c r="Y8" i="25"/>
  <c r="Y15" i="25" s="1"/>
  <c r="M32" i="27"/>
  <c r="C8" i="25" l="1"/>
  <c r="C9" i="25" s="1"/>
  <c r="Z17" i="25"/>
  <c r="BM131" i="12"/>
  <c r="BM144" i="12"/>
  <c r="BL67" i="12"/>
  <c r="BL92" i="12"/>
  <c r="BK144" i="12"/>
  <c r="BK131" i="12"/>
  <c r="BJ131" i="12"/>
  <c r="BJ144" i="12"/>
  <c r="BL88" i="12"/>
  <c r="BL89" i="12"/>
  <c r="BO12" i="12"/>
  <c r="BL94" i="12" l="1"/>
  <c r="BL95" i="12"/>
  <c r="BL98" i="12"/>
  <c r="M23" i="27" s="1"/>
  <c r="BL90" i="12"/>
  <c r="M24" i="27"/>
  <c r="Y10" i="25" l="1"/>
  <c r="Y17" i="25" s="1"/>
  <c r="BL99" i="12"/>
  <c r="BL96" i="12"/>
  <c r="BL83" i="12"/>
  <c r="BL6" i="13"/>
  <c r="BL42" i="13" s="1"/>
  <c r="BL100" i="12"/>
  <c r="BL101" i="12" s="1"/>
  <c r="Y9" i="25" l="1"/>
  <c r="Y16" i="25" s="1"/>
  <c r="BL84" i="12"/>
  <c r="BL43" i="13"/>
  <c r="BL62" i="13"/>
  <c r="BL93" i="13"/>
  <c r="BL96" i="13" s="1"/>
  <c r="BL63" i="13" l="1"/>
  <c r="Y11" i="25"/>
  <c r="Y18" i="25" s="1"/>
  <c r="BL98" i="13"/>
  <c r="BQ95" i="13"/>
  <c r="BJ27" i="12"/>
  <c r="BJ26" i="12"/>
  <c r="BO7" i="12" l="1"/>
  <c r="BY24" i="12"/>
  <c r="BO6" i="12" l="1"/>
  <c r="BO28" i="12"/>
  <c r="BT29" i="12" s="1"/>
  <c r="BO125" i="12"/>
  <c r="BO126" i="12" s="1"/>
  <c r="BO35" i="12"/>
  <c r="P21" i="27" l="1"/>
  <c r="BO44" i="12"/>
  <c r="BO42" i="12"/>
  <c r="BO46" i="12"/>
  <c r="BO101" i="13"/>
  <c r="BO61" i="14"/>
  <c r="BO71" i="14"/>
  <c r="BO69" i="14"/>
  <c r="BO63" i="14"/>
  <c r="BO73" i="14"/>
  <c r="BO68" i="14"/>
  <c r="BO72" i="14"/>
  <c r="BO70" i="14"/>
  <c r="BO67" i="14"/>
  <c r="BO62" i="14"/>
  <c r="BO116" i="12"/>
  <c r="BO30" i="12"/>
  <c r="BO39" i="13"/>
  <c r="BO37" i="12"/>
  <c r="BO38" i="12" s="1"/>
  <c r="BO54" i="14"/>
  <c r="BO29" i="12"/>
  <c r="BO127" i="12"/>
  <c r="BO131" i="12" s="1"/>
  <c r="BO129" i="12"/>
  <c r="BO130" i="12" s="1"/>
  <c r="P22" i="27"/>
  <c r="BO140" i="12" l="1"/>
  <c r="BO144" i="12" s="1"/>
  <c r="BO33" i="14"/>
  <c r="BO45" i="14" s="1"/>
  <c r="BO47" i="12"/>
  <c r="BO49" i="12" s="1"/>
  <c r="BO50" i="12" s="1"/>
  <c r="P31" i="27" s="1"/>
  <c r="BE133" i="12"/>
  <c r="BE134" i="12" s="1"/>
  <c r="BE135" i="12" s="1"/>
  <c r="BO56" i="14"/>
  <c r="P32" i="27"/>
  <c r="BO58" i="14" l="1"/>
  <c r="BO106" i="12"/>
  <c r="BO57" i="14"/>
  <c r="BO66" i="12"/>
  <c r="BO67" i="12" s="1"/>
  <c r="BO86" i="12"/>
  <c r="BO88" i="12" s="1"/>
  <c r="BE138" i="12"/>
  <c r="BE136" i="12"/>
  <c r="BO117" i="12" l="1"/>
  <c r="BO118" i="12" s="1"/>
  <c r="BO92" i="12"/>
  <c r="BO95" i="12" s="1"/>
  <c r="BO83" i="12" s="1"/>
  <c r="BO89" i="12"/>
  <c r="BO98" i="12" s="1"/>
  <c r="BE137" i="12"/>
  <c r="BE142" i="12"/>
  <c r="P23" i="27" l="1"/>
  <c r="BT99" i="12"/>
  <c r="BO119" i="12"/>
  <c r="BO120" i="12"/>
  <c r="BO94" i="12"/>
  <c r="BO90" i="12"/>
  <c r="BO84" i="12"/>
  <c r="BO100" i="12"/>
  <c r="BO96" i="12"/>
  <c r="BO42" i="13"/>
  <c r="BO107" i="12" s="1"/>
  <c r="BO99" i="12"/>
  <c r="P24" i="27"/>
  <c r="BO101" i="12" l="1"/>
  <c r="BT101" i="12"/>
  <c r="BO62" i="13"/>
  <c r="BO63" i="13" s="1"/>
  <c r="BO43" i="13"/>
  <c r="BO93" i="13"/>
  <c r="BO96" i="13" l="1"/>
  <c r="BO11" i="14" l="1"/>
  <c r="BO20" i="14" s="1"/>
  <c r="BP95" i="13"/>
  <c r="BO98" i="13"/>
  <c r="BO48" i="14" l="1"/>
  <c r="BO49" i="14" s="1"/>
  <c r="BO52" i="14" s="1"/>
  <c r="BK12" i="12"/>
  <c r="BL9" i="12"/>
  <c r="BK11" i="12"/>
  <c r="BL11" i="12" l="1"/>
  <c r="BN12" i="12"/>
  <c r="BK24" i="12"/>
  <c r="BK26" i="12" s="1"/>
  <c r="BL24" i="12" l="1"/>
  <c r="BL26" i="12" s="1"/>
  <c r="BM27" i="12"/>
  <c r="BK27" i="12"/>
  <c r="BM12" i="12" l="1"/>
  <c r="BM11" i="12"/>
  <c r="BN27" i="12" l="1"/>
  <c r="BO27" i="12"/>
  <c r="BN26" i="12"/>
  <c r="BX24" i="12"/>
  <c r="BX27" i="12" l="1"/>
  <c r="BY27" i="12"/>
  <c r="BS27" i="12"/>
  <c r="BZ14" i="12" l="1"/>
  <c r="BP9" i="12" l="1"/>
  <c r="BU11" i="12" s="1"/>
  <c r="BP11" i="12" l="1"/>
  <c r="BP12" i="12"/>
  <c r="BQ9" i="12"/>
  <c r="BQ11" i="12" s="1"/>
  <c r="BZ19" i="12" l="1"/>
  <c r="BP6" i="12"/>
  <c r="BP7" i="12"/>
  <c r="BQ5" i="12"/>
  <c r="BP125" i="12"/>
  <c r="BP126" i="12" s="1"/>
  <c r="BZ22" i="12" l="1"/>
  <c r="BZ9" i="12"/>
  <c r="BQ37" i="14"/>
  <c r="BQ26" i="14"/>
  <c r="BP116" i="12"/>
  <c r="BP30" i="12"/>
  <c r="BP29" i="12"/>
  <c r="BP35" i="12"/>
  <c r="D6" i="15" s="1"/>
  <c r="D7" i="15" s="1"/>
  <c r="BQ33" i="12"/>
  <c r="BP127" i="12"/>
  <c r="BP131" i="12" s="1"/>
  <c r="BP129" i="12"/>
  <c r="BP130" i="12" s="1"/>
  <c r="BQ28" i="12"/>
  <c r="R21" i="27" s="1"/>
  <c r="BQ6" i="12"/>
  <c r="R22" i="27"/>
  <c r="D8" i="15" l="1"/>
  <c r="D16" i="15"/>
  <c r="BZ11" i="12"/>
  <c r="BP37" i="12"/>
  <c r="BP38" i="12" s="1"/>
  <c r="BQ45" i="12"/>
  <c r="BQ46" i="12" s="1"/>
  <c r="BQ29" i="12"/>
  <c r="BQ34" i="13"/>
  <c r="BQ9" i="14"/>
  <c r="BQ41" i="13"/>
  <c r="BQ44" i="14"/>
  <c r="BQ28" i="14"/>
  <c r="BQ39" i="13"/>
  <c r="BP54" i="14"/>
  <c r="BQ8" i="14"/>
  <c r="BQ33" i="13"/>
  <c r="BQ36" i="13"/>
  <c r="BQ18" i="14"/>
  <c r="BQ34" i="12"/>
  <c r="BQ35" i="12"/>
  <c r="BQ37" i="12" s="1"/>
  <c r="BQ38" i="12" s="1"/>
  <c r="BQ37" i="13"/>
  <c r="BQ23" i="14"/>
  <c r="BP33" i="14"/>
  <c r="BP45" i="14" s="1"/>
  <c r="BP56" i="14"/>
  <c r="BP106" i="12" s="1"/>
  <c r="BF133" i="12"/>
  <c r="BF134" i="12" s="1"/>
  <c r="BF135" i="12" s="1"/>
  <c r="BQ31" i="14"/>
  <c r="BQ40" i="13"/>
  <c r="BQ41" i="12"/>
  <c r="BP47" i="12"/>
  <c r="BQ38" i="13"/>
  <c r="BQ24" i="14"/>
  <c r="BP140" i="12"/>
  <c r="BQ43" i="12"/>
  <c r="BQ44" i="12" s="1"/>
  <c r="D27" i="15" l="1"/>
  <c r="D29" i="15" s="1"/>
  <c r="D35" i="15" s="1"/>
  <c r="D21" i="15"/>
  <c r="D17" i="15"/>
  <c r="BP117" i="12"/>
  <c r="BP118" i="12" s="1"/>
  <c r="BP49" i="12"/>
  <c r="BP66" i="12" s="1"/>
  <c r="BP144" i="12"/>
  <c r="BR29" i="12"/>
  <c r="BR30" i="12"/>
  <c r="BR39" i="13"/>
  <c r="BR101" i="13"/>
  <c r="BR116" i="12"/>
  <c r="BQ42" i="12"/>
  <c r="BQ47" i="12"/>
  <c r="BQ49" i="12" s="1"/>
  <c r="BF136" i="12"/>
  <c r="BF138" i="12"/>
  <c r="BR35" i="12"/>
  <c r="BP58" i="14"/>
  <c r="BP57" i="14"/>
  <c r="BQ33" i="14"/>
  <c r="BQ45" i="14" s="1"/>
  <c r="D22" i="15" l="1"/>
  <c r="D31" i="15"/>
  <c r="D33" i="15" s="1"/>
  <c r="D36" i="15" s="1"/>
  <c r="BP86" i="12"/>
  <c r="BP89" i="12" s="1"/>
  <c r="BP50" i="12"/>
  <c r="Q31" i="27" s="1"/>
  <c r="BR37" i="12"/>
  <c r="BR38" i="12" s="1"/>
  <c r="BP119" i="12"/>
  <c r="BP120" i="12"/>
  <c r="BQ118" i="12"/>
  <c r="BQ119" i="12" s="1"/>
  <c r="BQ50" i="12"/>
  <c r="R31" i="27" s="1"/>
  <c r="BQ66" i="12"/>
  <c r="BQ86" i="12"/>
  <c r="BR54" i="14"/>
  <c r="BR56" i="14"/>
  <c r="BR106" i="12" s="1"/>
  <c r="BH133" i="12"/>
  <c r="BR140" i="12"/>
  <c r="BR33" i="14"/>
  <c r="BR45" i="14" s="1"/>
  <c r="BP92" i="12"/>
  <c r="BP67" i="12"/>
  <c r="BR47" i="12"/>
  <c r="BF142" i="12"/>
  <c r="BF137" i="12"/>
  <c r="Q32" i="27"/>
  <c r="R32" i="27"/>
  <c r="BP88" i="12" l="1"/>
  <c r="BR117" i="12"/>
  <c r="BR118" i="12" s="1"/>
  <c r="BR49" i="12"/>
  <c r="BR66" i="12" s="1"/>
  <c r="BP95" i="12"/>
  <c r="BP83" i="12" s="1"/>
  <c r="BP94" i="12"/>
  <c r="BQ89" i="12"/>
  <c r="BQ88" i="12"/>
  <c r="BQ92" i="12"/>
  <c r="BQ67" i="12"/>
  <c r="BP98" i="12"/>
  <c r="BP90" i="12"/>
  <c r="BH134" i="12"/>
  <c r="BH135" i="12" s="1"/>
  <c r="BR57" i="14"/>
  <c r="BR58" i="14"/>
  <c r="Q23" i="27" l="1"/>
  <c r="BU99" i="12"/>
  <c r="BR50" i="12"/>
  <c r="S31" i="27" s="1"/>
  <c r="BR86" i="12"/>
  <c r="BR88" i="12" s="1"/>
  <c r="BR120" i="12"/>
  <c r="BR119" i="12"/>
  <c r="BQ94" i="12"/>
  <c r="BQ95" i="12"/>
  <c r="BQ90" i="12"/>
  <c r="BQ98" i="12"/>
  <c r="R23" i="27" s="1"/>
  <c r="BR67" i="12"/>
  <c r="BR92" i="12"/>
  <c r="BH136" i="12"/>
  <c r="BH138" i="12"/>
  <c r="BP96" i="12"/>
  <c r="BP100" i="12"/>
  <c r="BP99" i="12"/>
  <c r="S32" i="27"/>
  <c r="Q24" i="27"/>
  <c r="R24" i="27"/>
  <c r="BP101" i="12" l="1"/>
  <c r="BU101" i="12"/>
  <c r="BR89" i="12"/>
  <c r="BP84" i="12"/>
  <c r="BR98" i="12"/>
  <c r="S23" i="27" s="1"/>
  <c r="BR90" i="12"/>
  <c r="BP93" i="13"/>
  <c r="BP62" i="13"/>
  <c r="BP63" i="13" s="1"/>
  <c r="BR94" i="12"/>
  <c r="BR95" i="12"/>
  <c r="BR83" i="12" s="1"/>
  <c r="BQ99" i="12"/>
  <c r="BH142" i="12"/>
  <c r="BH137" i="12"/>
  <c r="BQ83" i="12"/>
  <c r="BQ84" i="12" s="1"/>
  <c r="BQ100" i="12"/>
  <c r="BQ101" i="12" s="1"/>
  <c r="BQ42" i="13"/>
  <c r="BQ96" i="12"/>
  <c r="S24" i="27"/>
  <c r="BR6" i="13" l="1"/>
  <c r="BR96" i="12"/>
  <c r="BR84" i="12"/>
  <c r="BR100" i="12"/>
  <c r="BR101" i="12" s="1"/>
  <c r="BQ62" i="13"/>
  <c r="BQ63" i="13" s="1"/>
  <c r="BQ93" i="13"/>
  <c r="BQ96" i="13" s="1"/>
  <c r="BQ43" i="13"/>
  <c r="BP96" i="13"/>
  <c r="BR99" i="12"/>
  <c r="BR42" i="13" l="1"/>
  <c r="BR107" i="12" s="1"/>
  <c r="BS6" i="13"/>
  <c r="BR95" i="13"/>
  <c r="BP98" i="13"/>
  <c r="BP11" i="14"/>
  <c r="BQ6" i="14"/>
  <c r="BQ98" i="13" s="1"/>
  <c r="BV95" i="13"/>
  <c r="BT6" i="13" l="1"/>
  <c r="BR43" i="13"/>
  <c r="BR62" i="13"/>
  <c r="BR63" i="13" s="1"/>
  <c r="BR93" i="13"/>
  <c r="BR96" i="13" s="1"/>
  <c r="BS95" i="13" s="1"/>
  <c r="BP20" i="14"/>
  <c r="BQ11" i="14"/>
  <c r="BQ20" i="14" s="1"/>
  <c r="BT42" i="13" l="1"/>
  <c r="BU6" i="13"/>
  <c r="BU42" i="13" s="1"/>
  <c r="BT93" i="13"/>
  <c r="BT62" i="13"/>
  <c r="BT63" i="13" s="1"/>
  <c r="BT43" i="13"/>
  <c r="BP48" i="14"/>
  <c r="BR11" i="14"/>
  <c r="BR20" i="14" s="1"/>
  <c r="BR48" i="14" s="1"/>
  <c r="BR49" i="14" s="1"/>
  <c r="BR52" i="14" s="1"/>
  <c r="BR98" i="13"/>
  <c r="BU62" i="13" l="1"/>
  <c r="BU63" i="13" s="1"/>
  <c r="BU43" i="13"/>
  <c r="BU107" i="12"/>
  <c r="BU93" i="13"/>
  <c r="BP49" i="14"/>
  <c r="BQ48" i="14"/>
  <c r="BQ49" i="14" l="1"/>
  <c r="BQ52" i="14" s="1"/>
  <c r="BP52" i="14"/>
  <c r="BR27" i="12"/>
  <c r="BP27" i="12"/>
  <c r="BQ24" i="12"/>
  <c r="BQ26" i="12" s="1"/>
  <c r="BP26" i="12"/>
  <c r="BZ24" i="12" l="1"/>
  <c r="BW27" i="12"/>
  <c r="BV24" i="12"/>
  <c r="BV26" i="12" s="1"/>
  <c r="BU125" i="12" l="1"/>
  <c r="V21" i="27"/>
  <c r="BZ27" i="12"/>
  <c r="CA24" i="12"/>
  <c r="CA26" i="12" s="1"/>
  <c r="BZ5" i="12"/>
  <c r="BV37" i="14"/>
  <c r="BV26" i="14"/>
  <c r="BU101" i="13"/>
  <c r="BU116" i="12"/>
  <c r="K13" i="15"/>
  <c r="K12" i="15"/>
  <c r="K11" i="15"/>
  <c r="V22" i="27"/>
  <c r="K6" i="15" l="1"/>
  <c r="K5" i="15"/>
  <c r="BV9" i="14"/>
  <c r="BZ33" i="12"/>
  <c r="BZ125" i="12"/>
  <c r="BZ28" i="12"/>
  <c r="AA21" i="27" s="1"/>
  <c r="BZ6" i="12"/>
  <c r="BZ15" i="12"/>
  <c r="BZ20" i="12"/>
  <c r="BZ10" i="12"/>
  <c r="BZ25" i="12"/>
  <c r="BV28" i="14"/>
  <c r="BV23" i="14"/>
  <c r="BV8" i="14"/>
  <c r="BV31" i="14"/>
  <c r="BU56" i="14"/>
  <c r="BU106" i="12" s="1"/>
  <c r="BW117" i="12" s="1"/>
  <c r="BK133" i="12"/>
  <c r="BV24" i="14"/>
  <c r="BV18" i="14"/>
  <c r="BV44" i="14"/>
  <c r="AA22" i="27"/>
  <c r="BZ23" i="14" l="1"/>
  <c r="BZ31" i="14"/>
  <c r="BZ26" i="14"/>
  <c r="CA26" i="14" s="1"/>
  <c r="BZ37" i="14"/>
  <c r="CA37" i="14" s="1"/>
  <c r="BZ9" i="14"/>
  <c r="BZ24" i="14"/>
  <c r="BZ44" i="14"/>
  <c r="BZ28" i="14"/>
  <c r="BZ8" i="14"/>
  <c r="BZ18" i="14"/>
  <c r="BZ116" i="12"/>
  <c r="BZ118" i="12" s="1"/>
  <c r="BZ43" i="12"/>
  <c r="BZ29" i="12"/>
  <c r="BZ45" i="12"/>
  <c r="BZ41" i="12"/>
  <c r="BZ101" i="13"/>
  <c r="BZ35" i="12"/>
  <c r="BZ37" i="12" s="1"/>
  <c r="BZ38" i="12" s="1"/>
  <c r="V31" i="27"/>
  <c r="BK134" i="12"/>
  <c r="BK135" i="12" s="1"/>
  <c r="BU57" i="14"/>
  <c r="BV33" i="14"/>
  <c r="BV45" i="14" s="1"/>
  <c r="V32" i="27"/>
  <c r="CA28" i="14" l="1"/>
  <c r="CA8" i="14"/>
  <c r="CA44" i="14"/>
  <c r="CA18" i="14"/>
  <c r="CA24" i="14"/>
  <c r="CA9" i="14"/>
  <c r="BZ47" i="12"/>
  <c r="BZ49" i="12" s="1"/>
  <c r="CA31" i="14"/>
  <c r="BZ56" i="14"/>
  <c r="BP133" i="12"/>
  <c r="BZ33" i="14"/>
  <c r="BZ45" i="14" s="1"/>
  <c r="CA23" i="14"/>
  <c r="BK136" i="12"/>
  <c r="BK138" i="12"/>
  <c r="BZ50" i="12" l="1"/>
  <c r="AA31" i="27" s="1"/>
  <c r="BZ86" i="12"/>
  <c r="BZ66" i="12"/>
  <c r="CA33" i="14"/>
  <c r="CA45" i="14" s="1"/>
  <c r="BU134" i="12"/>
  <c r="BP134" i="12"/>
  <c r="BP135" i="12" s="1"/>
  <c r="BP138" i="12" s="1"/>
  <c r="BZ57" i="14"/>
  <c r="BK142" i="12"/>
  <c r="BK137" i="12"/>
  <c r="V23" i="27"/>
  <c r="V24" i="27"/>
  <c r="AA32" i="27"/>
  <c r="BP136" i="12" l="1"/>
  <c r="BP142" i="12" s="1"/>
  <c r="BZ135" i="12"/>
  <c r="BU135" i="12"/>
  <c r="BZ92" i="12"/>
  <c r="BZ67" i="12"/>
  <c r="BZ89" i="12"/>
  <c r="BZ88" i="12"/>
  <c r="BP137" i="12" l="1"/>
  <c r="BZ98" i="12"/>
  <c r="BZ90" i="12"/>
  <c r="BZ95" i="12"/>
  <c r="BZ94" i="12"/>
  <c r="BZ99" i="12" l="1"/>
  <c r="AA23" i="27"/>
  <c r="BZ6" i="13"/>
  <c r="BZ100" i="12"/>
  <c r="BZ101" i="12" s="1"/>
  <c r="BZ96" i="12"/>
  <c r="BZ83" i="12"/>
  <c r="BZ84" i="12" s="1"/>
  <c r="AA24" i="27"/>
  <c r="BR7" i="12" l="1"/>
  <c r="BR34" i="12"/>
  <c r="BR6" i="12"/>
  <c r="BR125" i="12"/>
  <c r="BR126" i="12" s="1"/>
  <c r="BR129" i="12" l="1"/>
  <c r="BR130" i="12" s="1"/>
  <c r="BR127" i="12"/>
  <c r="BR144" i="12" l="1"/>
  <c r="BR131" i="12"/>
  <c r="BR14" i="12" l="1"/>
  <c r="BS17" i="12" s="1"/>
  <c r="BR17" i="12" l="1"/>
  <c r="BM14" i="12"/>
  <c r="BM19" i="12" s="1"/>
  <c r="BQ19" i="12" s="1"/>
  <c r="BW14" i="12"/>
  <c r="BR16" i="12" l="1"/>
  <c r="BW17" i="12"/>
  <c r="BR19" i="12"/>
  <c r="BS22" i="12" s="1"/>
  <c r="BX19" i="12"/>
  <c r="BR21" i="12" l="1"/>
  <c r="BR22" i="12"/>
  <c r="BW19" i="12"/>
  <c r="BW22" i="12" s="1"/>
  <c r="BV19" i="12"/>
  <c r="BV21" i="12" s="1"/>
  <c r="BR9" i="12"/>
  <c r="BR11" i="12" l="1"/>
  <c r="BR10" i="12"/>
  <c r="BR12" i="12"/>
  <c r="BS6" i="12" l="1"/>
  <c r="BS7" i="12"/>
  <c r="BS125" i="12"/>
  <c r="BS28" i="12"/>
  <c r="BT30" i="12" l="1"/>
  <c r="BS42" i="12"/>
  <c r="BS46" i="12"/>
  <c r="BS44" i="12"/>
  <c r="BS101" i="13"/>
  <c r="BS30" i="12"/>
  <c r="BS29" i="12"/>
  <c r="T21" i="27"/>
  <c r="BS116" i="12"/>
  <c r="BS126" i="12"/>
  <c r="BS35" i="12"/>
  <c r="T22" i="27"/>
  <c r="G7" i="15" l="1"/>
  <c r="G16" i="15" s="1"/>
  <c r="BS37" i="12"/>
  <c r="BS38" i="12" s="1"/>
  <c r="BS54" i="14"/>
  <c r="BS56" i="14"/>
  <c r="BS106" i="12" s="1"/>
  <c r="BS117" i="12" s="1"/>
  <c r="BS118" i="12" s="1"/>
  <c r="BI133" i="12"/>
  <c r="BS39" i="13"/>
  <c r="BS47" i="12"/>
  <c r="BS140" i="12"/>
  <c r="BS129" i="12"/>
  <c r="BS130" i="12" s="1"/>
  <c r="BS127" i="12"/>
  <c r="BS131" i="12" s="1"/>
  <c r="BS33" i="14"/>
  <c r="BS45" i="14" s="1"/>
  <c r="G8" i="15" l="1"/>
  <c r="BS119" i="12"/>
  <c r="BS120" i="12"/>
  <c r="G17" i="15"/>
  <c r="G27" i="15"/>
  <c r="G29" i="15" s="1"/>
  <c r="G35" i="15" s="1"/>
  <c r="G21" i="15"/>
  <c r="BS49" i="12"/>
  <c r="BS50" i="12" s="1"/>
  <c r="T31" i="27" s="1"/>
  <c r="BS144" i="12"/>
  <c r="BS58" i="14"/>
  <c r="BS57" i="14"/>
  <c r="BI134" i="12"/>
  <c r="BI135" i="12" s="1"/>
  <c r="T32" i="27"/>
  <c r="G22" i="15" l="1"/>
  <c r="G31" i="15"/>
  <c r="G33" i="15" s="1"/>
  <c r="G36" i="15" s="1"/>
  <c r="BS66" i="12"/>
  <c r="BS67" i="12" s="1"/>
  <c r="BS86" i="12"/>
  <c r="BS89" i="12" s="1"/>
  <c r="BI138" i="12"/>
  <c r="BI136" i="12"/>
  <c r="BS88" i="12" l="1"/>
  <c r="BS92" i="12"/>
  <c r="BS94" i="12" s="1"/>
  <c r="BI142" i="12"/>
  <c r="BI137" i="12"/>
  <c r="BS90" i="12"/>
  <c r="BS98" i="12"/>
  <c r="BS95" i="12" l="1"/>
  <c r="BS96" i="12" s="1"/>
  <c r="BS42" i="13"/>
  <c r="BS107" i="12" s="1"/>
  <c r="BS99" i="12"/>
  <c r="T23" i="27"/>
  <c r="T24" i="27"/>
  <c r="BS83" i="12" l="1"/>
  <c r="BS84" i="12" s="1"/>
  <c r="BS100" i="12"/>
  <c r="BS43" i="13"/>
  <c r="BS62" i="13"/>
  <c r="BS63" i="13" s="1"/>
  <c r="BS93" i="13"/>
  <c r="BS101" i="12"/>
  <c r="BS96" i="13" l="1"/>
  <c r="BS11" i="14" l="1"/>
  <c r="BS20" i="14" s="1"/>
  <c r="BT95" i="13"/>
  <c r="BS98" i="13"/>
  <c r="BS48" i="14" l="1"/>
  <c r="BS49" i="14" s="1"/>
  <c r="BS52" i="14" s="1"/>
  <c r="BQ14" i="12" l="1"/>
  <c r="BW9" i="12"/>
  <c r="BW5" i="12" s="1"/>
  <c r="BW7" i="12" l="1"/>
  <c r="BW15" i="12"/>
  <c r="BW20" i="12"/>
  <c r="BW6" i="12"/>
  <c r="BW125" i="12"/>
  <c r="BW33" i="12"/>
  <c r="BW28" i="12"/>
  <c r="BW10" i="12"/>
  <c r="BW25" i="12" s="1"/>
  <c r="BW11" i="12"/>
  <c r="BW12" i="12"/>
  <c r="X21" i="27" l="1"/>
  <c r="BW26" i="14"/>
  <c r="BW37" i="14"/>
  <c r="BW101" i="13"/>
  <c r="BW29" i="12"/>
  <c r="BW30" i="12"/>
  <c r="BW43" i="12"/>
  <c r="BW9" i="14"/>
  <c r="BW24" i="14"/>
  <c r="BW38" i="13" s="1"/>
  <c r="BW23" i="14"/>
  <c r="BW8" i="14"/>
  <c r="BW45" i="12"/>
  <c r="BW28" i="14"/>
  <c r="BW39" i="13" s="1"/>
  <c r="BW31" i="14"/>
  <c r="BW44" i="14"/>
  <c r="BW41" i="13" s="1"/>
  <c r="BW18" i="14"/>
  <c r="BW41" i="12"/>
  <c r="BW116" i="12"/>
  <c r="BW118" i="12" s="1"/>
  <c r="BW35" i="12"/>
  <c r="BW37" i="12" s="1"/>
  <c r="X22" i="27"/>
  <c r="BW38" i="12" l="1"/>
  <c r="BW36" i="13"/>
  <c r="BW34" i="13"/>
  <c r="BW56" i="14"/>
  <c r="BM133" i="12"/>
  <c r="BW40" i="13"/>
  <c r="BW54" i="14"/>
  <c r="BW33" i="13"/>
  <c r="BW119" i="12"/>
  <c r="BW33" i="14"/>
  <c r="BW45" i="14" s="1"/>
  <c r="BW37" i="13"/>
  <c r="BW47" i="12"/>
  <c r="BW49" i="12" s="1"/>
  <c r="BW50" i="12" l="1"/>
  <c r="X31" i="27" s="1"/>
  <c r="BW86" i="12"/>
  <c r="BW66" i="12"/>
  <c r="BM134" i="12"/>
  <c r="BM135" i="12" s="1"/>
  <c r="BR134" i="12"/>
  <c r="BW58" i="14"/>
  <c r="BW57" i="14"/>
  <c r="X32" i="27"/>
  <c r="BW67" i="12" l="1"/>
  <c r="BW92" i="12"/>
  <c r="BW89" i="12"/>
  <c r="BW88" i="12"/>
  <c r="BR135" i="12"/>
  <c r="BW135" i="12"/>
  <c r="BM136" i="12"/>
  <c r="BM138" i="12"/>
  <c r="BM142" i="12" l="1"/>
  <c r="BM137" i="12"/>
  <c r="BR136" i="12"/>
  <c r="BR138" i="12"/>
  <c r="BW94" i="12"/>
  <c r="BW95" i="12"/>
  <c r="BW90" i="12"/>
  <c r="BW98" i="12"/>
  <c r="BW83" i="12" l="1"/>
  <c r="BW84" i="12" s="1"/>
  <c r="BW96" i="12"/>
  <c r="BW100" i="12"/>
  <c r="BW101" i="12" s="1"/>
  <c r="BW6" i="13"/>
  <c r="BW42" i="13" s="1"/>
  <c r="BR142" i="12"/>
  <c r="BR137" i="12"/>
  <c r="X23" i="27"/>
  <c r="BW99" i="12"/>
  <c r="X24" i="27"/>
  <c r="BW43" i="13" l="1"/>
  <c r="BW62" i="13"/>
  <c r="BW63" i="13" s="1"/>
  <c r="BW93" i="13"/>
  <c r="BY22" i="12" l="1"/>
  <c r="CA19" i="12"/>
  <c r="CA21" i="12" s="1"/>
  <c r="BX22" i="12"/>
  <c r="BY14" i="12"/>
  <c r="BY9" i="12" s="1"/>
  <c r="BZ12" i="12" l="1"/>
  <c r="BY11" i="12"/>
  <c r="BZ17" i="12"/>
  <c r="BY5" i="12"/>
  <c r="BV5" i="12" l="1"/>
  <c r="BT125" i="12"/>
  <c r="BZ7" i="12"/>
  <c r="BY20" i="12"/>
  <c r="BY33" i="12"/>
  <c r="BY35" i="12" s="1"/>
  <c r="BY25" i="12"/>
  <c r="BY6" i="12"/>
  <c r="BY125" i="12"/>
  <c r="BY28" i="12"/>
  <c r="BY10" i="12"/>
  <c r="BY15" i="12"/>
  <c r="H6" i="29" l="1"/>
  <c r="I6" i="29" s="1"/>
  <c r="J6" i="29" s="1"/>
  <c r="H5" i="15"/>
  <c r="I5" i="15" s="1"/>
  <c r="L5" i="15"/>
  <c r="E5" i="15"/>
  <c r="F5" i="15" s="1"/>
  <c r="BU126" i="12"/>
  <c r="BT126" i="12"/>
  <c r="BW126" i="12"/>
  <c r="BV33" i="12"/>
  <c r="BV35" i="12" s="1"/>
  <c r="BY37" i="14"/>
  <c r="BY26" i="14"/>
  <c r="Z21" i="27"/>
  <c r="BZ30" i="12"/>
  <c r="BY45" i="12"/>
  <c r="BY101" i="13"/>
  <c r="BY29" i="12"/>
  <c r="BY41" i="12"/>
  <c r="BY23" i="14"/>
  <c r="BY18" i="14"/>
  <c r="BZ36" i="13" s="1"/>
  <c r="BY9" i="14"/>
  <c r="BZ34" i="13" s="1"/>
  <c r="BY24" i="14"/>
  <c r="BY44" i="14"/>
  <c r="BY28" i="14"/>
  <c r="BY43" i="12"/>
  <c r="BY116" i="12"/>
  <c r="BY118" i="12" s="1"/>
  <c r="BY31" i="14"/>
  <c r="BY37" i="12"/>
  <c r="BY8" i="14"/>
  <c r="BV6" i="12"/>
  <c r="BV28" i="12"/>
  <c r="BT101" i="13"/>
  <c r="U21" i="27"/>
  <c r="BT116" i="12"/>
  <c r="Z22" i="27"/>
  <c r="U22" i="27"/>
  <c r="D7" i="29" l="1"/>
  <c r="E7" i="29"/>
  <c r="L11" i="15"/>
  <c r="H11" i="15"/>
  <c r="I11" i="15" s="1"/>
  <c r="E11" i="15"/>
  <c r="F11" i="15" s="1"/>
  <c r="L6" i="15"/>
  <c r="E6" i="15"/>
  <c r="F6" i="15" s="1"/>
  <c r="H6" i="15"/>
  <c r="I6" i="15" s="1"/>
  <c r="K7" i="15"/>
  <c r="BV45" i="12"/>
  <c r="BV46" i="12" s="1"/>
  <c r="L12" i="15"/>
  <c r="H12" i="15"/>
  <c r="I12" i="15" s="1"/>
  <c r="E12" i="15"/>
  <c r="F12" i="15" s="1"/>
  <c r="BV34" i="12"/>
  <c r="BY47" i="12"/>
  <c r="BY49" i="12" s="1"/>
  <c r="BY38" i="12"/>
  <c r="BZ40" i="13"/>
  <c r="BY56" i="14"/>
  <c r="BO133" i="12"/>
  <c r="BY33" i="14"/>
  <c r="BY45" i="14" s="1"/>
  <c r="BZ37" i="13"/>
  <c r="BZ120" i="12"/>
  <c r="BV29" i="12"/>
  <c r="W21" i="27"/>
  <c r="BV37" i="12"/>
  <c r="BZ39" i="13"/>
  <c r="BV43" i="12"/>
  <c r="BV44" i="12" s="1"/>
  <c r="BT140" i="12"/>
  <c r="BU140" i="12"/>
  <c r="BW140" i="12"/>
  <c r="BV41" i="12"/>
  <c r="BZ41" i="13"/>
  <c r="BW127" i="12"/>
  <c r="BW131" i="12" s="1"/>
  <c r="BW136" i="12" s="1"/>
  <c r="BW137" i="12" s="1"/>
  <c r="BW138" i="12"/>
  <c r="BW129" i="12"/>
  <c r="BW130" i="12" s="1"/>
  <c r="BZ38" i="13"/>
  <c r="BT129" i="12"/>
  <c r="BT130" i="12" s="1"/>
  <c r="BT127" i="12"/>
  <c r="BT131" i="12" s="1"/>
  <c r="BT56" i="14"/>
  <c r="BT106" i="12" s="1"/>
  <c r="BJ133" i="12"/>
  <c r="BJ134" i="12" s="1"/>
  <c r="BJ135" i="12" s="1"/>
  <c r="BV40" i="13"/>
  <c r="BT54" i="14"/>
  <c r="BU54" i="14"/>
  <c r="BZ54" i="14"/>
  <c r="BZ33" i="13"/>
  <c r="BU129" i="12"/>
  <c r="BU130" i="12" s="1"/>
  <c r="BU138" i="12"/>
  <c r="BU127" i="12"/>
  <c r="BU131" i="12" s="1"/>
  <c r="BU136" i="12" s="1"/>
  <c r="BU137" i="12" s="1"/>
  <c r="W22" i="27"/>
  <c r="BU117" i="12" l="1"/>
  <c r="BU118" i="12" s="1"/>
  <c r="BT117" i="12"/>
  <c r="BT118" i="12" s="1"/>
  <c r="E13" i="15"/>
  <c r="F13" i="15" s="1"/>
  <c r="H13" i="15"/>
  <c r="I13" i="15" s="1"/>
  <c r="L13" i="15"/>
  <c r="E7" i="15"/>
  <c r="F7" i="15" s="1"/>
  <c r="K8" i="15"/>
  <c r="H7" i="15"/>
  <c r="I7" i="15" s="1"/>
  <c r="L7" i="15"/>
  <c r="K14" i="15"/>
  <c r="U31" i="27"/>
  <c r="BV38" i="13"/>
  <c r="BV41" i="13"/>
  <c r="BV37" i="13"/>
  <c r="BV39" i="13"/>
  <c r="BV33" i="13"/>
  <c r="BV34" i="13"/>
  <c r="BZ42" i="13"/>
  <c r="BZ93" i="13" s="1"/>
  <c r="BZ58" i="14"/>
  <c r="BY57" i="14"/>
  <c r="BJ138" i="12"/>
  <c r="BJ136" i="12"/>
  <c r="BV47" i="12"/>
  <c r="BV49" i="12" s="1"/>
  <c r="BV42" i="12"/>
  <c r="BV38" i="12"/>
  <c r="BO134" i="12"/>
  <c r="BO135" i="12" s="1"/>
  <c r="BT134" i="12"/>
  <c r="BT57" i="14"/>
  <c r="BU58" i="14"/>
  <c r="BT58" i="14"/>
  <c r="BW142" i="12"/>
  <c r="BW144" i="12"/>
  <c r="BU144" i="12"/>
  <c r="BU142" i="12"/>
  <c r="BY50" i="12"/>
  <c r="Z31" i="27" s="1"/>
  <c r="BY86" i="12"/>
  <c r="BY66" i="12"/>
  <c r="BV36" i="13"/>
  <c r="BT144" i="12"/>
  <c r="U32" i="27"/>
  <c r="Z32" i="27"/>
  <c r="BT119" i="12" l="1"/>
  <c r="BV118" i="12"/>
  <c r="BV119" i="12" s="1"/>
  <c r="BY119" i="12"/>
  <c r="BT120" i="12"/>
  <c r="BU119" i="12"/>
  <c r="BZ119" i="12"/>
  <c r="BW120" i="12"/>
  <c r="BU120" i="12"/>
  <c r="H14" i="15"/>
  <c r="I14" i="15" s="1"/>
  <c r="N14" i="15"/>
  <c r="E14" i="15"/>
  <c r="F14" i="15" s="1"/>
  <c r="L14" i="15"/>
  <c r="O14" i="15"/>
  <c r="K16" i="15"/>
  <c r="H8" i="15"/>
  <c r="E8" i="15"/>
  <c r="N8" i="15"/>
  <c r="BZ43" i="13"/>
  <c r="BZ62" i="13"/>
  <c r="BZ63" i="13" s="1"/>
  <c r="BV50" i="12"/>
  <c r="W31" i="27" s="1"/>
  <c r="BV86" i="12"/>
  <c r="BV66" i="12"/>
  <c r="BJ137" i="12"/>
  <c r="BJ142" i="12"/>
  <c r="BY67" i="12"/>
  <c r="BY92" i="12"/>
  <c r="BY88" i="12"/>
  <c r="BY89" i="12"/>
  <c r="BT135" i="12"/>
  <c r="BY135" i="12"/>
  <c r="BO136" i="12"/>
  <c r="BO138" i="12"/>
  <c r="W32" i="27"/>
  <c r="E16" i="15" l="1"/>
  <c r="F16" i="15" s="1"/>
  <c r="K17" i="15"/>
  <c r="H16" i="15"/>
  <c r="I16" i="15" s="1"/>
  <c r="L16" i="15"/>
  <c r="K21" i="15"/>
  <c r="K27" i="15"/>
  <c r="BT138" i="12"/>
  <c r="BT136" i="12"/>
  <c r="BY90" i="12"/>
  <c r="BY98" i="12"/>
  <c r="BY94" i="12"/>
  <c r="BY95" i="12"/>
  <c r="BV67" i="12"/>
  <c r="BV92" i="12"/>
  <c r="BO137" i="12"/>
  <c r="BO142" i="12"/>
  <c r="BV88" i="12"/>
  <c r="BV89" i="12"/>
  <c r="L27" i="15" l="1"/>
  <c r="K29" i="15"/>
  <c r="H27" i="15"/>
  <c r="I27" i="15" s="1"/>
  <c r="E27" i="15"/>
  <c r="F27" i="15" s="1"/>
  <c r="H17" i="15"/>
  <c r="E17" i="15"/>
  <c r="K31" i="15"/>
  <c r="E21" i="15"/>
  <c r="F21" i="15" s="1"/>
  <c r="L21" i="15"/>
  <c r="H21" i="15"/>
  <c r="I21" i="15" s="1"/>
  <c r="K22" i="15"/>
  <c r="BY96" i="12"/>
  <c r="BY83" i="12"/>
  <c r="BY84" i="12" s="1"/>
  <c r="BY100" i="12"/>
  <c r="BY6" i="13"/>
  <c r="BT107" i="12"/>
  <c r="BV90" i="12"/>
  <c r="BV98" i="12"/>
  <c r="U23" i="27"/>
  <c r="BV94" i="12"/>
  <c r="BV95" i="12"/>
  <c r="BT137" i="12"/>
  <c r="BT142" i="12"/>
  <c r="Z23" i="27"/>
  <c r="BY99" i="12"/>
  <c r="U24" i="27"/>
  <c r="Z24" i="27"/>
  <c r="E22" i="15" l="1"/>
  <c r="H22" i="15"/>
  <c r="K33" i="15"/>
  <c r="E31" i="15"/>
  <c r="F31" i="15" s="1"/>
  <c r="H31" i="15"/>
  <c r="I31" i="15" s="1"/>
  <c r="L31" i="15"/>
  <c r="K35" i="15"/>
  <c r="L29" i="15"/>
  <c r="H29" i="15"/>
  <c r="I29" i="15" s="1"/>
  <c r="E29" i="15"/>
  <c r="F29" i="15" s="1"/>
  <c r="BY101" i="12"/>
  <c r="BV83" i="12"/>
  <c r="BV84" i="12" s="1"/>
  <c r="BV96" i="12"/>
  <c r="BV6" i="13"/>
  <c r="BV42" i="13" s="1"/>
  <c r="BV100" i="12"/>
  <c r="BV101" i="12" s="1"/>
  <c r="W23" i="27"/>
  <c r="BV99" i="12"/>
  <c r="W24" i="27"/>
  <c r="H35" i="15" l="1"/>
  <c r="I35" i="15" s="1"/>
  <c r="H8" i="29"/>
  <c r="I8" i="29" s="1"/>
  <c r="J8" i="29" s="1"/>
  <c r="E35" i="15"/>
  <c r="F35" i="15" s="1"/>
  <c r="L35" i="15"/>
  <c r="L33" i="15"/>
  <c r="E33" i="15"/>
  <c r="F33" i="15" s="1"/>
  <c r="H33" i="15"/>
  <c r="I33" i="15" s="1"/>
  <c r="K36" i="15"/>
  <c r="BV43" i="13"/>
  <c r="BV93" i="13"/>
  <c r="BV96" i="13" s="1"/>
  <c r="BV62" i="13"/>
  <c r="BV63" i="13" s="1"/>
  <c r="BT96" i="13"/>
  <c r="BU95" i="13" s="1"/>
  <c r="BU96" i="13" s="1"/>
  <c r="E36" i="15" l="1"/>
  <c r="H36" i="15"/>
  <c r="BT98" i="13"/>
  <c r="CA95" i="13"/>
  <c r="BT48" i="14" l="1"/>
  <c r="BT49" i="14" s="1"/>
  <c r="BT52" i="14" s="1"/>
  <c r="BV6" i="14"/>
  <c r="BU98" i="13"/>
  <c r="BW95" i="13"/>
  <c r="BW96" i="13" s="1"/>
  <c r="BW6" i="14" l="1"/>
  <c r="BW98" i="13" s="1"/>
  <c r="BV98" i="13"/>
  <c r="BX95" i="13"/>
  <c r="BV11" i="14"/>
  <c r="BV20" i="14" s="1"/>
  <c r="BW11" i="14" l="1"/>
  <c r="BW20" i="14" s="1"/>
  <c r="BV48" i="14" l="1"/>
  <c r="BW48" i="14"/>
  <c r="BW49" i="14" s="1"/>
  <c r="BW52" i="14" s="1"/>
  <c r="BV49" i="14" l="1"/>
  <c r="BV52" i="14" s="1"/>
  <c r="BU52" i="14"/>
  <c r="BV14" i="12"/>
  <c r="BS9" i="12"/>
  <c r="BV9" i="12"/>
  <c r="BV11" i="12" s="1"/>
  <c r="BS10" i="12" l="1"/>
  <c r="BT12" i="12"/>
  <c r="BS11" i="12"/>
  <c r="BS12" i="12"/>
  <c r="BX14" i="12"/>
  <c r="BX9" i="12" s="1"/>
  <c r="BY12" i="12" l="1"/>
  <c r="BX11" i="12"/>
  <c r="CA9" i="12"/>
  <c r="CA11" i="12" s="1"/>
  <c r="BX12" i="12"/>
  <c r="BX5" i="12"/>
  <c r="BX15" i="12" s="1"/>
  <c r="BY17" i="12"/>
  <c r="CA14" i="12"/>
  <c r="CA16" i="12" s="1"/>
  <c r="BX17" i="12"/>
  <c r="BX33" i="12" l="1"/>
  <c r="BY7" i="12"/>
  <c r="BX7" i="12"/>
  <c r="BX25" i="12"/>
  <c r="BX20" i="12"/>
  <c r="BX6" i="12"/>
  <c r="BX125" i="12"/>
  <c r="BX28" i="12"/>
  <c r="CA5" i="12"/>
  <c r="BX10" i="12"/>
  <c r="BZ126" i="12" l="1"/>
  <c r="BX126" i="12"/>
  <c r="BY126" i="12"/>
  <c r="BX29" i="12"/>
  <c r="BX45" i="12"/>
  <c r="CA45" i="12" s="1"/>
  <c r="BY30" i="12"/>
  <c r="BX30" i="12"/>
  <c r="BX101" i="13"/>
  <c r="Y21" i="27"/>
  <c r="BX37" i="14"/>
  <c r="BX26" i="14"/>
  <c r="BX28" i="14"/>
  <c r="BX116" i="12"/>
  <c r="BX118" i="12" s="1"/>
  <c r="BX44" i="14"/>
  <c r="BX24" i="14"/>
  <c r="BX23" i="14"/>
  <c r="BX41" i="12"/>
  <c r="BX18" i="14"/>
  <c r="BX43" i="12"/>
  <c r="BX9" i="14"/>
  <c r="BX31" i="14"/>
  <c r="BX8" i="14"/>
  <c r="CA6" i="12"/>
  <c r="CA28" i="12"/>
  <c r="BX35" i="12"/>
  <c r="BX37" i="12" s="1"/>
  <c r="CA33" i="12"/>
  <c r="CA35" i="12" s="1"/>
  <c r="Y22" i="27"/>
  <c r="CA46" i="12" l="1"/>
  <c r="BX38" i="13"/>
  <c r="BY38" i="13"/>
  <c r="BX33" i="14"/>
  <c r="BX45" i="14" s="1"/>
  <c r="BY37" i="13"/>
  <c r="BX37" i="13"/>
  <c r="BX120" i="12"/>
  <c r="CA118" i="12"/>
  <c r="CA119" i="12" s="1"/>
  <c r="BY120" i="12"/>
  <c r="BX119" i="12"/>
  <c r="BY34" i="13"/>
  <c r="BX34" i="13"/>
  <c r="CA34" i="13" s="1"/>
  <c r="BX39" i="13"/>
  <c r="BY39" i="13"/>
  <c r="BX54" i="14"/>
  <c r="BY54" i="14"/>
  <c r="BX33" i="13"/>
  <c r="BY33" i="13"/>
  <c r="BX41" i="13"/>
  <c r="BY41" i="13"/>
  <c r="CA43" i="12"/>
  <c r="CA44" i="12" s="1"/>
  <c r="BZ140" i="12"/>
  <c r="BY140" i="12"/>
  <c r="BX140" i="12"/>
  <c r="BY138" i="12"/>
  <c r="BY129" i="12"/>
  <c r="BY130" i="12" s="1"/>
  <c r="BY127" i="12"/>
  <c r="BY131" i="12" s="1"/>
  <c r="BY136" i="12" s="1"/>
  <c r="BY137" i="12" s="1"/>
  <c r="BX38" i="12"/>
  <c r="BY40" i="13"/>
  <c r="BX40" i="13"/>
  <c r="BX56" i="14"/>
  <c r="BN133" i="12"/>
  <c r="CA29" i="12"/>
  <c r="AB21" i="27"/>
  <c r="CA37" i="12"/>
  <c r="BY36" i="13"/>
  <c r="BX36" i="13"/>
  <c r="BX127" i="12"/>
  <c r="BX131" i="12" s="1"/>
  <c r="BX129" i="12"/>
  <c r="BX130" i="12" s="1"/>
  <c r="CA34" i="12"/>
  <c r="BX47" i="12"/>
  <c r="BX49" i="12" s="1"/>
  <c r="CA41" i="12"/>
  <c r="BZ127" i="12"/>
  <c r="BZ131" i="12" s="1"/>
  <c r="BZ136" i="12" s="1"/>
  <c r="BZ137" i="12" s="1"/>
  <c r="BZ138" i="12"/>
  <c r="BZ129" i="12"/>
  <c r="BZ130" i="12" s="1"/>
  <c r="AB22" i="27"/>
  <c r="CA37" i="13" l="1"/>
  <c r="CA36" i="13"/>
  <c r="CA33" i="13"/>
  <c r="CA40" i="13"/>
  <c r="CA38" i="13"/>
  <c r="BX50" i="12"/>
  <c r="Y31" i="27" s="1"/>
  <c r="BX86" i="12"/>
  <c r="BX66" i="12"/>
  <c r="BX58" i="14"/>
  <c r="BY58" i="14"/>
  <c r="BX57" i="14"/>
  <c r="BY142" i="12"/>
  <c r="BY144" i="12"/>
  <c r="BX144" i="12"/>
  <c r="BZ142" i="12"/>
  <c r="BZ144" i="12"/>
  <c r="CA38" i="12"/>
  <c r="CA39" i="13"/>
  <c r="CA41" i="13"/>
  <c r="CA47" i="12"/>
  <c r="CA49" i="12" s="1"/>
  <c r="CA42" i="12"/>
  <c r="BN134" i="12"/>
  <c r="BN135" i="12" s="1"/>
  <c r="BS134" i="12"/>
  <c r="BY42" i="13"/>
  <c r="Y32" i="27"/>
  <c r="BS135" i="12" l="1"/>
  <c r="BX135" i="12"/>
  <c r="BN138" i="12"/>
  <c r="BN136" i="12"/>
  <c r="BX67" i="12"/>
  <c r="BX92" i="12"/>
  <c r="CA50" i="12"/>
  <c r="AB31" i="27" s="1"/>
  <c r="CA86" i="12"/>
  <c r="CA66" i="12"/>
  <c r="BX88" i="12"/>
  <c r="BX89" i="12"/>
  <c r="BY43" i="13"/>
  <c r="BY62" i="13"/>
  <c r="BY63" i="13" s="1"/>
  <c r="BY93" i="13"/>
  <c r="AB32" i="27"/>
  <c r="BX90" i="12" l="1"/>
  <c r="BX98" i="12"/>
  <c r="BX138" i="12"/>
  <c r="BX136" i="12"/>
  <c r="CA88" i="12"/>
  <c r="CA89" i="12"/>
  <c r="BX94" i="12"/>
  <c r="BX95" i="12"/>
  <c r="BN137" i="12"/>
  <c r="BN142" i="12"/>
  <c r="CA67" i="12"/>
  <c r="CA92" i="12"/>
  <c r="BS138" i="12"/>
  <c r="BS136" i="12"/>
  <c r="BS137" i="12" l="1"/>
  <c r="BS142" i="12"/>
  <c r="Y23" i="27"/>
  <c r="BX99" i="12"/>
  <c r="CA90" i="12"/>
  <c r="CA98" i="12"/>
  <c r="CA94" i="12"/>
  <c r="CA95" i="12"/>
  <c r="BX137" i="12"/>
  <c r="BX142" i="12"/>
  <c r="BX83" i="12"/>
  <c r="BX84" i="12" s="1"/>
  <c r="BX96" i="12"/>
  <c r="BX100" i="12"/>
  <c r="BX101" i="12" s="1"/>
  <c r="BX6" i="13"/>
  <c r="BX42" i="13" s="1"/>
  <c r="Y24" i="27"/>
  <c r="CA99" i="12" l="1"/>
  <c r="AB23" i="27"/>
  <c r="BX43" i="13"/>
  <c r="BX62" i="13"/>
  <c r="BX63" i="13" s="1"/>
  <c r="BX93" i="13"/>
  <c r="CA100" i="12"/>
  <c r="CA101" i="12" s="1"/>
  <c r="CA96" i="12"/>
  <c r="CA83" i="12"/>
  <c r="CA84" i="12" s="1"/>
  <c r="CA6" i="13"/>
  <c r="CA42" i="13" s="1"/>
  <c r="AB24" i="27"/>
  <c r="BX6" i="14" l="1"/>
  <c r="BX96" i="13"/>
  <c r="CA43" i="13"/>
  <c r="CA62" i="13"/>
  <c r="CA63" i="13" s="1"/>
  <c r="CA93" i="13"/>
  <c r="CA96" i="13" s="1"/>
  <c r="BY95" i="13" l="1"/>
  <c r="BY96" i="13" s="1"/>
  <c r="BX98" i="13"/>
  <c r="BY6" i="14"/>
  <c r="BX11" i="14"/>
  <c r="BX20" i="14" s="1"/>
  <c r="BX48" i="14" l="1"/>
  <c r="BX49" i="14" s="1"/>
  <c r="BX52" i="14" s="1"/>
  <c r="BZ95" i="13"/>
  <c r="BZ96" i="13" s="1"/>
  <c r="BY98" i="13"/>
  <c r="BZ6" i="14"/>
  <c r="BY11" i="14"/>
  <c r="BY20" i="14" s="1"/>
  <c r="BY48" i="14" l="1"/>
  <c r="BY49" i="14" s="1"/>
  <c r="BY52" i="14" s="1"/>
  <c r="BZ98" i="13"/>
  <c r="CA6" i="14"/>
  <c r="CA98" i="13" s="1"/>
  <c r="BZ11" i="14"/>
  <c r="CA11" i="14" l="1"/>
  <c r="CA20" i="14" s="1"/>
  <c r="BZ20" i="14"/>
  <c r="BZ48" i="14" l="1"/>
  <c r="BZ49" i="14" l="1"/>
  <c r="CA48" i="14"/>
  <c r="CA49" i="14" l="1"/>
  <c r="CA52" i="14" s="1"/>
  <c r="BZ5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Metcalfe, Lukas</author>
  </authors>
  <commentList>
    <comment ref="A1" authorId="0" shapeId="0" xr:uid="{5B18B72D-95F9-44CC-9523-6099C2CCE5C2}">
      <text>
        <r>
          <rPr>
            <b/>
            <sz val="9"/>
            <color indexed="81"/>
            <rFont val="Tahoma"/>
            <charset val="1"/>
          </rPr>
          <t>&lt;?xml version="1.0" encoding="utf-8"?&gt;&lt;Schema xmlns:xsd="http://www.w3.org/2001/XMLSchema" xmlns:xsi="http://www.w3.org/2001/XMLSchema-instance" Version="2" Timestamp="1762474722"&gt;&lt;FQL&gt;&lt;Q&gt;FIVN^P_PRICE(NOW)&lt;/Q&gt;&lt;R&gt;1&lt;/R&gt;&lt;C&gt;1&lt;/C&gt;&lt;D xsi:type="xsd:double"&gt;104.14&lt;/D&gt;&lt;/FQL&gt;&lt;/Schema&gt;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Godin, John</author>
    <author>Berg, Scott</author>
  </authors>
  <commentList>
    <comment ref="AX59" authorId="0" shapeId="0" xr:uid="{00000000-0006-0000-0100-000001000000}">
      <text>
        <r>
          <rPr>
            <b/>
            <sz val="10"/>
            <color indexed="81"/>
            <rFont val="Tahoma"/>
            <family val="2"/>
          </rPr>
          <t>Godin, John:</t>
        </r>
        <r>
          <rPr>
            <sz val="10"/>
            <color indexed="81"/>
            <rFont val="Tahoma"/>
            <family val="2"/>
          </rPr>
          <t xml:space="preserve">
acq related transaction costs and one time intergration cost + contingent consideration expense</t>
        </r>
      </text>
    </comment>
    <comment ref="AY59" authorId="0" shapeId="0" xr:uid="{00000000-0006-0000-0100-000002000000}">
      <text>
        <r>
          <rPr>
            <b/>
            <sz val="10"/>
            <color indexed="81"/>
            <rFont val="Tahoma"/>
            <family val="2"/>
          </rPr>
          <t>Godin, John:</t>
        </r>
        <r>
          <rPr>
            <sz val="10"/>
            <color indexed="81"/>
            <rFont val="Tahoma"/>
            <family val="2"/>
          </rPr>
          <t xml:space="preserve">
Acquisition-related transaction costs and one-time integration costs </t>
        </r>
      </text>
    </comment>
    <comment ref="AZ59" authorId="0" shapeId="0" xr:uid="{9A877C7B-B97B-46D3-B925-4D344C3D00C9}">
      <text>
        <r>
          <rPr>
            <b/>
            <sz val="9"/>
            <color indexed="81"/>
            <rFont val="Tahoma"/>
            <family val="2"/>
          </rPr>
          <t>Godin, John:</t>
        </r>
        <r>
          <rPr>
            <sz val="9"/>
            <color indexed="81"/>
            <rFont val="Tahoma"/>
            <family val="2"/>
          </rPr>
          <t xml:space="preserve">
acquisition related costs and contingnt consideration exp
</t>
        </r>
      </text>
    </comment>
    <comment ref="AT73" authorId="1" shapeId="0" xr:uid="{00000000-0006-0000-0100-000003000000}">
      <text>
        <r>
          <rPr>
            <b/>
            <sz val="9"/>
            <color indexed="81"/>
            <rFont val="Tahoma"/>
            <family val="2"/>
          </rPr>
          <t>Berg, Scott:</t>
        </r>
        <r>
          <rPr>
            <sz val="9"/>
            <color indexed="81"/>
            <rFont val="Tahoma"/>
            <family val="2"/>
          </rPr>
          <t xml:space="preserve">
Loss on early extinguishment of debt. Not in NG model</t>
        </r>
      </text>
    </comment>
  </commentList>
</comments>
</file>

<file path=xl/sharedStrings.xml><?xml version="1.0" encoding="utf-8"?>
<sst xmlns="http://schemas.openxmlformats.org/spreadsheetml/2006/main" count="852" uniqueCount="541">
  <si>
    <t>2014E</t>
  </si>
  <si>
    <t>Total Revenues</t>
  </si>
  <si>
    <t>GAAP Operating Income</t>
  </si>
  <si>
    <t>GAAP Net Income</t>
  </si>
  <si>
    <t>GAAP EPS</t>
  </si>
  <si>
    <t>Adjusted EBITDA</t>
  </si>
  <si>
    <t>FCF</t>
  </si>
  <si>
    <t>Total Current Assets</t>
  </si>
  <si>
    <t>Goodwill</t>
  </si>
  <si>
    <t>Total Assets</t>
  </si>
  <si>
    <t>Total Current Liabilities</t>
  </si>
  <si>
    <t>Total Liabilities</t>
  </si>
  <si>
    <t>Revenues</t>
  </si>
  <si>
    <t>Net change in cash &amp; cash equivalents</t>
  </si>
  <si>
    <t>Q2</t>
  </si>
  <si>
    <t>EPS</t>
  </si>
  <si>
    <t>Net Margin</t>
  </si>
  <si>
    <t>2015E</t>
  </si>
  <si>
    <t>R&amp;D</t>
  </si>
  <si>
    <t>G&amp;A</t>
  </si>
  <si>
    <t>Cash</t>
  </si>
  <si>
    <t>($000s)</t>
  </si>
  <si>
    <t>2016E</t>
  </si>
  <si>
    <t>2017E</t>
  </si>
  <si>
    <t>2018E</t>
  </si>
  <si>
    <t>Historical Metrics</t>
  </si>
  <si>
    <t>3 Yr</t>
  </si>
  <si>
    <t>Rev growth (yoy)</t>
  </si>
  <si>
    <t>Rev growth rate</t>
  </si>
  <si>
    <t>CF yield</t>
  </si>
  <si>
    <t>CF Ops</t>
  </si>
  <si>
    <t>FCF yield</t>
  </si>
  <si>
    <t>Op Margin</t>
  </si>
  <si>
    <t>CapEx</t>
  </si>
  <si>
    <t>CapEx (% sales)</t>
  </si>
  <si>
    <t>Historical Data</t>
  </si>
  <si>
    <t>Discount Period</t>
  </si>
  <si>
    <t>DCF</t>
  </si>
  <si>
    <t>Op Income</t>
  </si>
  <si>
    <t>Op margin</t>
  </si>
  <si>
    <t>Net Income</t>
  </si>
  <si>
    <t># shares</t>
  </si>
  <si>
    <t># Shares</t>
  </si>
  <si>
    <t>Valuation w/ Discounted Terminal Val</t>
  </si>
  <si>
    <t>EV/Rev</t>
  </si>
  <si>
    <t>EV/Earnings</t>
  </si>
  <si>
    <t>EV/FCF</t>
  </si>
  <si>
    <t>Sum of FCFs</t>
  </si>
  <si>
    <t>Terminal Value (discounted)</t>
  </si>
  <si>
    <t>Value (w/ terminal discount)</t>
  </si>
  <si>
    <t xml:space="preserve">Share Price </t>
  </si>
  <si>
    <t>Multiple (w/ discount)</t>
  </si>
  <si>
    <t>Valuation w/o TV Discount</t>
  </si>
  <si>
    <t>Terminal Value (ex-discount)</t>
  </si>
  <si>
    <t>Value</t>
  </si>
  <si>
    <t>Growth Rate</t>
  </si>
  <si>
    <t>Discount Rate</t>
  </si>
  <si>
    <t>Revenue</t>
  </si>
  <si>
    <t>% change q/q</t>
  </si>
  <si>
    <t>% change y/y</t>
  </si>
  <si>
    <t>Billings</t>
  </si>
  <si>
    <t xml:space="preserve">  Change In Deferred Revenue</t>
  </si>
  <si>
    <t>3Q15</t>
  </si>
  <si>
    <t>2Q15</t>
  </si>
  <si>
    <t>1Q15</t>
  </si>
  <si>
    <t>4Q14</t>
  </si>
  <si>
    <t>3Q14</t>
  </si>
  <si>
    <t>2Q14</t>
  </si>
  <si>
    <t>1Q14</t>
  </si>
  <si>
    <t>$ in thousands, except per share data</t>
  </si>
  <si>
    <t>763.350.4027</t>
  </si>
  <si>
    <t>Source: Company Reports and Needham &amp; Company, LLC Estimates</t>
  </si>
  <si>
    <t>Scott Berg, sberg@needhamco.com</t>
  </si>
  <si>
    <t>Cash/Share</t>
  </si>
  <si>
    <t>Net Cash</t>
  </si>
  <si>
    <t>Cash Flow-Operating</t>
  </si>
  <si>
    <t>Deferred Revenue</t>
  </si>
  <si>
    <t>Diluted Shares Outstanding</t>
  </si>
  <si>
    <t>Basic Shares Outstanding</t>
  </si>
  <si>
    <t>Y/Y Growth %</t>
  </si>
  <si>
    <t>Non-GAAP EPS</t>
  </si>
  <si>
    <t>GAAP Net Margin</t>
  </si>
  <si>
    <t>Tax Rate %</t>
  </si>
  <si>
    <t>Income Tax</t>
  </si>
  <si>
    <t>GAAP Pre-Tax Income</t>
  </si>
  <si>
    <t>Non-GAAP Net Margin</t>
  </si>
  <si>
    <t>Non-GAAP Net Income (Loss)</t>
  </si>
  <si>
    <t>Non-GAAP Pre-Tax Income</t>
  </si>
  <si>
    <t>EBITDA Margins</t>
  </si>
  <si>
    <t>Other Income (Expense)</t>
  </si>
  <si>
    <t>Interest expense</t>
  </si>
  <si>
    <t>GAAP Operating Margin</t>
  </si>
  <si>
    <t>Total GAAP and non-cash adjustments</t>
  </si>
  <si>
    <t xml:space="preserve">Stock base compensation </t>
  </si>
  <si>
    <t>GAAP Adjustments</t>
  </si>
  <si>
    <t>Non-GAAP Operating Margin</t>
  </si>
  <si>
    <t>Non-GAAP Operating Income</t>
  </si>
  <si>
    <t>Total Operating Expense</t>
  </si>
  <si>
    <t>% of Revenue</t>
  </si>
  <si>
    <t>Research &amp; Development</t>
  </si>
  <si>
    <t>Operating Expenses</t>
  </si>
  <si>
    <t>Gross Profit</t>
  </si>
  <si>
    <t>Total Cost of Revenues</t>
  </si>
  <si>
    <t>Gross Margins</t>
  </si>
  <si>
    <t>Cost of Revenue</t>
  </si>
  <si>
    <t>Q/Q Growth</t>
  </si>
  <si>
    <t>Y/Y Growth</t>
  </si>
  <si>
    <t>4Q13</t>
  </si>
  <si>
    <t>3Q13</t>
  </si>
  <si>
    <t>2Q13</t>
  </si>
  <si>
    <t>1Q13</t>
  </si>
  <si>
    <t>Income Statement</t>
  </si>
  <si>
    <t>Depreciation as a % of PPE</t>
  </si>
  <si>
    <t>Ending cash &amp; cash equivalents</t>
  </si>
  <si>
    <t>Beginning cash &amp; cash equivalents</t>
  </si>
  <si>
    <t>Effect of foreign currency exchange rate changes</t>
  </si>
  <si>
    <t>Cash used in Financing Activites</t>
  </si>
  <si>
    <t>Financing Activities</t>
  </si>
  <si>
    <t xml:space="preserve">FCF Margin </t>
  </si>
  <si>
    <t>Free Cash Flow</t>
  </si>
  <si>
    <t>Cash Used in Investing Activites</t>
  </si>
  <si>
    <t>Investing Activites</t>
  </si>
  <si>
    <t>Cash Flow from Operating Activites</t>
  </si>
  <si>
    <t xml:space="preserve">     Amortization</t>
  </si>
  <si>
    <t xml:space="preserve">    Depreciation</t>
  </si>
  <si>
    <t>D &amp; A</t>
  </si>
  <si>
    <t>Adjustments to reconcile net cash</t>
  </si>
  <si>
    <t>Operating Activities</t>
  </si>
  <si>
    <t>Statement of Cash Flows</t>
  </si>
  <si>
    <t>Assets:</t>
  </si>
  <si>
    <t>Accounts Receivable</t>
  </si>
  <si>
    <t xml:space="preserve">Prepaid expenses &amp; other </t>
  </si>
  <si>
    <t>Other Assets</t>
  </si>
  <si>
    <t>Liabilities:</t>
  </si>
  <si>
    <t xml:space="preserve">Deferred Revenue </t>
  </si>
  <si>
    <t xml:space="preserve">Other Noncurrent Liabilities </t>
  </si>
  <si>
    <t>Shareholders Equity:</t>
  </si>
  <si>
    <t>Total Shareholder Equity</t>
  </si>
  <si>
    <t>Total Liabilities &amp; Shareholders Equity</t>
  </si>
  <si>
    <t>check</t>
  </si>
  <si>
    <t>DSO</t>
  </si>
  <si>
    <t>Deferred Revs</t>
  </si>
  <si>
    <t>% y/y change</t>
  </si>
  <si>
    <t>% q/q change</t>
  </si>
  <si>
    <t xml:space="preserve">Drivers of Revenue % - Assets </t>
  </si>
  <si>
    <t xml:space="preserve">Drivers of Revenue % - Liabilities </t>
  </si>
  <si>
    <t>Variance Analysis</t>
  </si>
  <si>
    <t>Total Operating Expenses</t>
  </si>
  <si>
    <t>Non-GAAP Operating Margins</t>
  </si>
  <si>
    <t>GAAP &amp; Non-cash charges</t>
  </si>
  <si>
    <t>GAAP Operating Margins</t>
  </si>
  <si>
    <t xml:space="preserve">Non-GAAP Income before Taxes </t>
  </si>
  <si>
    <t>Non-GAAP Net Income</t>
  </si>
  <si>
    <t xml:space="preserve">GAAP Income before Taxes </t>
  </si>
  <si>
    <t>Source: Company reports and Needham &amp; Co estimates</t>
  </si>
  <si>
    <t>OCF Margins</t>
  </si>
  <si>
    <t>4Q15</t>
  </si>
  <si>
    <t>2014 Billings</t>
  </si>
  <si>
    <t>2015 Billings</t>
  </si>
  <si>
    <t>2016 Billings</t>
  </si>
  <si>
    <t>LTM Subscription Revenue</t>
  </si>
  <si>
    <t>Y/Y Change in LTM Revenes</t>
  </si>
  <si>
    <t>Retention Rate</t>
  </si>
  <si>
    <t>Revenue Retention</t>
  </si>
  <si>
    <t>NTM Gross New Revenue Churn</t>
  </si>
  <si>
    <t>Short Term Deferred Revenue</t>
  </si>
  <si>
    <t>LTM S&amp;M</t>
  </si>
  <si>
    <t>Net Gross New Rev</t>
  </si>
  <si>
    <t>Gross New Billings</t>
  </si>
  <si>
    <t>Net New Billings</t>
  </si>
  <si>
    <t>Change in Y/Y Short Term Deferred</t>
  </si>
  <si>
    <t>Y/Y Change Short Term Deferred Rev</t>
  </si>
  <si>
    <t>Revenue Run Off</t>
  </si>
  <si>
    <t>Billings Ratio</t>
  </si>
  <si>
    <t>Amortization of intangibles</t>
  </si>
  <si>
    <t>Sales and Marketing</t>
  </si>
  <si>
    <t>Interest income</t>
  </si>
  <si>
    <t>Accrued Liabilities</t>
  </si>
  <si>
    <t xml:space="preserve">Other </t>
  </si>
  <si>
    <t>1Q16</t>
  </si>
  <si>
    <t>2Q16</t>
  </si>
  <si>
    <t>Accounts Payable</t>
  </si>
  <si>
    <t>Change in fari value of convertible preferred</t>
  </si>
  <si>
    <t xml:space="preserve">Net change in working capital </t>
  </si>
  <si>
    <t>4Q12</t>
  </si>
  <si>
    <t>3Q12</t>
  </si>
  <si>
    <t>2Q12</t>
  </si>
  <si>
    <t>1Q12</t>
  </si>
  <si>
    <t>Five9, Inc (Nasdaq: FIVN)</t>
  </si>
  <si>
    <t>Cash and Equivalents</t>
  </si>
  <si>
    <t>Short-Term Investments</t>
  </si>
  <si>
    <t>Accounts Rec, Net</t>
  </si>
  <si>
    <t>Prepaid expenses and other current</t>
  </si>
  <si>
    <t>PPE, net</t>
  </si>
  <si>
    <t>Intangible assets, Net</t>
  </si>
  <si>
    <t>Accounts payable</t>
  </si>
  <si>
    <t>Accrued and other current liabilities</t>
  </si>
  <si>
    <t>Accrued federal fees - current portion</t>
  </si>
  <si>
    <t>Revolving Line of Credit</t>
  </si>
  <si>
    <t>Sales tax liability</t>
  </si>
  <si>
    <t>Notes Payable - current portion</t>
  </si>
  <si>
    <t>Capital Lease - current portion</t>
  </si>
  <si>
    <t>Deferred revenue</t>
  </si>
  <si>
    <t>Accrued federal fees – Less current portion</t>
  </si>
  <si>
    <t>Notes Payable - Less current portion</t>
  </si>
  <si>
    <t>FSC Debt - Less current portion</t>
  </si>
  <si>
    <t>CNB Debt- Less current portion</t>
  </si>
  <si>
    <t>Capital leases – Less current portion</t>
  </si>
  <si>
    <t>Convertible preferred stock warrant liability</t>
  </si>
  <si>
    <t>Other long-term liabilities</t>
  </si>
  <si>
    <t xml:space="preserve">Provision for doubtful accounts </t>
  </si>
  <si>
    <t>Stock-based compensation</t>
  </si>
  <si>
    <t>Loss on disposal of property and equipment</t>
  </si>
  <si>
    <t>Noncash interest expense</t>
  </si>
  <si>
    <t>Changes in value of preferred warrants</t>
  </si>
  <si>
    <t>Accretion discounts on short term investments</t>
  </si>
  <si>
    <t>Prepaid Expenses and other current assets</t>
  </si>
  <si>
    <t>Other assets</t>
  </si>
  <si>
    <t>Accrued and Other Current Liabilities</t>
  </si>
  <si>
    <t>Accrued federal fees and sales tax liability</t>
  </si>
  <si>
    <t>Other liabilities</t>
  </si>
  <si>
    <t>Cash restricted for financing activities</t>
  </si>
  <si>
    <t>Proceeds from sale of short-term investments</t>
  </si>
  <si>
    <t>Cash paid in acquisition of Face It</t>
  </si>
  <si>
    <t xml:space="preserve">Net proceeds from the issuance of convertible preferred stock </t>
  </si>
  <si>
    <t>Conversion of preferred to common stock and APIC</t>
  </si>
  <si>
    <t>Proceeds from exercise of common stock options</t>
  </si>
  <si>
    <t>Proceeds from early exercise of stock options</t>
  </si>
  <si>
    <t>Proceeds from notes payable, net</t>
  </si>
  <si>
    <t>Repayments on notes payable</t>
  </si>
  <si>
    <t>Payments on capital leases</t>
  </si>
  <si>
    <t>Proceeds from equipment financing</t>
  </si>
  <si>
    <t>Payments for deferred offering costs</t>
  </si>
  <si>
    <t>Proceeds from revolving line of credit</t>
  </si>
  <si>
    <t>Repayments on revolving line of credit</t>
  </si>
  <si>
    <t>Deferred IPO costs</t>
  </si>
  <si>
    <t>Proceeds from issuance of common stock</t>
  </si>
  <si>
    <t>Purchases of property and equipment</t>
  </si>
  <si>
    <t>Purchases of Short term investements</t>
  </si>
  <si>
    <t>Warrants</t>
  </si>
  <si>
    <t>Reversal of continue sales tax liability</t>
  </si>
  <si>
    <t>Accrued FCC Charge</t>
  </si>
  <si>
    <t>Non-cash interest exp</t>
  </si>
  <si>
    <t>Accrued federal fees</t>
  </si>
  <si>
    <t xml:space="preserve">Sales tax liability - less current </t>
  </si>
  <si>
    <t>2017 Billings</t>
  </si>
  <si>
    <t>FIVN</t>
  </si>
  <si>
    <t xml:space="preserve"> Revenues</t>
  </si>
  <si>
    <t>EV</t>
  </si>
  <si>
    <t>3Q16</t>
  </si>
  <si>
    <t>loss on extinguishment of debt</t>
  </si>
  <si>
    <t xml:space="preserve">Payment cost </t>
  </si>
  <si>
    <t>Balance Sheet</t>
  </si>
  <si>
    <t>4Q16</t>
  </si>
  <si>
    <t xml:space="preserve">Gross Cash </t>
  </si>
  <si>
    <t>3Q18E</t>
  </si>
  <si>
    <t>2018 Billings</t>
  </si>
  <si>
    <t>1Q17</t>
  </si>
  <si>
    <t>2Q17</t>
  </si>
  <si>
    <t>3Q17</t>
  </si>
  <si>
    <t>4Q17</t>
  </si>
  <si>
    <t>1Q18</t>
  </si>
  <si>
    <t xml:space="preserve">Deferred contract acquistion cost </t>
  </si>
  <si>
    <t>Deferred contract acquisition cost</t>
  </si>
  <si>
    <t>2Q18</t>
  </si>
  <si>
    <t>Senior convertible note</t>
  </si>
  <si>
    <t>Amortization of premium on marketable securities</t>
  </si>
  <si>
    <t>Gain on sale on convertible note</t>
  </si>
  <si>
    <t>Amortization of discount and issuance costs on convertible</t>
  </si>
  <si>
    <t>Proceed from sale of convertible note held for investment</t>
  </si>
  <si>
    <t>Payments for capped call transactions</t>
  </si>
  <si>
    <t>Proceeds from sale of common stock under ESPP</t>
  </si>
  <si>
    <t>Amortization of debt discount and issuance costs</t>
  </si>
  <si>
    <t>3Q18</t>
  </si>
  <si>
    <t>CAC Ratio</t>
  </si>
  <si>
    <t>4Q18</t>
  </si>
  <si>
    <t>Current Price</t>
  </si>
  <si>
    <t>Price Target</t>
  </si>
  <si>
    <t>Debt</t>
  </si>
  <si>
    <t>1Q19</t>
  </si>
  <si>
    <t>Operating lease right to use</t>
  </si>
  <si>
    <t>Operating lease liabilities</t>
  </si>
  <si>
    <t>Operating lease liabilities - less current portion</t>
  </si>
  <si>
    <t>Amortization of operating lease</t>
  </si>
  <si>
    <t>2Q19</t>
  </si>
  <si>
    <t>2020E</t>
  </si>
  <si>
    <t>3Q19</t>
  </si>
  <si>
    <t>Recurring Revenue</t>
  </si>
  <si>
    <t>Non-Recurring Revenue</t>
  </si>
  <si>
    <t>4Q19</t>
  </si>
  <si>
    <t>Cash paid in acquisition of Whendu</t>
  </si>
  <si>
    <t>1Q20</t>
  </si>
  <si>
    <t>2Q20</t>
  </si>
  <si>
    <t>3Q20</t>
  </si>
  <si>
    <t>4Q20</t>
  </si>
  <si>
    <t>2021E</t>
  </si>
  <si>
    <t>On-Premise Agents</t>
  </si>
  <si>
    <t>Y/Y</t>
  </si>
  <si>
    <t>% of total agents</t>
  </si>
  <si>
    <t>CCaaS Agents</t>
  </si>
  <si>
    <t>Worldwide Call Center Agents</t>
  </si>
  <si>
    <t>2019E</t>
  </si>
  <si>
    <t>2022E</t>
  </si>
  <si>
    <t>2023E</t>
  </si>
  <si>
    <t>Five9 Market Share</t>
  </si>
  <si>
    <t>Total Agents</t>
  </si>
  <si>
    <t>CCaaS License and Software (Billions)</t>
  </si>
  <si>
    <t xml:space="preserve">Five9 Agents (est.) </t>
  </si>
  <si>
    <t>Seats</t>
  </si>
  <si>
    <t>Base Case (Current Estimates)</t>
  </si>
  <si>
    <t>Bull Case</t>
  </si>
  <si>
    <t>Equity</t>
  </si>
  <si>
    <t>3 year CAGR</t>
  </si>
  <si>
    <t>Exit Share Price</t>
  </si>
  <si>
    <t>15x FY24 Recurring</t>
  </si>
  <si>
    <t>FIVN Scenario Analysis</t>
  </si>
  <si>
    <t>Cash paid for Virtual Observer</t>
  </si>
  <si>
    <t>Marketable investments</t>
  </si>
  <si>
    <t>Deferred taxes</t>
  </si>
  <si>
    <t>Adj. EBITDA</t>
  </si>
  <si>
    <t>Non-GAAP Op Inc</t>
  </si>
  <si>
    <t>Financials ($M)</t>
  </si>
  <si>
    <t>Non-GAAP Gross Profit</t>
  </si>
  <si>
    <t>EV/Revenue</t>
  </si>
  <si>
    <t>EV/Gross Profit</t>
  </si>
  <si>
    <t>EV/Non-GAAP Op Inc</t>
  </si>
  <si>
    <t>EV/Adj. EBITDA</t>
  </si>
  <si>
    <t>Adj. P/E</t>
  </si>
  <si>
    <t>Target</t>
  </si>
  <si>
    <t>Market Cap</t>
  </si>
  <si>
    <t>Shares Outstanding</t>
  </si>
  <si>
    <t>Valuation and Price Target</t>
  </si>
  <si>
    <t>Multiples</t>
  </si>
  <si>
    <t>Capitalization</t>
  </si>
  <si>
    <t>$ Multiplier</t>
  </si>
  <si>
    <t xml:space="preserve">Bear </t>
  </si>
  <si>
    <t>Base</t>
  </si>
  <si>
    <t>Bull</t>
  </si>
  <si>
    <t>Target Price</t>
  </si>
  <si>
    <t>Up / Down to Target</t>
  </si>
  <si>
    <t>Assumptions / Outputs</t>
  </si>
  <si>
    <t>Multiple Scenario</t>
  </si>
  <si>
    <t>Most Recent Q (Update)</t>
  </si>
  <si>
    <t>Total GAAP Other Income (Expense)</t>
  </si>
  <si>
    <t>Total Non-GAAP Other Income (Expense)</t>
  </si>
  <si>
    <t>Amor of discout &amp; issuance costs on convert</t>
  </si>
  <si>
    <t>Loss on early extinguishment of debt</t>
  </si>
  <si>
    <t>1Q21</t>
  </si>
  <si>
    <t>Total GAAP Other Income</t>
  </si>
  <si>
    <t>Total Non GAAP Other Income</t>
  </si>
  <si>
    <t>Amortization of commission costs</t>
  </si>
  <si>
    <t>Change in fair of value of contingent consideration</t>
  </si>
  <si>
    <t>Total RPO</t>
  </si>
  <si>
    <t>Y/Y Change in Total RPO</t>
  </si>
  <si>
    <t>Total RPO Bookings</t>
  </si>
  <si>
    <t>Short-term RPO (24 months)</t>
  </si>
  <si>
    <t>Y/Y Change in Short-term RPO</t>
  </si>
  <si>
    <t>Short-term RPO Bookings</t>
  </si>
  <si>
    <t>2Q21</t>
  </si>
  <si>
    <t>Y/Y Chg.</t>
  </si>
  <si>
    <t>Q/Q Chg.</t>
  </si>
  <si>
    <t>% Delta</t>
  </si>
  <si>
    <t>S&amp;M</t>
  </si>
  <si>
    <t>Total Revenue</t>
  </si>
  <si>
    <t>Total Cost of Revenue</t>
  </si>
  <si>
    <t>Non-GAAP Operating Income (Loss)</t>
  </si>
  <si>
    <t>3Q21</t>
  </si>
  <si>
    <t>FY Guide Prev</t>
  </si>
  <si>
    <t>FY Guide New</t>
  </si>
  <si>
    <t>FY Cons</t>
  </si>
  <si>
    <t>Current Market cap</t>
  </si>
  <si>
    <t>Current EV</t>
  </si>
  <si>
    <t>Current EV / Revenue</t>
  </si>
  <si>
    <t>This sheet contains FactSet XML data for use with this workbook's =FDS codes.  Modifying the worksheet's contents may damage the workbook's =FDS functionality.</t>
  </si>
  <si>
    <t>Gross Margin</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</si>
  <si>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</si>
  <si>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</si>
  <si>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</si>
  <si>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</si>
  <si>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</si>
  <si>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</si>
  <si>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</si>
  <si>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</si>
  <si>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</si>
  <si>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</si>
  <si>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</si>
  <si>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</si>
  <si>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</si>
  <si>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</si>
  <si>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</si>
  <si>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</si>
  <si>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</si>
  <si>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</si>
  <si>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</si>
  <si>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</si>
  <si>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</si>
  <si>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</si>
  <si>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</si>
  <si>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</si>
  <si>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</si>
  <si>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</si>
  <si>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</si>
  <si>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</si>
  <si>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</si>
  <si>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</si>
  <si>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</si>
  <si>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</si>
  <si>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</si>
  <si>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</si>
  <si>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</si>
  <si>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</si>
  <si>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</si>
  <si>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</si>
  <si>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</si>
  <si>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</si>
  <si>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</si>
  <si>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Q3</t>
  </si>
  <si>
    <t>GAAP:CALENDAR</t>
  </si>
  <si>
    <t>Q1</t>
  </si>
  <si>
    <t>Q4</t>
  </si>
  <si>
    <t>AN</t>
  </si>
  <si>
    <t>INDICATED:CALENDAR</t>
  </si>
  <si>
    <t>BlueMatrix Time Series Grids</t>
  </si>
  <si>
    <t>MANAGED:CALENDAR</t>
  </si>
  <si>
    <t>Revenue ($M)</t>
  </si>
  <si>
    <t>REVENUE</t>
  </si>
  <si>
    <t>NON-GAAP:CALENDAR</t>
  </si>
  <si>
    <t>OPERATING:CALENDAR</t>
  </si>
  <si>
    <t>PRIMARY:CALENDAR</t>
  </si>
  <si>
    <t>PROFORMA:CALENDAR</t>
  </si>
  <si>
    <t>RESTATED:CALENDAR</t>
  </si>
  <si>
    <t>REVENUE:CALENDAR</t>
  </si>
  <si>
    <t>FFO</t>
  </si>
  <si>
    <t>Net Cash/Debt ($M)</t>
  </si>
  <si>
    <t>NET_CASH_DEBT</t>
  </si>
  <si>
    <t>Operating Margin</t>
  </si>
  <si>
    <t>OP_MARGIN</t>
  </si>
  <si>
    <t>ROIC</t>
  </si>
  <si>
    <t>Calendar Year = Fiscal Year (If yes =0, if less= -1, if more = 1)</t>
  </si>
  <si>
    <t>Fiscal 1Q Ending Month Number</t>
  </si>
  <si>
    <t>Fiscal 2Q Ending Month Number</t>
  </si>
  <si>
    <t>Fiscal 3Q Ending Month Number</t>
  </si>
  <si>
    <t>Fiscal 4Q Ending Month Number</t>
  </si>
  <si>
    <t>Five9</t>
  </si>
  <si>
    <t>4Q21</t>
  </si>
  <si>
    <t>2021 Billings</t>
  </si>
  <si>
    <t>2022 Billings</t>
  </si>
  <si>
    <t>2020 Billings</t>
  </si>
  <si>
    <t>Currently off FY22</t>
  </si>
  <si>
    <t>1Q Cons.</t>
  </si>
  <si>
    <t>2Q Guide</t>
  </si>
  <si>
    <t>2Q Cons.</t>
  </si>
  <si>
    <t xml:space="preserve">Financial Metrics </t>
  </si>
  <si>
    <t>y/y change</t>
  </si>
  <si>
    <t>q/q change</t>
  </si>
  <si>
    <t>Net additions</t>
  </si>
  <si>
    <t>Dollar based net retention (TTM)</t>
  </si>
  <si>
    <t>Customers &gt;$1mm ARR</t>
  </si>
  <si>
    <t>Percent of ARR from &gt;$1mm customers</t>
  </si>
  <si>
    <t>Customers w/ ARR &gt;$500k</t>
  </si>
  <si>
    <t>Percent of ARR from &gt;$500k customers</t>
  </si>
  <si>
    <t>Customers w/ ARR &lt;$499k</t>
  </si>
  <si>
    <t>Percent of ARR from &lt;$499k customers</t>
  </si>
  <si>
    <t>cRPO</t>
  </si>
  <si>
    <t>1Q22</t>
  </si>
  <si>
    <t>Enterprise customers ($1mm+ ARR)</t>
  </si>
  <si>
    <t>Enterprise subscription revenue growth (TTM)</t>
  </si>
  <si>
    <t>Initial guide for 24% Y/Y growth</t>
  </si>
  <si>
    <t>Capex</t>
  </si>
  <si>
    <t>Proceeds from maturities of marketable investments</t>
  </si>
  <si>
    <t>Capitalization of software development costs</t>
  </si>
  <si>
    <t>Cash paid for an equity investment in a privately-held company</t>
  </si>
  <si>
    <t>2Q22</t>
  </si>
  <si>
    <t>Russian exit costs</t>
  </si>
  <si>
    <t>Expect to trend towards high 120s due to more enterprise customers</t>
  </si>
  <si>
    <t>Payment of contingent consideration</t>
  </si>
  <si>
    <t>3Q22</t>
  </si>
  <si>
    <t>Depreciation as a % of Revenue</t>
  </si>
  <si>
    <t>Payments of initial direct costs</t>
  </si>
  <si>
    <t>4Q22</t>
  </si>
  <si>
    <t>Growth</t>
  </si>
  <si>
    <t>Convertible Senior Notes</t>
  </si>
  <si>
    <t>LTM</t>
  </si>
  <si>
    <t>Enterprise as a % of Total Rev</t>
  </si>
  <si>
    <t>Revenue ($mm)</t>
  </si>
  <si>
    <t>2024E</t>
  </si>
  <si>
    <t>1Q23</t>
  </si>
  <si>
    <t>Delta</t>
  </si>
  <si>
    <t>Rest of Year
Raise / (Reduce)</t>
  </si>
  <si>
    <t>2Q23</t>
  </si>
  <si>
    <t>Finance lease right of use</t>
  </si>
  <si>
    <t>50%+</t>
  </si>
  <si>
    <t>3Q23</t>
  </si>
  <si>
    <t>Lease amortization for finance lease</t>
  </si>
  <si>
    <t>Lease amortization for finance leases</t>
  </si>
  <si>
    <t>4Q23</t>
  </si>
  <si>
    <t>Payment of employee taxes related to vested RSUs</t>
  </si>
  <si>
    <t>Payment of holdback related to acquisition</t>
  </si>
  <si>
    <t>1Q24</t>
  </si>
  <si>
    <t>Cash paid to acquire Aceyus</t>
  </si>
  <si>
    <t>Proceeds from issuance of 2029 convertible senior notes, net of issuance costs</t>
  </si>
  <si>
    <t>Repurchase of a portion of convertible senior notes, net of costs</t>
  </si>
  <si>
    <t>Cash received from partial termination of capped calls associated with the 2025 convertible senior notes</t>
  </si>
  <si>
    <t>2Q24</t>
  </si>
  <si>
    <t>Restructuring Costs</t>
  </si>
  <si>
    <t>3Q24</t>
  </si>
  <si>
    <t>Cash paid to acquire Acqueon</t>
  </si>
  <si>
    <t>Subscription Revenue</t>
  </si>
  <si>
    <t>Usage Revenue</t>
  </si>
  <si>
    <t>4Q24</t>
  </si>
  <si>
    <t>Impairment on equity investment</t>
  </si>
  <si>
    <t>Tax benefit from acquisition</t>
  </si>
  <si>
    <t>Interest on finance lease obligations</t>
  </si>
  <si>
    <t>Impairment charge related to closure of operating lease facilities</t>
  </si>
  <si>
    <t>1Q26E</t>
  </si>
  <si>
    <t>2Q26E</t>
  </si>
  <si>
    <t>3Q26E</t>
  </si>
  <si>
    <t>4Q26E</t>
  </si>
  <si>
    <t>2026E</t>
  </si>
  <si>
    <t>1Q25</t>
  </si>
  <si>
    <t>2024 Billings</t>
  </si>
  <si>
    <t>2025 Billings</t>
  </si>
  <si>
    <t>2026 Billings</t>
  </si>
  <si>
    <t>Amoritizan of debt discount</t>
  </si>
  <si>
    <t>2Q25</t>
  </si>
  <si>
    <t>3Q25</t>
  </si>
  <si>
    <t>3Q25 Guide</t>
  </si>
  <si>
    <t>3Q25 Results</t>
  </si>
  <si>
    <t>3Q25 Beat</t>
  </si>
  <si>
    <t>AI Subscription Revenue Growth (%)</t>
  </si>
  <si>
    <t>Impairment charge related to assets</t>
  </si>
  <si>
    <t>4Q25</t>
  </si>
  <si>
    <t>FY26 Guidance</t>
  </si>
  <si>
    <t>FY26 Street Expectations</t>
  </si>
  <si>
    <t>Initial FY26 Guide</t>
  </si>
  <si>
    <t>Enterprise AI Revenue Growth (YoY)</t>
  </si>
  <si>
    <t xml:space="preserve">AI as % of Enterprise Subscription Revenue </t>
  </si>
  <si>
    <t>Enterprise AI Bookings (YoY) Growth</t>
  </si>
  <si>
    <t>AI as % of Enterprise New Logo ACV</t>
  </si>
  <si>
    <t>3x</t>
  </si>
  <si>
    <t>Cash paid for repurchase of common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</si>
</sst>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5">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quot;$&quot;* #,##0.0_);_(&quot;$&quot;* \(#,##0.0\);_(&quot;$&quot;* &quot;-&quot;??_);_(@_)"/>
    <numFmt numFmtId="166" formatCode="[$-409]mmm\-yy;@"/>
    <numFmt numFmtId="167" formatCode="_(* #,##0.000_);_(* \(#,##0.000\);_(* &quot;-&quot;???_);_(@_)"/>
    <numFmt numFmtId="168" formatCode="_(* #,##0_);_(* \(#,##0\);_(* &quot;-&quot;??_);_(@_)"/>
    <numFmt numFmtId="169" formatCode="0.0%"/>
    <numFmt numFmtId="170" formatCode="_(* #,##0_);_(* \(#,##0\);_(* &quot;-&quot;???_);_(@_)"/>
    <numFmt numFmtId="171" formatCode="_(* #,##0.0_);_(* \(#,##0.0\);_(* &quot;-&quot;??_);_(@_)"/>
    <numFmt numFmtId="172" formatCode="General_)"/>
    <numFmt numFmtId="173" formatCode="0.0"/>
    <numFmt numFmtId="174" formatCode="&quot;$&quot;#,##0.00"/>
    <numFmt numFmtId="175" formatCode="[$€-2]\ #,##0.00"/>
    <numFmt numFmtId="176" formatCode="#,##0.0\ \ \ ;\(#,##0.0\)\ \ "/>
    <numFmt numFmtId="177" formatCode="#,##0.00\ \ ;"/>
    <numFmt numFmtId="178" formatCode="#,##0.\9\5\ \ ;"/>
    <numFmt numFmtId="179" formatCode="#,##0.\9\9\ \ ;"/>
    <numFmt numFmtId="180" formatCode="&quot; CALL FOR DELIVERY APPT: (909) 428-8600               &quot;"/>
    <numFmt numFmtId="181" formatCode="&quot;1-56884-&quot;000\-0"/>
    <numFmt numFmtId="182" formatCode="&quot;1-878058-&quot;00\-0"/>
    <numFmt numFmtId="183" formatCode="m/d"/>
    <numFmt numFmtId="184" formatCode="mm/dd"/>
    <numFmt numFmtId="185" formatCode="mm/yy"/>
    <numFmt numFmtId="186" formatCode="mmm\ \'yy"/>
    <numFmt numFmtId="187" formatCode="&quot;0-87779-&quot;000\-0"/>
    <numFmt numFmtId="188" formatCode="&quot;0-07-88&quot;0000\-0"/>
    <numFmt numFmtId="189" formatCode="&quot; CALL FOR DELIVERY APPT: (203) 928-0847                &quot;"/>
    <numFmt numFmtId="190" formatCode="_(* #,##0.000_);_(* \(#,##0.000\);_(* &quot;-&quot;??_);_(@_)"/>
    <numFmt numFmtId="191" formatCode="0.0%_);\(0.0%\);0.0%_);@_)"/>
    <numFmt numFmtId="192" formatCode="_(* #,##0_);_(* \(#,##0\);_(* &quot;-&quot;?_);_(@_)"/>
    <numFmt numFmtId="193" formatCode="0\ %"/>
    <numFmt numFmtId="194" formatCode="0.0\ %"/>
    <numFmt numFmtId="195" formatCode="0.00\ %"/>
    <numFmt numFmtId="196" formatCode="#,##0.0_);\(#,##0.0\)"/>
    <numFmt numFmtId="197" formatCode="[$-409]h:mm:ss\ AM/PM"/>
    <numFmt numFmtId="198" formatCode="&quot;$&quot;\ #,##0.0_);\(&quot;$&quot;\ #,##0.0\)"/>
    <numFmt numFmtId="199" formatCode="&quot;$&quot;\ #,##0.00_);[Red]\(&quot;$&quot;\ #,##0.00\)"/>
    <numFmt numFmtId="200" formatCode="&quot;$&quot;#,##0.000_);[Red]\(&quot;$&quot;#,##0.000\)"/>
    <numFmt numFmtId="201" formatCode="0.0%;\ \(0.0%\)"/>
    <numFmt numFmtId="202" formatCode="0.00000"/>
    <numFmt numFmtId="203" formatCode="_(* #,##0.0000_);_(* \(#,##0.0000\);_(* &quot;-&quot;??_);_(@_)"/>
    <numFmt numFmtId="204" formatCode="&quot;$&quot;#,##0.0_);\(&quot;$&quot;#,##0.0\)"/>
    <numFmt numFmtId="205" formatCode="0_);\(0\)"/>
    <numFmt numFmtId="206" formatCode="#,##0.000_);\(#,##0.000\)"/>
    <numFmt numFmtId="207" formatCode="#,##0.0\x"/>
    <numFmt numFmtId="208" formatCode=";;;"/>
    <numFmt numFmtId="209" formatCode="m/d/yy"/>
    <numFmt numFmtId="210" formatCode="0.0\x"/>
    <numFmt numFmtId="211" formatCode="0.00\ \ "/>
    <numFmt numFmtId="212" formatCode="0.0\ \x"/>
    <numFmt numFmtId="213" formatCode="#,##0.00_);\(#,##0.00\);_(* &quot;-&quot;_)"/>
    <numFmt numFmtId="214" formatCode="#,##0.0_);\(#,##0.0\);_(* &quot;-&quot;_)"/>
    <numFmt numFmtId="215" formatCode="#,##0.00\x"/>
    <numFmt numFmtId="216" formatCode="0.0_%"/>
    <numFmt numFmtId="217" formatCode="#,##0.000;\(#,##0.000\)"/>
    <numFmt numFmtId="218" formatCode="_(&quot;$&quot;* #,##0.00_);_(&quot;$&quot;* \(#,##0.00\);_(* &quot;-&quot;_);_(@_)"/>
    <numFmt numFmtId="219" formatCode="_(&quot;$&quot;* #,##0.000_);_(&quot;$&quot;* \(#,##0.000\);_(* &quot;-&quot;_);_(@_)"/>
    <numFmt numFmtId="220" formatCode="_(&quot;$&quot;* #,##0.0_);_(&quot;$&quot;* \(#,##0.0\);_(* &quot;-&quot;_);_(@_)"/>
    <numFmt numFmtId="221" formatCode="#,##0_);\(#,##0\);_(* &quot;-&quot;_);_(* &quot;-&quot;_)"/>
    <numFmt numFmtId="222" formatCode="_(###.##%_);\(* &quot;-&quot;_);_(@_)"/>
    <numFmt numFmtId="223" formatCode="&quot;$&quot;#,##0.0_);[Red]\(&quot;$&quot;#,##0.0\)"/>
    <numFmt numFmtId="224" formatCode="#,##0.00000000_);[Red]\(#,##0.00000000\)"/>
    <numFmt numFmtId="225" formatCode="#,##0.0000"/>
    <numFmt numFmtId="226" formatCode="#,##0.0;[Red]\(#,##0.0\)"/>
    <numFmt numFmtId="227" formatCode="#\ ##0\ "/>
    <numFmt numFmtId="228" formatCode="_(* #,##0.0_);_(* \(#,##0.0\);_(* &quot;-&quot;_);_(@_)"/>
    <numFmt numFmtId="229" formatCode="0.000_)"/>
    <numFmt numFmtId="230" formatCode="#,##0\ ;\(#,##0.0\)"/>
    <numFmt numFmtId="231" formatCode="0.00_);\(0.00\);0.00"/>
    <numFmt numFmtId="232" formatCode="&quot;$&quot;#,##0\ ;\(&quot;$&quot;#,##0\)"/>
    <numFmt numFmtId="233" formatCode="&quot;$&quot;#,##0.0_);\(&quot;$&quot;#,##0.0\)&quot;MM&quot;"/>
    <numFmt numFmtId="234" formatCode="#,##0,"/>
    <numFmt numFmtId="235" formatCode="#,##0,,"/>
    <numFmt numFmtId="236" formatCode="_([$€-2]* #,##0.00_);_([$€-2]* \(#,##0.00\);_([$€-2]* &quot;-&quot;??_)"/>
    <numFmt numFmtId="237" formatCode="\+\ #\ ??/??;[Red]\ \-\ #\ ??/??"/>
    <numFmt numFmtId="238" formatCode="0.00_);\(0.00\);0.00_)"/>
    <numFmt numFmtId="239" formatCode="_-* #,##0_-;\-* #,##0_-;_-* &quot;-&quot;_-;_-@_-"/>
    <numFmt numFmtId="240" formatCode="_-* #,##0.00_-;\-* #,##0.00_-;_-* &quot;-&quot;??_-;_-@_-"/>
    <numFmt numFmtId="241" formatCode="_-&quot;$&quot;* #,##0_-;\-&quot;$&quot;* #,##0_-;_-&quot;$&quot;* &quot;-&quot;_-;_-@_-"/>
    <numFmt numFmtId="242" formatCode="_-&quot;$&quot;* #,##0.00_-;\-&quot;$&quot;* #,##0.00_-;_-&quot;$&quot;* &quot;-&quot;??_-;_-@_-"/>
    <numFmt numFmtId="243" formatCode="0.00_)"/>
    <numFmt numFmtId="244" formatCode="#,##0.00_);\(#,##0.00\);&quot; --- &quot;"/>
    <numFmt numFmtId="245" formatCode="#,"/>
    <numFmt numFmtId="246" formatCode="0.00\%;\-0.00\%;0.00\%"/>
    <numFmt numFmtId="247" formatCode="0.00;\-0.00;0.00"/>
    <numFmt numFmtId="248" formatCode="0.00\x;\-0.00\x;0.00\x"/>
    <numFmt numFmtId="249" formatCode="##0.00000"/>
    <numFmt numFmtId="250" formatCode="General;\-General;General;"/>
    <numFmt numFmtId="251" formatCode="[$€-2]\ #,##0.00_);[Red]\([$€-2]\ #,##0.00\)"/>
    <numFmt numFmtId="252" formatCode="&quot;$&quot;* #,##0.00"/>
    <numFmt numFmtId="253" formatCode="_(&quot;$&quot;* #,##0_);_(&quot;$&quot;* \(#,##0\);_(&quot;$&quot;* &quot;-&quot;??_);_(* @_)"/>
    <numFmt numFmtId="254" formatCode="_(* #,##0.00_);_(* \(#,##0.00\);_(* &quot;-&quot;??_);_(* @_)"/>
    <numFmt numFmtId="255" formatCode="_._.* #,##0.00_)_%;_._.* \(#,##0.00\)_%"/>
    <numFmt numFmtId="256" formatCode="_._.&quot;$&quot;* #,##0.00_)_%;_._.&quot;$&quot;* \(#,##0.00\)_%"/>
    <numFmt numFmtId="257" formatCode="_._._(* 0_)%;_._.* \(0\)%"/>
    <numFmt numFmtId="258" formatCode="_._._(* 0.00_)%;_._.* \(0.00\)%"/>
    <numFmt numFmtId="259" formatCode="_._.* \(#,##0\)_%;_._.* #,##0_)_%;_._.* 0_)_%;_._.@_)_%"/>
    <numFmt numFmtId="260" formatCode="_._.&quot;$&quot;* \(#,##0\)_%;_._.&quot;$&quot;* #,##0_)_%;_._.&quot;$&quot;* 0_)_%;_._.@_)_%"/>
    <numFmt numFmtId="261" formatCode="[$-409]mmmm\ d\,\ yyyy;@"/>
    <numFmt numFmtId="262" formatCode="[$$-409]#,##0.0_);[Red]\([$$-409]#,##0.0\)"/>
    <numFmt numFmtId="263" formatCode="&quot;FY'&quot;yy&quot;E&quot;"/>
    <numFmt numFmtId="264" formatCode="&quot;FY'&quot;yy&quot;A&quot;"/>
    <numFmt numFmtId="265" formatCode="0.0\x\ "/>
    <numFmt numFmtId="266" formatCode="0%\ "/>
    <numFmt numFmtId="267" formatCode="0_)"/>
    <numFmt numFmtId="268" formatCode="[$-409]mmmmm;@"/>
    <numFmt numFmtId="269" formatCode="#,##0.0"/>
    <numFmt numFmtId="270" formatCode="0.0%\ "/>
  </numFmts>
  <fonts count="286">
    <font>
      <sz val="11"/>
      <color theme="1"/>
      <name val="Cambria"/>
      <family val="2"/>
      <scheme val="minor"/>
    </font>
    <font>
      <sz val="11"/>
      <color theme="1"/>
      <name val="Cambria"/>
      <family val="2"/>
      <scheme val="minor"/>
    </font>
    <font>
      <sz val="10"/>
      <name val="Arial"/>
      <family val="2"/>
    </font>
    <font>
      <b/>
      <sz val="10"/>
      <name val="Arial"/>
      <family val="2"/>
    </font>
    <font>
      <b/>
      <sz val="12"/>
      <name val="Arial"/>
      <family val="2"/>
    </font>
    <font>
      <sz val="8"/>
      <name val="Arial"/>
      <family val="2"/>
    </font>
    <font>
      <i/>
      <sz val="8"/>
      <name val="Arial"/>
      <family val="2"/>
    </font>
    <font>
      <sz val="10"/>
      <color indexed="8"/>
      <name val="Arial"/>
      <family val="2"/>
    </font>
    <font>
      <i/>
      <sz val="8"/>
      <color indexed="8"/>
      <name val="Arial"/>
      <family val="2"/>
    </font>
    <font>
      <sz val="12"/>
      <name val="Arial"/>
      <family val="2"/>
    </font>
    <font>
      <sz val="11"/>
      <color indexed="8"/>
      <name val="Calibri"/>
      <family val="2"/>
    </font>
    <font>
      <b/>
      <sz val="9"/>
      <name val="Arial"/>
      <family val="2"/>
    </font>
    <font>
      <sz val="8"/>
      <color indexed="8"/>
      <name val="Arial"/>
      <family val="2"/>
    </font>
    <font>
      <sz val="10"/>
      <name val="Courier"/>
      <family val="3"/>
    </font>
    <font>
      <u/>
      <sz val="10"/>
      <color indexed="12"/>
      <name val="Arial"/>
      <family val="2"/>
    </font>
    <font>
      <sz val="10"/>
      <name val="MS Sans Serif"/>
      <family val="2"/>
    </font>
    <font>
      <sz val="8"/>
      <name val="Helvetica"/>
      <family val="2"/>
    </font>
    <font>
      <i/>
      <sz val="11"/>
      <color theme="1"/>
      <name val="Cambria"/>
      <family val="2"/>
      <scheme val="minor"/>
    </font>
    <font>
      <sz val="9"/>
      <color indexed="0"/>
      <name val="Helvetica"/>
      <family val="2"/>
    </font>
    <font>
      <sz val="10"/>
      <color theme="1"/>
      <name val="Times New Roman"/>
      <family val="2"/>
    </font>
    <font>
      <sz val="8"/>
      <name val="Helv"/>
    </font>
    <font>
      <b/>
      <sz val="8"/>
      <color indexed="8"/>
      <name val="Arial"/>
      <family val="2"/>
    </font>
    <font>
      <sz val="10"/>
      <color theme="1"/>
      <name val="Arial"/>
      <family val="2"/>
    </font>
    <font>
      <sz val="10"/>
      <color rgb="FF0070C0"/>
      <name val="Arial"/>
      <family val="2"/>
    </font>
    <font>
      <sz val="9"/>
      <name val="Arial"/>
      <family val="2"/>
    </font>
    <font>
      <sz val="11"/>
      <color indexed="8"/>
      <name val="Arial"/>
      <family val="2"/>
    </font>
    <font>
      <b/>
      <sz val="11"/>
      <color theme="1"/>
      <name val="Cambria"/>
      <family val="2"/>
      <scheme val="minor"/>
    </font>
    <font>
      <sz val="11"/>
      <name val="Cambria"/>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ont>
    <font>
      <sz val="9"/>
      <name val="Helv"/>
    </font>
    <font>
      <b/>
      <sz val="9"/>
      <color indexed="12"/>
      <name val="Helv"/>
    </font>
    <font>
      <b/>
      <sz val="11"/>
      <color indexed="51"/>
      <name val="Calibri"/>
      <family val="2"/>
    </font>
    <font>
      <b/>
      <sz val="10"/>
      <name val="Helv"/>
    </font>
    <font>
      <b/>
      <sz val="15"/>
      <color indexed="61"/>
      <name val="Calibri"/>
      <family val="2"/>
    </font>
    <font>
      <b/>
      <sz val="13"/>
      <color indexed="61"/>
      <name val="Calibri"/>
      <family val="2"/>
    </font>
    <font>
      <b/>
      <sz val="11"/>
      <color indexed="61"/>
      <name val="Calibri"/>
      <family val="2"/>
    </font>
    <font>
      <sz val="11"/>
      <color indexed="61"/>
      <name val="Calibri"/>
      <family val="2"/>
    </font>
    <font>
      <sz val="11"/>
      <color indexed="51"/>
      <name val="Calibri"/>
      <family val="2"/>
    </font>
    <font>
      <sz val="11"/>
      <color indexed="59"/>
      <name val="Calibri"/>
      <family val="2"/>
    </font>
    <font>
      <b/>
      <sz val="11"/>
      <color indexed="62"/>
      <name val="Calibri"/>
      <family val="2"/>
    </font>
    <font>
      <b/>
      <sz val="10"/>
      <name val="MS Sans Serif"/>
      <family val="2"/>
    </font>
    <font>
      <b/>
      <sz val="9"/>
      <color indexed="10"/>
      <name val="Helv"/>
    </font>
    <font>
      <b/>
      <sz val="18"/>
      <color indexed="61"/>
      <name val="Cambria"/>
      <family val="2"/>
    </font>
    <font>
      <sz val="11"/>
      <color theme="3"/>
      <name val="Cambria"/>
      <family val="2"/>
      <scheme val="minor"/>
    </font>
    <font>
      <sz val="10"/>
      <color theme="1"/>
      <name val="Cambria"/>
      <family val="2"/>
      <scheme val="minor"/>
    </font>
    <font>
      <i/>
      <sz val="9"/>
      <name val="Arial"/>
      <family val="2"/>
    </font>
    <font>
      <sz val="9"/>
      <color theme="1"/>
      <name val="Arial"/>
      <family val="2"/>
    </font>
    <font>
      <b/>
      <sz val="9"/>
      <color theme="1"/>
      <name val="Arial"/>
      <family val="2"/>
    </font>
    <font>
      <i/>
      <sz val="8"/>
      <color theme="1"/>
      <name val="Cambria"/>
      <family val="2"/>
      <scheme val="minor"/>
    </font>
    <font>
      <i/>
      <sz val="8"/>
      <color theme="1"/>
      <name val="Arial"/>
      <family val="2"/>
    </font>
    <font>
      <b/>
      <sz val="10"/>
      <color theme="1"/>
      <name val="Cambria"/>
      <family val="2"/>
      <scheme val="minor"/>
    </font>
    <font>
      <b/>
      <sz val="10"/>
      <color theme="1"/>
      <name val="Arial"/>
      <family val="2"/>
    </font>
    <font>
      <sz val="10"/>
      <name val="Cambria"/>
      <family val="2"/>
      <scheme val="minor"/>
    </font>
    <font>
      <sz val="10"/>
      <color rgb="FF0070C0"/>
      <name val="Cambria"/>
      <family val="2"/>
      <scheme val="minor"/>
    </font>
    <font>
      <b/>
      <sz val="10"/>
      <color theme="0"/>
      <name val="Arial"/>
      <family val="2"/>
    </font>
    <font>
      <b/>
      <sz val="12"/>
      <color theme="1"/>
      <name val="Arial"/>
      <family val="2"/>
    </font>
    <font>
      <b/>
      <u val="singleAccounting"/>
      <sz val="8"/>
      <color indexed="8"/>
      <name val="Arial"/>
      <family val="2"/>
    </font>
    <font>
      <sz val="8"/>
      <color indexed="12"/>
      <name val="Arial Narrow"/>
      <family val="2"/>
    </font>
    <font>
      <sz val="9"/>
      <color indexed="28"/>
      <name val="Arial"/>
      <family val="2"/>
    </font>
    <font>
      <sz val="1"/>
      <color indexed="9"/>
      <name val="Symbol"/>
      <family val="1"/>
    </font>
    <font>
      <sz val="1"/>
      <color indexed="9"/>
      <name val="Symbol"/>
      <family val="1"/>
      <charset val="2"/>
    </font>
    <font>
      <b/>
      <u val="singleAccounting"/>
      <sz val="8"/>
      <color indexed="8"/>
      <name val="Verdana"/>
      <family val="2"/>
    </font>
    <font>
      <b/>
      <sz val="10"/>
      <color indexed="9"/>
      <name val="Arial"/>
      <family val="2"/>
    </font>
    <font>
      <b/>
      <sz val="12"/>
      <color indexed="8"/>
      <name val="Verdana"/>
      <family val="2"/>
    </font>
    <font>
      <sz val="10"/>
      <color indexed="8"/>
      <name val="Helv"/>
      <family val="2"/>
    </font>
    <font>
      <sz val="10"/>
      <color indexed="8"/>
      <name val="Helvetica"/>
      <family val="2"/>
    </font>
    <font>
      <b/>
      <sz val="8"/>
      <color indexed="9"/>
      <name val="Verdana"/>
      <family val="2"/>
    </font>
    <font>
      <vertAlign val="subscript"/>
      <sz val="8"/>
      <color indexed="8"/>
      <name val="Arial"/>
      <family val="2"/>
    </font>
    <font>
      <vertAlign val="superscript"/>
      <sz val="8"/>
      <color indexed="8"/>
      <name val="Arial"/>
      <family val="2"/>
    </font>
    <font>
      <b/>
      <sz val="13"/>
      <color indexed="8"/>
      <name val="Verdana"/>
      <family val="2"/>
    </font>
    <font>
      <b/>
      <u/>
      <sz val="10"/>
      <color theme="1"/>
      <name val="Arial"/>
      <family val="2"/>
    </font>
    <font>
      <b/>
      <i/>
      <sz val="10"/>
      <color theme="1"/>
      <name val="Arial"/>
      <family val="2"/>
    </font>
    <font>
      <sz val="10"/>
      <color rgb="FFFF0000"/>
      <name val="Arial"/>
      <family val="2"/>
    </font>
    <font>
      <i/>
      <sz val="9"/>
      <color theme="1"/>
      <name val="Arial"/>
      <family val="2"/>
    </font>
    <font>
      <b/>
      <sz val="12"/>
      <name val="Times New Roman"/>
      <family val="1"/>
    </font>
    <font>
      <b/>
      <sz val="9"/>
      <name val="Times New Roman"/>
      <family val="1"/>
    </font>
    <font>
      <sz val="9"/>
      <name val="Times New Roman"/>
      <family val="1"/>
    </font>
    <font>
      <sz val="8"/>
      <name val="Times New Roman"/>
      <family val="1"/>
    </font>
    <font>
      <b/>
      <sz val="8"/>
      <color indexed="8"/>
      <name val="Times New Roman"/>
      <family val="1"/>
    </font>
    <font>
      <i/>
      <sz val="8"/>
      <name val="Times New Roman"/>
      <family val="1"/>
    </font>
    <font>
      <sz val="10"/>
      <color indexed="8"/>
      <name val="Times New Roman"/>
      <family val="1"/>
    </font>
    <font>
      <sz val="10"/>
      <name val="Times New Roman"/>
      <family val="1"/>
    </font>
    <font>
      <b/>
      <sz val="10"/>
      <color indexed="8"/>
      <name val="Times New Roman"/>
      <family val="1"/>
    </font>
    <font>
      <b/>
      <sz val="10"/>
      <name val="Times New Roman"/>
      <family val="1"/>
    </font>
    <font>
      <sz val="10"/>
      <name val="Arial"/>
      <family val="2"/>
    </font>
    <font>
      <sz val="7"/>
      <color indexed="10"/>
      <name val="Arial"/>
      <family val="2"/>
    </font>
    <font>
      <sz val="10"/>
      <color indexed="12"/>
      <name val="Arial"/>
      <family val="2"/>
    </font>
    <font>
      <b/>
      <sz val="8"/>
      <name val="Arial"/>
      <family val="2"/>
    </font>
    <font>
      <sz val="8"/>
      <color indexed="10"/>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b/>
      <sz val="11"/>
      <color indexed="63"/>
      <name val="Arial"/>
      <family val="2"/>
    </font>
    <font>
      <sz val="8"/>
      <name val="Times"/>
      <family val="1"/>
    </font>
    <font>
      <b/>
      <sz val="11"/>
      <color indexed="8"/>
      <name val="Arial"/>
      <family val="2"/>
    </font>
    <font>
      <sz val="11"/>
      <color indexed="10"/>
      <name val="Arial"/>
      <family val="2"/>
    </font>
    <font>
      <sz val="10"/>
      <name val="Arial Narrow"/>
      <family val="2"/>
    </font>
    <font>
      <sz val="10"/>
      <name val="GillSans"/>
    </font>
    <font>
      <sz val="10"/>
      <name val="Baskerville MT"/>
    </font>
    <font>
      <sz val="10"/>
      <name val="Century Schoolbook"/>
      <family val="1"/>
    </font>
    <font>
      <sz val="10"/>
      <name val="Geneva"/>
    </font>
    <font>
      <sz val="12"/>
      <name val="Times New Roman"/>
      <family val="1"/>
    </font>
    <font>
      <sz val="10"/>
      <color indexed="8"/>
      <name val="Trebuchet MS"/>
      <family val="2"/>
    </font>
    <font>
      <sz val="8"/>
      <color indexed="8"/>
      <name val="Times New Roman"/>
      <family val="1"/>
    </font>
    <font>
      <sz val="8"/>
      <color indexed="14"/>
      <name val="Times New Roman"/>
      <family val="1"/>
    </font>
    <font>
      <sz val="12"/>
      <name val="Weiss"/>
    </font>
    <font>
      <sz val="8"/>
      <color indexed="12"/>
      <name val="Tms Rmn"/>
    </font>
    <font>
      <b/>
      <i/>
      <sz val="12"/>
      <name val="Times New Roman"/>
      <family val="1"/>
    </font>
    <font>
      <sz val="8"/>
      <color indexed="12"/>
      <name val="Times New Roman"/>
      <family val="1"/>
    </font>
    <font>
      <b/>
      <sz val="14"/>
      <name val="Book Antiqua"/>
      <family val="1"/>
    </font>
    <font>
      <sz val="10"/>
      <name val="Book Antiqua"/>
      <family val="1"/>
    </font>
    <font>
      <sz val="10"/>
      <name val="Palatino"/>
      <family val="1"/>
    </font>
    <font>
      <sz val="10"/>
      <name val="Palatino"/>
    </font>
    <font>
      <sz val="10"/>
      <color indexed="12"/>
      <name val="Arial Narrow"/>
      <family val="2"/>
    </font>
    <font>
      <b/>
      <sz val="10"/>
      <color indexed="18"/>
      <name val="Arial"/>
      <family val="2"/>
    </font>
    <font>
      <b/>
      <sz val="8"/>
      <name val="Palatino"/>
      <family val="1"/>
    </font>
    <font>
      <b/>
      <sz val="10"/>
      <name val="Palatino"/>
      <family val="1"/>
    </font>
    <font>
      <sz val="8"/>
      <name val="Book Antiqua"/>
      <family val="1"/>
    </font>
    <font>
      <i/>
      <sz val="7"/>
      <name val="Book Antiqua"/>
      <family val="1"/>
    </font>
    <font>
      <b/>
      <i/>
      <sz val="16"/>
      <name val="Helv"/>
    </font>
    <font>
      <sz val="8"/>
      <color indexed="72"/>
      <name val="Arial"/>
      <family val="2"/>
    </font>
    <font>
      <u/>
      <sz val="8"/>
      <name val="Book Antiqua"/>
      <family val="1"/>
    </font>
    <font>
      <u/>
      <sz val="10"/>
      <name val="GillSans"/>
      <family val="2"/>
    </font>
    <font>
      <sz val="7"/>
      <color indexed="12"/>
      <name val="Arial"/>
      <family val="2"/>
    </font>
    <font>
      <sz val="8"/>
      <color indexed="39"/>
      <name val="Arial"/>
      <family val="2"/>
    </font>
    <font>
      <b/>
      <sz val="12"/>
      <name val="GillSans"/>
      <family val="2"/>
    </font>
    <font>
      <b/>
      <u/>
      <sz val="14"/>
      <name val="Book Antiqua"/>
      <family val="1"/>
    </font>
    <font>
      <b/>
      <sz val="10"/>
      <name val="Book Antiqua"/>
      <family val="1"/>
    </font>
    <font>
      <u/>
      <sz val="11"/>
      <name val="GillSans"/>
      <family val="2"/>
    </font>
    <font>
      <i/>
      <sz val="10"/>
      <name val="Times New Roman"/>
      <family val="1"/>
    </font>
    <font>
      <b/>
      <sz val="7"/>
      <color indexed="12"/>
      <name val="Arial"/>
      <family val="2"/>
    </font>
    <font>
      <b/>
      <sz val="12"/>
      <color indexed="17"/>
      <name val="MS Sans Serif"/>
      <family val="2"/>
    </font>
    <font>
      <b/>
      <u/>
      <sz val="10"/>
      <name val="Book Antiqua"/>
      <family val="1"/>
    </font>
    <font>
      <i/>
      <sz val="10"/>
      <color theme="1"/>
      <name val="Cambria"/>
      <family val="2"/>
      <scheme val="minor"/>
    </font>
    <font>
      <b/>
      <sz val="18"/>
      <color theme="3"/>
      <name val="Cambria"/>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65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b/>
      <sz val="11"/>
      <color theme="0"/>
      <name val="Cambria"/>
      <family val="2"/>
      <scheme val="minor"/>
    </font>
    <font>
      <sz val="11"/>
      <color rgb="FFFF0000"/>
      <name val="Cambria"/>
      <family val="2"/>
      <scheme val="minor"/>
    </font>
    <font>
      <i/>
      <sz val="11"/>
      <color rgb="FF7F7F7F"/>
      <name val="Cambria"/>
      <family val="2"/>
      <scheme val="minor"/>
    </font>
    <font>
      <sz val="11"/>
      <color theme="0"/>
      <name val="Cambria"/>
      <family val="2"/>
      <scheme val="minor"/>
    </font>
    <font>
      <sz val="10.5"/>
      <color theme="1"/>
      <name val="Frutiger 45 Light"/>
      <family val="2"/>
    </font>
    <font>
      <sz val="10"/>
      <name val="Frutiger 45 Light"/>
      <family val="2"/>
    </font>
    <font>
      <i/>
      <sz val="11"/>
      <name val="Helvetica-Black"/>
      <family val="2"/>
    </font>
    <font>
      <sz val="10"/>
      <name val="Geneva"/>
      <family val="2"/>
    </font>
    <font>
      <b/>
      <sz val="18"/>
      <color indexed="24"/>
      <name val="Arial"/>
      <family val="2"/>
    </font>
    <font>
      <b/>
      <sz val="9"/>
      <name val="Helvetica 65"/>
      <family val="2"/>
    </font>
    <font>
      <b/>
      <sz val="8"/>
      <name val="Times New Roman"/>
      <family val="1"/>
    </font>
    <font>
      <sz val="8"/>
      <color indexed="12"/>
      <name val="Tms Rmn"/>
      <family val="1"/>
    </font>
    <font>
      <b/>
      <sz val="8"/>
      <color indexed="12"/>
      <name val="Times New Roman"/>
      <family val="1"/>
    </font>
    <font>
      <b/>
      <sz val="10"/>
      <color indexed="12"/>
      <name val="Arial"/>
      <family val="2"/>
    </font>
    <font>
      <sz val="7"/>
      <name val="Times New Roman"/>
      <family val="1"/>
    </font>
    <font>
      <sz val="10"/>
      <color indexed="18"/>
      <name val="Times New Roman"/>
      <family val="1"/>
    </font>
    <font>
      <sz val="11"/>
      <name val="Tms Rmn"/>
    </font>
    <font>
      <sz val="24"/>
      <name val="MS Sans Serif"/>
      <family val="2"/>
    </font>
    <font>
      <b/>
      <sz val="14"/>
      <name val="Tms Rmn"/>
    </font>
    <font>
      <sz val="9"/>
      <name val="Helvetica 45"/>
    </font>
    <font>
      <sz val="11"/>
      <name val="Book Antiqua"/>
      <family val="1"/>
    </font>
    <font>
      <sz val="1"/>
      <color indexed="8"/>
      <name val="Courier"/>
      <family val="3"/>
    </font>
    <font>
      <i/>
      <sz val="8"/>
      <color indexed="12"/>
      <name val="Times New Roman"/>
      <family val="1"/>
    </font>
    <font>
      <sz val="11"/>
      <name val="Times New Roman"/>
      <family val="1"/>
    </font>
    <font>
      <sz val="11"/>
      <color indexed="19"/>
      <name val="Calibri"/>
      <family val="2"/>
    </font>
    <font>
      <sz val="10.5"/>
      <name val="Frutiger 45 Light"/>
      <family val="2"/>
    </font>
    <font>
      <i/>
      <sz val="10"/>
      <name val="Arial"/>
      <family val="2"/>
    </font>
    <font>
      <b/>
      <sz val="1"/>
      <color indexed="8"/>
      <name val="Courier"/>
      <family val="3"/>
    </font>
    <font>
      <b/>
      <sz val="8"/>
      <color indexed="10"/>
      <name val="Times New Roman"/>
      <family val="1"/>
    </font>
    <font>
      <sz val="10"/>
      <color indexed="23"/>
      <name val="MS Sans Serif"/>
      <family val="2"/>
    </font>
    <font>
      <b/>
      <sz val="12"/>
      <name val="MS Sans Serif"/>
      <family val="2"/>
    </font>
    <font>
      <b/>
      <sz val="9"/>
      <color indexed="12"/>
      <name val="Times New Roman"/>
      <family val="1"/>
    </font>
    <font>
      <u/>
      <sz val="8"/>
      <name val="Times New Roman"/>
      <family val="1"/>
    </font>
    <font>
      <b/>
      <sz val="13"/>
      <name val="Arial"/>
      <family val="2"/>
    </font>
    <font>
      <b/>
      <sz val="7"/>
      <name val="Arial"/>
      <family val="2"/>
    </font>
    <font>
      <sz val="12"/>
      <color theme="1"/>
      <name val="Cambria"/>
      <family val="2"/>
      <charset val="134"/>
      <scheme val="minor"/>
    </font>
    <font>
      <sz val="12"/>
      <color theme="1"/>
      <name val="Cambria"/>
      <family val="2"/>
      <scheme val="minor"/>
    </font>
    <font>
      <u/>
      <sz val="11"/>
      <color theme="10"/>
      <name val="Cambria"/>
      <family val="2"/>
      <scheme val="minor"/>
    </font>
    <font>
      <u/>
      <sz val="11"/>
      <color theme="10"/>
      <name val="Calibri"/>
      <family val="2"/>
    </font>
    <font>
      <sz val="11"/>
      <color theme="1"/>
      <name val="Book Antiqua"/>
      <family val="2"/>
    </font>
    <font>
      <sz val="10"/>
      <name val="Verdana"/>
      <family val="2"/>
    </font>
    <font>
      <u val="singleAccounting"/>
      <sz val="11"/>
      <name val="Times New Roman"/>
      <family val="1"/>
    </font>
    <font>
      <b/>
      <sz val="9"/>
      <color indexed="0"/>
      <name val="Arial"/>
      <family val="2"/>
    </font>
    <font>
      <sz val="9"/>
      <color indexed="0"/>
      <name val="Arial"/>
      <family val="2"/>
    </font>
    <font>
      <sz val="11"/>
      <color indexed="12"/>
      <name val="Times New Roman"/>
      <family val="1"/>
    </font>
    <font>
      <sz val="10"/>
      <color rgb="FF005BE2"/>
      <name val="Arial"/>
      <family val="2"/>
    </font>
    <font>
      <b/>
      <sz val="15"/>
      <color theme="3"/>
      <name val="Frutiger 45 Light"/>
      <family val="2"/>
    </font>
    <font>
      <b/>
      <sz val="13"/>
      <color theme="3"/>
      <name val="Frutiger 45 Light"/>
      <family val="2"/>
    </font>
    <font>
      <b/>
      <sz val="11"/>
      <color theme="3"/>
      <name val="Frutiger 45 Light"/>
      <family val="2"/>
    </font>
    <font>
      <sz val="10.5"/>
      <color rgb="FF006100"/>
      <name val="Frutiger 45 Light"/>
      <family val="2"/>
    </font>
    <font>
      <sz val="10.5"/>
      <color rgb="FF9C0006"/>
      <name val="Frutiger 45 Light"/>
      <family val="2"/>
    </font>
    <font>
      <sz val="10.5"/>
      <color rgb="FF9C6500"/>
      <name val="Frutiger 45 Light"/>
      <family val="2"/>
    </font>
    <font>
      <sz val="10.5"/>
      <color rgb="FF3F3F76"/>
      <name val="Frutiger 45 Light"/>
      <family val="2"/>
    </font>
    <font>
      <b/>
      <sz val="10.5"/>
      <color rgb="FF3F3F3F"/>
      <name val="Frutiger 45 Light"/>
      <family val="2"/>
    </font>
    <font>
      <b/>
      <sz val="10.5"/>
      <color rgb="FFFA7D00"/>
      <name val="Frutiger 45 Light"/>
      <family val="2"/>
    </font>
    <font>
      <sz val="10.5"/>
      <color rgb="FFFA7D00"/>
      <name val="Frutiger 45 Light"/>
      <family val="2"/>
    </font>
    <font>
      <b/>
      <sz val="10.5"/>
      <color theme="0"/>
      <name val="Frutiger 45 Light"/>
      <family val="2"/>
    </font>
    <font>
      <sz val="10.5"/>
      <color rgb="FFFF0000"/>
      <name val="Frutiger 45 Light"/>
      <family val="2"/>
    </font>
    <font>
      <i/>
      <sz val="10.5"/>
      <color rgb="FF7F7F7F"/>
      <name val="Frutiger 45 Light"/>
      <family val="2"/>
    </font>
    <font>
      <b/>
      <sz val="10.5"/>
      <color theme="1"/>
      <name val="Frutiger 45 Light"/>
      <family val="2"/>
    </font>
    <font>
      <b/>
      <sz val="10"/>
      <color indexed="8"/>
      <name val="Arial"/>
      <family val="2"/>
    </font>
    <font>
      <i/>
      <sz val="10"/>
      <color theme="1"/>
      <name val="Arial"/>
      <family val="2"/>
    </font>
    <font>
      <b/>
      <sz val="8.5"/>
      <color indexed="8"/>
      <name val="Arial"/>
      <family val="2"/>
    </font>
    <font>
      <sz val="10"/>
      <color theme="1"/>
      <name val="Georgia"/>
      <family val="2"/>
    </font>
    <font>
      <b/>
      <sz val="9"/>
      <color theme="0"/>
      <name val="Arial"/>
      <family val="2"/>
    </font>
    <font>
      <b/>
      <sz val="11"/>
      <color theme="1"/>
      <name val="Cambria"/>
      <family val="1"/>
      <scheme val="minor"/>
    </font>
    <font>
      <b/>
      <sz val="11"/>
      <color theme="0"/>
      <name val="Cambria"/>
      <family val="1"/>
      <scheme val="minor"/>
    </font>
    <font>
      <sz val="9"/>
      <color indexed="81"/>
      <name val="Tahoma"/>
      <family val="2"/>
    </font>
    <font>
      <b/>
      <sz val="9"/>
      <color indexed="81"/>
      <name val="Tahoma"/>
      <family val="2"/>
    </font>
    <font>
      <sz val="11"/>
      <color theme="1"/>
      <name val="Calibri"/>
      <family val="2"/>
    </font>
    <font>
      <sz val="11"/>
      <color rgb="FF0000FF"/>
      <name val="Calibri"/>
      <family val="2"/>
    </font>
    <font>
      <b/>
      <sz val="11"/>
      <color theme="1"/>
      <name val="Calibri"/>
      <family val="2"/>
    </font>
    <font>
      <sz val="11"/>
      <color theme="0"/>
      <name val="Calibri"/>
      <family val="2"/>
    </font>
    <font>
      <b/>
      <sz val="11"/>
      <color theme="0"/>
      <name val="Calibri"/>
      <family val="2"/>
    </font>
    <font>
      <sz val="11"/>
      <color rgb="FF000000"/>
      <name val="Calibri"/>
      <family val="2"/>
    </font>
    <font>
      <b/>
      <sz val="11"/>
      <color rgb="FF000000"/>
      <name val="Calibri"/>
      <family val="2"/>
    </font>
    <font>
      <sz val="11"/>
      <color rgb="FF00B050"/>
      <name val="Calibri"/>
      <family val="2"/>
    </font>
    <font>
      <sz val="10"/>
      <color rgb="FF0000FF"/>
      <name val="Arial"/>
      <family val="2"/>
    </font>
    <font>
      <sz val="10"/>
      <color indexed="81"/>
      <name val="Tahoma"/>
      <family val="2"/>
    </font>
    <font>
      <b/>
      <sz val="10"/>
      <color indexed="81"/>
      <name val="Tahoma"/>
      <family val="2"/>
    </font>
    <font>
      <b/>
      <i/>
      <sz val="9"/>
      <color indexed="8"/>
      <name val="Arial"/>
      <family val="2"/>
    </font>
    <font>
      <b/>
      <sz val="9"/>
      <color indexed="8"/>
      <name val="Arial"/>
      <family val="2"/>
    </font>
    <font>
      <i/>
      <sz val="9"/>
      <color indexed="8"/>
      <name val="Arial"/>
      <family val="2"/>
    </font>
    <font>
      <sz val="9"/>
      <color indexed="8"/>
      <name val="Arial"/>
      <family val="2"/>
    </font>
    <font>
      <sz val="9"/>
      <color indexed="10"/>
      <name val="Arial"/>
      <family val="2"/>
    </font>
    <font>
      <b/>
      <i/>
      <sz val="9"/>
      <name val="Arial"/>
      <family val="2"/>
    </font>
    <font>
      <u/>
      <sz val="9"/>
      <name val="Arial"/>
      <family val="2"/>
    </font>
    <font>
      <sz val="8.5"/>
      <name val="Arial"/>
      <family val="2"/>
    </font>
    <font>
      <i/>
      <sz val="8.5"/>
      <color indexed="8"/>
      <name val="Arial"/>
      <family val="2"/>
    </font>
    <font>
      <i/>
      <sz val="8.5"/>
      <name val="Arial"/>
      <family val="2"/>
    </font>
    <font>
      <i/>
      <sz val="9"/>
      <color theme="0"/>
      <name val="Arial"/>
      <family val="2"/>
    </font>
    <font>
      <b/>
      <i/>
      <sz val="8.5"/>
      <color indexed="8"/>
      <name val="Arial"/>
      <family val="2"/>
    </font>
    <font>
      <b/>
      <i/>
      <sz val="10"/>
      <color theme="1"/>
      <name val="Cambria"/>
      <family val="2"/>
      <scheme val="minor"/>
    </font>
    <font>
      <i/>
      <sz val="8.5"/>
      <color theme="1"/>
      <name val="Arial"/>
      <family val="2"/>
    </font>
    <font>
      <i/>
      <sz val="8.5"/>
      <color theme="1"/>
      <name val="Cambria"/>
      <family val="2"/>
      <scheme val="minor"/>
    </font>
    <font>
      <sz val="8.5"/>
      <color theme="1"/>
      <name val="Cambria"/>
      <family val="2"/>
      <scheme val="minor"/>
    </font>
    <font>
      <i/>
      <sz val="8.5"/>
      <color rgb="FF0000FF"/>
      <name val="Arial"/>
      <family val="2"/>
    </font>
    <font>
      <i/>
      <sz val="8.5"/>
      <color rgb="FF000000"/>
      <name val="Arial"/>
      <family val="2"/>
    </font>
    <font>
      <sz val="10"/>
      <color rgb="FF000000"/>
      <name val="Arial"/>
      <family val="2"/>
    </font>
    <font>
      <sz val="8"/>
      <name val="Calibri"/>
      <family val="2"/>
    </font>
    <font>
      <sz val="12"/>
      <name val="Helv"/>
    </font>
    <font>
      <u/>
      <sz val="16"/>
      <color indexed="12"/>
      <name val="Calibri"/>
      <family val="2"/>
    </font>
    <font>
      <b/>
      <sz val="14"/>
      <name val="Arial"/>
      <family val="2"/>
    </font>
    <font>
      <b/>
      <sz val="12"/>
      <color indexed="9"/>
      <name val="Arial"/>
      <family val="2"/>
    </font>
    <font>
      <sz val="10"/>
      <color indexed="18"/>
      <name val="Arial"/>
      <family val="2"/>
    </font>
    <font>
      <sz val="10"/>
      <color indexed="9"/>
      <name val="Arial"/>
      <family val="2"/>
    </font>
    <font>
      <i/>
      <sz val="12"/>
      <name val="Arial"/>
      <family val="2"/>
    </font>
    <font>
      <sz val="12"/>
      <color indexed="9"/>
      <name val="Arial"/>
      <family val="2"/>
    </font>
    <font>
      <b/>
      <sz val="14"/>
      <color indexed="9"/>
      <name val="Arial"/>
      <family val="2"/>
    </font>
    <font>
      <sz val="12"/>
      <color indexed="8"/>
      <name val="Arial"/>
      <family val="2"/>
    </font>
    <font>
      <b/>
      <sz val="12"/>
      <color indexed="10"/>
      <name val="Arial"/>
      <family val="2"/>
    </font>
    <font>
      <b/>
      <sz val="10"/>
      <color rgb="FF000000"/>
      <name val="Arial"/>
      <family val="2"/>
    </font>
    <font>
      <i/>
      <sz val="8"/>
      <color rgb="FF000000"/>
      <name val="Arial"/>
      <family val="2"/>
    </font>
    <font>
      <sz val="10"/>
      <color rgb="FF0000FF"/>
      <name val="Cambria"/>
      <family val="2"/>
      <scheme val="minor"/>
    </font>
    <font>
      <sz val="10"/>
      <color rgb="FF000000"/>
      <name val="Cambria"/>
      <family val="2"/>
      <scheme val="minor"/>
    </font>
    <font>
      <b/>
      <sz val="9"/>
      <color indexed="81"/>
      <name val="Tahoma"/>
      <charset val="1"/>
    </font>
  </fonts>
  <fills count="9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8"/>
      </patternFill>
    </fill>
    <fill>
      <patternFill patternType="solid">
        <fgColor indexed="56"/>
      </patternFill>
    </fill>
    <fill>
      <patternFill patternType="solid">
        <fgColor indexed="9"/>
      </patternFill>
    </fill>
    <fill>
      <patternFill patternType="solid">
        <fgColor indexed="63"/>
      </patternFill>
    </fill>
    <fill>
      <patternFill patternType="mediumGray">
        <fgColor indexed="22"/>
      </patternFill>
    </fill>
    <fill>
      <patternFill patternType="solid">
        <fgColor theme="6" tint="0.39997558519241921"/>
        <bgColor indexed="64"/>
      </patternFill>
    </fill>
    <fill>
      <patternFill patternType="solid">
        <fgColor theme="9" tint="0.59999389629810485"/>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indexed="15"/>
        <bgColor indexed="64"/>
      </patternFill>
    </fill>
    <fill>
      <patternFill patternType="solid">
        <fgColor indexed="42"/>
        <bgColor indexed="64"/>
      </patternFill>
    </fill>
    <fill>
      <patternFill patternType="lightGray">
        <fgColor indexed="13"/>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indexed="13"/>
        <bgColor indexed="64"/>
      </patternFill>
    </fill>
    <fill>
      <patternFill patternType="lightGray">
        <fgColor indexed="12"/>
      </patternFill>
    </fill>
    <fill>
      <patternFill patternType="solid">
        <fgColor indexed="54"/>
      </patternFill>
    </fill>
    <fill>
      <patternFill patternType="gray125">
        <fgColor indexed="22"/>
      </patternFill>
    </fill>
    <fill>
      <patternFill patternType="solid">
        <fgColor indexed="13"/>
      </patternFill>
    </fill>
    <fill>
      <patternFill patternType="solid">
        <fgColor rgb="FF005B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
      <patternFill patternType="solid">
        <fgColor rgb="FF0070C0"/>
        <bgColor indexed="64"/>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indexed="57"/>
        <bgColor indexed="64"/>
      </patternFill>
    </fill>
    <fill>
      <patternFill patternType="solid">
        <fgColor rgb="FF002060"/>
        <bgColor indexed="64"/>
      </patternFill>
    </fill>
  </fills>
  <borders count="158">
    <border>
      <left/>
      <right/>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auto="1"/>
      </right>
      <top style="medium">
        <color auto="1"/>
      </top>
      <bottom style="hair">
        <color auto="1"/>
      </bottom>
      <diagonal/>
    </border>
    <border>
      <left style="thin">
        <color auto="1"/>
      </left>
      <right style="thin">
        <color auto="1"/>
      </right>
      <top style="hair">
        <color auto="1"/>
      </top>
      <bottom/>
      <diagonal/>
    </border>
    <border>
      <left style="double">
        <color indexed="62"/>
      </left>
      <right style="double">
        <color indexed="62"/>
      </right>
      <top style="double">
        <color indexed="62"/>
      </top>
      <bottom style="double">
        <color indexed="62"/>
      </bottom>
      <diagonal/>
    </border>
    <border>
      <left/>
      <right/>
      <top/>
      <bottom style="thick">
        <color indexed="48"/>
      </bottom>
      <diagonal/>
    </border>
    <border>
      <left/>
      <right/>
      <top/>
      <bottom style="medium">
        <color indexed="48"/>
      </bottom>
      <diagonal/>
    </border>
    <border>
      <left style="medium">
        <color auto="1"/>
      </left>
      <right style="medium">
        <color auto="1"/>
      </right>
      <top style="medium">
        <color auto="1"/>
      </top>
      <bottom style="hair">
        <color auto="1"/>
      </bottom>
      <diagonal/>
    </border>
    <border>
      <left/>
      <right/>
      <top/>
      <bottom style="double">
        <color indexed="5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bottom style="medium">
        <color auto="1"/>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auto="1"/>
      </top>
      <bottom style="thin">
        <color auto="1"/>
      </bottom>
      <diagonal/>
    </border>
    <border>
      <left style="medium">
        <color indexed="64"/>
      </left>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dotted">
        <color indexed="64"/>
      </left>
      <right/>
      <top/>
      <bottom style="dotted">
        <color indexed="6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style="thin">
        <color indexed="9"/>
      </left>
      <right style="thin">
        <color indexed="9"/>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style="thick">
        <color indexed="9"/>
      </left>
      <right style="thick">
        <color indexed="9"/>
      </right>
      <top/>
      <bottom style="double">
        <color indexed="64"/>
      </bottom>
      <diagonal/>
    </border>
    <border>
      <left/>
      <right/>
      <top style="thin">
        <color indexed="62"/>
      </top>
      <bottom style="double">
        <color indexed="62"/>
      </bottom>
      <diagonal/>
    </border>
    <border>
      <left style="thick">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8"/>
      </top>
      <bottom/>
      <diagonal/>
    </border>
    <border>
      <left/>
      <right/>
      <top/>
      <bottom style="double">
        <color indexed="10"/>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diagonalDown="1">
      <left/>
      <right/>
      <top/>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indexed="64"/>
      </top>
      <bottom style="thin">
        <color indexed="64"/>
      </bottom>
      <diagonal/>
    </border>
    <border>
      <left/>
      <right/>
      <top style="thin">
        <color indexed="64"/>
      </top>
      <bottom/>
      <diagonal/>
    </border>
    <border>
      <left/>
      <right/>
      <top style="medium">
        <color indexed="8"/>
      </top>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auto="1"/>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auto="1"/>
      </left>
      <right/>
      <top/>
      <bottom/>
      <diagonal/>
    </border>
    <border>
      <left/>
      <right style="thin">
        <color indexed="64"/>
      </right>
      <top style="thin">
        <color indexed="64"/>
      </top>
      <bottom style="thin">
        <color indexed="64"/>
      </bottom>
      <diagonal/>
    </border>
  </borders>
  <cellStyleXfs count="3620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xf numFmtId="0" fontId="16" fillId="0" borderId="0"/>
    <xf numFmtId="0" fontId="1" fillId="0" borderId="0"/>
    <xf numFmtId="0" fontId="2"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75" fontId="18" fillId="0" borderId="0"/>
    <xf numFmtId="175" fontId="19" fillId="0" borderId="0"/>
    <xf numFmtId="44" fontId="18" fillId="0" borderId="0" applyFont="0" applyFill="0" applyBorder="0" applyAlignment="0" applyProtection="0"/>
    <xf numFmtId="175" fontId="18" fillId="0" borderId="0"/>
    <xf numFmtId="175" fontId="19" fillId="0" borderId="0"/>
    <xf numFmtId="176" fontId="20" fillId="0" borderId="0"/>
    <xf numFmtId="0" fontId="2" fillId="0" borderId="0"/>
    <xf numFmtId="43" fontId="2" fillId="0" borderId="0" applyFont="0" applyFill="0" applyBorder="0" applyAlignment="0" applyProtection="0"/>
    <xf numFmtId="0" fontId="9" fillId="0" borderId="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28" fillId="27"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4" borderId="0" applyNumberFormat="0" applyBorder="0" applyAlignment="0" applyProtection="0"/>
    <xf numFmtId="0" fontId="29" fillId="18" borderId="0" applyNumberFormat="0" applyBorder="0" applyAlignment="0" applyProtection="0"/>
    <xf numFmtId="0" fontId="30" fillId="35" borderId="23" applyNumberFormat="0" applyAlignment="0" applyProtection="0"/>
    <xf numFmtId="0" fontId="31" fillId="36" borderId="24" applyNumberFormat="0" applyAlignment="0" applyProtection="0"/>
    <xf numFmtId="0" fontId="32" fillId="0" borderId="0" applyNumberFormat="0" applyFill="0" applyBorder="0" applyAlignment="0" applyProtection="0"/>
    <xf numFmtId="0" fontId="33" fillId="19" borderId="0" applyNumberFormat="0" applyBorder="0" applyAlignment="0" applyProtection="0"/>
    <xf numFmtId="0" fontId="34" fillId="0" borderId="25" applyNumberFormat="0" applyFill="0" applyAlignment="0" applyProtection="0"/>
    <xf numFmtId="0" fontId="35" fillId="0" borderId="26" applyNumberFormat="0" applyFill="0" applyAlignment="0" applyProtection="0"/>
    <xf numFmtId="0" fontId="36" fillId="0" borderId="27" applyNumberFormat="0" applyFill="0" applyAlignment="0" applyProtection="0"/>
    <xf numFmtId="0" fontId="36" fillId="0" borderId="0" applyNumberFormat="0" applyFill="0" applyBorder="0" applyAlignment="0" applyProtection="0"/>
    <xf numFmtId="0" fontId="37" fillId="22" borderId="23" applyNumberFormat="0" applyAlignment="0" applyProtection="0"/>
    <xf numFmtId="0" fontId="38" fillId="0" borderId="28" applyNumberFormat="0" applyFill="0" applyAlignment="0" applyProtection="0"/>
    <xf numFmtId="0" fontId="39" fillId="37" borderId="0" applyNumberFormat="0" applyBorder="0" applyAlignment="0" applyProtection="0"/>
    <xf numFmtId="0" fontId="2" fillId="38" borderId="29" applyNumberFormat="0" applyFont="0" applyAlignment="0" applyProtection="0"/>
    <xf numFmtId="0" fontId="40" fillId="35" borderId="30" applyNumberFormat="0" applyAlignment="0" applyProtection="0"/>
    <xf numFmtId="0" fontId="41" fillId="0" borderId="0" applyNumberFormat="0" applyFill="0" applyBorder="0" applyAlignment="0" applyProtection="0"/>
    <xf numFmtId="0" fontId="42" fillId="0" borderId="31" applyNumberFormat="0" applyFill="0" applyAlignment="0" applyProtection="0"/>
    <xf numFmtId="0" fontId="43" fillId="0" borderId="0" applyNumberFormat="0" applyFill="0" applyBorder="0" applyAlignment="0" applyProtection="0"/>
    <xf numFmtId="0" fontId="1" fillId="0" borderId="0"/>
    <xf numFmtId="9"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177" fontId="44" fillId="0" borderId="32" applyFill="0" applyBorder="0" applyProtection="0">
      <alignment horizontal="right"/>
      <protection locked="0"/>
    </xf>
    <xf numFmtId="178" fontId="44" fillId="0" borderId="32" applyFill="0" applyBorder="0" applyProtection="0">
      <alignment horizontal="right"/>
      <protection locked="0"/>
    </xf>
    <xf numFmtId="179" fontId="44" fillId="0" borderId="32" applyFill="0" applyBorder="0" applyProtection="0">
      <alignment horizontal="right"/>
      <protection locked="0"/>
    </xf>
    <xf numFmtId="0" fontId="10" fillId="22"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0" fillId="2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0" fillId="3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0" fillId="2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0"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0" fillId="3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0" fillId="3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0" fillId="35"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0" fillId="3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28" fillId="39" borderId="0" applyNumberFormat="0" applyBorder="0" applyAlignment="0" applyProtection="0"/>
    <xf numFmtId="0" fontId="28" fillId="37"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24"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34" borderId="0" applyNumberFormat="0" applyBorder="0" applyAlignment="0" applyProtection="0"/>
    <xf numFmtId="0" fontId="28" fillId="39" borderId="0" applyNumberFormat="0" applyBorder="0" applyAlignment="0" applyProtection="0"/>
    <xf numFmtId="0" fontId="28" fillId="30" borderId="0" applyNumberFormat="0" applyBorder="0" applyAlignment="0" applyProtection="0"/>
    <xf numFmtId="0" fontId="45" fillId="0" borderId="33" applyNumberFormat="0" applyBorder="0" applyAlignment="0" applyProtection="0">
      <alignment horizontal="center" vertical="top"/>
      <protection locked="0"/>
    </xf>
    <xf numFmtId="0" fontId="46" fillId="3" borderId="33" applyNumberFormat="0" applyBorder="0" applyAlignment="0" applyProtection="0">
      <alignment horizontal="center" vertical="top"/>
      <protection locked="0"/>
    </xf>
    <xf numFmtId="0" fontId="47" fillId="41" borderId="23" applyNumberFormat="0" applyAlignment="0" applyProtection="0"/>
    <xf numFmtId="0" fontId="31" fillId="42" borderId="34"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0" fontId="48" fillId="0" borderId="0" applyFill="0" applyBorder="0" applyProtection="0">
      <alignment horizontal="centerContinuous"/>
      <protection locked="0"/>
    </xf>
    <xf numFmtId="0" fontId="4" fillId="0" borderId="14" applyNumberFormat="0" applyAlignment="0" applyProtection="0">
      <alignment horizontal="left" vertical="center"/>
    </xf>
    <xf numFmtId="0" fontId="4" fillId="0" borderId="1">
      <alignment horizontal="left" vertical="center"/>
    </xf>
    <xf numFmtId="0" fontId="49" fillId="0" borderId="35" applyNumberFormat="0" applyFill="0" applyAlignment="0" applyProtection="0"/>
    <xf numFmtId="0" fontId="50" fillId="0" borderId="26" applyNumberFormat="0" applyFill="0" applyAlignment="0" applyProtection="0"/>
    <xf numFmtId="0" fontId="51" fillId="0" borderId="36" applyNumberFormat="0" applyFill="0" applyAlignment="0" applyProtection="0"/>
    <xf numFmtId="0" fontId="51" fillId="0" borderId="0" applyNumberFormat="0" applyFill="0" applyBorder="0" applyAlignment="0" applyProtection="0"/>
    <xf numFmtId="181" fontId="44" fillId="0" borderId="37" applyFill="0" applyBorder="0" applyProtection="0">
      <alignment horizontal="center"/>
      <protection locked="0"/>
    </xf>
    <xf numFmtId="182" fontId="44" fillId="0" borderId="37" applyFill="0" applyBorder="0" applyProtection="0">
      <alignment horizontal="center"/>
      <protection locked="0"/>
    </xf>
    <xf numFmtId="0" fontId="52" fillId="37" borderId="23" applyNumberFormat="0" applyAlignment="0" applyProtection="0"/>
    <xf numFmtId="0" fontId="53" fillId="0" borderId="38" applyNumberFormat="0" applyFill="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7" fontId="44" fillId="0" borderId="37" applyFill="0" applyBorder="0" applyProtection="0">
      <alignment horizontal="center"/>
      <protection locked="0"/>
    </xf>
    <xf numFmtId="0" fontId="54" fillId="37" borderId="0" applyNumberFormat="0" applyBorder="0" applyAlignment="0" applyProtection="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38" borderId="29"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188" fontId="44" fillId="0" borderId="37" applyFill="0" applyBorder="0" applyProtection="0">
      <alignment horizontal="center"/>
      <protection locked="0"/>
    </xf>
    <xf numFmtId="0" fontId="55" fillId="41" borderId="39"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 fontId="45" fillId="0" borderId="40" applyNumberFormat="0" applyFont="0" applyFill="0" applyAlignment="0" applyProtection="0">
      <alignment horizontal="center"/>
    </xf>
    <xf numFmtId="0"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5" fontId="15" fillId="0" borderId="0" applyFont="0" applyFill="0" applyBorder="0" applyAlignment="0" applyProtection="0"/>
    <xf numFmtId="15" fontId="15" fillId="0" borderId="0" applyFont="0" applyFill="0" applyBorder="0" applyAlignment="0" applyProtection="0"/>
    <xf numFmtId="4" fontId="15" fillId="0" borderId="0" applyFont="0" applyFill="0" applyBorder="0" applyAlignment="0" applyProtection="0"/>
    <xf numFmtId="4" fontId="15" fillId="0" borderId="0" applyFont="0" applyFill="0" applyBorder="0" applyAlignment="0" applyProtection="0"/>
    <xf numFmtId="0" fontId="56" fillId="0" borderId="19">
      <alignment horizontal="center"/>
    </xf>
    <xf numFmtId="3" fontId="15" fillId="0" borderId="0" applyFont="0" applyFill="0" applyBorder="0" applyAlignment="0" applyProtection="0"/>
    <xf numFmtId="3" fontId="15" fillId="0" borderId="0" applyFont="0" applyFill="0" applyBorder="0" applyAlignment="0" applyProtection="0"/>
    <xf numFmtId="0" fontId="15" fillId="43" borderId="0" applyNumberFormat="0" applyFont="0" applyBorder="0" applyAlignment="0" applyProtection="0"/>
    <xf numFmtId="0" fontId="15" fillId="43" borderId="0" applyNumberFormat="0" applyFont="0" applyBorder="0" applyAlignment="0" applyProtection="0"/>
    <xf numFmtId="189" fontId="48" fillId="0" borderId="0" applyFill="0" applyBorder="0" applyProtection="0">
      <alignment horizontal="centerContinuous"/>
      <protection locked="0"/>
    </xf>
    <xf numFmtId="0" fontId="57" fillId="0" borderId="33" applyNumberFormat="0" applyBorder="0" applyAlignment="0" applyProtection="0">
      <alignment horizontal="center" vertical="top"/>
      <protection locked="0"/>
    </xf>
    <xf numFmtId="0" fontId="58" fillId="0" borderId="0" applyNumberFormat="0" applyFill="0" applyBorder="0" applyAlignment="0" applyProtection="0"/>
    <xf numFmtId="0" fontId="42" fillId="0" borderId="41" applyNumberFormat="0" applyFill="0" applyAlignment="0" applyProtection="0"/>
    <xf numFmtId="0" fontId="9" fillId="0" borderId="0"/>
    <xf numFmtId="0" fontId="56" fillId="0" borderId="42">
      <alignment horizontal="center"/>
    </xf>
    <xf numFmtId="193" fontId="15" fillId="0" borderId="0" applyFont="0" applyFill="0" applyBorder="0" applyAlignment="0" applyProtection="0"/>
    <xf numFmtId="194" fontId="15" fillId="0" borderId="0" applyFont="0" applyFill="0" applyBorder="0" applyAlignment="0" applyProtection="0"/>
    <xf numFmtId="195" fontId="15" fillId="0" borderId="0" applyFont="0" applyFill="0" applyBorder="0" applyAlignment="0" applyProtection="0"/>
    <xf numFmtId="0" fontId="7" fillId="0" borderId="0"/>
    <xf numFmtId="0" fontId="7" fillId="0" borderId="0"/>
    <xf numFmtId="0" fontId="72" fillId="46"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37" fontId="15" fillId="0" borderId="0" applyFont="0" applyFill="0" applyBorder="0" applyAlignment="0" applyProtection="0"/>
    <xf numFmtId="196"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39" fontId="15" fillId="0" borderId="0" applyFont="0" applyFill="0" applyBorder="0" applyAlignment="0" applyProtection="0"/>
    <xf numFmtId="198" fontId="15" fillId="0" borderId="6" applyFont="0" applyFill="0" applyBorder="0" applyAlignment="0" applyProtection="0"/>
    <xf numFmtId="199" fontId="15" fillId="0" borderId="0"/>
    <xf numFmtId="200" fontId="15" fillId="0" borderId="0"/>
    <xf numFmtId="200" fontId="15" fillId="0" borderId="0"/>
    <xf numFmtId="199" fontId="15" fillId="0" borderId="0"/>
    <xf numFmtId="199" fontId="15" fillId="0" borderId="0"/>
    <xf numFmtId="199" fontId="15" fillId="0" borderId="0"/>
    <xf numFmtId="44" fontId="2" fillId="0" borderId="0" applyFont="0" applyFill="0" applyBorder="0" applyAlignment="0" applyProtection="0"/>
    <xf numFmtId="196" fontId="73" fillId="0" borderId="0" applyFill="0" applyBorder="0" applyAlignment="0" applyProtection="0">
      <alignment horizontal="left" vertical="center" wrapText="1"/>
    </xf>
    <xf numFmtId="169" fontId="73" fillId="0" borderId="0"/>
    <xf numFmtId="0" fontId="14" fillId="0" borderId="0" applyNumberFormat="0" applyFill="0" applyBorder="0" applyAlignment="0" applyProtection="0">
      <alignment vertical="top"/>
      <protection locked="0"/>
    </xf>
    <xf numFmtId="201" fontId="74" fillId="0" borderId="55" applyBorder="0">
      <alignment horizontal="right"/>
    </xf>
    <xf numFmtId="0" fontId="75" fillId="0" borderId="0"/>
    <xf numFmtId="0" fontId="76" fillId="0" borderId="0"/>
    <xf numFmtId="0" fontId="77" fillId="47" borderId="0"/>
    <xf numFmtId="0" fontId="78" fillId="48" borderId="0"/>
    <xf numFmtId="0" fontId="78" fillId="48" borderId="0"/>
    <xf numFmtId="0" fontId="79"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175" fontId="19" fillId="0" borderId="0"/>
    <xf numFmtId="175" fontId="19" fillId="0" borderId="0"/>
    <xf numFmtId="0" fontId="2" fillId="0" borderId="0"/>
    <xf numFmtId="0" fontId="1" fillId="0" borderId="0"/>
    <xf numFmtId="0" fontId="1" fillId="0" borderId="0"/>
    <xf numFmtId="0" fontId="1" fillId="0" borderId="0"/>
    <xf numFmtId="175" fontId="18" fillId="0" borderId="0"/>
    <xf numFmtId="0" fontId="1" fillId="0" borderId="0"/>
    <xf numFmtId="0" fontId="9" fillId="0" borderId="0"/>
    <xf numFmtId="169" fontId="80" fillId="0" borderId="0" applyBorder="0"/>
    <xf numFmtId="169" fontId="81"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0" fontId="56" fillId="0" borderId="42">
      <alignment horizontal="center"/>
    </xf>
    <xf numFmtId="0" fontId="82" fillId="49" borderId="0"/>
    <xf numFmtId="0" fontId="56" fillId="0" borderId="0" applyNumberFormat="0" applyFill="0" applyBorder="0" applyAlignment="0" applyProtection="0"/>
    <xf numFmtId="0" fontId="83" fillId="0" borderId="0"/>
    <xf numFmtId="0" fontId="84" fillId="0" borderId="0"/>
    <xf numFmtId="0" fontId="21" fillId="0" borderId="0">
      <alignment vertical="top"/>
    </xf>
    <xf numFmtId="0" fontId="8" fillId="0" borderId="0"/>
    <xf numFmtId="0" fontId="8" fillId="0" borderId="0"/>
    <xf numFmtId="0" fontId="12" fillId="0" borderId="0">
      <alignment vertical="top"/>
    </xf>
    <xf numFmtId="0" fontId="85" fillId="0" borderId="0">
      <alignment vertical="top"/>
    </xf>
    <xf numFmtId="0" fontId="100" fillId="0" borderId="0"/>
    <xf numFmtId="0" fontId="121" fillId="0" borderId="0" applyFont="0" applyFill="0" applyBorder="0" applyAlignment="0" applyProtection="0"/>
    <xf numFmtId="0" fontId="121" fillId="0" borderId="0" applyFont="0" applyFill="0" applyBorder="0" applyAlignment="0" applyProtection="0"/>
    <xf numFmtId="0" fontId="122" fillId="0" borderId="0"/>
    <xf numFmtId="0" fontId="121" fillId="0" borderId="0" applyFont="0" applyFill="0" applyBorder="0" applyAlignment="0" applyProtection="0"/>
    <xf numFmtId="0" fontId="122" fillId="0" borderId="0"/>
    <xf numFmtId="0" fontId="121" fillId="0" borderId="0" applyFont="0" applyFill="0" applyBorder="0" applyAlignment="0" applyProtection="0"/>
    <xf numFmtId="0" fontId="123" fillId="0" borderId="0">
      <alignment horizontal="right"/>
    </xf>
    <xf numFmtId="0" fontId="123" fillId="3" borderId="0"/>
    <xf numFmtId="0" fontId="124" fillId="3" borderId="0"/>
    <xf numFmtId="0" fontId="124" fillId="3" borderId="0"/>
    <xf numFmtId="0" fontId="124" fillId="3" borderId="0"/>
    <xf numFmtId="0" fontId="124" fillId="3" borderId="0">
      <alignment horizontal="right"/>
    </xf>
    <xf numFmtId="0" fontId="121" fillId="0" borderId="0" applyFont="0" applyFill="0" applyBorder="0" applyAlignment="0" applyProtection="0"/>
    <xf numFmtId="0" fontId="121" fillId="0" borderId="0" applyFont="0" applyFill="0" applyBorder="0" applyAlignment="0" applyProtection="0"/>
    <xf numFmtId="10" fontId="125" fillId="0" borderId="0" applyFont="0" applyFill="0" applyBorder="0" applyAlignment="0" applyProtection="0"/>
    <xf numFmtId="9" fontId="126" fillId="0" borderId="0"/>
    <xf numFmtId="169" fontId="126" fillId="0" borderId="0"/>
    <xf numFmtId="10" fontId="126" fillId="0" borderId="0"/>
    <xf numFmtId="0" fontId="127" fillId="0" borderId="0" applyNumberFormat="0" applyFill="0" applyBorder="0" applyAlignment="0" applyProtection="0"/>
    <xf numFmtId="0" fontId="97" fillId="0" borderId="0" applyFont="0" applyFill="0" applyBorder="0" applyAlignment="0"/>
    <xf numFmtId="0" fontId="126" fillId="0" borderId="0" applyFont="0" applyFill="0" applyBorder="0" applyAlignment="0" applyProtection="0"/>
    <xf numFmtId="0" fontId="128" fillId="0" borderId="0" applyFont="0" applyFill="0" applyBorder="0" applyAlignment="0" applyProtection="0"/>
    <xf numFmtId="0" fontId="128" fillId="0" borderId="0" applyFont="0" applyFill="0" applyBorder="0" applyAlignment="0" applyProtection="0"/>
    <xf numFmtId="0" fontId="128" fillId="0" borderId="0" applyFont="0" applyFill="0" applyBorder="0" applyAlignment="0" applyProtection="0"/>
    <xf numFmtId="0" fontId="128" fillId="0" borderId="0" applyFont="0" applyFill="0" applyBorder="0" applyAlignment="0" applyProtection="0"/>
    <xf numFmtId="0" fontId="128" fillId="0" borderId="0" applyFont="0" applyFill="0" applyBorder="0" applyAlignment="0" applyProtection="0"/>
    <xf numFmtId="0" fontId="129" fillId="0" borderId="0" applyFont="0" applyFill="0" applyBorder="0" applyAlignment="0" applyProtection="0"/>
    <xf numFmtId="0" fontId="126" fillId="0" borderId="0" applyFont="0" applyFill="0" applyBorder="0" applyAlignment="0" applyProtection="0"/>
    <xf numFmtId="173" fontId="15" fillId="0" borderId="0"/>
    <xf numFmtId="169" fontId="15" fillId="0" borderId="0"/>
    <xf numFmtId="2" fontId="15" fillId="0" borderId="0"/>
    <xf numFmtId="205" fontId="130" fillId="0" borderId="0" applyFont="0" applyFill="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0" borderId="0" applyNumberFormat="0" applyBorder="0" applyAlignment="0" applyProtection="0"/>
    <xf numFmtId="0" fontId="25" fillId="23" borderId="0" applyNumberFormat="0" applyBorder="0" applyAlignment="0" applyProtection="0"/>
    <xf numFmtId="0" fontId="25" fillId="26" borderId="0" applyNumberFormat="0" applyBorder="0" applyAlignment="0" applyProtection="0"/>
    <xf numFmtId="0" fontId="105" fillId="27" borderId="0" applyNumberFormat="0" applyBorder="0" applyAlignment="0" applyProtection="0"/>
    <xf numFmtId="0" fontId="105" fillId="24" borderId="0" applyNumberFormat="0" applyBorder="0" applyAlignment="0" applyProtection="0"/>
    <xf numFmtId="0" fontId="105" fillId="25" borderId="0" applyNumberFormat="0" applyBorder="0" applyAlignment="0" applyProtection="0"/>
    <xf numFmtId="0" fontId="105" fillId="28" borderId="0" applyNumberFormat="0" applyBorder="0" applyAlignment="0" applyProtection="0"/>
    <xf numFmtId="0" fontId="105" fillId="29" borderId="0" applyNumberFormat="0" applyBorder="0" applyAlignment="0" applyProtection="0"/>
    <xf numFmtId="0" fontId="105" fillId="30" borderId="0" applyNumberFormat="0" applyBorder="0" applyAlignment="0" applyProtection="0"/>
    <xf numFmtId="0" fontId="105" fillId="31" borderId="0" applyNumberFormat="0" applyBorder="0" applyAlignment="0" applyProtection="0"/>
    <xf numFmtId="0" fontId="105" fillId="32" borderId="0" applyNumberFormat="0" applyBorder="0" applyAlignment="0" applyProtection="0"/>
    <xf numFmtId="0" fontId="105" fillId="33" borderId="0" applyNumberFormat="0" applyBorder="0" applyAlignment="0" applyProtection="0"/>
    <xf numFmtId="0" fontId="105" fillId="28" borderId="0" applyNumberFormat="0" applyBorder="0" applyAlignment="0" applyProtection="0"/>
    <xf numFmtId="0" fontId="105" fillId="29" borderId="0" applyNumberFormat="0" applyBorder="0" applyAlignment="0" applyProtection="0"/>
    <xf numFmtId="0" fontId="105" fillId="34" borderId="0" applyNumberFormat="0" applyBorder="0" applyAlignment="0" applyProtection="0"/>
    <xf numFmtId="42" fontId="2" fillId="0" borderId="0" applyFont="0" applyFill="0" applyBorder="0" applyAlignment="0" applyProtection="0"/>
    <xf numFmtId="0" fontId="2" fillId="0" borderId="0"/>
    <xf numFmtId="0" fontId="2" fillId="0" borderId="0"/>
    <xf numFmtId="0" fontId="2" fillId="0" borderId="0"/>
    <xf numFmtId="0" fontId="106" fillId="18" borderId="0" applyNumberFormat="0" applyBorder="0" applyAlignment="0" applyProtection="0"/>
    <xf numFmtId="0" fontId="131" fillId="0" borderId="0" applyNumberFormat="0" applyFill="0" applyBorder="0" applyAlignment="0" applyProtection="0"/>
    <xf numFmtId="0" fontId="97" fillId="0" borderId="0"/>
    <xf numFmtId="0" fontId="90" fillId="0" borderId="11" applyNumberFormat="0" applyFill="0" applyAlignment="0" applyProtection="0"/>
    <xf numFmtId="0" fontId="132" fillId="0" borderId="56" applyFill="0" applyProtection="0">
      <alignment horizontal="right"/>
    </xf>
    <xf numFmtId="0" fontId="126" fillId="0" borderId="0" applyFont="0" applyFill="0" applyBorder="0" applyAlignment="0" applyProtection="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107" fillId="35" borderId="57" applyNumberFormat="0" applyAlignment="0" applyProtection="0"/>
    <xf numFmtId="8" fontId="2" fillId="0" borderId="58" applyFont="0" applyFill="0" applyBorder="0" applyProtection="0">
      <alignment horizontal="right"/>
    </xf>
    <xf numFmtId="0" fontId="7" fillId="0" borderId="0" applyAlignment="0"/>
    <xf numFmtId="0" fontId="108" fillId="36" borderId="24" applyNumberFormat="0" applyAlignment="0" applyProtection="0"/>
    <xf numFmtId="0" fontId="72" fillId="46" borderId="0" applyAlignment="0"/>
    <xf numFmtId="0" fontId="133" fillId="0" borderId="0" applyFont="0" applyFill="0" applyBorder="0" applyAlignment="0" applyProtection="0"/>
    <xf numFmtId="40" fontId="2" fillId="0" borderId="0" applyFont="0" applyFill="0" applyBorder="0" applyProtection="0">
      <alignment horizontal="right"/>
    </xf>
    <xf numFmtId="38" fontId="126" fillId="0" borderId="0" applyFill="0" applyBorder="0" applyProtection="0">
      <alignment horizontal="center"/>
    </xf>
    <xf numFmtId="38" fontId="134" fillId="0" borderId="0" applyNumberFormat="0" applyFill="0" applyBorder="0">
      <alignment vertical="center"/>
    </xf>
    <xf numFmtId="7" fontId="2" fillId="0" borderId="0" applyFont="0" applyFill="0" applyBorder="0" applyAlignment="0" applyProtection="0"/>
    <xf numFmtId="0" fontId="97" fillId="0" borderId="0" applyFont="0" applyFill="0" applyBorder="0" applyAlignment="0" applyProtection="0"/>
    <xf numFmtId="8" fontId="135" fillId="0" borderId="0" applyBorder="0"/>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6" fillId="3" borderId="4">
      <alignment horizontal="right"/>
    </xf>
    <xf numFmtId="174" fontId="136" fillId="3" borderId="4">
      <alignment horizontal="right"/>
    </xf>
    <xf numFmtId="0" fontId="136" fillId="3" borderId="4">
      <alignment horizontal="right"/>
    </xf>
    <xf numFmtId="0" fontId="136" fillId="3" borderId="4">
      <alignment horizontal="right"/>
    </xf>
    <xf numFmtId="174" fontId="137" fillId="3" borderId="4">
      <alignment horizontal="right"/>
    </xf>
    <xf numFmtId="0" fontId="136" fillId="3" borderId="4">
      <alignment horizontal="right"/>
    </xf>
    <xf numFmtId="174" fontId="136" fillId="3" borderId="4">
      <alignment horizontal="right"/>
    </xf>
    <xf numFmtId="0" fontId="136" fillId="3" borderId="4">
      <alignment horizontal="right"/>
    </xf>
    <xf numFmtId="0" fontId="136" fillId="3" borderId="4">
      <alignment horizontal="right"/>
    </xf>
    <xf numFmtId="174" fontId="137" fillId="3" borderId="4">
      <alignment horizontal="right"/>
    </xf>
    <xf numFmtId="0"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6" fillId="3" borderId="4">
      <alignment horizontal="right"/>
    </xf>
    <xf numFmtId="174" fontId="136" fillId="3" borderId="4">
      <alignment horizontal="right"/>
    </xf>
    <xf numFmtId="0" fontId="136" fillId="3" borderId="4">
      <alignment horizontal="right"/>
    </xf>
    <xf numFmtId="0" fontId="136" fillId="3" borderId="4">
      <alignment horizontal="right"/>
    </xf>
    <xf numFmtId="174" fontId="137" fillId="3" borderId="4">
      <alignment horizontal="right"/>
    </xf>
    <xf numFmtId="0" fontId="136" fillId="3" borderId="4">
      <alignment horizontal="right"/>
    </xf>
    <xf numFmtId="174" fontId="136" fillId="3" borderId="4">
      <alignment horizontal="right"/>
    </xf>
    <xf numFmtId="0" fontId="136" fillId="3" borderId="4">
      <alignment horizontal="right"/>
    </xf>
    <xf numFmtId="0" fontId="136" fillId="3" borderId="4">
      <alignment horizontal="right"/>
    </xf>
    <xf numFmtId="174" fontId="137" fillId="3" borderId="4">
      <alignment horizontal="right"/>
    </xf>
    <xf numFmtId="0"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7" fillId="3" borderId="4">
      <alignment horizontal="right"/>
    </xf>
    <xf numFmtId="0" fontId="126" fillId="0" borderId="0" applyFont="0" applyFill="0" applyBorder="0" applyAlignment="0" applyProtection="0"/>
    <xf numFmtId="0" fontId="2" fillId="0" borderId="0" applyNumberFormat="0">
      <alignment horizontal="right"/>
    </xf>
    <xf numFmtId="15" fontId="2" fillId="0" borderId="0" applyFont="0" applyFill="0" applyBorder="0" applyProtection="0">
      <alignment horizontal="right"/>
    </xf>
    <xf numFmtId="8" fontId="126" fillId="0" borderId="0" applyFill="0" applyBorder="0" applyProtection="0">
      <alignment horizontal="center"/>
    </xf>
    <xf numFmtId="6" fontId="126" fillId="0" borderId="0">
      <alignment horizontal="center"/>
    </xf>
    <xf numFmtId="8" fontId="126" fillId="0" borderId="0" applyFill="0" applyBorder="0" applyProtection="0">
      <alignment horizontal="center"/>
    </xf>
    <xf numFmtId="0" fontId="129" fillId="0" borderId="0" applyFont="0" applyFill="0" applyBorder="0" applyAlignment="0" applyProtection="0"/>
    <xf numFmtId="4" fontId="126" fillId="0" borderId="0" applyFont="0" applyFill="0" applyBorder="0" applyAlignment="0" applyProtection="0"/>
    <xf numFmtId="174" fontId="129" fillId="0" borderId="0" applyFont="0" applyFill="0" applyBorder="0" applyAlignment="0" applyProtection="0"/>
    <xf numFmtId="0" fontId="124" fillId="50" borderId="0"/>
    <xf numFmtId="0" fontId="124" fillId="50" borderId="0"/>
    <xf numFmtId="0" fontId="125" fillId="50" borderId="0"/>
    <xf numFmtId="0" fontId="125" fillId="0" borderId="0"/>
    <xf numFmtId="0" fontId="124" fillId="50" borderId="0"/>
    <xf numFmtId="0" fontId="136" fillId="0" borderId="0"/>
    <xf numFmtId="0" fontId="136" fillId="0" borderId="0"/>
    <xf numFmtId="0" fontId="121" fillId="0" borderId="0" applyFont="0" applyFill="0" applyBorder="0" applyAlignment="0" applyProtection="0"/>
    <xf numFmtId="0" fontId="138" fillId="0" borderId="0" applyFont="0" applyFill="0" applyBorder="0" applyAlignment="0" applyProtection="0"/>
    <xf numFmtId="0" fontId="109" fillId="0" borderId="0" applyNumberFormat="0" applyFill="0" applyBorder="0" applyAlignment="0" applyProtection="0"/>
    <xf numFmtId="0" fontId="139" fillId="0" borderId="0"/>
    <xf numFmtId="0" fontId="135" fillId="0" borderId="0" applyNumberFormat="0" applyFont="0" applyAlignment="0">
      <alignment vertical="center"/>
    </xf>
    <xf numFmtId="0" fontId="124" fillId="0" borderId="59"/>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7"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24" fillId="3" borderId="4">
      <alignment horizontal="right"/>
    </xf>
    <xf numFmtId="0" fontId="136" fillId="3" borderId="4">
      <alignment horizontal="right"/>
    </xf>
    <xf numFmtId="206" fontId="136" fillId="3" borderId="4">
      <alignment horizontal="right"/>
    </xf>
    <xf numFmtId="0" fontId="136" fillId="3" borderId="4">
      <alignment horizontal="right"/>
    </xf>
    <xf numFmtId="0" fontId="136" fillId="3" borderId="4">
      <alignment horizontal="right"/>
    </xf>
    <xf numFmtId="206" fontId="137"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6" fillId="3" borderId="4">
      <alignment horizontal="right"/>
    </xf>
    <xf numFmtId="208" fontId="136"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37" fillId="3" borderId="4">
      <alignment horizontal="right"/>
    </xf>
    <xf numFmtId="0" fontId="136" fillId="3" borderId="4">
      <alignment horizontal="right"/>
    </xf>
    <xf numFmtId="0" fontId="136" fillId="3" borderId="4">
      <alignment horizontal="right"/>
    </xf>
    <xf numFmtId="0" fontId="137" fillId="3" borderId="4">
      <alignment horizontal="right"/>
    </xf>
    <xf numFmtId="0" fontId="137" fillId="3" borderId="4">
      <alignment horizontal="right"/>
    </xf>
    <xf numFmtId="0" fontId="110" fillId="19" borderId="0" applyNumberFormat="0" applyBorder="0" applyAlignment="0" applyProtection="0"/>
    <xf numFmtId="0" fontId="140" fillId="0" borderId="0">
      <alignment horizontal="center"/>
    </xf>
    <xf numFmtId="0" fontId="11" fillId="0" borderId="0" applyFill="0" applyBorder="0" applyProtection="0">
      <alignment horizontal="right"/>
    </xf>
    <xf numFmtId="0" fontId="111" fillId="0" borderId="25" applyNumberFormat="0" applyFill="0" applyAlignment="0" applyProtection="0"/>
    <xf numFmtId="0" fontId="112" fillId="0" borderId="26" applyNumberFormat="0" applyFill="0" applyAlignment="0" applyProtection="0"/>
    <xf numFmtId="0" fontId="113" fillId="0" borderId="27" applyNumberFormat="0" applyFill="0" applyAlignment="0" applyProtection="0"/>
    <xf numFmtId="0" fontId="113" fillId="0" borderId="0" applyNumberFormat="0" applyFill="0" applyBorder="0" applyAlignment="0" applyProtection="0"/>
    <xf numFmtId="10" fontId="131" fillId="0" borderId="0" applyNumberFormat="0" applyFill="0" applyBorder="0" applyAlignment="0" applyProtection="0">
      <alignment horizontal="right"/>
    </xf>
    <xf numFmtId="0" fontId="114" fillId="22" borderId="57" applyNumberFormat="0" applyAlignment="0" applyProtection="0"/>
    <xf numFmtId="0" fontId="102" fillId="0" borderId="0" applyNumberFormat="0" applyFill="0" applyBorder="0" applyAlignment="0">
      <protection locked="0"/>
    </xf>
    <xf numFmtId="0" fontId="76" fillId="0" borderId="0" applyAlignment="0"/>
    <xf numFmtId="0" fontId="141" fillId="0" borderId="0"/>
    <xf numFmtId="0" fontId="115" fillId="0" borderId="28" applyNumberFormat="0" applyFill="0" applyAlignment="0" applyProtection="0"/>
    <xf numFmtId="196" fontId="2" fillId="0" borderId="0" applyNumberFormat="0" applyFont="0" applyFill="0" applyBorder="0" applyAlignment="0"/>
    <xf numFmtId="0" fontId="123" fillId="0" borderId="0">
      <alignment horizontal="right"/>
    </xf>
    <xf numFmtId="0" fontId="125" fillId="50" borderId="0">
      <alignment horizontal="right"/>
    </xf>
    <xf numFmtId="17" fontId="97" fillId="0" borderId="0"/>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168" fontId="123" fillId="0" borderId="0">
      <alignment horizontal="right"/>
    </xf>
    <xf numFmtId="0" fontId="123" fillId="0" borderId="0">
      <alignment horizontal="right"/>
    </xf>
    <xf numFmtId="0" fontId="123" fillId="0" borderId="0">
      <alignment horizontal="right"/>
    </xf>
    <xf numFmtId="0" fontId="123" fillId="0" borderId="0">
      <alignment horizontal="right"/>
    </xf>
    <xf numFmtId="0" fontId="123" fillId="0" borderId="0">
      <alignment horizontal="right"/>
    </xf>
    <xf numFmtId="168" fontId="123" fillId="0" borderId="0">
      <alignment horizontal="right"/>
    </xf>
    <xf numFmtId="0" fontId="123" fillId="0" borderId="0">
      <alignment horizontal="right"/>
    </xf>
    <xf numFmtId="0" fontId="123" fillId="0" borderId="0">
      <alignment horizontal="right"/>
    </xf>
    <xf numFmtId="0" fontId="123"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3"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168" fontId="123" fillId="0" borderId="0">
      <alignment horizontal="right"/>
    </xf>
    <xf numFmtId="0" fontId="123" fillId="0" borderId="0">
      <alignment horizontal="right"/>
    </xf>
    <xf numFmtId="0" fontId="123" fillId="0" borderId="0">
      <alignment horizontal="right"/>
    </xf>
    <xf numFmtId="0" fontId="123" fillId="0" borderId="0">
      <alignment horizontal="right"/>
    </xf>
    <xf numFmtId="0" fontId="123" fillId="0" borderId="0">
      <alignment horizontal="right"/>
    </xf>
    <xf numFmtId="168" fontId="123" fillId="0" borderId="0">
      <alignment horizontal="right"/>
    </xf>
    <xf numFmtId="0" fontId="123" fillId="0" borderId="0">
      <alignment horizontal="right"/>
    </xf>
    <xf numFmtId="0" fontId="123" fillId="0" borderId="0">
      <alignment horizontal="right"/>
    </xf>
    <xf numFmtId="0" fontId="123"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3" fillId="0" borderId="0">
      <alignment horizontal="right"/>
    </xf>
    <xf numFmtId="205" fontId="123" fillId="0" borderId="0">
      <alignment horizontal="right"/>
    </xf>
    <xf numFmtId="0" fontId="123" fillId="0" borderId="0">
      <alignment horizontal="right"/>
    </xf>
    <xf numFmtId="0" fontId="123" fillId="0" borderId="0">
      <alignment horizontal="right"/>
    </xf>
    <xf numFmtId="0" fontId="123" fillId="0" borderId="0">
      <alignment horizontal="right"/>
    </xf>
    <xf numFmtId="168" fontId="123" fillId="0" borderId="0">
      <alignment horizontal="right"/>
    </xf>
    <xf numFmtId="0" fontId="123" fillId="0" borderId="0">
      <alignment horizontal="right"/>
    </xf>
    <xf numFmtId="0" fontId="123" fillId="0" borderId="0">
      <alignment horizontal="right"/>
    </xf>
    <xf numFmtId="0" fontId="123"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11"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23" fillId="0" borderId="0">
      <alignment horizontal="right"/>
    </xf>
    <xf numFmtId="205" fontId="123" fillId="0" borderId="0">
      <alignment horizontal="right"/>
    </xf>
    <xf numFmtId="0" fontId="123" fillId="0" borderId="0">
      <alignment horizontal="right"/>
    </xf>
    <xf numFmtId="0" fontId="123" fillId="0" borderId="0">
      <alignment horizontal="right"/>
    </xf>
    <xf numFmtId="0" fontId="123" fillId="0" borderId="0">
      <alignment horizontal="right"/>
    </xf>
    <xf numFmtId="168" fontId="123" fillId="0" borderId="0">
      <alignment horizontal="right"/>
    </xf>
    <xf numFmtId="0" fontId="123" fillId="0" borderId="0">
      <alignment horizontal="right"/>
    </xf>
    <xf numFmtId="0" fontId="123" fillId="0" borderId="0">
      <alignment horizontal="right"/>
    </xf>
    <xf numFmtId="0" fontId="123" fillId="0" borderId="0">
      <alignment horizontal="right"/>
    </xf>
    <xf numFmtId="0" fontId="93" fillId="0" borderId="0" applyNumberFormat="0" applyFill="0" applyBorder="0" applyProtection="0"/>
    <xf numFmtId="0" fontId="97" fillId="0" borderId="0" applyNumberFormat="0" applyFill="0" applyBorder="0" applyProtection="0"/>
    <xf numFmtId="38" fontId="142" fillId="0" borderId="0" applyNumberFormat="0" applyFill="0" applyBorder="0">
      <alignment horizontal="left" vertical="center"/>
    </xf>
    <xf numFmtId="0" fontId="143" fillId="0" borderId="0" applyFill="0" applyBorder="0">
      <alignment vertical="center"/>
    </xf>
    <xf numFmtId="0" fontId="124" fillId="50" borderId="4">
      <alignment horizontal="right"/>
    </xf>
    <xf numFmtId="210" fontId="126" fillId="0" borderId="0" applyFill="0" applyBorder="0" applyProtection="0">
      <alignment horizontal="center"/>
    </xf>
    <xf numFmtId="212" fontId="126" fillId="0" borderId="0" applyFont="0" applyFill="0" applyBorder="0" applyAlignment="0" applyProtection="0">
      <alignment horizontal="centerContinuous"/>
      <protection locked="0"/>
    </xf>
    <xf numFmtId="0" fontId="126" fillId="0" borderId="0" applyFont="0" applyFill="0" applyBorder="0" applyAlignment="0" applyProtection="0"/>
    <xf numFmtId="0" fontId="97" fillId="0" borderId="0" applyFont="0" applyFill="0" applyBorder="0" applyAlignment="0" applyProtection="0"/>
    <xf numFmtId="0" fontId="126"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0" fontId="126"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0" fontId="116" fillId="37" borderId="0" applyNumberFormat="0" applyBorder="0" applyAlignment="0" applyProtection="0"/>
    <xf numFmtId="0" fontId="77" fillId="47" borderId="0" applyAlignment="0"/>
    <xf numFmtId="0" fontId="78" fillId="48" borderId="0" applyAlignment="0"/>
    <xf numFmtId="0" fontId="79" fillId="0" borderId="0" applyAlignment="0"/>
    <xf numFmtId="0" fontId="144" fillId="0" borderId="0"/>
    <xf numFmtId="0" fontId="2" fillId="38" borderId="60" applyNumberFormat="0" applyFont="0" applyAlignment="0" applyProtection="0"/>
    <xf numFmtId="0" fontId="145" fillId="0" borderId="0">
      <alignment horizontal="left" vertical="top"/>
      <protection locked="0"/>
    </xf>
    <xf numFmtId="0" fontId="117" fillId="35" borderId="61" applyNumberFormat="0" applyAlignment="0" applyProtection="0"/>
    <xf numFmtId="0" fontId="146" fillId="0" borderId="0" applyFill="0">
      <alignment horizontal="center" vertical="center"/>
    </xf>
    <xf numFmtId="0" fontId="136" fillId="0" borderId="0" applyNumberFormat="0" applyFill="0" applyBorder="0" applyAlignment="0" applyProtection="0"/>
    <xf numFmtId="0" fontId="125" fillId="50" borderId="0"/>
    <xf numFmtId="0" fontId="136" fillId="0" borderId="0"/>
    <xf numFmtId="9" fontId="126" fillId="0" borderId="0" applyFont="0" applyFill="0" applyBorder="0" applyAlignment="0" applyProtection="0"/>
    <xf numFmtId="0" fontId="126" fillId="0" borderId="0" applyFont="0" applyFill="0" applyBorder="0" applyAlignment="0" applyProtection="0"/>
    <xf numFmtId="0" fontId="126" fillId="0" borderId="0" applyFont="0" applyFill="0" applyBorder="0" applyAlignment="0" applyProtection="0"/>
    <xf numFmtId="169" fontId="126" fillId="0" borderId="0" applyFont="0" applyFill="0" applyBorder="0" applyAlignment="0" applyProtection="0"/>
    <xf numFmtId="0" fontId="6" fillId="3" borderId="0" applyFill="0" applyBorder="0" applyAlignment="0" applyProtection="0">
      <protection hidden="1"/>
    </xf>
    <xf numFmtId="216" fontId="2" fillId="0" borderId="0" applyFont="0" applyFill="0" applyBorder="0" applyProtection="0">
      <alignment horizontal="right"/>
    </xf>
    <xf numFmtId="0" fontId="124" fillId="50" borderId="0">
      <alignment horizontal="right"/>
    </xf>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36"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36"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24" fillId="3" borderId="0"/>
    <xf numFmtId="0" fontId="136" fillId="3" borderId="0"/>
    <xf numFmtId="0" fontId="137" fillId="3" borderId="0"/>
    <xf numFmtId="0" fontId="136" fillId="3" borderId="0"/>
    <xf numFmtId="0" fontId="136" fillId="3" borderId="0"/>
    <xf numFmtId="200" fontId="136" fillId="3" borderId="0"/>
    <xf numFmtId="200" fontId="136" fillId="3" borderId="0"/>
    <xf numFmtId="0" fontId="136" fillId="3" borderId="0"/>
    <xf numFmtId="0" fontId="137" fillId="3" borderId="0"/>
    <xf numFmtId="0" fontId="136" fillId="3" borderId="0"/>
    <xf numFmtId="0" fontId="136" fillId="3" borderId="0"/>
    <xf numFmtId="200" fontId="136" fillId="3" borderId="0"/>
    <xf numFmtId="200" fontId="136" fillId="3" borderId="0"/>
    <xf numFmtId="0" fontId="136" fillId="3" borderId="0"/>
    <xf numFmtId="0" fontId="137" fillId="3" borderId="0"/>
    <xf numFmtId="0" fontId="137" fillId="3" borderId="0"/>
    <xf numFmtId="0" fontId="137"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24" fillId="3" borderId="0"/>
    <xf numFmtId="0" fontId="136" fillId="3" borderId="0"/>
    <xf numFmtId="0" fontId="137" fillId="3" borderId="0"/>
    <xf numFmtId="0" fontId="124" fillId="3" borderId="0"/>
    <xf numFmtId="0" fontId="136" fillId="3" borderId="0"/>
    <xf numFmtId="0" fontId="137" fillId="3" borderId="0"/>
    <xf numFmtId="0" fontId="136" fillId="3" borderId="0"/>
    <xf numFmtId="0" fontId="136" fillId="3" borderId="0"/>
    <xf numFmtId="200" fontId="136" fillId="3" borderId="0"/>
    <xf numFmtId="200" fontId="136" fillId="3" borderId="0"/>
    <xf numFmtId="0" fontId="136" fillId="3" borderId="0"/>
    <xf numFmtId="0" fontId="137" fillId="3" borderId="0"/>
    <xf numFmtId="0" fontId="136" fillId="3" borderId="0"/>
    <xf numFmtId="0" fontId="136" fillId="3" borderId="0"/>
    <xf numFmtId="200" fontId="136" fillId="3" borderId="0"/>
    <xf numFmtId="200" fontId="136" fillId="3" borderId="0"/>
    <xf numFmtId="0" fontId="136" fillId="3" borderId="0"/>
    <xf numFmtId="0" fontId="137" fillId="3" borderId="0"/>
    <xf numFmtId="0" fontId="137" fillId="3" borderId="0"/>
    <xf numFmtId="0" fontId="137" fillId="3" borderId="0"/>
    <xf numFmtId="0" fontId="147" fillId="0" borderId="0">
      <alignment horizontal="center"/>
    </xf>
    <xf numFmtId="0" fontId="122" fillId="0" borderId="11">
      <alignment horizontal="centerContinuous"/>
    </xf>
    <xf numFmtId="0" fontId="136" fillId="3" borderId="0">
      <alignment horizontal="right"/>
    </xf>
    <xf numFmtId="0" fontId="123" fillId="0" borderId="0">
      <alignment horizontal="center"/>
    </xf>
    <xf numFmtId="0" fontId="136" fillId="3" borderId="4">
      <alignment horizontal="right"/>
    </xf>
    <xf numFmtId="204" fontId="148" fillId="0" borderId="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58">
      <alignment horizontal="centerContinuous"/>
    </xf>
    <xf numFmtId="0" fontId="96" fillId="0" borderId="58">
      <alignment horizontal="centerContinuous"/>
    </xf>
    <xf numFmtId="0" fontId="96" fillId="0" borderId="58">
      <alignment horizontal="centerContinuous"/>
    </xf>
    <xf numFmtId="0" fontId="96" fillId="0" borderId="58">
      <alignment horizontal="centerContinuous"/>
    </xf>
    <xf numFmtId="0" fontId="96" fillId="0" borderId="58">
      <alignment horizontal="centerContinuous"/>
    </xf>
    <xf numFmtId="0" fontId="96" fillId="0" borderId="58">
      <alignment horizontal="centerContinuous"/>
    </xf>
    <xf numFmtId="0" fontId="96" fillId="0" borderId="58">
      <alignment horizontal="centerContinuous"/>
    </xf>
    <xf numFmtId="0" fontId="96" fillId="0" borderId="58">
      <alignment horizontal="centerContinuous"/>
    </xf>
    <xf numFmtId="0" fontId="4" fillId="0" borderId="0" applyFill="0" applyBorder="0" applyProtection="0">
      <alignment horizontal="left"/>
    </xf>
    <xf numFmtId="0" fontId="82" fillId="49" borderId="0" applyAlignment="0"/>
    <xf numFmtId="0" fontId="95" fillId="0" borderId="58"/>
    <xf numFmtId="12" fontId="2" fillId="0" borderId="0" applyFont="0" applyFill="0" applyBorder="0" applyProtection="0">
      <alignment horizontal="right"/>
    </xf>
    <xf numFmtId="0" fontId="2" fillId="50" borderId="0" applyFont="0" applyFill="0" applyBorder="0" applyProtection="0">
      <alignment horizontal="right"/>
    </xf>
    <xf numFmtId="0" fontId="118" fillId="0" borderId="0"/>
    <xf numFmtId="0" fontId="3" fillId="0" borderId="0" applyNumberFormat="0" applyFill="0" applyBorder="0" applyProtection="0">
      <alignment horizontal="left"/>
    </xf>
    <xf numFmtId="217" fontId="5" fillId="0" borderId="0" applyFill="0" applyBorder="0" applyProtection="0">
      <alignment horizontal="right" vertical="top"/>
    </xf>
    <xf numFmtId="214" fontId="5" fillId="0" borderId="0" applyFill="0" applyBorder="0" applyProtection="0">
      <alignment horizontal="right" wrapText="1"/>
    </xf>
    <xf numFmtId="209" fontId="5" fillId="0" borderId="0" applyFill="0" applyBorder="0" applyProtection="0">
      <alignment horizontal="right"/>
    </xf>
    <xf numFmtId="218" fontId="5" fillId="0" borderId="0" applyFill="0" applyBorder="0" applyProtection="0">
      <alignment horizontal="right"/>
    </xf>
    <xf numFmtId="219" fontId="5" fillId="0" borderId="0" applyFill="0" applyBorder="0" applyProtection="0">
      <alignment horizontal="right"/>
    </xf>
    <xf numFmtId="220" fontId="5" fillId="0" borderId="0" applyFill="0" applyBorder="0" applyProtection="0">
      <alignment horizontal="right"/>
    </xf>
    <xf numFmtId="207" fontId="5" fillId="0" borderId="0" applyFill="0" applyBorder="0" applyProtection="0">
      <alignment horizontal="right" wrapText="1"/>
    </xf>
    <xf numFmtId="174" fontId="5" fillId="0" borderId="0" applyFill="0" applyBorder="0" applyProtection="0">
      <alignment horizontal="right" wrapText="1"/>
    </xf>
    <xf numFmtId="4" fontId="5" fillId="0" borderId="0" applyFill="0" applyBorder="0" applyProtection="0">
      <alignment wrapText="1"/>
    </xf>
    <xf numFmtId="0" fontId="5" fillId="0" borderId="0" applyNumberFormat="0" applyFill="0" applyBorder="0" applyProtection="0">
      <alignment horizontal="left" vertical="top" wrapText="1"/>
    </xf>
    <xf numFmtId="0" fontId="103" fillId="0" borderId="0" applyNumberFormat="0" applyFill="0" applyBorder="0" applyProtection="0">
      <alignment horizontal="left" vertical="top" wrapText="1"/>
    </xf>
    <xf numFmtId="213" fontId="149" fillId="0" borderId="0" applyFill="0" applyBorder="0" applyProtection="0">
      <alignment horizontal="center" wrapText="1"/>
    </xf>
    <xf numFmtId="207" fontId="149" fillId="0" borderId="0" applyFill="0" applyBorder="0" applyProtection="0">
      <alignment horizontal="right" wrapText="1"/>
    </xf>
    <xf numFmtId="214" fontId="149" fillId="0" borderId="0" applyFill="0" applyBorder="0" applyProtection="0">
      <alignment horizontal="right" wrapText="1"/>
    </xf>
    <xf numFmtId="221" fontId="149" fillId="0" borderId="0" applyFill="0" applyBorder="0" applyProtection="0">
      <alignment horizontal="right" wrapText="1"/>
    </xf>
    <xf numFmtId="37" fontId="149" fillId="0" borderId="0" applyFill="0" applyBorder="0" applyProtection="0">
      <alignment horizontal="center" wrapText="1"/>
    </xf>
    <xf numFmtId="218" fontId="149" fillId="0" borderId="0" applyFill="0" applyBorder="0" applyProtection="0">
      <alignment horizontal="right"/>
    </xf>
    <xf numFmtId="222" fontId="149" fillId="0" borderId="0" applyFill="0" applyBorder="0" applyProtection="0">
      <alignment horizontal="right"/>
    </xf>
    <xf numFmtId="209" fontId="149" fillId="0" borderId="0" applyFill="0" applyBorder="0" applyProtection="0">
      <alignment horizontal="right"/>
    </xf>
    <xf numFmtId="4" fontId="149" fillId="0" borderId="0" applyFill="0" applyBorder="0" applyProtection="0">
      <alignment wrapText="1"/>
    </xf>
    <xf numFmtId="0" fontId="103" fillId="0" borderId="62" applyNumberFormat="0" applyFill="0" applyProtection="0">
      <alignment wrapText="1"/>
    </xf>
    <xf numFmtId="0" fontId="3" fillId="0" borderId="0" applyNumberFormat="0" applyFill="0" applyBorder="0" applyProtection="0"/>
    <xf numFmtId="0" fontId="103" fillId="0" borderId="62" applyNumberFormat="0" applyFill="0" applyProtection="0">
      <alignment horizontal="center" wrapText="1"/>
    </xf>
    <xf numFmtId="215" fontId="103" fillId="0" borderId="0" applyFill="0" applyBorder="0" applyProtection="0">
      <alignment horizontal="center" wrapText="1"/>
    </xf>
    <xf numFmtId="0" fontId="4" fillId="0" borderId="0" applyNumberFormat="0" applyFill="0" applyBorder="0" applyProtection="0">
      <alignment horizontal="justify" wrapText="1"/>
    </xf>
    <xf numFmtId="0" fontId="103" fillId="0" borderId="0" applyNumberFormat="0" applyFill="0" applyBorder="0" applyProtection="0">
      <alignment horizontal="centerContinuous" wrapText="1"/>
    </xf>
    <xf numFmtId="0" fontId="5" fillId="0" borderId="0" applyNumberFormat="0" applyFill="0" applyBorder="0" applyProtection="0">
      <alignment horizontal="left"/>
    </xf>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83" fillId="0" borderId="0" applyAlignment="0"/>
    <xf numFmtId="6" fontId="142" fillId="0" borderId="63" applyFill="0">
      <alignment vertical="center"/>
    </xf>
    <xf numFmtId="0" fontId="84" fillId="0" borderId="0" applyAlignment="0"/>
    <xf numFmtId="0" fontId="99" fillId="0" borderId="0">
      <alignment horizontal="centerContinuous"/>
    </xf>
    <xf numFmtId="49" fontId="150" fillId="0" borderId="0"/>
    <xf numFmtId="0" fontId="5" fillId="0" borderId="0"/>
    <xf numFmtId="0" fontId="21" fillId="0" borderId="0" applyAlignment="0"/>
    <xf numFmtId="0" fontId="8" fillId="0" borderId="0" applyAlignment="0"/>
    <xf numFmtId="0" fontId="12" fillId="0" borderId="0" applyAlignment="0"/>
    <xf numFmtId="0" fontId="142" fillId="0" borderId="0" applyFill="0" applyBorder="0">
      <alignment vertical="center"/>
    </xf>
    <xf numFmtId="0" fontId="97" fillId="0" borderId="0">
      <alignment horizontal="center"/>
    </xf>
    <xf numFmtId="0" fontId="100" fillId="0" borderId="0"/>
    <xf numFmtId="38" fontId="151" fillId="0" borderId="0" applyNumberFormat="0" applyFill="0" applyBorder="0">
      <alignment horizontal="left" vertical="center"/>
    </xf>
    <xf numFmtId="38" fontId="152" fillId="0" borderId="0" applyNumberFormat="0" applyFill="0" applyBorder="0">
      <alignment horizontal="centerContinuous" vertical="center"/>
    </xf>
    <xf numFmtId="0" fontId="85" fillId="0" borderId="0" applyAlignment="0"/>
    <xf numFmtId="0" fontId="153" fillId="0" borderId="0"/>
    <xf numFmtId="0" fontId="154" fillId="0" borderId="0" applyFill="0" applyBorder="0" applyAlignment="0" applyProtection="0"/>
    <xf numFmtId="0" fontId="119" fillId="0" borderId="64" applyNumberFormat="0" applyFill="0" applyAlignment="0" applyProtection="0"/>
    <xf numFmtId="0" fontId="101" fillId="0" borderId="0"/>
    <xf numFmtId="0" fontId="101" fillId="3" borderId="0" applyFill="0"/>
    <xf numFmtId="0" fontId="101" fillId="3" borderId="0" applyFill="0"/>
    <xf numFmtId="0" fontId="104" fillId="0" borderId="0" applyNumberFormat="0"/>
    <xf numFmtId="172" fontId="155" fillId="0" borderId="0">
      <alignment horizontal="left"/>
      <protection locked="0"/>
    </xf>
    <xf numFmtId="0" fontId="102" fillId="0" borderId="0"/>
    <xf numFmtId="0" fontId="120" fillId="0" borderId="0" applyNumberFormat="0" applyFill="0" applyBorder="0" applyAlignment="0" applyProtection="0"/>
    <xf numFmtId="5" fontId="92" fillId="0" borderId="0">
      <alignment vertical="center"/>
    </xf>
    <xf numFmtId="0" fontId="156" fillId="51" borderId="0"/>
    <xf numFmtId="0" fontId="157" fillId="0" borderId="0" applyFill="0" applyBorder="0">
      <alignment vertical="center"/>
    </xf>
    <xf numFmtId="0" fontId="142" fillId="52" borderId="65" applyNumberFormat="0" applyFont="0" applyBorder="0" applyAlignment="0" applyProtection="0">
      <alignment horizontal="right"/>
    </xf>
    <xf numFmtId="0" fontId="100" fillId="0" borderId="0"/>
    <xf numFmtId="0" fontId="1" fillId="0" borderId="0"/>
    <xf numFmtId="0" fontId="100"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30" fillId="35" borderId="57" applyNumberFormat="0" applyAlignment="0" applyProtection="0"/>
    <xf numFmtId="0" fontId="37" fillId="22" borderId="57" applyNumberFormat="0" applyAlignment="0" applyProtection="0"/>
    <xf numFmtId="0" fontId="2" fillId="38" borderId="60" applyNumberFormat="0" applyFont="0" applyAlignment="0" applyProtection="0"/>
    <xf numFmtId="0" fontId="40" fillId="35" borderId="61" applyNumberFormat="0" applyAlignment="0" applyProtection="0"/>
    <xf numFmtId="0" fontId="42" fillId="0" borderId="64" applyNumberFormat="0" applyFill="0" applyAlignment="0" applyProtection="0"/>
    <xf numFmtId="0" fontId="47" fillId="41" borderId="57" applyNumberFormat="0" applyAlignment="0" applyProtection="0"/>
    <xf numFmtId="0" fontId="4" fillId="0" borderId="66">
      <alignment horizontal="left" vertical="center"/>
    </xf>
    <xf numFmtId="0" fontId="52" fillId="37" borderId="57" applyNumberFormat="0" applyAlignment="0" applyProtection="0"/>
    <xf numFmtId="0" fontId="2" fillId="38" borderId="60" applyNumberFormat="0" applyFont="0" applyAlignment="0" applyProtection="0"/>
    <xf numFmtId="0" fontId="55" fillId="41" borderId="69" applyNumberFormat="0" applyAlignment="0" applyProtection="0"/>
    <xf numFmtId="1" fontId="45" fillId="0" borderId="70" applyNumberFormat="0" applyFont="0" applyFill="0" applyAlignment="0" applyProtection="0">
      <alignment horizontal="center"/>
    </xf>
    <xf numFmtId="0" fontId="42" fillId="0" borderId="71" applyNumberFormat="0" applyFill="0" applyAlignment="0" applyProtection="0"/>
    <xf numFmtId="198" fontId="15" fillId="0" borderId="68" applyFont="0" applyFill="0" applyBorder="0" applyAlignment="0" applyProtection="0"/>
    <xf numFmtId="0" fontId="2" fillId="0" borderId="0"/>
    <xf numFmtId="0" fontId="114" fillId="22" borderId="73" applyNumberFormat="0" applyAlignment="0" applyProtection="0"/>
    <xf numFmtId="0" fontId="2" fillId="38" borderId="74" applyNumberFormat="0" applyFont="0" applyAlignment="0" applyProtection="0"/>
    <xf numFmtId="0" fontId="117" fillId="35" borderId="75" applyNumberFormat="0" applyAlignment="0" applyProtection="0"/>
    <xf numFmtId="0" fontId="132" fillId="0" borderId="72" applyFill="0" applyProtection="0">
      <alignment horizontal="right"/>
    </xf>
    <xf numFmtId="0" fontId="107" fillId="35" borderId="73" applyNumberFormat="0" applyAlignment="0" applyProtection="0"/>
    <xf numFmtId="0" fontId="119" fillId="0" borderId="76" applyNumberFormat="0" applyFill="0" applyAlignment="0" applyProtection="0"/>
    <xf numFmtId="0" fontId="2" fillId="0" borderId="0"/>
    <xf numFmtId="0" fontId="2" fillId="0" borderId="0"/>
    <xf numFmtId="0" fontId="2" fillId="0" borderId="0"/>
    <xf numFmtId="0" fontId="30" fillId="35" borderId="73" applyNumberFormat="0" applyAlignment="0" applyProtection="0"/>
    <xf numFmtId="0" fontId="37" fillId="22" borderId="73" applyNumberFormat="0" applyAlignment="0" applyProtection="0"/>
    <xf numFmtId="0" fontId="2" fillId="38" borderId="74" applyNumberFormat="0" applyFont="0" applyAlignment="0" applyProtection="0"/>
    <xf numFmtId="0" fontId="40" fillId="35" borderId="75" applyNumberFormat="0" applyAlignment="0" applyProtection="0"/>
    <xf numFmtId="0" fontId="42" fillId="0" borderId="76" applyNumberFormat="0" applyFill="0" applyAlignment="0" applyProtection="0"/>
    <xf numFmtId="0" fontId="47" fillId="41" borderId="73" applyNumberFormat="0" applyAlignment="0" applyProtection="0"/>
    <xf numFmtId="0" fontId="52" fillId="37" borderId="73" applyNumberFormat="0" applyAlignment="0" applyProtection="0"/>
    <xf numFmtId="0" fontId="107" fillId="35" borderId="88" applyNumberFormat="0" applyAlignment="0" applyProtection="0"/>
    <xf numFmtId="0" fontId="2" fillId="38" borderId="74" applyNumberFormat="0" applyFont="0" applyAlignment="0" applyProtection="0"/>
    <xf numFmtId="0" fontId="132" fillId="0" borderId="87" applyFill="0" applyProtection="0">
      <alignment horizontal="right"/>
    </xf>
    <xf numFmtId="0" fontId="119" fillId="0" borderId="91" applyNumberFormat="0" applyFill="0" applyAlignment="0" applyProtection="0"/>
    <xf numFmtId="0" fontId="132" fillId="0" borderId="77" applyFill="0" applyProtection="0">
      <alignment horizontal="right"/>
    </xf>
    <xf numFmtId="0" fontId="107" fillId="35" borderId="78" applyNumberFormat="0" applyAlignment="0" applyProtection="0"/>
    <xf numFmtId="0" fontId="117" fillId="35" borderId="90" applyNumberFormat="0" applyAlignment="0" applyProtection="0"/>
    <xf numFmtId="0" fontId="2" fillId="38" borderId="89" applyNumberFormat="0" applyFont="0" applyAlignment="0" applyProtection="0"/>
    <xf numFmtId="0" fontId="114" fillId="22" borderId="88" applyNumberFormat="0" applyAlignment="0" applyProtection="0"/>
    <xf numFmtId="0" fontId="114" fillId="22" borderId="78" applyNumberFormat="0" applyAlignment="0" applyProtection="0"/>
    <xf numFmtId="0" fontId="2" fillId="38" borderId="79" applyNumberFormat="0" applyFont="0" applyAlignment="0" applyProtection="0"/>
    <xf numFmtId="0" fontId="117" fillId="35" borderId="80" applyNumberFormat="0" applyAlignment="0" applyProtection="0"/>
    <xf numFmtId="0" fontId="119" fillId="0" borderId="81" applyNumberFormat="0" applyFill="0" applyAlignment="0" applyProtection="0"/>
    <xf numFmtId="0" fontId="30" fillId="35" borderId="78" applyNumberFormat="0" applyAlignment="0" applyProtection="0"/>
    <xf numFmtId="0" fontId="37" fillId="22" borderId="78" applyNumberFormat="0" applyAlignment="0" applyProtection="0"/>
    <xf numFmtId="0" fontId="2" fillId="38" borderId="79" applyNumberFormat="0" applyFont="0" applyAlignment="0" applyProtection="0"/>
    <xf numFmtId="0" fontId="40" fillId="35" borderId="80" applyNumberFormat="0" applyAlignment="0" applyProtection="0"/>
    <xf numFmtId="0" fontId="42" fillId="0" borderId="81" applyNumberFormat="0" applyFill="0" applyAlignment="0" applyProtection="0"/>
    <xf numFmtId="0" fontId="47" fillId="41" borderId="78" applyNumberFormat="0" applyAlignment="0" applyProtection="0"/>
    <xf numFmtId="0" fontId="4" fillId="0" borderId="82">
      <alignment horizontal="left" vertical="center"/>
    </xf>
    <xf numFmtId="0" fontId="52" fillId="37" borderId="78" applyNumberFormat="0" applyAlignment="0" applyProtection="0"/>
    <xf numFmtId="0" fontId="2" fillId="38" borderId="79" applyNumberFormat="0" applyFont="0" applyAlignment="0" applyProtection="0"/>
    <xf numFmtId="0" fontId="55" fillId="41" borderId="84" applyNumberFormat="0" applyAlignment="0" applyProtection="0"/>
    <xf numFmtId="1" fontId="45" fillId="0" borderId="85" applyNumberFormat="0" applyFont="0" applyFill="0" applyAlignment="0" applyProtection="0">
      <alignment horizontal="center"/>
    </xf>
    <xf numFmtId="0" fontId="42" fillId="0" borderId="86" applyNumberFormat="0" applyFill="0" applyAlignment="0" applyProtection="0"/>
    <xf numFmtId="198" fontId="15" fillId="0" borderId="83" applyFont="0" applyFill="0" applyBorder="0" applyAlignment="0" applyProtection="0"/>
    <xf numFmtId="0" fontId="114" fillId="22" borderId="78" applyNumberFormat="0" applyAlignment="0" applyProtection="0"/>
    <xf numFmtId="0" fontId="2" fillId="38" borderId="79" applyNumberFormat="0" applyFont="0" applyAlignment="0" applyProtection="0"/>
    <xf numFmtId="0" fontId="117" fillId="35" borderId="80" applyNumberFormat="0" applyAlignment="0" applyProtection="0"/>
    <xf numFmtId="0" fontId="132" fillId="0" borderId="77" applyFill="0" applyProtection="0">
      <alignment horizontal="right"/>
    </xf>
    <xf numFmtId="0" fontId="107" fillId="35" borderId="78" applyNumberFormat="0" applyAlignment="0" applyProtection="0"/>
    <xf numFmtId="0" fontId="119" fillId="0" borderId="81" applyNumberFormat="0" applyFill="0" applyAlignment="0" applyProtection="0"/>
    <xf numFmtId="0" fontId="30" fillId="35" borderId="88" applyNumberFormat="0" applyAlignment="0" applyProtection="0"/>
    <xf numFmtId="0" fontId="37" fillId="22" borderId="88" applyNumberFormat="0" applyAlignment="0" applyProtection="0"/>
    <xf numFmtId="0" fontId="2" fillId="38" borderId="89" applyNumberFormat="0" applyFont="0" applyAlignment="0" applyProtection="0"/>
    <xf numFmtId="0" fontId="40" fillId="35" borderId="90" applyNumberFormat="0" applyAlignment="0" applyProtection="0"/>
    <xf numFmtId="0" fontId="42" fillId="0" borderId="91" applyNumberFormat="0" applyFill="0" applyAlignment="0" applyProtection="0"/>
    <xf numFmtId="0" fontId="47" fillId="41" borderId="88" applyNumberFormat="0" applyAlignment="0" applyProtection="0"/>
    <xf numFmtId="0" fontId="4" fillId="0" borderId="92">
      <alignment horizontal="left" vertical="center"/>
    </xf>
    <xf numFmtId="0" fontId="52" fillId="37" borderId="88" applyNumberFormat="0" applyAlignment="0" applyProtection="0"/>
    <xf numFmtId="0" fontId="2" fillId="38" borderId="89" applyNumberFormat="0" applyFont="0" applyAlignment="0" applyProtection="0"/>
    <xf numFmtId="0" fontId="55" fillId="41" borderId="94" applyNumberFormat="0" applyAlignment="0" applyProtection="0"/>
    <xf numFmtId="1" fontId="45" fillId="0" borderId="95" applyNumberFormat="0" applyFont="0" applyFill="0" applyAlignment="0" applyProtection="0">
      <alignment horizontal="center"/>
    </xf>
    <xf numFmtId="0" fontId="42" fillId="0" borderId="96" applyNumberFormat="0" applyFill="0" applyAlignment="0" applyProtection="0"/>
    <xf numFmtId="198" fontId="15" fillId="0" borderId="93" applyFont="0" applyFill="0" applyBorder="0" applyAlignment="0" applyProtection="0"/>
    <xf numFmtId="0" fontId="114" fillId="22" borderId="88" applyNumberFormat="0" applyAlignment="0" applyProtection="0"/>
    <xf numFmtId="0" fontId="2" fillId="38" borderId="89" applyNumberFormat="0" applyFont="0" applyAlignment="0" applyProtection="0"/>
    <xf numFmtId="0" fontId="117" fillId="35" borderId="90" applyNumberFormat="0" applyAlignment="0" applyProtection="0"/>
    <xf numFmtId="0" fontId="132" fillId="0" borderId="87" applyFill="0" applyProtection="0">
      <alignment horizontal="right"/>
    </xf>
    <xf numFmtId="0" fontId="107" fillId="35" borderId="88" applyNumberFormat="0" applyAlignment="0" applyProtection="0"/>
    <xf numFmtId="0" fontId="119" fillId="0" borderId="91" applyNumberFormat="0" applyFill="0" applyAlignment="0" applyProtection="0"/>
    <xf numFmtId="0" fontId="2" fillId="0" borderId="0"/>
    <xf numFmtId="43" fontId="2" fillId="0" borderId="0" applyFont="0" applyFill="0" applyBorder="0" applyAlignment="0" applyProtection="0"/>
    <xf numFmtId="43" fontId="10" fillId="0" borderId="0" applyFont="0" applyFill="0" applyBorder="0" applyAlignment="0" applyProtection="0"/>
    <xf numFmtId="4" fontId="44"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8" fontId="44" fillId="0" borderId="0" applyFont="0" applyFill="0" applyBorder="0" applyAlignment="0" applyProtection="0"/>
    <xf numFmtId="0" fontId="2" fillId="0" borderId="0"/>
    <xf numFmtId="0" fontId="10" fillId="0" borderId="0"/>
    <xf numFmtId="0" fontId="5" fillId="0" borderId="0"/>
    <xf numFmtId="0" fontId="13"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10" fillId="0" borderId="0" applyFont="0" applyFill="0" applyBorder="0" applyAlignment="0" applyProtection="0"/>
    <xf numFmtId="44" fontId="1" fillId="0" borderId="0" applyFont="0" applyFill="0" applyBorder="0" applyAlignment="0" applyProtection="0"/>
    <xf numFmtId="0" fontId="2" fillId="0" borderId="0"/>
    <xf numFmtId="9" fontId="1" fillId="0" borderId="0" applyFont="0" applyFill="0" applyBorder="0" applyAlignment="0" applyProtection="0"/>
    <xf numFmtId="9" fontId="10" fillId="0" borderId="0" applyFont="0" applyFill="0" applyBorder="0" applyAlignment="0" applyProtection="0"/>
    <xf numFmtId="0" fontId="1" fillId="0" borderId="0"/>
    <xf numFmtId="0" fontId="56" fillId="0" borderId="19">
      <alignment horizontal="center"/>
    </xf>
    <xf numFmtId="0" fontId="56" fillId="0" borderId="19">
      <alignment horizontal="center"/>
    </xf>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44" fontId="2" fillId="0" borderId="0" applyFont="0" applyFill="0" applyBorder="0" applyAlignment="0" applyProtection="0"/>
    <xf numFmtId="200" fontId="15" fillId="0" borderId="0"/>
    <xf numFmtId="200" fontId="15" fillId="0" borderId="0"/>
    <xf numFmtId="199" fontId="15" fillId="0" borderId="0"/>
    <xf numFmtId="199" fontId="15"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5" fillId="0" borderId="0"/>
    <xf numFmtId="0" fontId="10"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 fontId="45" fillId="0" borderId="97" applyNumberFormat="0" applyFont="0" applyFill="0" applyAlignment="0" applyProtection="0">
      <alignment horizontal="center"/>
    </xf>
    <xf numFmtId="0" fontId="160" fillId="0" borderId="98" applyNumberFormat="0" applyFill="0" applyAlignment="0" applyProtection="0"/>
    <xf numFmtId="0" fontId="161" fillId="0" borderId="99" applyNumberFormat="0" applyFill="0" applyAlignment="0" applyProtection="0"/>
    <xf numFmtId="0" fontId="162" fillId="0" borderId="100" applyNumberFormat="0" applyFill="0" applyAlignment="0" applyProtection="0"/>
    <xf numFmtId="0" fontId="162" fillId="0" borderId="0" applyNumberFormat="0" applyFill="0" applyBorder="0" applyAlignment="0" applyProtection="0"/>
    <xf numFmtId="0" fontId="163" fillId="54" borderId="0" applyNumberFormat="0" applyBorder="0" applyAlignment="0" applyProtection="0"/>
    <xf numFmtId="0" fontId="164" fillId="55" borderId="0" applyNumberFormat="0" applyBorder="0" applyAlignment="0" applyProtection="0"/>
    <xf numFmtId="0" fontId="165" fillId="56" borderId="0" applyNumberFormat="0" applyBorder="0" applyAlignment="0" applyProtection="0"/>
    <xf numFmtId="0" fontId="166" fillId="57" borderId="101" applyNumberFormat="0" applyAlignment="0" applyProtection="0"/>
    <xf numFmtId="0" fontId="167" fillId="58" borderId="102" applyNumberFormat="0" applyAlignment="0" applyProtection="0"/>
    <xf numFmtId="0" fontId="168" fillId="58" borderId="101" applyNumberFormat="0" applyAlignment="0" applyProtection="0"/>
    <xf numFmtId="0" fontId="169" fillId="0" borderId="103" applyNumberFormat="0" applyFill="0" applyAlignment="0" applyProtection="0"/>
    <xf numFmtId="0" fontId="170" fillId="59" borderId="104" applyNumberFormat="0" applyAlignment="0" applyProtection="0"/>
    <xf numFmtId="0" fontId="171" fillId="0" borderId="0" applyNumberFormat="0" applyFill="0" applyBorder="0" applyAlignment="0" applyProtection="0"/>
    <xf numFmtId="0" fontId="1" fillId="4" borderId="22" applyNumberFormat="0" applyFont="0" applyAlignment="0" applyProtection="0"/>
    <xf numFmtId="0" fontId="172" fillId="0" borderId="0" applyNumberFormat="0" applyFill="0" applyBorder="0" applyAlignment="0" applyProtection="0"/>
    <xf numFmtId="0" fontId="26" fillId="0" borderId="105" applyNumberFormat="0" applyFill="0" applyAlignment="0" applyProtection="0"/>
    <xf numFmtId="0" fontId="173" fillId="6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73" fillId="61" borderId="0" applyNumberFormat="0" applyBorder="0" applyAlignment="0" applyProtection="0"/>
    <xf numFmtId="0" fontId="173" fillId="62"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73" fillId="63" borderId="0" applyNumberFormat="0" applyBorder="0" applyAlignment="0" applyProtection="0"/>
    <xf numFmtId="0" fontId="173" fillId="64"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73" fillId="65" borderId="0" applyNumberFormat="0" applyBorder="0" applyAlignment="0" applyProtection="0"/>
    <xf numFmtId="0" fontId="173" fillId="66"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3" fillId="67" borderId="0" applyNumberFormat="0" applyBorder="0" applyAlignment="0" applyProtection="0"/>
    <xf numFmtId="0" fontId="173" fillId="68"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73" fillId="69" borderId="0" applyNumberFormat="0" applyBorder="0" applyAlignment="0" applyProtection="0"/>
    <xf numFmtId="0" fontId="173" fillId="70"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3" fillId="71" borderId="0" applyNumberFormat="0" applyBorder="0" applyAlignment="0" applyProtection="0"/>
    <xf numFmtId="0" fontId="174" fillId="0" borderId="0"/>
    <xf numFmtId="44" fontId="174" fillId="0" borderId="0" applyFont="0" applyFill="0" applyBorder="0" applyAlignment="0" applyProtection="0"/>
    <xf numFmtId="9" fontId="174" fillId="0" borderId="0" applyFont="0" applyFill="0" applyBorder="0" applyAlignment="0" applyProtection="0"/>
    <xf numFmtId="43" fontId="174" fillId="0" borderId="0" applyFont="0" applyFill="0" applyBorder="0" applyAlignment="0" applyProtection="0"/>
    <xf numFmtId="9" fontId="175" fillId="0" borderId="0" applyFont="0" applyFill="0" applyBorder="0" applyAlignment="0" applyProtection="0"/>
    <xf numFmtId="0" fontId="176" fillId="0" borderId="108"/>
    <xf numFmtId="5" fontId="177" fillId="0" borderId="0" applyFont="0" applyFill="0" applyBorder="0" applyAlignment="0" applyProtection="0"/>
    <xf numFmtId="8" fontId="177" fillId="0" borderId="0" applyFont="0" applyFill="0" applyBorder="0" applyAlignment="0" applyProtection="0"/>
    <xf numFmtId="9" fontId="177" fillId="0" borderId="0" applyFont="0" applyFill="0" applyBorder="0" applyAlignment="0" applyProtection="0"/>
    <xf numFmtId="10" fontId="177" fillId="0" borderId="0" applyFont="0" applyFill="0" applyBorder="0" applyAlignment="0" applyProtection="0"/>
    <xf numFmtId="44" fontId="97" fillId="0" borderId="0" applyFont="0" applyFill="0" applyBorder="0" applyAlignment="0" applyProtection="0"/>
    <xf numFmtId="42" fontId="97" fillId="0" borderId="0" applyFont="0" applyFill="0" applyBorder="0" applyAlignment="0" applyProtection="0"/>
    <xf numFmtId="224" fontId="2" fillId="0" borderId="0" applyFont="0" applyFill="0" applyBorder="0" applyAlignment="0" applyProtection="0"/>
    <xf numFmtId="225" fontId="2" fillId="0" borderId="0" applyFont="0" applyFill="0" applyBorder="0" applyAlignment="0" applyProtection="0"/>
    <xf numFmtId="0" fontId="178" fillId="0" borderId="0" applyNumberFormat="0" applyFill="0" applyBorder="0" applyAlignment="0" applyProtection="0"/>
    <xf numFmtId="0" fontId="97" fillId="0" borderId="0"/>
    <xf numFmtId="0" fontId="10" fillId="23"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3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18" borderId="0" applyNumberFormat="0" applyBorder="0" applyAlignment="0" applyProtection="0"/>
    <xf numFmtId="0" fontId="10" fillId="23" borderId="0" applyNumberFormat="0" applyBorder="0" applyAlignment="0" applyProtection="0"/>
    <xf numFmtId="0" fontId="10" fillId="37"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28" fillId="23" borderId="0" applyNumberFormat="0" applyBorder="0" applyAlignment="0" applyProtection="0"/>
    <xf numFmtId="0" fontId="28" fillId="34" borderId="0" applyNumberFormat="0" applyBorder="0" applyAlignment="0" applyProtection="0"/>
    <xf numFmtId="0" fontId="28" fillId="26" borderId="0" applyNumberFormat="0" applyBorder="0" applyAlignment="0" applyProtection="0"/>
    <xf numFmtId="0" fontId="28" fillId="18" borderId="0" applyNumberFormat="0" applyBorder="0" applyAlignment="0" applyProtection="0"/>
    <xf numFmtId="0" fontId="28" fillId="23" borderId="0" applyNumberFormat="0" applyBorder="0" applyAlignment="0" applyProtection="0"/>
    <xf numFmtId="0" fontId="28" fillId="37" borderId="0" applyNumberFormat="0" applyBorder="0" applyAlignment="0" applyProtection="0"/>
    <xf numFmtId="0" fontId="28" fillId="27"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0" borderId="0" applyNumberFormat="0" applyBorder="0" applyAlignment="0" applyProtection="0"/>
    <xf numFmtId="0" fontId="92" fillId="0" borderId="0"/>
    <xf numFmtId="1" fontId="179" fillId="0" borderId="0">
      <alignment horizontal="center"/>
    </xf>
    <xf numFmtId="1" fontId="180" fillId="0" borderId="0" applyFill="0" applyBorder="0" applyProtection="0">
      <alignment horizontal="right" wrapText="1"/>
      <protection locked="0"/>
    </xf>
    <xf numFmtId="226" fontId="94" fillId="0" borderId="0" applyFill="0" applyBorder="0" applyProtection="0">
      <alignment horizontal="right"/>
      <protection locked="0"/>
    </xf>
    <xf numFmtId="1" fontId="180" fillId="0" borderId="0" applyFill="0" applyBorder="0" applyProtection="0">
      <alignment horizontal="right" wrapText="1"/>
      <protection locked="0"/>
    </xf>
    <xf numFmtId="0" fontId="181" fillId="0" borderId="0" applyNumberFormat="0" applyFill="0" applyBorder="0" applyAlignment="0" applyProtection="0"/>
    <xf numFmtId="0" fontId="182" fillId="0" borderId="0" applyNumberFormat="0" applyFill="0" applyBorder="0" applyProtection="0">
      <protection locked="0"/>
    </xf>
    <xf numFmtId="226" fontId="183" fillId="0" borderId="0">
      <protection locked="0"/>
    </xf>
    <xf numFmtId="0" fontId="182" fillId="0" borderId="0" applyNumberFormat="0" applyFill="0" applyBorder="0" applyProtection="0">
      <protection locked="0"/>
    </xf>
    <xf numFmtId="172" fontId="97" fillId="0" borderId="0">
      <alignment vertical="top"/>
    </xf>
    <xf numFmtId="227" fontId="184" fillId="0" borderId="0" applyFill="0" applyBorder="0" applyProtection="0"/>
    <xf numFmtId="172" fontId="184" fillId="0" borderId="0">
      <alignment horizontal="left"/>
    </xf>
    <xf numFmtId="0" fontId="33" fillId="19" borderId="0" applyNumberFormat="0" applyBorder="0" applyAlignment="0" applyProtection="0"/>
    <xf numFmtId="0" fontId="177" fillId="0" borderId="11" applyNumberFormat="0" applyFont="0" applyFill="0" applyAlignment="0" applyProtection="0"/>
    <xf numFmtId="0" fontId="177" fillId="0" borderId="3" applyNumberFormat="0" applyFont="0" applyFill="0" applyAlignment="0" applyProtection="0"/>
    <xf numFmtId="0" fontId="177" fillId="0" borderId="4" applyNumberFormat="0" applyFont="0" applyFill="0" applyAlignment="0" applyProtection="0"/>
    <xf numFmtId="0" fontId="177" fillId="0" borderId="67" applyNumberFormat="0" applyFont="0" applyFill="0" applyAlignment="0" applyProtection="0"/>
    <xf numFmtId="0" fontId="33" fillId="19" borderId="0" applyNumberFormat="0" applyBorder="0" applyAlignment="0" applyProtection="0"/>
    <xf numFmtId="228" fontId="2" fillId="0" borderId="0" applyFont="0" applyFill="0" applyBorder="0" applyAlignment="0" applyProtection="0"/>
    <xf numFmtId="0" fontId="30" fillId="35" borderId="88" applyNumberFormat="0" applyAlignment="0" applyProtection="0"/>
    <xf numFmtId="0" fontId="31" fillId="36" borderId="24" applyNumberFormat="0" applyAlignment="0" applyProtection="0"/>
    <xf numFmtId="0" fontId="38" fillId="0" borderId="28" applyNumberFormat="0" applyFill="0" applyAlignment="0" applyProtection="0"/>
    <xf numFmtId="0" fontId="31" fillId="36" borderId="24" applyNumberFormat="0" applyAlignment="0" applyProtection="0"/>
    <xf numFmtId="0" fontId="43" fillId="0" borderId="109" applyNumberFormat="0" applyFill="0" applyAlignment="0" applyProtection="0"/>
    <xf numFmtId="1" fontId="185" fillId="0" borderId="0"/>
    <xf numFmtId="1" fontId="128" fillId="0" borderId="0">
      <protection locked="0"/>
    </xf>
    <xf numFmtId="0" fontId="15" fillId="0" borderId="0">
      <alignment horizontal="center" wrapText="1"/>
      <protection hidden="1"/>
    </xf>
    <xf numFmtId="229" fontId="186" fillId="0" borderId="0"/>
    <xf numFmtId="229" fontId="186" fillId="0" borderId="0"/>
    <xf numFmtId="229" fontId="186" fillId="0" borderId="0"/>
    <xf numFmtId="229" fontId="186" fillId="0" borderId="0"/>
    <xf numFmtId="229" fontId="186" fillId="0" borderId="0"/>
    <xf numFmtId="229" fontId="186" fillId="0" borderId="0"/>
    <xf numFmtId="229" fontId="186" fillId="0" borderId="0"/>
    <xf numFmtId="229" fontId="186" fillId="0" borderId="0"/>
    <xf numFmtId="230" fontId="44" fillId="0" borderId="11"/>
    <xf numFmtId="3" fontId="2" fillId="0" borderId="0" applyFont="0" applyFill="0" applyBorder="0" applyAlignment="0" applyProtection="0"/>
    <xf numFmtId="0" fontId="187" fillId="73" borderId="0">
      <alignment horizontal="center" vertical="center" wrapText="1"/>
    </xf>
    <xf numFmtId="38" fontId="90" fillId="0" borderId="0" applyNumberFormat="0" applyFill="0" applyBorder="0">
      <alignment horizontal="left"/>
    </xf>
    <xf numFmtId="231" fontId="2" fillId="0" borderId="0" applyFill="0" applyBorder="0">
      <alignment horizontal="right"/>
      <protection locked="0"/>
    </xf>
    <xf numFmtId="8" fontId="93" fillId="0" borderId="0" applyFont="0" applyFill="0" applyBorder="0" applyAlignment="0" applyProtection="0">
      <alignment horizontal="left"/>
    </xf>
    <xf numFmtId="223" fontId="188" fillId="0" borderId="0" applyFont="0" applyFill="0" applyBorder="0" applyAlignment="0" applyProtection="0"/>
    <xf numFmtId="232" fontId="2" fillId="0" borderId="0" applyFont="0" applyFill="0" applyBorder="0" applyAlignment="0" applyProtection="0"/>
    <xf numFmtId="0" fontId="15" fillId="0" borderId="0" applyFont="0" applyFill="0" applyBorder="0" applyAlignment="0">
      <protection locked="0"/>
    </xf>
    <xf numFmtId="233" fontId="2" fillId="0" borderId="0" applyFont="0" applyFill="0" applyBorder="0" applyAlignment="0" applyProtection="0"/>
    <xf numFmtId="0" fontId="2" fillId="0" borderId="0" applyFont="0" applyFill="0" applyBorder="0" applyAlignment="0" applyProtection="0"/>
    <xf numFmtId="17" fontId="91" fillId="0" borderId="67" applyFont="0" applyFill="0" applyBorder="0" applyAlignment="0" applyProtection="0"/>
    <xf numFmtId="37" fontId="189" fillId="0" borderId="0"/>
    <xf numFmtId="234" fontId="190" fillId="0" borderId="0"/>
    <xf numFmtId="235" fontId="190" fillId="0" borderId="0"/>
    <xf numFmtId="0" fontId="36" fillId="0" borderId="0" applyNumberFormat="0" applyFill="0" applyBorder="0" applyAlignment="0" applyProtection="0"/>
    <xf numFmtId="0" fontId="28" fillId="40" borderId="0" applyNumberFormat="0" applyBorder="0" applyAlignment="0" applyProtection="0"/>
    <xf numFmtId="0" fontId="28" fillId="34" borderId="0" applyNumberFormat="0" applyBorder="0" applyAlignment="0" applyProtection="0"/>
    <xf numFmtId="0" fontId="28" fillId="26" borderId="0" applyNumberFormat="0" applyBorder="0" applyAlignment="0" applyProtection="0"/>
    <xf numFmtId="0" fontId="28" fillId="74" borderId="0" applyNumberFormat="0" applyBorder="0" applyAlignment="0" applyProtection="0"/>
    <xf numFmtId="0" fontId="28" fillId="29" borderId="0" applyNumberFormat="0" applyBorder="0" applyAlignment="0" applyProtection="0"/>
    <xf numFmtId="0" fontId="28" fillId="32"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4" borderId="0" applyNumberFormat="0" applyBorder="0" applyAlignment="0" applyProtection="0"/>
    <xf numFmtId="0" fontId="37" fillId="22" borderId="88" applyNumberFormat="0" applyAlignment="0" applyProtection="0"/>
    <xf numFmtId="236" fontId="2" fillId="0" borderId="0" applyFont="0" applyFill="0" applyBorder="0" applyAlignment="0" applyProtection="0"/>
    <xf numFmtId="0" fontId="191" fillId="0" borderId="0">
      <protection locked="0"/>
    </xf>
    <xf numFmtId="0" fontId="191" fillId="0" borderId="0">
      <protection locked="0"/>
    </xf>
    <xf numFmtId="0" fontId="191" fillId="0" borderId="0">
      <protection locked="0"/>
    </xf>
    <xf numFmtId="0" fontId="191" fillId="0" borderId="0">
      <protection locked="0"/>
    </xf>
    <xf numFmtId="0" fontId="191" fillId="0" borderId="0">
      <protection locked="0"/>
    </xf>
    <xf numFmtId="0" fontId="191" fillId="0" borderId="0">
      <protection locked="0"/>
    </xf>
    <xf numFmtId="0" fontId="191" fillId="0" borderId="0">
      <protection locked="0"/>
    </xf>
    <xf numFmtId="0" fontId="15" fillId="0" borderId="0"/>
    <xf numFmtId="2" fontId="2" fillId="0" borderId="0" applyFont="0" applyFill="0" applyBorder="0" applyAlignment="0" applyProtection="0"/>
    <xf numFmtId="237" fontId="92" fillId="0" borderId="0" applyFont="0" applyFill="0" applyBorder="0" applyAlignment="0" applyProtection="0">
      <protection locked="0"/>
    </xf>
    <xf numFmtId="13" fontId="92" fillId="0" borderId="0" applyFont="0" applyFill="0" applyBorder="0" applyAlignment="0" applyProtection="0">
      <protection locked="0"/>
    </xf>
    <xf numFmtId="38" fontId="5" fillId="3" borderId="0" applyNumberFormat="0" applyBorder="0" applyAlignment="0" applyProtection="0"/>
    <xf numFmtId="169" fontId="192" fillId="0" borderId="0" applyFill="0" applyBorder="0" applyProtection="0">
      <alignment horizontal="right"/>
      <protection locked="0"/>
    </xf>
    <xf numFmtId="0" fontId="14"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9" fillId="18" borderId="0" applyNumberFormat="0" applyBorder="0" applyAlignment="0" applyProtection="0"/>
    <xf numFmtId="0" fontId="29" fillId="20" borderId="0" applyNumberFormat="0" applyBorder="0" applyAlignment="0" applyProtection="0"/>
    <xf numFmtId="10" fontId="5" fillId="2" borderId="107" applyNumberFormat="0" applyBorder="0" applyAlignment="0" applyProtection="0"/>
    <xf numFmtId="13" fontId="180" fillId="0" borderId="110" applyNumberFormat="0" applyFont="0" applyFill="0" applyAlignment="0" applyProtection="0">
      <alignment horizontal="right" wrapText="1"/>
      <protection locked="0"/>
    </xf>
    <xf numFmtId="0" fontId="2" fillId="0" borderId="0" applyFill="0" applyBorder="0">
      <alignment horizontal="right"/>
      <protection locked="0"/>
    </xf>
    <xf numFmtId="38" fontId="95" fillId="0" borderId="0" applyNumberFormat="0" applyBorder="0" applyProtection="0">
      <alignment horizontal="left"/>
    </xf>
    <xf numFmtId="238" fontId="2" fillId="0" borderId="0" applyFill="0" applyBorder="0">
      <alignment horizontal="right"/>
      <protection locked="0"/>
    </xf>
    <xf numFmtId="0" fontId="3" fillId="72" borderId="111">
      <alignment horizontal="left" vertical="center" wrapText="1"/>
    </xf>
    <xf numFmtId="15" fontId="2" fillId="0" borderId="0"/>
    <xf numFmtId="239" fontId="2" fillId="0" borderId="0" applyFont="0" applyFill="0" applyBorder="0" applyAlignment="0" applyProtection="0"/>
    <xf numFmtId="4" fontId="193" fillId="0" borderId="0" applyFont="0" applyFill="0" applyBorder="0" applyAlignment="0" applyProtection="0"/>
    <xf numFmtId="240" fontId="2" fillId="0" borderId="0" applyFont="0" applyFill="0" applyBorder="0" applyAlignment="0" applyProtection="0"/>
    <xf numFmtId="14" fontId="177"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241" fontId="2" fillId="0" borderId="0" applyFont="0" applyFill="0" applyBorder="0" applyAlignment="0" applyProtection="0"/>
    <xf numFmtId="242" fontId="2" fillId="0" borderId="0" applyFont="0" applyFill="0" applyBorder="0" applyAlignment="0" applyProtection="0"/>
    <xf numFmtId="0" fontId="194" fillId="37" borderId="0" applyNumberFormat="0" applyBorder="0" applyAlignment="0" applyProtection="0"/>
    <xf numFmtId="0" fontId="13" fillId="0" borderId="0"/>
    <xf numFmtId="243" fontId="144" fillId="0" borderId="0"/>
    <xf numFmtId="0" fontId="1" fillId="0" borderId="0"/>
    <xf numFmtId="0" fontId="195" fillId="0" borderId="0"/>
    <xf numFmtId="172" fontId="95" fillId="0" borderId="0" applyBorder="0">
      <alignment horizontal="left"/>
    </xf>
    <xf numFmtId="0" fontId="175" fillId="37" borderId="89" applyNumberFormat="0" applyFont="0" applyAlignment="0" applyProtection="0"/>
    <xf numFmtId="0" fontId="10" fillId="38" borderId="89" applyNumberFormat="0" applyFont="0" applyAlignment="0" applyProtection="0"/>
    <xf numFmtId="244" fontId="196" fillId="0" borderId="0" applyFont="0" applyFill="0" applyBorder="0" applyAlignment="0" applyProtection="0"/>
    <xf numFmtId="43" fontId="97" fillId="0" borderId="0" applyFont="0" applyFill="0" applyBorder="0" applyAlignment="0" applyProtection="0"/>
    <xf numFmtId="41" fontId="97" fillId="0" borderId="0" applyFont="0" applyFill="0" applyBorder="0" applyAlignment="0" applyProtection="0"/>
    <xf numFmtId="245" fontId="197" fillId="0" borderId="0">
      <protection locked="0"/>
    </xf>
    <xf numFmtId="10" fontId="2" fillId="0" borderId="0" applyFont="0" applyFill="0" applyBorder="0" applyAlignment="0" applyProtection="0"/>
    <xf numFmtId="169" fontId="188" fillId="0" borderId="0" applyFont="0" applyFill="0" applyBorder="0" applyAlignment="0" applyProtection="0"/>
    <xf numFmtId="10" fontId="188" fillId="0" borderId="0" applyFont="0" applyFill="0" applyBorder="0" applyAlignment="0" applyProtection="0"/>
    <xf numFmtId="9" fontId="2" fillId="0" borderId="0"/>
    <xf numFmtId="246" fontId="2" fillId="0" borderId="0" applyFill="0" applyBorder="0">
      <alignment horizontal="right"/>
      <protection locked="0"/>
    </xf>
    <xf numFmtId="2" fontId="2" fillId="0" borderId="0" applyFont="0" applyFill="0" applyAlignment="0" applyProtection="0"/>
    <xf numFmtId="9" fontId="2" fillId="0" borderId="0" applyNumberFormat="0" applyFill="0" applyBorder="0" applyAlignment="0" applyProtection="0"/>
    <xf numFmtId="247" fontId="15" fillId="0" borderId="0" applyFill="0" applyBorder="0">
      <alignment horizontal="right"/>
      <protection locked="0"/>
    </xf>
    <xf numFmtId="248" fontId="2" fillId="0" borderId="0">
      <alignment horizontal="right"/>
      <protection locked="0"/>
    </xf>
    <xf numFmtId="0" fontId="198" fillId="0" borderId="0" applyNumberFormat="0" applyFill="0" applyBorder="0" applyProtection="0">
      <protection locked="0"/>
    </xf>
    <xf numFmtId="0" fontId="40" fillId="41" borderId="90" applyNumberFormat="0" applyAlignment="0" applyProtection="0"/>
    <xf numFmtId="0" fontId="40" fillId="35" borderId="90" applyNumberFormat="0" applyAlignment="0" applyProtection="0"/>
    <xf numFmtId="249" fontId="199" fillId="0" borderId="0" applyFill="0" applyBorder="0">
      <alignment horizontal="right"/>
      <protection hidden="1"/>
    </xf>
    <xf numFmtId="0" fontId="200" fillId="73" borderId="107">
      <alignment horizontal="center" vertical="center" wrapText="1"/>
      <protection hidden="1"/>
    </xf>
    <xf numFmtId="38" fontId="15"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226" fontId="201" fillId="75" borderId="0" applyNumberFormat="0" applyFont="0" applyBorder="0" applyAlignment="0" applyProtection="0">
      <protection locked="0"/>
    </xf>
    <xf numFmtId="250" fontId="15" fillId="0" borderId="0">
      <protection locked="0"/>
    </xf>
    <xf numFmtId="38" fontId="202" fillId="0" borderId="0" applyNumberFormat="0" applyBorder="0">
      <alignment horizontal="left"/>
    </xf>
    <xf numFmtId="0" fontId="177" fillId="0" borderId="0" applyNumberFormat="0" applyFont="0" applyFill="0" applyBorder="0" applyProtection="0">
      <alignment horizontal="left" vertical="top" wrapText="1"/>
    </xf>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xf numFmtId="0" fontId="15" fillId="0" borderId="0" applyBorder="0"/>
    <xf numFmtId="0" fontId="41" fillId="0" borderId="0" applyNumberFormat="0" applyFill="0" applyBorder="0" applyAlignment="0" applyProtection="0"/>
    <xf numFmtId="0" fontId="34" fillId="0" borderId="25" applyNumberFormat="0" applyFill="0" applyAlignment="0" applyProtection="0"/>
    <xf numFmtId="0" fontId="35" fillId="0" borderId="26" applyNumberFormat="0" applyFill="0" applyAlignment="0" applyProtection="0"/>
    <xf numFmtId="0" fontId="36" fillId="0" borderId="27" applyNumberFormat="0" applyFill="0" applyAlignment="0" applyProtection="0"/>
    <xf numFmtId="0" fontId="55" fillId="0" borderId="0" applyNumberFormat="0" applyFill="0" applyBorder="0" applyAlignment="0" applyProtection="0"/>
    <xf numFmtId="1" fontId="93" fillId="0" borderId="11" applyNumberFormat="0">
      <alignment horizontal="right"/>
    </xf>
    <xf numFmtId="0" fontId="15" fillId="0" borderId="0"/>
    <xf numFmtId="0" fontId="92" fillId="76" borderId="0" applyNumberFormat="0" applyFont="0" applyBorder="0" applyAlignment="0" applyProtection="0"/>
    <xf numFmtId="5" fontId="177" fillId="0" borderId="0" applyFont="0" applyFill="0" applyBorder="0" applyAlignment="0" applyProtection="0"/>
    <xf numFmtId="8" fontId="177" fillId="0" borderId="0" applyFont="0" applyFill="0" applyBorder="0" applyAlignment="0" applyProtection="0"/>
    <xf numFmtId="9" fontId="177" fillId="0" borderId="0" applyFont="0" applyFill="0" applyBorder="0" applyAlignment="0" applyProtection="0"/>
    <xf numFmtId="10" fontId="177" fillId="0" borderId="0" applyFont="0" applyFill="0" applyBorder="0" applyAlignment="0" applyProtection="0"/>
    <xf numFmtId="0" fontId="177" fillId="0" borderId="11" applyNumberFormat="0" applyFont="0" applyFill="0" applyAlignment="0" applyProtection="0"/>
    <xf numFmtId="0" fontId="177" fillId="0" borderId="3" applyNumberFormat="0" applyFont="0" applyFill="0" applyAlignment="0" applyProtection="0"/>
    <xf numFmtId="0" fontId="177" fillId="0" borderId="4" applyNumberFormat="0" applyFont="0" applyFill="0" applyAlignment="0" applyProtection="0"/>
    <xf numFmtId="0" fontId="177" fillId="0" borderId="67" applyNumberFormat="0" applyFont="0" applyFill="0" applyAlignment="0" applyProtection="0"/>
    <xf numFmtId="14" fontId="177" fillId="0" borderId="0" applyFont="0" applyFill="0" applyBorder="0" applyAlignment="0" applyProtection="0"/>
    <xf numFmtId="0" fontId="1" fillId="0" borderId="0"/>
    <xf numFmtId="5" fontId="177" fillId="0" borderId="0" applyFont="0" applyFill="0" applyBorder="0" applyAlignment="0" applyProtection="0"/>
    <xf numFmtId="0" fontId="177" fillId="0" borderId="0" applyNumberFormat="0" applyFont="0" applyFill="0" applyBorder="0" applyProtection="0">
      <alignment horizontal="left" vertical="top" wrapText="1"/>
    </xf>
    <xf numFmtId="5" fontId="177" fillId="0" borderId="0" applyFont="0" applyFill="0" applyBorder="0" applyAlignment="0" applyProtection="0"/>
    <xf numFmtId="5" fontId="177" fillId="0" borderId="0" applyFont="0" applyFill="0" applyBorder="0" applyAlignment="0" applyProtection="0"/>
    <xf numFmtId="5" fontId="177" fillId="0" borderId="0" applyFont="0" applyFill="0" applyBorder="0" applyAlignment="0" applyProtection="0"/>
    <xf numFmtId="5" fontId="177" fillId="0" borderId="0" applyFont="0" applyFill="0" applyBorder="0" applyAlignment="0" applyProtection="0"/>
    <xf numFmtId="5" fontId="177" fillId="0" borderId="0" applyFont="0" applyFill="0" applyBorder="0" applyAlignment="0" applyProtection="0"/>
    <xf numFmtId="5" fontId="177" fillId="0" borderId="0" applyFont="0" applyFill="0" applyBorder="0" applyAlignment="0" applyProtection="0"/>
    <xf numFmtId="0" fontId="1" fillId="8" borderId="0" applyNumberFormat="0" applyBorder="0" applyAlignment="0" applyProtection="0"/>
    <xf numFmtId="5" fontId="177" fillId="0" borderId="0" applyFont="0" applyFill="0" applyBorder="0" applyAlignment="0" applyProtection="0"/>
    <xf numFmtId="8" fontId="177" fillId="0" borderId="0" applyFont="0" applyFill="0" applyBorder="0" applyAlignment="0" applyProtection="0"/>
    <xf numFmtId="9" fontId="177" fillId="0" borderId="0" applyFont="0" applyFill="0" applyBorder="0" applyAlignment="0" applyProtection="0"/>
    <xf numFmtId="10" fontId="177" fillId="0" borderId="0" applyFont="0" applyFill="0" applyBorder="0" applyAlignment="0" applyProtection="0"/>
    <xf numFmtId="0" fontId="1" fillId="6" borderId="0" applyNumberFormat="0" applyBorder="0" applyAlignment="0" applyProtection="0"/>
    <xf numFmtId="5" fontId="177" fillId="0" borderId="0" applyFont="0" applyFill="0" applyBorder="0" applyAlignment="0" applyProtection="0"/>
    <xf numFmtId="0" fontId="1" fillId="8" borderId="0" applyNumberFormat="0" applyBorder="0" applyAlignment="0" applyProtection="0"/>
    <xf numFmtId="0" fontId="1" fillId="0" borderId="0"/>
    <xf numFmtId="5" fontId="177" fillId="0" borderId="0" applyFont="0" applyFill="0" applyBorder="0" applyAlignment="0" applyProtection="0"/>
    <xf numFmtId="0" fontId="1" fillId="8" borderId="0" applyNumberFormat="0" applyBorder="0" applyAlignment="0" applyProtection="0"/>
    <xf numFmtId="0" fontId="203" fillId="0" borderId="0" applyFill="0" applyBorder="0" applyAlignment="0" applyProtection="0"/>
    <xf numFmtId="44" fontId="1" fillId="0" borderId="0" applyFont="0" applyFill="0" applyBorder="0" applyAlignment="0" applyProtection="0"/>
    <xf numFmtId="0" fontId="103" fillId="0" borderId="0" applyFill="0" applyAlignment="0" applyProtection="0"/>
    <xf numFmtId="44" fontId="5" fillId="0" borderId="0" applyFont="0" applyFill="0" applyBorder="0" applyAlignment="0" applyProtection="0"/>
    <xf numFmtId="0" fontId="177" fillId="0" borderId="11" applyNumberFormat="0" applyFont="0" applyFill="0" applyAlignment="0" applyProtection="0"/>
    <xf numFmtId="0" fontId="177" fillId="0" borderId="3" applyNumberFormat="0" applyFont="0" applyFill="0" applyAlignment="0" applyProtection="0"/>
    <xf numFmtId="0" fontId="177" fillId="0" borderId="4" applyNumberFormat="0" applyFont="0" applyFill="0" applyAlignment="0" applyProtection="0"/>
    <xf numFmtId="0" fontId="177" fillId="0" borderId="67" applyNumberFormat="0" applyFont="0" applyFill="0" applyAlignment="0" applyProtection="0"/>
    <xf numFmtId="43" fontId="20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6" fontId="2"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14" fontId="177"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5" fontId="177" fillId="0" borderId="0" applyFont="0" applyFill="0" applyBorder="0" applyAlignment="0" applyProtection="0"/>
    <xf numFmtId="0" fontId="177" fillId="0" borderId="0" applyNumberFormat="0" applyFont="0" applyFill="0" applyBorder="0" applyProtection="0">
      <alignment horizontal="left" vertical="top" wrapText="1"/>
    </xf>
    <xf numFmtId="0" fontId="1" fillId="8" borderId="0" applyNumberFormat="0" applyBorder="0" applyAlignment="0" applyProtection="0"/>
    <xf numFmtId="0" fontId="205" fillId="0" borderId="0"/>
    <xf numFmtId="5" fontId="177" fillId="0" borderId="0" applyFont="0" applyFill="0" applyBorder="0" applyAlignment="0" applyProtection="0"/>
    <xf numFmtId="0" fontId="1" fillId="14" borderId="0" applyNumberFormat="0" applyBorder="0" applyAlignment="0" applyProtection="0"/>
    <xf numFmtId="43" fontId="1" fillId="0" borderId="0" applyFont="0" applyFill="0" applyBorder="0" applyAlignment="0" applyProtection="0"/>
    <xf numFmtId="5" fontId="177" fillId="0" borderId="0" applyFont="0" applyFill="0" applyBorder="0" applyAlignment="0" applyProtection="0"/>
    <xf numFmtId="43" fontId="1" fillId="0" borderId="0" applyFont="0" applyFill="0" applyBorder="0" applyAlignment="0" applyProtection="0"/>
    <xf numFmtId="0" fontId="97" fillId="0" borderId="0" applyFill="0" applyBorder="0" applyAlignment="0" applyProtection="0"/>
    <xf numFmtId="0" fontId="1" fillId="12"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44" fontId="206" fillId="0" borderId="0" applyFont="0" applyFill="0" applyBorder="0" applyAlignment="0" applyProtection="0"/>
    <xf numFmtId="5" fontId="177" fillId="0" borderId="0" applyFont="0" applyFill="0" applyBorder="0" applyAlignment="0" applyProtection="0"/>
    <xf numFmtId="0" fontId="1" fillId="14" borderId="0" applyNumberFormat="0" applyBorder="0" applyAlignment="0" applyProtection="0"/>
    <xf numFmtId="0" fontId="1" fillId="12"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43" fontId="1" fillId="0" borderId="0" applyFont="0" applyFill="0" applyBorder="0" applyAlignment="0" applyProtection="0"/>
    <xf numFmtId="5" fontId="177" fillId="0" borderId="0" applyFont="0" applyFill="0" applyBorder="0" applyAlignment="0" applyProtection="0"/>
    <xf numFmtId="0" fontId="1" fillId="14" borderId="0" applyNumberFormat="0" applyBorder="0" applyAlignment="0" applyProtection="0"/>
    <xf numFmtId="0" fontId="1" fillId="12"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1" fillId="6" borderId="0" applyNumberFormat="0" applyBorder="0" applyAlignment="0" applyProtection="0"/>
    <xf numFmtId="43" fontId="1" fillId="0" borderId="0" applyFont="0" applyFill="0" applyBorder="0" applyAlignment="0" applyProtection="0"/>
    <xf numFmtId="5" fontId="177" fillId="0" borderId="0" applyFont="0" applyFill="0" applyBorder="0" applyAlignment="0" applyProtection="0"/>
    <xf numFmtId="0" fontId="1" fillId="14" borderId="0" applyNumberFormat="0" applyBorder="0" applyAlignment="0" applyProtection="0"/>
    <xf numFmtId="0" fontId="3" fillId="0" borderId="0" applyFill="0" applyAlignment="0" applyProtection="0"/>
    <xf numFmtId="0" fontId="1" fillId="14"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252" fontId="2" fillId="0" borderId="0" applyFont="0" applyFill="0" applyBorder="0" applyAlignment="0" applyProtection="0"/>
    <xf numFmtId="5" fontId="177" fillId="0" borderId="0" applyFont="0" applyFill="0" applyBorder="0" applyAlignment="0" applyProtection="0"/>
    <xf numFmtId="0" fontId="1" fillId="14" borderId="0" applyNumberFormat="0" applyBorder="0" applyAlignment="0" applyProtection="0"/>
    <xf numFmtId="43" fontId="5" fillId="0" borderId="0" applyFont="0" applyFill="0" applyBorder="0" applyAlignment="0" applyProtection="0"/>
    <xf numFmtId="0" fontId="1" fillId="14" borderId="0" applyNumberFormat="0" applyBorder="0" applyAlignment="0" applyProtection="0"/>
    <xf numFmtId="5" fontId="177" fillId="0" borderId="0" applyFont="0" applyFill="0" applyBorder="0" applyAlignment="0" applyProtection="0"/>
    <xf numFmtId="0" fontId="1" fillId="8" borderId="0" applyNumberFormat="0" applyBorder="0" applyAlignment="0" applyProtection="0"/>
    <xf numFmtId="253" fontId="2" fillId="0" borderId="0" applyFont="0" applyFill="0" applyBorder="0" applyAlignment="0" applyProtection="0"/>
    <xf numFmtId="5" fontId="177" fillId="0" borderId="0" applyFont="0" applyFill="0" applyBorder="0" applyAlignment="0" applyProtection="0"/>
    <xf numFmtId="0" fontId="1" fillId="14" borderId="0" applyNumberFormat="0" applyBorder="0" applyAlignment="0" applyProtection="0"/>
    <xf numFmtId="0" fontId="1" fillId="14"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253" fontId="2" fillId="0" borderId="0" applyFont="0" applyFill="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236" fontId="2" fillId="0" borderId="0" applyFont="0" applyFill="0" applyBorder="0" applyAlignment="0" applyProtection="0"/>
    <xf numFmtId="0" fontId="1" fillId="14"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204" fillId="0" borderId="0" applyFill="0" applyBorder="0" applyProtection="0">
      <alignment horizontal="center" vertical="center"/>
    </xf>
    <xf numFmtId="252" fontId="2" fillId="0" borderId="0" applyFont="0" applyFill="0" applyBorder="0" applyAlignment="0" applyProtection="0"/>
    <xf numFmtId="0" fontId="1" fillId="6"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3" fillId="0" borderId="11" applyFill="0" applyAlignment="0" applyProtection="0"/>
    <xf numFmtId="5" fontId="177"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8"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5" fillId="0" borderId="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9" fontId="206" fillId="0" borderId="0" applyFont="0" applyFill="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59" fillId="0" borderId="0" applyNumberFormat="0" applyFill="0" applyBorder="0" applyAlignment="0" applyProtection="0"/>
    <xf numFmtId="0" fontId="5" fillId="0" borderId="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4"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97"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252"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2"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97"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252" fontId="2" fillId="0" borderId="0" applyFont="0" applyFill="0" applyBorder="0" applyAlignment="0" applyProtection="0"/>
    <xf numFmtId="251"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08" fillId="0" borderId="0" applyNumberFormat="0" applyFill="0" applyBorder="0" applyAlignment="0" applyProtection="0">
      <alignment vertical="top"/>
      <protection locked="0"/>
    </xf>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0" fillId="0" borderId="0"/>
    <xf numFmtId="0" fontId="1" fillId="0" borderId="0"/>
    <xf numFmtId="0" fontId="10" fillId="0" borderId="0"/>
    <xf numFmtId="0" fontId="2" fillId="0" borderId="0"/>
    <xf numFmtId="0" fontId="2" fillId="0" borderId="0"/>
    <xf numFmtId="0" fontId="10" fillId="0" borderId="0"/>
    <xf numFmtId="0" fontId="2" fillId="0" borderId="0"/>
    <xf numFmtId="0" fontId="2" fillId="0" borderId="0"/>
    <xf numFmtId="0" fontId="10" fillId="0" borderId="0"/>
    <xf numFmtId="0" fontId="2" fillId="0" borderId="0"/>
    <xf numFmtId="0" fontId="2" fillId="0" borderId="0">
      <alignment vertical="center"/>
    </xf>
    <xf numFmtId="0" fontId="2" fillId="0" borderId="0"/>
    <xf numFmtId="0" fontId="5"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5" fillId="0" borderId="0"/>
    <xf numFmtId="0" fontId="2" fillId="0" borderId="0">
      <alignment vertical="center"/>
    </xf>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7" fillId="0" borderId="0"/>
    <xf numFmtId="0" fontId="7"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97" fillId="0" borderId="0" applyFont="0" applyFill="0" applyBorder="0" applyAlignment="0" applyProtection="0"/>
    <xf numFmtId="9" fontId="9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08" fillId="0" borderId="0" applyNumberFormat="0" applyFill="0" applyBorder="0" applyAlignment="0" applyProtection="0">
      <alignment vertical="top"/>
      <protection locked="0"/>
    </xf>
    <xf numFmtId="0" fontId="207" fillId="0" borderId="0" applyNumberFormat="0" applyFill="0" applyBorder="0" applyAlignment="0" applyProtection="0"/>
    <xf numFmtId="0" fontId="1" fillId="0" borderId="0"/>
    <xf numFmtId="0" fontId="5" fillId="0" borderId="0"/>
    <xf numFmtId="0" fontId="5" fillId="0" borderId="0"/>
    <xf numFmtId="0" fontId="205" fillId="0" borderId="0"/>
    <xf numFmtId="43" fontId="206"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10" fillId="0" borderId="0" applyFont="0" applyFill="0" applyBorder="0" applyAlignment="0" applyProtection="0"/>
    <xf numFmtId="44" fontId="210" fillId="0" borderId="0" applyFont="0" applyFill="0" applyBorder="0" applyAlignment="0" applyProtection="0"/>
    <xf numFmtId="43" fontId="1" fillId="0" borderId="0" applyFont="0" applyFill="0" applyBorder="0" applyAlignment="0" applyProtection="0"/>
    <xf numFmtId="255" fontId="211" fillId="0" borderId="0" applyFont="0" applyFill="0" applyBorder="0" applyAlignment="0" applyProtection="0"/>
    <xf numFmtId="256" fontId="211" fillId="0" borderId="0" applyFont="0" applyFill="0" applyBorder="0" applyAlignment="0" applyProtection="0"/>
    <xf numFmtId="257" fontId="211" fillId="0" borderId="0" applyFont="0" applyFill="0" applyBorder="0" applyAlignment="0" applyProtection="0"/>
    <xf numFmtId="258" fontId="211" fillId="0" borderId="0" applyFont="0" applyFill="0" applyBorder="0" applyAlignment="0" applyProtection="0"/>
    <xf numFmtId="0" fontId="1" fillId="0" borderId="0"/>
    <xf numFmtId="44" fontId="1" fillId="0" borderId="0" applyFont="0" applyFill="0" applyBorder="0" applyAlignment="0" applyProtection="0"/>
    <xf numFmtId="0" fontId="212" fillId="0" borderId="112">
      <alignment horizontal="left"/>
    </xf>
    <xf numFmtId="0" fontId="213" fillId="0" borderId="112">
      <alignment horizontal="left" wrapText="1"/>
    </xf>
    <xf numFmtId="0" fontId="213" fillId="0" borderId="0">
      <alignment horizontal="right" vertical="center"/>
    </xf>
    <xf numFmtId="0" fontId="11" fillId="0" borderId="0" applyFill="0" applyBorder="0" applyProtection="0">
      <alignment horizontal="center" vertical="center"/>
    </xf>
    <xf numFmtId="0" fontId="212" fillId="0" borderId="0">
      <alignment horizontal="center" vertical="center" wrapText="1"/>
    </xf>
    <xf numFmtId="0" fontId="103" fillId="0" borderId="106">
      <alignment horizontal="center"/>
    </xf>
    <xf numFmtId="251" fontId="2" fillId="0" borderId="0" applyFont="0" applyFill="0" applyBorder="0" applyAlignment="0" applyProtection="0"/>
    <xf numFmtId="251" fontId="2" fillId="0" borderId="0" applyFont="0" applyFill="0" applyBorder="0" applyAlignment="0" applyProtection="0"/>
    <xf numFmtId="25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1"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1" fontId="2" fillId="0" borderId="0" applyFont="0" applyFill="0" applyBorder="0" applyAlignment="0" applyProtection="0"/>
    <xf numFmtId="43" fontId="10"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9" fontId="214" fillId="0" borderId="0" applyFill="0" applyBorder="0" applyProtection="0"/>
    <xf numFmtId="260" fontId="19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13" fillId="0" borderId="0">
      <alignment horizontal="left" vertical="center" wrapText="1"/>
    </xf>
    <xf numFmtId="0" fontId="212" fillId="0" borderId="0">
      <alignment horizontal="left" vertical="center" wrapText="1"/>
    </xf>
    <xf numFmtId="43" fontId="2" fillId="0" borderId="0" applyFont="0" applyFill="0" applyBorder="0" applyAlignment="0" applyProtection="0"/>
    <xf numFmtId="0" fontId="1" fillId="0" borderId="0"/>
    <xf numFmtId="0" fontId="2" fillId="0" borderId="0"/>
    <xf numFmtId="0" fontId="1" fillId="0" borderId="0"/>
    <xf numFmtId="177" fontId="44" fillId="0" borderId="113" applyFill="0" applyBorder="0" applyProtection="0">
      <alignment horizontal="right"/>
      <protection locked="0"/>
    </xf>
    <xf numFmtId="178" fontId="44" fillId="0" borderId="113" applyFill="0" applyBorder="0" applyProtection="0">
      <alignment horizontal="right"/>
      <protection locked="0"/>
    </xf>
    <xf numFmtId="179" fontId="44" fillId="0" borderId="113" applyFill="0" applyBorder="0" applyProtection="0">
      <alignment horizontal="right"/>
      <protection locked="0"/>
    </xf>
    <xf numFmtId="0" fontId="4" fillId="0" borderId="114" applyNumberFormat="0" applyAlignment="0" applyProtection="0">
      <alignment horizontal="left" vertical="center"/>
    </xf>
    <xf numFmtId="0" fontId="4" fillId="0" borderId="46">
      <alignment horizontal="left" vertical="center"/>
    </xf>
    <xf numFmtId="181" fontId="44" fillId="0" borderId="115" applyFill="0" applyBorder="0" applyProtection="0">
      <alignment horizontal="center"/>
      <protection locked="0"/>
    </xf>
    <xf numFmtId="182" fontId="44" fillId="0" borderId="115" applyFill="0" applyBorder="0" applyProtection="0">
      <alignment horizontal="center"/>
      <protection locked="0"/>
    </xf>
    <xf numFmtId="187" fontId="44" fillId="0" borderId="115" applyFill="0" applyBorder="0" applyProtection="0">
      <alignment horizontal="center"/>
      <protection locked="0"/>
    </xf>
    <xf numFmtId="188" fontId="44" fillId="0" borderId="115" applyFill="0" applyBorder="0" applyProtection="0">
      <alignment horizontal="center"/>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207" fillId="0" borderId="0" applyNumberFormat="0" applyFill="0" applyBorder="0" applyAlignment="0" applyProtection="0"/>
    <xf numFmtId="43" fontId="5"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07" fillId="0" borderId="0" applyNumberFormat="0" applyFill="0" applyBorder="0" applyAlignment="0" applyProtection="0"/>
    <xf numFmtId="261" fontId="2" fillId="0" borderId="0"/>
    <xf numFmtId="0" fontId="5" fillId="0" borderId="0"/>
    <xf numFmtId="0" fontId="1" fillId="0" borderId="0"/>
    <xf numFmtId="0" fontId="1" fillId="0" borderId="0"/>
    <xf numFmtId="0" fontId="1" fillId="0" borderId="0"/>
    <xf numFmtId="0" fontId="1" fillId="4" borderId="22" applyNumberFormat="0" applyFont="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1" fillId="0" borderId="0"/>
    <xf numFmtId="0" fontId="207" fillId="0" borderId="0" applyNumberFormat="0" applyFill="0" applyBorder="0" applyAlignment="0" applyProtection="0"/>
    <xf numFmtId="0" fontId="1" fillId="0" borderId="0"/>
    <xf numFmtId="0" fontId="20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9" fontId="177" fillId="0" borderId="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5" fontId="177" fillId="0" borderId="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43" fontId="174" fillId="0" borderId="0" applyFont="0" applyFill="0" applyBorder="0" applyAlignment="0" applyProtection="0"/>
    <xf numFmtId="9" fontId="174" fillId="0" borderId="0" applyFont="0" applyFill="0" applyBorder="0" applyAlignment="0" applyProtection="0"/>
    <xf numFmtId="44" fontId="174" fillId="0" borderId="0" applyFont="0" applyFill="0" applyBorder="0" applyAlignment="0" applyProtection="0"/>
    <xf numFmtId="0" fontId="207" fillId="0" borderId="0" applyNumberFormat="0" applyFill="0" applyBorder="0" applyAlignment="0" applyProtection="0"/>
    <xf numFmtId="0" fontId="174"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174" fillId="0" borderId="0"/>
    <xf numFmtId="44" fontId="174" fillId="0" borderId="0" applyFont="0" applyFill="0" applyBorder="0" applyAlignment="0" applyProtection="0"/>
    <xf numFmtId="9" fontId="174" fillId="0" borderId="0" applyFont="0" applyFill="0" applyBorder="0" applyAlignment="0" applyProtection="0"/>
    <xf numFmtId="43" fontId="174" fillId="0" borderId="0" applyFont="0" applyFill="0" applyBorder="0" applyAlignment="0" applyProtection="0"/>
    <xf numFmtId="5" fontId="177" fillId="0" borderId="0" applyFont="0" applyFill="0" applyBorder="0" applyAlignment="0" applyProtection="0"/>
    <xf numFmtId="9" fontId="177" fillId="0" borderId="0" applyFont="0" applyFill="0" applyBorder="0" applyAlignment="0" applyProtection="0"/>
    <xf numFmtId="0" fontId="177" fillId="0" borderId="45" applyNumberFormat="0" applyFont="0" applyFill="0" applyAlignment="0" applyProtection="0"/>
    <xf numFmtId="0" fontId="30" fillId="35" borderId="119" applyNumberFormat="0" applyAlignment="0" applyProtection="0"/>
    <xf numFmtId="17" fontId="91" fillId="0" borderId="45" applyFont="0" applyFill="0" applyBorder="0" applyAlignment="0" applyProtection="0"/>
    <xf numFmtId="0" fontId="37" fillId="22" borderId="119" applyNumberFormat="0" applyAlignment="0" applyProtection="0"/>
    <xf numFmtId="236" fontId="2" fillId="0" borderId="0" applyFont="0" applyFill="0" applyBorder="0" applyAlignment="0" applyProtection="0"/>
    <xf numFmtId="0" fontId="3" fillId="72" borderId="120">
      <alignment horizontal="left" vertical="center" wrapText="1"/>
    </xf>
    <xf numFmtId="0" fontId="175" fillId="37" borderId="121" applyNumberFormat="0" applyFont="0" applyAlignment="0" applyProtection="0"/>
    <xf numFmtId="0" fontId="10" fillId="38" borderId="121" applyNumberFormat="0" applyFont="0" applyAlignment="0" applyProtection="0"/>
    <xf numFmtId="0" fontId="40" fillId="41" borderId="122" applyNumberFormat="0" applyAlignment="0" applyProtection="0"/>
    <xf numFmtId="0" fontId="40" fillId="35" borderId="122" applyNumberFormat="0" applyAlignment="0" applyProtection="0"/>
    <xf numFmtId="0" fontId="177" fillId="0" borderId="45" applyNumberFormat="0" applyFont="0" applyFill="0" applyAlignment="0" applyProtection="0"/>
    <xf numFmtId="0" fontId="177" fillId="0" borderId="128" applyNumberFormat="0" applyFont="0" applyFill="0" applyAlignment="0" applyProtection="0"/>
    <xf numFmtId="0" fontId="177" fillId="0" borderId="45" applyNumberFormat="0" applyFont="0" applyFill="0" applyAlignment="0" applyProtection="0"/>
    <xf numFmtId="0" fontId="177" fillId="0" borderId="128" applyNumberFormat="0" applyFont="0" applyFill="0" applyAlignment="0" applyProtection="0"/>
    <xf numFmtId="236" fontId="2" fillId="0" borderId="0" applyFont="0" applyFill="0" applyBorder="0" applyAlignment="0" applyProtection="0"/>
    <xf numFmtId="17" fontId="91" fillId="0" borderId="128" applyFont="0" applyFill="0" applyBorder="0" applyAlignment="0" applyProtection="0"/>
    <xf numFmtId="0" fontId="177" fillId="0" borderId="128" applyNumberFormat="0" applyFont="0" applyFill="0" applyAlignment="0" applyProtection="0"/>
    <xf numFmtId="9" fontId="177" fillId="0" borderId="0" applyFont="0" applyFill="0" applyBorder="0" applyAlignment="0" applyProtection="0"/>
    <xf numFmtId="5" fontId="177" fillId="0" borderId="0" applyFont="0" applyFill="0" applyBorder="0" applyAlignment="0" applyProtection="0"/>
    <xf numFmtId="0" fontId="176" fillId="0" borderId="129"/>
    <xf numFmtId="43" fontId="174" fillId="0" borderId="0" applyFont="0" applyFill="0" applyBorder="0" applyAlignment="0" applyProtection="0"/>
    <xf numFmtId="9" fontId="174" fillId="0" borderId="0" applyFont="0" applyFill="0" applyBorder="0" applyAlignment="0" applyProtection="0"/>
    <xf numFmtId="44" fontId="174" fillId="0" borderId="0" applyFont="0" applyFill="0" applyBorder="0" applyAlignment="0" applyProtection="0"/>
    <xf numFmtId="0" fontId="174" fillId="0" borderId="0"/>
    <xf numFmtId="0" fontId="4" fillId="0" borderId="130" applyNumberFormat="0" applyAlignment="0" applyProtection="0">
      <alignment horizontal="left" vertical="center"/>
    </xf>
    <xf numFmtId="181" fontId="44" fillId="0" borderId="131" applyFill="0" applyBorder="0" applyProtection="0">
      <alignment horizontal="center"/>
      <protection locked="0"/>
    </xf>
    <xf numFmtId="182" fontId="44" fillId="0" borderId="131" applyFill="0" applyBorder="0" applyProtection="0">
      <alignment horizontal="center"/>
      <protection locked="0"/>
    </xf>
    <xf numFmtId="187" fontId="44" fillId="0" borderId="131" applyFill="0" applyBorder="0" applyProtection="0">
      <alignment horizontal="center"/>
      <protection locked="0"/>
    </xf>
    <xf numFmtId="0" fontId="30" fillId="35" borderId="119" applyNumberFormat="0" applyAlignment="0" applyProtection="0"/>
    <xf numFmtId="0" fontId="47" fillId="41" borderId="119" applyNumberFormat="0" applyAlignment="0" applyProtection="0"/>
    <xf numFmtId="0" fontId="37" fillId="22" borderId="119" applyNumberFormat="0" applyAlignment="0" applyProtection="0"/>
    <xf numFmtId="0" fontId="52" fillId="37" borderId="119" applyNumberFormat="0" applyAlignment="0" applyProtection="0"/>
    <xf numFmtId="0" fontId="40" fillId="35" borderId="122" applyNumberFormat="0" applyAlignment="0" applyProtection="0"/>
    <xf numFmtId="0" fontId="55" fillId="41" borderId="123" applyNumberFormat="0" applyAlignment="0" applyProtection="0"/>
    <xf numFmtId="1" fontId="45" fillId="0" borderId="124" applyNumberFormat="0" applyFont="0" applyFill="0" applyAlignment="0" applyProtection="0">
      <alignment horizontal="center"/>
    </xf>
    <xf numFmtId="0" fontId="42" fillId="0" borderId="125" applyNumberFormat="0" applyFill="0" applyAlignment="0" applyProtection="0"/>
    <xf numFmtId="0" fontId="42" fillId="0" borderId="126" applyNumberFormat="0" applyFill="0" applyAlignment="0" applyProtection="0"/>
    <xf numFmtId="44" fontId="1" fillId="0" borderId="0" applyFont="0" applyFill="0" applyBorder="0" applyAlignment="0" applyProtection="0"/>
    <xf numFmtId="0" fontId="2" fillId="0" borderId="0"/>
    <xf numFmtId="0" fontId="230" fillId="0" borderId="0" applyNumberFormat="0" applyBorder="0" applyAlignment="0"/>
    <xf numFmtId="0" fontId="2" fillId="0" borderId="0"/>
    <xf numFmtId="188" fontId="44" fillId="0" borderId="131" applyFill="0" applyBorder="0" applyProtection="0">
      <alignment horizontal="center"/>
      <protection locked="0"/>
    </xf>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5" fontId="177" fillId="0" borderId="0" applyFont="0" applyFill="0" applyBorder="0" applyAlignment="0" applyProtection="0"/>
    <xf numFmtId="8" fontId="177" fillId="0" borderId="0" applyFont="0" applyFill="0" applyBorder="0" applyAlignment="0" applyProtection="0"/>
    <xf numFmtId="9" fontId="177" fillId="0" borderId="0" applyFont="0" applyFill="0" applyBorder="0" applyAlignment="0" applyProtection="0"/>
    <xf numFmtId="10" fontId="177" fillId="0" borderId="0" applyFont="0" applyFill="0" applyBorder="0" applyAlignment="0" applyProtection="0"/>
    <xf numFmtId="0" fontId="177" fillId="0" borderId="11" applyNumberFormat="0" applyFont="0" applyFill="0" applyAlignment="0" applyProtection="0"/>
    <xf numFmtId="0" fontId="177" fillId="0" borderId="3" applyNumberFormat="0" applyFont="0" applyFill="0" applyAlignment="0" applyProtection="0"/>
    <xf numFmtId="0" fontId="177" fillId="0" borderId="4" applyNumberFormat="0" applyFont="0" applyFill="0" applyAlignment="0" applyProtection="0"/>
    <xf numFmtId="0" fontId="177" fillId="0" borderId="128" applyNumberFormat="0" applyFont="0" applyFill="0" applyAlignment="0" applyProtection="0"/>
    <xf numFmtId="14" fontId="177" fillId="0" borderId="0" applyFont="0" applyFill="0" applyBorder="0" applyAlignment="0" applyProtection="0"/>
    <xf numFmtId="0" fontId="1" fillId="0" borderId="0"/>
    <xf numFmtId="5" fontId="177" fillId="0" borderId="0" applyFon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177" fillId="0" borderId="0" applyNumberFormat="0" applyFont="0" applyFill="0" applyBorder="0" applyProtection="0">
      <alignment horizontal="left" vertical="top" wrapText="1"/>
    </xf>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5" fillId="0" borderId="103" applyNumberFormat="0" applyFill="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3" fillId="58" borderId="102" applyNumberFormat="0" applyAlignment="0" applyProtection="0"/>
    <xf numFmtId="5" fontId="177" fillId="0" borderId="0" applyFont="0" applyFill="0" applyBorder="0" applyAlignment="0" applyProtection="0"/>
    <xf numFmtId="5" fontId="177" fillId="0" borderId="0" applyFont="0" applyFill="0" applyBorder="0" applyAlignment="0" applyProtection="0"/>
    <xf numFmtId="5" fontId="177" fillId="0" borderId="0" applyFont="0" applyFill="0" applyBorder="0" applyAlignment="0" applyProtection="0"/>
    <xf numFmtId="5" fontId="177" fillId="0" borderId="0" applyFon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4" fillId="58" borderId="101" applyNumberFormat="0" applyAlignment="0" applyProtection="0"/>
    <xf numFmtId="0" fontId="222" fillId="57" borderId="101" applyNumberFormat="0" applyAlignment="0" applyProtection="0"/>
    <xf numFmtId="5" fontId="177" fillId="0" borderId="0" applyFont="0" applyFill="0" applyBorder="0" applyAlignment="0" applyProtection="0"/>
    <xf numFmtId="0" fontId="221" fillId="56" borderId="0" applyNumberFormat="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7" fillId="0" borderId="0" applyNumberFormat="0" applyFill="0" applyBorder="0" applyAlignment="0" applyProtection="0"/>
    <xf numFmtId="0" fontId="1" fillId="8" borderId="0" applyNumberFormat="0" applyBorder="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7" fillId="0" borderId="0" applyNumberFormat="0" applyFill="0" applyBorder="0" applyAlignment="0" applyProtection="0"/>
    <xf numFmtId="0" fontId="216" fillId="0" borderId="98" applyNumberFormat="0" applyFill="0" applyAlignment="0" applyProtection="0"/>
    <xf numFmtId="5" fontId="177" fillId="0" borderId="0" applyFont="0" applyFill="0" applyBorder="0" applyAlignment="0" applyProtection="0"/>
    <xf numFmtId="8" fontId="177" fillId="0" borderId="0" applyFont="0" applyFill="0" applyBorder="0" applyAlignment="0" applyProtection="0"/>
    <xf numFmtId="9" fontId="177" fillId="0" borderId="0" applyFont="0" applyFill="0" applyBorder="0" applyAlignment="0" applyProtection="0"/>
    <xf numFmtId="10" fontId="177" fillId="0" borderId="0" applyFont="0" applyFill="0" applyBorder="0" applyAlignment="0" applyProtection="0"/>
    <xf numFmtId="0" fontId="217" fillId="0" borderId="99" applyNumberFormat="0" applyFill="0" applyAlignment="0" applyProtection="0"/>
    <xf numFmtId="0" fontId="218"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9" fillId="0" borderId="105" applyNumberFormat="0" applyFill="0" applyAlignment="0" applyProtection="0"/>
    <xf numFmtId="0" fontId="1" fillId="6" borderId="0" applyNumberFormat="0" applyBorder="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5" fontId="177" fillId="0" borderId="0" applyFon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1" fillId="8" borderId="0" applyNumberFormat="0" applyBorder="0" applyAlignment="0" applyProtection="0"/>
    <xf numFmtId="0" fontId="228" fillId="0" borderId="0" applyNumberFormat="0" applyFill="0" applyBorder="0" applyAlignment="0" applyProtection="0"/>
    <xf numFmtId="0" fontId="1" fillId="0" borderId="0"/>
    <xf numFmtId="0" fontId="227" fillId="0" borderId="0" applyNumberFormat="0" applyFill="0" applyBorder="0" applyAlignment="0" applyProtection="0"/>
    <xf numFmtId="5" fontId="177" fillId="0" borderId="0" applyFon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1" fillId="8" borderId="0" applyNumberFormat="0" applyBorder="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177" fillId="0" borderId="11" applyNumberFormat="0" applyFont="0" applyFill="0" applyAlignment="0" applyProtection="0"/>
    <xf numFmtId="0" fontId="177" fillId="0" borderId="3" applyNumberFormat="0" applyFont="0" applyFill="0" applyAlignment="0" applyProtection="0"/>
    <xf numFmtId="0" fontId="177" fillId="0" borderId="4" applyNumberFormat="0" applyFont="0" applyFill="0" applyAlignment="0" applyProtection="0"/>
    <xf numFmtId="0" fontId="177" fillId="0" borderId="128" applyNumberFormat="0" applyFont="0" applyFill="0" applyAlignment="0" applyProtection="0"/>
    <xf numFmtId="0" fontId="1" fillId="4" borderId="22"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14" fontId="177"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174" fillId="4" borderId="22" applyNumberFormat="0" applyFont="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5" fontId="177" fillId="0" borderId="0" applyFont="0" applyFill="0" applyBorder="0" applyAlignment="0" applyProtection="0"/>
    <xf numFmtId="0" fontId="174" fillId="4" borderId="22" applyNumberFormat="0" applyFont="0" applyAlignment="0" applyProtection="0"/>
    <xf numFmtId="0" fontId="218" fillId="0" borderId="100" applyNumberFormat="0" applyFill="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177" fillId="0" borderId="0" applyNumberFormat="0" applyFont="0" applyFill="0" applyBorder="0" applyProtection="0">
      <alignment horizontal="left" vertical="top" wrapText="1"/>
    </xf>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74" fillId="4" borderId="22" applyNumberFormat="0" applyFont="0" applyAlignment="0" applyProtection="0"/>
    <xf numFmtId="0" fontId="219" fillId="54" borderId="0" applyNumberFormat="0" applyBorder="0" applyAlignment="0" applyProtection="0"/>
    <xf numFmtId="0" fontId="1" fillId="8" borderId="0" applyNumberFormat="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4" borderId="0" applyNumberFormat="0" applyBorder="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43" fontId="1" fillId="0" borderId="0" applyFon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5" fontId="177" fillId="0" borderId="0" applyFont="0" applyFill="0" applyBorder="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2" borderId="0" applyNumberFormat="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6" borderId="0" applyNumberFormat="0" applyBorder="0" applyAlignment="0" applyProtection="0"/>
    <xf numFmtId="0" fontId="228"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5" fontId="177" fillId="0" borderId="0" applyFont="0" applyFill="0" applyBorder="0" applyAlignment="0" applyProtection="0"/>
    <xf numFmtId="0" fontId="228"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2" borderId="0" applyNumberFormat="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6" borderId="0" applyNumberFormat="0" applyBorder="0" applyAlignment="0" applyProtection="0"/>
    <xf numFmtId="0" fontId="228"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43" fontId="1" fillId="0" borderId="0" applyFont="0" applyFill="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2" borderId="0" applyNumberFormat="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43" fontId="1" fillId="0" borderId="0" applyFont="0" applyFill="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5" fontId="177"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5" fontId="177" fillId="0" borderId="0" applyFont="0" applyFill="0" applyBorder="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5" fontId="177" fillId="0" borderId="0" applyFont="0" applyFill="0" applyBorder="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229" fillId="0" borderId="105" applyNumberFormat="0" applyFill="0" applyAlignment="0" applyProtection="0"/>
    <xf numFmtId="5" fontId="177" fillId="0" borderId="0" applyFont="0" applyFill="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5" fontId="177" fillId="0" borderId="0" applyFon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6" borderId="0" applyNumberFormat="0" applyBorder="0" applyAlignment="0" applyProtection="0"/>
    <xf numFmtId="5" fontId="177" fillId="0" borderId="0" applyFont="0" applyFill="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8" borderId="0" applyNumberFormat="0" applyBorder="0" applyAlignment="0" applyProtection="0"/>
    <xf numFmtId="5" fontId="177" fillId="0" borderId="0" applyFont="0" applyFill="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4" fillId="0" borderId="127">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4" borderId="22" applyNumberFormat="0" applyFont="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4" fillId="0" borderId="0"/>
    <xf numFmtId="44" fontId="174" fillId="0" borderId="0" applyFont="0" applyFill="0" applyBorder="0" applyAlignment="0" applyProtection="0"/>
    <xf numFmtId="9" fontId="174" fillId="0" borderId="0" applyFont="0" applyFill="0" applyBorder="0" applyAlignment="0" applyProtection="0"/>
    <xf numFmtId="43" fontId="174" fillId="0" borderId="0" applyFont="0" applyFill="0" applyBorder="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1" fillId="0" borderId="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5" fillId="0" borderId="103" applyNumberFormat="0" applyFill="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3" fillId="58" borderId="102" applyNumberFormat="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4" fillId="58" borderId="101" applyNumberFormat="0" applyAlignment="0" applyProtection="0"/>
    <xf numFmtId="0" fontId="222" fillId="57" borderId="101" applyNumberFormat="0" applyAlignment="0" applyProtection="0"/>
    <xf numFmtId="0" fontId="221" fillId="56" borderId="0" applyNumberFormat="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1" fillId="8" borderId="0" applyNumberFormat="0" applyBorder="0" applyAlignment="0" applyProtection="0"/>
    <xf numFmtId="0" fontId="227" fillId="0" borderId="0" applyNumberFormat="0" applyFill="0" applyBorder="0" applyAlignment="0" applyProtection="0"/>
    <xf numFmtId="0" fontId="1" fillId="8" borderId="0" applyNumberFormat="0" applyBorder="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100" applyNumberFormat="0" applyFill="0" applyAlignment="0" applyProtection="0"/>
    <xf numFmtId="0" fontId="218" fillId="0" borderId="0" applyNumberFormat="0" applyFill="0" applyBorder="0" applyAlignment="0" applyProtection="0"/>
    <xf numFmtId="0" fontId="219" fillId="54" borderId="0" applyNumberFormat="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7" fillId="0" borderId="0" applyNumberFormat="0" applyFill="0" applyBorder="0" applyAlignment="0" applyProtection="0"/>
    <xf numFmtId="0" fontId="216" fillId="0" borderId="98" applyNumberFormat="0" applyFill="0" applyAlignment="0" applyProtection="0"/>
    <xf numFmtId="0" fontId="217" fillId="0" borderId="99" applyNumberFormat="0" applyFill="0" applyAlignment="0" applyProtection="0"/>
    <xf numFmtId="0" fontId="218" fillId="0" borderId="0" applyNumberFormat="0" applyFill="0" applyBorder="0" applyAlignment="0" applyProtection="0"/>
    <xf numFmtId="0" fontId="220" fillId="55" borderId="0" applyNumberFormat="0" applyBorder="0" applyAlignment="0" applyProtection="0"/>
    <xf numFmtId="0" fontId="221" fillId="56" borderId="0" applyNumberFormat="0" applyBorder="0" applyAlignment="0" applyProtection="0"/>
    <xf numFmtId="0" fontId="222" fillId="57" borderId="101" applyNumberFormat="0" applyAlignment="0" applyProtection="0"/>
    <xf numFmtId="0" fontId="223" fillId="58" borderId="102" applyNumberFormat="0" applyAlignment="0" applyProtection="0"/>
    <xf numFmtId="0" fontId="224" fillId="58" borderId="101" applyNumberFormat="0" applyAlignment="0" applyProtection="0"/>
    <xf numFmtId="0" fontId="225" fillId="0" borderId="103" applyNumberFormat="0" applyFill="0" applyAlignment="0" applyProtection="0"/>
    <xf numFmtId="0" fontId="226" fillId="59" borderId="104" applyNumberFormat="0" applyAlignment="0" applyProtection="0"/>
    <xf numFmtId="0" fontId="229" fillId="0" borderId="105" applyNumberFormat="0" applyFill="0" applyAlignment="0" applyProtection="0"/>
    <xf numFmtId="0" fontId="1" fillId="6" borderId="0" applyNumberFormat="0" applyBorder="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1" fillId="8" borderId="0" applyNumberFormat="0" applyBorder="0" applyAlignment="0" applyProtection="0"/>
    <xf numFmtId="0" fontId="228" fillId="0" borderId="0" applyNumberFormat="0" applyFill="0" applyBorder="0" applyAlignment="0" applyProtection="0"/>
    <xf numFmtId="0" fontId="1" fillId="0" borderId="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1" fillId="8" borderId="0" applyNumberFormat="0" applyBorder="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174" fillId="4" borderId="22" applyNumberFormat="0" applyFont="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174" fillId="4" borderId="22" applyNumberFormat="0" applyFont="0" applyAlignment="0" applyProtection="0"/>
    <xf numFmtId="0" fontId="218" fillId="0" borderId="100" applyNumberFormat="0" applyFill="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74" fillId="4" borderId="22" applyNumberFormat="0" applyFont="0" applyAlignment="0" applyProtection="0"/>
    <xf numFmtId="0" fontId="219" fillId="54" borderId="0" applyNumberFormat="0" applyBorder="0" applyAlignment="0" applyProtection="0"/>
    <xf numFmtId="0" fontId="1" fillId="8" borderId="0" applyNumberFormat="0" applyBorder="0" applyAlignment="0" applyProtection="0"/>
    <xf numFmtId="0" fontId="229" fillId="0" borderId="105" applyNumberFormat="0" applyFill="0" applyAlignment="0" applyProtection="0"/>
    <xf numFmtId="0" fontId="1" fillId="14" borderId="0" applyNumberFormat="0" applyBorder="0" applyAlignment="0" applyProtection="0"/>
    <xf numFmtId="0" fontId="228" fillId="0" borderId="0" applyNumberFormat="0" applyFill="0" applyBorder="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43" fontId="1" fillId="0" borderId="0" applyFon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229" fillId="0" borderId="105" applyNumberFormat="0" applyFill="0" applyAlignment="0" applyProtection="0"/>
    <xf numFmtId="0" fontId="228" fillId="0" borderId="0" applyNumberFormat="0" applyFill="0" applyBorder="0" applyAlignment="0" applyProtection="0"/>
    <xf numFmtId="0" fontId="174" fillId="4" borderId="22" applyNumberFormat="0" applyFont="0" applyAlignment="0" applyProtection="0"/>
    <xf numFmtId="0" fontId="227"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2" borderId="0" applyNumberFormat="0" applyBorder="0" applyAlignment="0" applyProtection="0"/>
    <xf numFmtId="0" fontId="229" fillId="0" borderId="105" applyNumberFormat="0" applyFill="0" applyAlignment="0" applyProtection="0"/>
    <xf numFmtId="0" fontId="1" fillId="16" borderId="0" applyNumberFormat="0" applyBorder="0" applyAlignment="0" applyProtection="0"/>
    <xf numFmtId="0" fontId="228"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1" fillId="14" borderId="0" applyNumberFormat="0" applyBorder="0" applyAlignment="0" applyProtection="0"/>
    <xf numFmtId="0" fontId="228"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2" borderId="0" applyNumberFormat="0" applyBorder="0" applyAlignment="0" applyProtection="0"/>
    <xf numFmtId="0" fontId="229" fillId="0" borderId="105" applyNumberFormat="0" applyFill="0" applyAlignment="0" applyProtection="0"/>
    <xf numFmtId="0" fontId="1" fillId="16" borderId="0" applyNumberFormat="0" applyBorder="0" applyAlignment="0" applyProtection="0"/>
    <xf numFmtId="0" fontId="228" fillId="0" borderId="0" applyNumberForma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43" fontId="1" fillId="0" borderId="0" applyFont="0" applyFill="0" applyBorder="0" applyAlignment="0" applyProtection="0"/>
    <xf numFmtId="0" fontId="229" fillId="0" borderId="105" applyNumberFormat="0" applyFill="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2" borderId="0" applyNumberFormat="0" applyBorder="0" applyAlignment="0" applyProtection="0"/>
    <xf numFmtId="0" fontId="229" fillId="0" borderId="105" applyNumberFormat="0" applyFill="0" applyAlignment="0" applyProtection="0"/>
    <xf numFmtId="0" fontId="1" fillId="16" borderId="0" applyNumberFormat="0" applyBorder="0" applyAlignment="0" applyProtection="0"/>
    <xf numFmtId="0" fontId="1" fillId="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43" fontId="1" fillId="0" borderId="0" applyFont="0" applyFill="0" applyBorder="0" applyAlignment="0" applyProtection="0"/>
    <xf numFmtId="0" fontId="229" fillId="0" borderId="105" applyNumberFormat="0" applyFill="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229" fillId="0" borderId="105"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1" fillId="14"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229" fillId="0" borderId="105" applyNumberFormat="0" applyFill="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229" fillId="0" borderId="105" applyNumberFormat="0" applyFill="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9" fontId="1" fillId="0" borderId="0" applyFont="0" applyFill="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43" fontId="1" fillId="0" borderId="0" applyFont="0" applyFill="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26" fillId="59" borderId="104" applyNumberFormat="0" applyAlignment="0" applyProtection="0"/>
    <xf numFmtId="0" fontId="225" fillId="0" borderId="103" applyNumberFormat="0" applyFill="0" applyAlignment="0" applyProtection="0"/>
    <xf numFmtId="0" fontId="224" fillId="58" borderId="101" applyNumberFormat="0" applyAlignment="0" applyProtection="0"/>
    <xf numFmtId="0" fontId="223" fillId="58" borderId="102" applyNumberFormat="0" applyAlignment="0" applyProtection="0"/>
    <xf numFmtId="0" fontId="222" fillId="57" borderId="101" applyNumberFormat="0" applyAlignment="0" applyProtection="0"/>
    <xf numFmtId="0" fontId="221" fillId="56" borderId="0" applyNumberFormat="0" applyBorder="0" applyAlignment="0" applyProtection="0"/>
    <xf numFmtId="0" fontId="220" fillId="55" borderId="0" applyNumberFormat="0" applyBorder="0" applyAlignment="0" applyProtection="0"/>
    <xf numFmtId="0" fontId="219" fillId="54" borderId="0" applyNumberFormat="0" applyBorder="0" applyAlignment="0" applyProtection="0"/>
    <xf numFmtId="0" fontId="218" fillId="0" borderId="0" applyNumberFormat="0" applyFill="0" applyBorder="0" applyAlignment="0" applyProtection="0"/>
    <xf numFmtId="0" fontId="218" fillId="0" borderId="100" applyNumberFormat="0" applyFill="0" applyAlignment="0" applyProtection="0"/>
    <xf numFmtId="0" fontId="217" fillId="0" borderId="99" applyNumberFormat="0" applyFill="0" applyAlignment="0" applyProtection="0"/>
    <xf numFmtId="0" fontId="216" fillId="0" borderId="98" applyNumberFormat="0" applyFill="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4"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44" fontId="1" fillId="0" borderId="0" applyFont="0" applyFill="0" applyBorder="0" applyAlignment="0" applyProtection="0"/>
    <xf numFmtId="0" fontId="1" fillId="4" borderId="22"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0" borderId="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43" fontId="1" fillId="0" borderId="0" applyFont="0" applyFill="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9" fontId="1" fillId="0" borderId="0" applyFont="0" applyFill="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0" fontId="1" fillId="4" borderId="2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62" fontId="3" fillId="0" borderId="0" applyFill="0" applyAlignment="0" applyProtection="0"/>
    <xf numFmtId="262" fontId="3" fillId="0" borderId="142" applyFill="0" applyAlignment="0" applyProtection="0"/>
    <xf numFmtId="262" fontId="97" fillId="0" borderId="0" applyFill="0" applyBorder="0" applyAlignment="0" applyProtection="0"/>
    <xf numFmtId="262" fontId="103" fillId="0" borderId="0" applyFill="0" applyBorder="0" applyProtection="0">
      <alignment horizontal="center" vertical="center"/>
    </xf>
    <xf numFmtId="166" fontId="5" fillId="0" borderId="0"/>
    <xf numFmtId="0" fontId="22" fillId="0" borderId="0"/>
    <xf numFmtId="0" fontId="233" fillId="0" borderId="0"/>
    <xf numFmtId="9" fontId="233" fillId="0" borderId="0" applyFont="0" applyFill="0" applyBorder="0" applyAlignment="0" applyProtection="0"/>
    <xf numFmtId="267" fontId="13" fillId="0" borderId="0"/>
    <xf numFmtId="172" fontId="270" fillId="0" borderId="0"/>
    <xf numFmtId="43" fontId="2" fillId="0" borderId="0" applyFont="0" applyFill="0" applyBorder="0" applyAlignment="0" applyProtection="0"/>
    <xf numFmtId="8" fontId="15" fillId="0" borderId="0" applyFont="0" applyFill="0" applyBorder="0" applyAlignment="0" applyProtection="0"/>
    <xf numFmtId="0" fontId="1" fillId="0" borderId="0"/>
  </cellStyleXfs>
  <cellXfs count="926">
    <xf numFmtId="0" fontId="0" fillId="0" borderId="0" xfId="0"/>
    <xf numFmtId="168" fontId="0" fillId="0" borderId="0" xfId="1" applyNumberFormat="1" applyFont="1" applyBorder="1"/>
    <xf numFmtId="9" fontId="27" fillId="0" borderId="0" xfId="3" applyFont="1" applyFill="1" applyBorder="1"/>
    <xf numFmtId="0" fontId="0" fillId="0" borderId="44" xfId="0" applyBorder="1"/>
    <xf numFmtId="0" fontId="0" fillId="0" borderId="45" xfId="0" applyBorder="1"/>
    <xf numFmtId="0" fontId="0" fillId="0" borderId="3" xfId="0" applyBorder="1"/>
    <xf numFmtId="168" fontId="0" fillId="0" borderId="4" xfId="0" applyNumberFormat="1" applyBorder="1"/>
    <xf numFmtId="14" fontId="0" fillId="0" borderId="45" xfId="0" applyNumberFormat="1" applyBorder="1" applyAlignment="1">
      <alignment horizontal="center"/>
    </xf>
    <xf numFmtId="0" fontId="0" fillId="0" borderId="45" xfId="0" applyBorder="1" applyAlignment="1">
      <alignment horizontal="center"/>
    </xf>
    <xf numFmtId="0" fontId="0" fillId="0" borderId="43" xfId="0" applyBorder="1" applyAlignment="1">
      <alignment horizontal="center"/>
    </xf>
    <xf numFmtId="0" fontId="26" fillId="0" borderId="44" xfId="0" applyFont="1" applyBorder="1" applyAlignment="1">
      <alignment horizontal="left"/>
    </xf>
    <xf numFmtId="0" fontId="0" fillId="0" borderId="43" xfId="0" applyBorder="1" applyAlignment="1">
      <alignment horizontal="right"/>
    </xf>
    <xf numFmtId="168" fontId="0" fillId="0" borderId="0" xfId="1" applyNumberFormat="1" applyFont="1" applyBorder="1" applyAlignment="1">
      <alignment horizontal="center"/>
    </xf>
    <xf numFmtId="168" fontId="0" fillId="0" borderId="4" xfId="1" applyNumberFormat="1" applyFont="1" applyBorder="1" applyAlignment="1">
      <alignment horizontal="center"/>
    </xf>
    <xf numFmtId="169" fontId="17" fillId="0" borderId="0" xfId="3" applyNumberFormat="1" applyFont="1" applyBorder="1"/>
    <xf numFmtId="169" fontId="17" fillId="0" borderId="4" xfId="3" applyNumberFormat="1" applyFont="1" applyBorder="1"/>
    <xf numFmtId="0" fontId="17" fillId="0" borderId="3" xfId="0" applyFont="1" applyBorder="1"/>
    <xf numFmtId="9" fontId="59" fillId="0" borderId="0" xfId="3" applyFont="1" applyFill="1" applyBorder="1"/>
    <xf numFmtId="9" fontId="59" fillId="0" borderId="4" xfId="3" applyFont="1" applyFill="1" applyBorder="1"/>
    <xf numFmtId="0" fontId="0" fillId="0" borderId="9" xfId="0" applyBorder="1"/>
    <xf numFmtId="43" fontId="17" fillId="0" borderId="11" xfId="0" applyNumberFormat="1" applyFont="1" applyBorder="1"/>
    <xf numFmtId="168" fontId="0" fillId="0" borderId="4" xfId="1" applyNumberFormat="1" applyFont="1" applyBorder="1"/>
    <xf numFmtId="0" fontId="0" fillId="0" borderId="4" xfId="0" applyBorder="1"/>
    <xf numFmtId="0" fontId="26" fillId="0" borderId="5" xfId="0" applyFont="1" applyBorder="1"/>
    <xf numFmtId="0" fontId="0" fillId="0" borderId="46" xfId="0" applyBorder="1"/>
    <xf numFmtId="0" fontId="0" fillId="0" borderId="6" xfId="0" applyBorder="1" applyAlignment="1">
      <alignment horizontal="right"/>
    </xf>
    <xf numFmtId="168" fontId="17" fillId="0" borderId="0" xfId="1" applyNumberFormat="1" applyFont="1" applyBorder="1"/>
    <xf numFmtId="168" fontId="17" fillId="0" borderId="4" xfId="0" applyNumberFormat="1" applyFont="1" applyBorder="1"/>
    <xf numFmtId="37" fontId="17" fillId="0" borderId="0" xfId="0" applyNumberFormat="1" applyFont="1"/>
    <xf numFmtId="168" fontId="17" fillId="0" borderId="11" xfId="1" applyNumberFormat="1" applyFont="1" applyBorder="1"/>
    <xf numFmtId="168" fontId="17" fillId="0" borderId="10" xfId="1" applyNumberFormat="1" applyFont="1" applyBorder="1"/>
    <xf numFmtId="43" fontId="0" fillId="0" borderId="0" xfId="1" applyFont="1" applyBorder="1"/>
    <xf numFmtId="43" fontId="0" fillId="0" borderId="4" xfId="1" applyFont="1" applyBorder="1"/>
    <xf numFmtId="168" fontId="0" fillId="0" borderId="11" xfId="1" applyNumberFormat="1" applyFont="1" applyBorder="1"/>
    <xf numFmtId="168" fontId="0" fillId="0" borderId="10" xfId="1" applyNumberFormat="1" applyFont="1" applyBorder="1"/>
    <xf numFmtId="168" fontId="0" fillId="0" borderId="0" xfId="1" applyNumberFormat="1" applyFont="1"/>
    <xf numFmtId="0" fontId="26" fillId="0" borderId="5" xfId="0" applyFont="1" applyBorder="1" applyAlignment="1">
      <alignment wrapText="1"/>
    </xf>
    <xf numFmtId="0" fontId="26" fillId="0" borderId="7" xfId="0" applyFont="1" applyBorder="1" applyAlignment="1">
      <alignment horizontal="center"/>
    </xf>
    <xf numFmtId="0" fontId="26" fillId="0" borderId="6" xfId="0" applyFont="1" applyBorder="1" applyAlignment="1">
      <alignment horizontal="center"/>
    </xf>
    <xf numFmtId="168" fontId="0" fillId="0" borderId="2" xfId="0" applyNumberFormat="1" applyBorder="1"/>
    <xf numFmtId="174" fontId="26" fillId="44" borderId="2" xfId="0" applyNumberFormat="1" applyFont="1" applyFill="1" applyBorder="1"/>
    <xf numFmtId="0" fontId="17" fillId="0" borderId="9" xfId="0" applyFont="1" applyBorder="1"/>
    <xf numFmtId="2" fontId="59" fillId="45" borderId="8" xfId="0" applyNumberFormat="1" applyFont="1" applyFill="1" applyBorder="1"/>
    <xf numFmtId="2" fontId="59" fillId="45" borderId="10" xfId="0" applyNumberFormat="1" applyFont="1" applyFill="1" applyBorder="1"/>
    <xf numFmtId="168" fontId="0" fillId="0" borderId="2" xfId="0" applyNumberFormat="1" applyBorder="1" applyAlignment="1">
      <alignment horizontal="center"/>
    </xf>
    <xf numFmtId="168" fontId="0" fillId="0" borderId="4" xfId="0" applyNumberFormat="1" applyBorder="1" applyAlignment="1">
      <alignment horizontal="center"/>
    </xf>
    <xf numFmtId="0" fontId="17" fillId="0" borderId="7" xfId="0" applyFont="1" applyBorder="1"/>
    <xf numFmtId="9" fontId="59" fillId="45" borderId="7" xfId="0" applyNumberFormat="1" applyFont="1" applyFill="1" applyBorder="1"/>
    <xf numFmtId="43" fontId="0" fillId="0" borderId="0" xfId="1" applyFont="1"/>
    <xf numFmtId="43" fontId="0" fillId="0" borderId="0" xfId="0" applyNumberFormat="1"/>
    <xf numFmtId="174" fontId="0" fillId="0" borderId="0" xfId="1" applyNumberFormat="1" applyFont="1"/>
    <xf numFmtId="2" fontId="0" fillId="0" borderId="0" xfId="0" applyNumberFormat="1"/>
    <xf numFmtId="174" fontId="0" fillId="0" borderId="0" xfId="0" applyNumberFormat="1"/>
    <xf numFmtId="0" fontId="60" fillId="0" borderId="0" xfId="0" applyFont="1"/>
    <xf numFmtId="168" fontId="61" fillId="0" borderId="21" xfId="81" applyNumberFormat="1" applyFont="1" applyBorder="1"/>
    <xf numFmtId="168" fontId="6" fillId="0" borderId="21" xfId="81" applyNumberFormat="1" applyFont="1" applyBorder="1"/>
    <xf numFmtId="0" fontId="62" fillId="0" borderId="20" xfId="0" applyFont="1" applyBorder="1"/>
    <xf numFmtId="191" fontId="62" fillId="0" borderId="20" xfId="0" applyNumberFormat="1" applyFont="1" applyBorder="1"/>
    <xf numFmtId="191" fontId="62" fillId="0" borderId="18" xfId="0" applyNumberFormat="1" applyFont="1" applyBorder="1"/>
    <xf numFmtId="0" fontId="62" fillId="0" borderId="0" xfId="0" applyFont="1"/>
    <xf numFmtId="0" fontId="61" fillId="2" borderId="21" xfId="0" applyFont="1" applyFill="1" applyBorder="1" applyAlignment="1">
      <alignment horizontal="right"/>
    </xf>
    <xf numFmtId="169" fontId="6" fillId="0" borderId="0" xfId="81" applyNumberFormat="1" applyFont="1" applyBorder="1"/>
    <xf numFmtId="0" fontId="62" fillId="0" borderId="17" xfId="0" applyFont="1" applyBorder="1"/>
    <xf numFmtId="191" fontId="62" fillId="0" borderId="0" xfId="0" applyNumberFormat="1" applyFont="1"/>
    <xf numFmtId="0" fontId="61" fillId="2" borderId="12" xfId="0" applyFont="1" applyFill="1" applyBorder="1" applyAlignment="1">
      <alignment horizontal="right"/>
    </xf>
    <xf numFmtId="168" fontId="62" fillId="0" borderId="48" xfId="81" applyNumberFormat="1" applyFont="1" applyBorder="1"/>
    <xf numFmtId="168" fontId="62" fillId="0" borderId="11" xfId="81" applyNumberFormat="1" applyFont="1" applyBorder="1"/>
    <xf numFmtId="168" fontId="62" fillId="0" borderId="0" xfId="0" applyNumberFormat="1" applyFont="1"/>
    <xf numFmtId="0" fontId="11" fillId="2" borderId="12" xfId="0" applyFont="1" applyFill="1" applyBorder="1" applyAlignment="1">
      <alignment horizontal="right"/>
    </xf>
    <xf numFmtId="0" fontId="62" fillId="0" borderId="50" xfId="0" applyFont="1" applyBorder="1"/>
    <xf numFmtId="168" fontId="62" fillId="0" borderId="17" xfId="0" applyNumberFormat="1" applyFont="1" applyBorder="1"/>
    <xf numFmtId="168" fontId="62" fillId="0" borderId="47" xfId="0" applyNumberFormat="1" applyFont="1" applyBorder="1"/>
    <xf numFmtId="190" fontId="62" fillId="0" borderId="0" xfId="0" applyNumberFormat="1" applyFont="1"/>
    <xf numFmtId="0" fontId="24" fillId="2" borderId="12" xfId="0" applyFont="1" applyFill="1" applyBorder="1" applyAlignment="1">
      <alignment horizontal="right"/>
    </xf>
    <xf numFmtId="168" fontId="62" fillId="0" borderId="51" xfId="81" applyNumberFormat="1" applyFont="1" applyBorder="1"/>
    <xf numFmtId="168" fontId="62" fillId="0" borderId="0" xfId="81" applyNumberFormat="1" applyFont="1" applyBorder="1"/>
    <xf numFmtId="168" fontId="62" fillId="0" borderId="52" xfId="81" applyNumberFormat="1" applyFont="1" applyBorder="1"/>
    <xf numFmtId="168" fontId="62" fillId="0" borderId="53" xfId="0" applyNumberFormat="1" applyFont="1" applyBorder="1"/>
    <xf numFmtId="168" fontId="62" fillId="0" borderId="52" xfId="0" applyNumberFormat="1" applyFont="1" applyBorder="1"/>
    <xf numFmtId="168" fontId="62" fillId="0" borderId="54" xfId="0" applyNumberFormat="1" applyFont="1" applyBorder="1"/>
    <xf numFmtId="0" fontId="24" fillId="2" borderId="51" xfId="0" applyFont="1" applyFill="1" applyBorder="1" applyAlignment="1">
      <alignment horizontal="right"/>
    </xf>
    <xf numFmtId="0" fontId="11" fillId="2" borderId="15" xfId="0" applyFont="1" applyFill="1" applyBorder="1" applyAlignment="1">
      <alignment horizontal="center"/>
    </xf>
    <xf numFmtId="0" fontId="11" fillId="2" borderId="14" xfId="0" applyFont="1" applyFill="1" applyBorder="1" applyAlignment="1">
      <alignment horizontal="center"/>
    </xf>
    <xf numFmtId="0" fontId="11" fillId="2" borderId="13" xfId="0" applyFont="1" applyFill="1" applyBorder="1" applyAlignment="1">
      <alignment horizontal="center"/>
    </xf>
    <xf numFmtId="43" fontId="62" fillId="0" borderId="0" xfId="1" applyFont="1" applyBorder="1"/>
    <xf numFmtId="165" fontId="5" fillId="0" borderId="0" xfId="26" applyNumberFormat="1" applyFont="1" applyFill="1" applyBorder="1"/>
    <xf numFmtId="43" fontId="22" fillId="0" borderId="0" xfId="1" applyFont="1"/>
    <xf numFmtId="0" fontId="62" fillId="2" borderId="0" xfId="0" applyFont="1" applyFill="1"/>
    <xf numFmtId="165" fontId="61" fillId="0" borderId="0" xfId="26" applyNumberFormat="1" applyFont="1" applyFill="1" applyBorder="1" applyAlignment="1">
      <alignment horizontal="right"/>
    </xf>
    <xf numFmtId="37" fontId="5" fillId="2" borderId="0" xfId="0" applyNumberFormat="1" applyFont="1" applyFill="1" applyAlignment="1">
      <alignment horizontal="right"/>
    </xf>
    <xf numFmtId="43" fontId="22" fillId="0" borderId="0" xfId="1" applyFont="1" applyBorder="1"/>
    <xf numFmtId="165" fontId="6" fillId="0" borderId="0" xfId="26" applyNumberFormat="1" applyFont="1" applyFill="1" applyBorder="1" applyAlignment="1">
      <alignment horizontal="right"/>
    </xf>
    <xf numFmtId="43" fontId="22" fillId="0" borderId="21" xfId="1" applyFont="1" applyBorder="1"/>
    <xf numFmtId="168" fontId="22" fillId="0" borderId="18" xfId="1" applyNumberFormat="1" applyFont="1" applyBorder="1"/>
    <xf numFmtId="43" fontId="22" fillId="0" borderId="18" xfId="1" applyFont="1" applyBorder="1"/>
    <xf numFmtId="168" fontId="22" fillId="0" borderId="12" xfId="1" applyNumberFormat="1" applyFont="1" applyBorder="1"/>
    <xf numFmtId="168" fontId="22" fillId="0" borderId="0" xfId="1" applyNumberFormat="1" applyFont="1" applyBorder="1"/>
    <xf numFmtId="190" fontId="22" fillId="0" borderId="12" xfId="1" applyNumberFormat="1" applyFont="1" applyBorder="1"/>
    <xf numFmtId="168" fontId="22" fillId="0" borderId="47" xfId="1" applyNumberFormat="1" applyFont="1" applyBorder="1"/>
    <xf numFmtId="168" fontId="22" fillId="0" borderId="0" xfId="1" applyNumberFormat="1" applyFont="1"/>
    <xf numFmtId="168" fontId="22" fillId="0" borderId="17" xfId="1" applyNumberFormat="1" applyFont="1" applyBorder="1"/>
    <xf numFmtId="0" fontId="22" fillId="0" borderId="52" xfId="0" applyFont="1" applyBorder="1"/>
    <xf numFmtId="0" fontId="22" fillId="0" borderId="53" xfId="0" applyFont="1" applyBorder="1"/>
    <xf numFmtId="190" fontId="22" fillId="0" borderId="52" xfId="0" applyNumberFormat="1" applyFont="1" applyBorder="1"/>
    <xf numFmtId="0" fontId="22" fillId="0" borderId="54" xfId="0" applyFont="1" applyBorder="1"/>
    <xf numFmtId="0" fontId="22" fillId="0" borderId="0" xfId="0" applyFont="1"/>
    <xf numFmtId="0" fontId="64" fillId="0" borderId="0" xfId="0" applyFont="1"/>
    <xf numFmtId="168" fontId="22" fillId="0" borderId="0" xfId="1" applyNumberFormat="1" applyFont="1" applyFill="1" applyBorder="1"/>
    <xf numFmtId="0" fontId="22" fillId="0" borderId="18" xfId="0" applyFont="1" applyBorder="1"/>
    <xf numFmtId="190" fontId="22" fillId="0" borderId="51" xfId="0" applyNumberFormat="1" applyFont="1" applyBorder="1"/>
    <xf numFmtId="43" fontId="22" fillId="0" borderId="52" xfId="0" applyNumberFormat="1" applyFont="1" applyBorder="1"/>
    <xf numFmtId="43" fontId="22" fillId="0" borderId="12" xfId="1" applyFont="1" applyBorder="1"/>
    <xf numFmtId="0" fontId="22" fillId="0" borderId="47" xfId="0" applyFont="1" applyBorder="1"/>
    <xf numFmtId="169" fontId="65" fillId="0" borderId="12" xfId="3" applyNumberFormat="1" applyFont="1" applyBorder="1"/>
    <xf numFmtId="169" fontId="65" fillId="0" borderId="0" xfId="3" applyNumberFormat="1" applyFont="1" applyBorder="1"/>
    <xf numFmtId="169" fontId="65" fillId="0" borderId="47" xfId="3" applyNumberFormat="1" applyFont="1" applyBorder="1"/>
    <xf numFmtId="0" fontId="66" fillId="0" borderId="0" xfId="0" applyFont="1"/>
    <xf numFmtId="43" fontId="67" fillId="0" borderId="51" xfId="1" applyFont="1" applyBorder="1"/>
    <xf numFmtId="43" fontId="67" fillId="0" borderId="52" xfId="1" applyFont="1" applyBorder="1"/>
    <xf numFmtId="43" fontId="67" fillId="0" borderId="0" xfId="1" applyFont="1"/>
    <xf numFmtId="190" fontId="22" fillId="0" borderId="12" xfId="0" applyNumberFormat="1" applyFont="1" applyBorder="1"/>
    <xf numFmtId="190" fontId="22" fillId="0" borderId="0" xfId="0" applyNumberFormat="1" applyFont="1"/>
    <xf numFmtId="43" fontId="22" fillId="0" borderId="0" xfId="0" applyNumberFormat="1" applyFont="1"/>
    <xf numFmtId="168" fontId="22" fillId="0" borderId="12" xfId="0" applyNumberFormat="1" applyFont="1" applyBorder="1"/>
    <xf numFmtId="168" fontId="22" fillId="0" borderId="0" xfId="0" applyNumberFormat="1" applyFont="1"/>
    <xf numFmtId="168" fontId="22" fillId="0" borderId="49" xfId="0" applyNumberFormat="1" applyFont="1" applyBorder="1"/>
    <xf numFmtId="168" fontId="22" fillId="0" borderId="1" xfId="0" applyNumberFormat="1" applyFont="1" applyBorder="1"/>
    <xf numFmtId="170" fontId="22" fillId="0" borderId="1" xfId="0" applyNumberFormat="1" applyFont="1" applyBorder="1"/>
    <xf numFmtId="168" fontId="60" fillId="0" borderId="0" xfId="1" applyNumberFormat="1" applyFont="1"/>
    <xf numFmtId="168" fontId="22" fillId="0" borderId="16" xfId="0" applyNumberFormat="1" applyFont="1" applyBorder="1"/>
    <xf numFmtId="168" fontId="22" fillId="0" borderId="14" xfId="0" applyNumberFormat="1" applyFont="1" applyBorder="1"/>
    <xf numFmtId="0" fontId="22" fillId="0" borderId="14" xfId="0" applyFont="1" applyBorder="1"/>
    <xf numFmtId="0" fontId="22" fillId="0" borderId="13" xfId="0" applyFont="1" applyBorder="1"/>
    <xf numFmtId="168" fontId="23" fillId="0" borderId="0" xfId="1" applyNumberFormat="1" applyFont="1" applyBorder="1"/>
    <xf numFmtId="190" fontId="22" fillId="0" borderId="0" xfId="1" applyNumberFormat="1" applyFont="1" applyBorder="1"/>
    <xf numFmtId="168" fontId="66" fillId="0" borderId="0" xfId="1" applyNumberFormat="1" applyFont="1"/>
    <xf numFmtId="168" fontId="67" fillId="0" borderId="12" xfId="1" applyNumberFormat="1" applyFont="1" applyBorder="1"/>
    <xf numFmtId="168" fontId="67" fillId="0" borderId="0" xfId="1" applyNumberFormat="1" applyFont="1" applyBorder="1"/>
    <xf numFmtId="0" fontId="67" fillId="0" borderId="47" xfId="0" applyFont="1" applyBorder="1"/>
    <xf numFmtId="168" fontId="67" fillId="0" borderId="0" xfId="1" applyNumberFormat="1" applyFont="1"/>
    <xf numFmtId="43" fontId="2" fillId="0" borderId="0" xfId="1" applyFont="1" applyBorder="1"/>
    <xf numFmtId="169" fontId="64" fillId="0" borderId="0" xfId="3" applyNumberFormat="1" applyFont="1"/>
    <xf numFmtId="9" fontId="22" fillId="0" borderId="12" xfId="3" applyFont="1" applyBorder="1"/>
    <xf numFmtId="2" fontId="60" fillId="0" borderId="0" xfId="0" applyNumberFormat="1" applyFont="1"/>
    <xf numFmtId="168" fontId="67" fillId="0" borderId="16" xfId="0" applyNumberFormat="1" applyFont="1" applyBorder="1"/>
    <xf numFmtId="168" fontId="67" fillId="0" borderId="14" xfId="0" applyNumberFormat="1" applyFont="1" applyBorder="1"/>
    <xf numFmtId="0" fontId="67" fillId="0" borderId="0" xfId="0" applyFont="1"/>
    <xf numFmtId="190" fontId="22" fillId="0" borderId="21" xfId="0" applyNumberFormat="1" applyFont="1" applyBorder="1"/>
    <xf numFmtId="168" fontId="22" fillId="0" borderId="21" xfId="0" applyNumberFormat="1" applyFont="1" applyBorder="1"/>
    <xf numFmtId="167" fontId="2" fillId="0" borderId="47" xfId="2" applyNumberFormat="1" applyFont="1" applyFill="1" applyBorder="1"/>
    <xf numFmtId="168" fontId="22" fillId="0" borderId="12" xfId="1" applyNumberFormat="1" applyFont="1" applyFill="1" applyBorder="1"/>
    <xf numFmtId="168" fontId="7" fillId="0" borderId="12" xfId="1" applyNumberFormat="1" applyFont="1" applyFill="1" applyBorder="1"/>
    <xf numFmtId="0" fontId="3" fillId="0" borderId="47" xfId="2" applyNumberFormat="1" applyFont="1" applyFill="1" applyBorder="1" applyAlignment="1">
      <alignment horizontal="left"/>
    </xf>
    <xf numFmtId="168" fontId="60" fillId="0" borderId="0" xfId="0" applyNumberFormat="1" applyFont="1"/>
    <xf numFmtId="168" fontId="22" fillId="0" borderId="17" xfId="0" applyNumberFormat="1" applyFont="1" applyBorder="1"/>
    <xf numFmtId="0" fontId="2" fillId="0" borderId="47" xfId="2" applyNumberFormat="1" applyFont="1" applyFill="1" applyBorder="1" applyAlignment="1">
      <alignment horizontal="left"/>
    </xf>
    <xf numFmtId="169" fontId="65" fillId="0" borderId="17" xfId="3" applyNumberFormat="1" applyFont="1" applyBorder="1"/>
    <xf numFmtId="168" fontId="67" fillId="0" borderId="16" xfId="1" applyNumberFormat="1" applyFont="1" applyBorder="1"/>
    <xf numFmtId="0" fontId="22" fillId="0" borderId="12" xfId="0" applyFont="1" applyBorder="1"/>
    <xf numFmtId="0" fontId="71" fillId="0" borderId="0" xfId="0" applyFont="1"/>
    <xf numFmtId="191" fontId="60" fillId="0" borderId="0" xfId="1" applyNumberFormat="1" applyFont="1"/>
    <xf numFmtId="190" fontId="60" fillId="0" borderId="0" xfId="1" applyNumberFormat="1" applyFont="1"/>
    <xf numFmtId="0" fontId="2" fillId="0" borderId="0" xfId="0" applyFont="1"/>
    <xf numFmtId="169" fontId="60" fillId="0" borderId="0" xfId="3" applyNumberFormat="1" applyFont="1"/>
    <xf numFmtId="169" fontId="69" fillId="0" borderId="0" xfId="3" applyNumberFormat="1" applyFont="1"/>
    <xf numFmtId="43" fontId="69" fillId="0" borderId="0" xfId="1" applyFont="1"/>
    <xf numFmtId="168" fontId="65" fillId="0" borderId="0" xfId="0" applyNumberFormat="1" applyFont="1"/>
    <xf numFmtId="168" fontId="22" fillId="0" borderId="42" xfId="0" applyNumberFormat="1" applyFont="1" applyBorder="1"/>
    <xf numFmtId="0" fontId="22" fillId="0" borderId="20" xfId="0" applyFont="1" applyBorder="1"/>
    <xf numFmtId="0" fontId="22" fillId="0" borderId="17" xfId="0" applyFont="1" applyBorder="1"/>
    <xf numFmtId="171" fontId="22" fillId="0" borderId="12" xfId="0" applyNumberFormat="1" applyFont="1" applyBorder="1"/>
    <xf numFmtId="0" fontId="22" fillId="0" borderId="21" xfId="0" applyFont="1" applyBorder="1"/>
    <xf numFmtId="168" fontId="67" fillId="0" borderId="12" xfId="1" applyNumberFormat="1" applyFont="1" applyFill="1" applyBorder="1"/>
    <xf numFmtId="0" fontId="67" fillId="0" borderId="17" xfId="0" applyFont="1" applyBorder="1"/>
    <xf numFmtId="171" fontId="22" fillId="0" borderId="12" xfId="1" applyNumberFormat="1" applyFont="1" applyBorder="1"/>
    <xf numFmtId="41" fontId="22" fillId="0" borderId="0" xfId="0" applyNumberFormat="1" applyFont="1"/>
    <xf numFmtId="0" fontId="86" fillId="0" borderId="47" xfId="0" applyFont="1" applyBorder="1"/>
    <xf numFmtId="169" fontId="65" fillId="0" borderId="12" xfId="0" applyNumberFormat="1" applyFont="1" applyBorder="1"/>
    <xf numFmtId="169" fontId="65" fillId="0" borderId="0" xfId="0" applyNumberFormat="1" applyFont="1"/>
    <xf numFmtId="168" fontId="65" fillId="0" borderId="12" xfId="0" applyNumberFormat="1" applyFont="1" applyBorder="1"/>
    <xf numFmtId="0" fontId="65" fillId="0" borderId="17" xfId="0" applyFont="1" applyBorder="1"/>
    <xf numFmtId="0" fontId="65" fillId="0" borderId="47" xfId="0" applyFont="1" applyBorder="1"/>
    <xf numFmtId="0" fontId="87" fillId="0" borderId="17" xfId="0" applyFont="1" applyBorder="1"/>
    <xf numFmtId="41" fontId="2" fillId="0" borderId="0" xfId="0" applyNumberFormat="1" applyFont="1"/>
    <xf numFmtId="0" fontId="86" fillId="0" borderId="54" xfId="0" applyFont="1" applyBorder="1"/>
    <xf numFmtId="168" fontId="67" fillId="0" borderId="0" xfId="1" applyNumberFormat="1" applyFont="1" applyFill="1" applyBorder="1"/>
    <xf numFmtId="0" fontId="67" fillId="0" borderId="18" xfId="0" applyFont="1" applyBorder="1"/>
    <xf numFmtId="168" fontId="67" fillId="0" borderId="21" xfId="1" applyNumberFormat="1" applyFont="1" applyBorder="1"/>
    <xf numFmtId="168" fontId="67" fillId="0" borderId="42" xfId="1" applyNumberFormat="1" applyFont="1" applyBorder="1"/>
    <xf numFmtId="202" fontId="88" fillId="0" borderId="0" xfId="0" applyNumberFormat="1" applyFont="1"/>
    <xf numFmtId="2" fontId="22" fillId="0" borderId="0" xfId="0" applyNumberFormat="1" applyFont="1"/>
    <xf numFmtId="0" fontId="6" fillId="0" borderId="0" xfId="17" applyFont="1"/>
    <xf numFmtId="169" fontId="89" fillId="0" borderId="0" xfId="3" applyNumberFormat="1" applyFont="1"/>
    <xf numFmtId="169" fontId="22" fillId="0" borderId="0" xfId="3" applyNumberFormat="1" applyFont="1"/>
    <xf numFmtId="168" fontId="62" fillId="0" borderId="12" xfId="81" applyNumberFormat="1" applyFont="1" applyBorder="1"/>
    <xf numFmtId="191" fontId="22" fillId="0" borderId="0" xfId="1" applyNumberFormat="1" applyFont="1"/>
    <xf numFmtId="190" fontId="22" fillId="0" borderId="0" xfId="1" applyNumberFormat="1" applyFont="1"/>
    <xf numFmtId="169" fontId="22" fillId="0" borderId="0" xfId="3" applyNumberFormat="1" applyFont="1" applyBorder="1"/>
    <xf numFmtId="168" fontId="2" fillId="0" borderId="12" xfId="1" applyNumberFormat="1" applyFont="1" applyFill="1" applyBorder="1"/>
    <xf numFmtId="168" fontId="2" fillId="0" borderId="12" xfId="0" applyNumberFormat="1" applyFont="1" applyBorder="1"/>
    <xf numFmtId="169" fontId="6" fillId="0" borderId="0" xfId="3" applyNumberFormat="1" applyFont="1" applyBorder="1"/>
    <xf numFmtId="168" fontId="7" fillId="0" borderId="0" xfId="1" applyNumberFormat="1" applyFont="1" applyFill="1" applyBorder="1"/>
    <xf numFmtId="168" fontId="2" fillId="0" borderId="0" xfId="1" applyNumberFormat="1" applyFont="1" applyBorder="1"/>
    <xf numFmtId="168" fontId="2" fillId="0" borderId="0" xfId="0" applyNumberFormat="1" applyFont="1"/>
    <xf numFmtId="168" fontId="2" fillId="0" borderId="12" xfId="1" applyNumberFormat="1" applyFont="1" applyBorder="1"/>
    <xf numFmtId="0" fontId="2" fillId="0" borderId="12" xfId="1715" applyBorder="1" applyAlignment="1">
      <alignment horizontal="right"/>
    </xf>
    <xf numFmtId="0" fontId="2" fillId="0" borderId="12" xfId="1693" applyBorder="1" applyAlignment="1">
      <alignment horizontal="right"/>
    </xf>
    <xf numFmtId="0" fontId="2" fillId="0" borderId="12" xfId="1665" applyBorder="1" applyAlignment="1">
      <alignment horizontal="right"/>
    </xf>
    <xf numFmtId="0" fontId="2" fillId="0" borderId="21" xfId="1665" applyBorder="1" applyAlignment="1">
      <alignment horizontal="right"/>
    </xf>
    <xf numFmtId="190" fontId="2" fillId="0" borderId="0" xfId="0" applyNumberFormat="1" applyFont="1"/>
    <xf numFmtId="168" fontId="3" fillId="0" borderId="14" xfId="0" applyNumberFormat="1" applyFont="1" applyBorder="1"/>
    <xf numFmtId="190" fontId="2" fillId="0" borderId="0" xfId="1" applyNumberFormat="1" applyFont="1" applyBorder="1"/>
    <xf numFmtId="168" fontId="2" fillId="0" borderId="14" xfId="0" applyNumberFormat="1" applyFont="1" applyBorder="1"/>
    <xf numFmtId="168" fontId="2" fillId="0" borderId="1" xfId="0" applyNumberFormat="1" applyFont="1" applyBorder="1"/>
    <xf numFmtId="43" fontId="3" fillId="0" borderId="52" xfId="1" applyFont="1" applyBorder="1"/>
    <xf numFmtId="190" fontId="2" fillId="0" borderId="52" xfId="0" applyNumberFormat="1" applyFont="1" applyBorder="1"/>
    <xf numFmtId="190" fontId="2" fillId="0" borderId="12" xfId="0" applyNumberFormat="1" applyFont="1" applyBorder="1"/>
    <xf numFmtId="190" fontId="2" fillId="0" borderId="21" xfId="0" applyNumberFormat="1" applyFont="1" applyBorder="1"/>
    <xf numFmtId="203" fontId="2" fillId="0" borderId="12" xfId="1" applyNumberFormat="1" applyFont="1" applyBorder="1"/>
    <xf numFmtId="168" fontId="3" fillId="0" borderId="51" xfId="0" applyNumberFormat="1" applyFont="1" applyBorder="1"/>
    <xf numFmtId="168" fontId="22" fillId="0" borderId="17" xfId="1" applyNumberFormat="1" applyFont="1" applyFill="1" applyBorder="1"/>
    <xf numFmtId="168" fontId="67" fillId="0" borderId="17" xfId="1" applyNumberFormat="1" applyFont="1" applyBorder="1"/>
    <xf numFmtId="43" fontId="22" fillId="0" borderId="17" xfId="1" applyFont="1" applyBorder="1"/>
    <xf numFmtId="168" fontId="67" fillId="0" borderId="51" xfId="0" applyNumberFormat="1" applyFont="1" applyBorder="1"/>
    <xf numFmtId="168" fontId="22" fillId="0" borderId="19" xfId="0" applyNumberFormat="1" applyFont="1" applyBorder="1"/>
    <xf numFmtId="0" fontId="3" fillId="0" borderId="18" xfId="2" applyNumberFormat="1" applyFont="1" applyFill="1" applyBorder="1" applyAlignment="1">
      <alignment horizontal="left"/>
    </xf>
    <xf numFmtId="167" fontId="2" fillId="0" borderId="17" xfId="2" applyNumberFormat="1" applyFont="1" applyFill="1" applyBorder="1"/>
    <xf numFmtId="167" fontId="2" fillId="0" borderId="18" xfId="2" applyNumberFormat="1" applyFont="1" applyFill="1" applyBorder="1"/>
    <xf numFmtId="167" fontId="2" fillId="0" borderId="20" xfId="2" applyNumberFormat="1" applyFont="1" applyFill="1" applyBorder="1"/>
    <xf numFmtId="168" fontId="61" fillId="0" borderId="0" xfId="81" applyNumberFormat="1" applyFont="1" applyBorder="1"/>
    <xf numFmtId="168" fontId="6" fillId="0" borderId="0" xfId="81" applyNumberFormat="1" applyFont="1" applyBorder="1"/>
    <xf numFmtId="169" fontId="6" fillId="0" borderId="0" xfId="27" applyNumberFormat="1" applyFont="1" applyBorder="1"/>
    <xf numFmtId="0" fontId="61" fillId="2" borderId="0" xfId="0" applyFont="1" applyFill="1" applyAlignment="1">
      <alignment horizontal="right"/>
    </xf>
    <xf numFmtId="168" fontId="215" fillId="0" borderId="0" xfId="1" applyNumberFormat="1" applyFont="1" applyBorder="1"/>
    <xf numFmtId="41" fontId="67" fillId="0" borderId="0" xfId="0" applyNumberFormat="1" applyFont="1"/>
    <xf numFmtId="168" fontId="22" fillId="0" borderId="0" xfId="10938" applyNumberFormat="1" applyFont="1" applyFill="1" applyBorder="1"/>
    <xf numFmtId="43" fontId="22" fillId="0" borderId="19" xfId="1" applyFont="1" applyBorder="1"/>
    <xf numFmtId="41" fontId="215" fillId="0" borderId="0" xfId="0" applyNumberFormat="1" applyFont="1"/>
    <xf numFmtId="168" fontId="22" fillId="0" borderId="117" xfId="0" applyNumberFormat="1" applyFont="1" applyBorder="1"/>
    <xf numFmtId="168" fontId="22" fillId="0" borderId="118" xfId="0" applyNumberFormat="1" applyFont="1" applyBorder="1"/>
    <xf numFmtId="168" fontId="22" fillId="0" borderId="116" xfId="0" applyNumberFormat="1" applyFont="1" applyBorder="1"/>
    <xf numFmtId="192" fontId="2" fillId="0" borderId="0" xfId="11104" applyNumberFormat="1" applyFont="1" applyFill="1" applyBorder="1"/>
    <xf numFmtId="0" fontId="22" fillId="0" borderId="134" xfId="0" applyFont="1" applyBorder="1"/>
    <xf numFmtId="0" fontId="22" fillId="0" borderId="133" xfId="0" applyFont="1" applyBorder="1"/>
    <xf numFmtId="0" fontId="22" fillId="0" borderId="135" xfId="0" applyFont="1" applyBorder="1"/>
    <xf numFmtId="0" fontId="22" fillId="0" borderId="19" xfId="0" applyFont="1" applyBorder="1"/>
    <xf numFmtId="168" fontId="22" fillId="0" borderId="135" xfId="0" applyNumberFormat="1" applyFont="1" applyBorder="1"/>
    <xf numFmtId="41" fontId="22" fillId="0" borderId="19" xfId="0" applyNumberFormat="1" applyFont="1" applyBorder="1"/>
    <xf numFmtId="0" fontId="22" fillId="0" borderId="136" xfId="0" applyFont="1" applyBorder="1"/>
    <xf numFmtId="0" fontId="22" fillId="0" borderId="137" xfId="0" applyFont="1" applyBorder="1"/>
    <xf numFmtId="43" fontId="67" fillId="0" borderId="134" xfId="1" applyFont="1" applyBorder="1"/>
    <xf numFmtId="0" fontId="24" fillId="2" borderId="0" xfId="0" applyFont="1" applyFill="1" applyAlignment="1">
      <alignment horizontal="right"/>
    </xf>
    <xf numFmtId="0" fontId="11" fillId="2" borderId="0" xfId="0" applyFont="1" applyFill="1" applyAlignment="1">
      <alignment horizontal="right"/>
    </xf>
    <xf numFmtId="0" fontId="2" fillId="0" borderId="0" xfId="1665" applyAlignment="1">
      <alignment horizontal="right"/>
    </xf>
    <xf numFmtId="0" fontId="2" fillId="0" borderId="0" xfId="1693" applyAlignment="1">
      <alignment horizontal="right"/>
    </xf>
    <xf numFmtId="0" fontId="2" fillId="0" borderId="0" xfId="1715" applyAlignment="1">
      <alignment horizontal="right"/>
    </xf>
    <xf numFmtId="168" fontId="22" fillId="0" borderId="20" xfId="0" applyNumberFormat="1" applyFont="1" applyBorder="1"/>
    <xf numFmtId="168" fontId="67" fillId="0" borderId="136" xfId="0" applyNumberFormat="1" applyFont="1" applyBorder="1"/>
    <xf numFmtId="168" fontId="22" fillId="0" borderId="133" xfId="1" applyNumberFormat="1" applyFont="1" applyBorder="1"/>
    <xf numFmtId="168" fontId="22" fillId="0" borderId="134" xfId="1" applyNumberFormat="1" applyFont="1" applyBorder="1"/>
    <xf numFmtId="0" fontId="67" fillId="0" borderId="133" xfId="0" applyFont="1" applyBorder="1"/>
    <xf numFmtId="167" fontId="3" fillId="0" borderId="20" xfId="2" applyNumberFormat="1" applyFont="1" applyFill="1" applyBorder="1"/>
    <xf numFmtId="0" fontId="22" fillId="0" borderId="50" xfId="0" applyFont="1" applyBorder="1"/>
    <xf numFmtId="168" fontId="22" fillId="0" borderId="137" xfId="0" applyNumberFormat="1" applyFont="1" applyBorder="1"/>
    <xf numFmtId="0" fontId="22" fillId="0" borderId="139" xfId="0" applyFont="1" applyBorder="1"/>
    <xf numFmtId="168" fontId="22" fillId="0" borderId="134" xfId="0" applyNumberFormat="1" applyFont="1" applyBorder="1"/>
    <xf numFmtId="168" fontId="22" fillId="0" borderId="130" xfId="1" applyNumberFormat="1" applyFont="1" applyBorder="1"/>
    <xf numFmtId="168" fontId="22" fillId="0" borderId="139" xfId="1" applyNumberFormat="1" applyFont="1" applyBorder="1"/>
    <xf numFmtId="168" fontId="22" fillId="0" borderId="138" xfId="0" applyNumberFormat="1" applyFont="1" applyBorder="1"/>
    <xf numFmtId="0" fontId="22" fillId="0" borderId="141" xfId="0" applyFont="1" applyBorder="1"/>
    <xf numFmtId="168" fontId="22" fillId="0" borderId="136" xfId="1" applyNumberFormat="1" applyFont="1" applyBorder="1"/>
    <xf numFmtId="0" fontId="67" fillId="0" borderId="139" xfId="0" applyFont="1" applyBorder="1"/>
    <xf numFmtId="167" fontId="2" fillId="0" borderId="12" xfId="2" applyNumberFormat="1" applyFont="1" applyFill="1" applyBorder="1"/>
    <xf numFmtId="168" fontId="22" fillId="0" borderId="132" xfId="1" applyNumberFormat="1" applyFont="1" applyBorder="1"/>
    <xf numFmtId="168" fontId="22" fillId="0" borderId="130" xfId="0" applyNumberFormat="1" applyFont="1" applyBorder="1"/>
    <xf numFmtId="41" fontId="2" fillId="0" borderId="0" xfId="2" applyNumberFormat="1" applyFont="1" applyFill="1" applyBorder="1"/>
    <xf numFmtId="168" fontId="67" fillId="0" borderId="130" xfId="1" applyNumberFormat="1" applyFont="1" applyBorder="1"/>
    <xf numFmtId="170" fontId="2" fillId="0" borderId="12" xfId="2" applyNumberFormat="1" applyFont="1" applyFill="1" applyBorder="1"/>
    <xf numFmtId="0" fontId="2" fillId="0" borderId="17" xfId="2" applyNumberFormat="1" applyFont="1" applyFill="1" applyBorder="1"/>
    <xf numFmtId="168" fontId="67" fillId="0" borderId="132" xfId="1" applyNumberFormat="1" applyFont="1" applyBorder="1"/>
    <xf numFmtId="0" fontId="22" fillId="0" borderId="17" xfId="0" applyFont="1" applyBorder="1" applyAlignment="1">
      <alignment horizontal="left"/>
    </xf>
    <xf numFmtId="168" fontId="67" fillId="0" borderId="19" xfId="1" applyNumberFormat="1" applyFont="1" applyBorder="1"/>
    <xf numFmtId="0" fontId="67" fillId="0" borderId="20" xfId="0" applyFont="1" applyBorder="1"/>
    <xf numFmtId="167" fontId="2" fillId="0" borderId="0" xfId="2" applyNumberFormat="1" applyFont="1" applyFill="1" applyBorder="1"/>
    <xf numFmtId="37" fontId="2" fillId="0" borderId="0" xfId="2" applyNumberFormat="1" applyFont="1" applyFill="1" applyBorder="1"/>
    <xf numFmtId="170" fontId="2" fillId="0" borderId="0" xfId="1" applyNumberFormat="1" applyFont="1" applyFill="1" applyBorder="1"/>
    <xf numFmtId="168" fontId="2" fillId="0" borderId="0" xfId="1" applyNumberFormat="1" applyFont="1" applyFill="1" applyBorder="1"/>
    <xf numFmtId="170" fontId="2" fillId="0" borderId="0" xfId="2" applyNumberFormat="1" applyFont="1" applyFill="1" applyBorder="1"/>
    <xf numFmtId="170" fontId="3" fillId="0" borderId="0" xfId="2" applyNumberFormat="1" applyFont="1" applyFill="1" applyBorder="1"/>
    <xf numFmtId="168" fontId="2" fillId="0" borderId="0" xfId="2" applyNumberFormat="1" applyFont="1" applyFill="1" applyBorder="1"/>
    <xf numFmtId="170" fontId="23" fillId="0" borderId="0" xfId="2" applyNumberFormat="1" applyFont="1" applyFill="1" applyBorder="1"/>
    <xf numFmtId="190" fontId="22" fillId="0" borderId="136" xfId="0" applyNumberFormat="1" applyFont="1" applyBorder="1"/>
    <xf numFmtId="0" fontId="65" fillId="0" borderId="12" xfId="3" applyNumberFormat="1" applyFont="1" applyBorder="1"/>
    <xf numFmtId="168" fontId="67" fillId="0" borderId="130" xfId="0" applyNumberFormat="1" applyFont="1" applyBorder="1"/>
    <xf numFmtId="168" fontId="67" fillId="0" borderId="132" xfId="0" applyNumberFormat="1" applyFont="1" applyBorder="1"/>
    <xf numFmtId="170" fontId="3" fillId="0" borderId="130" xfId="2" applyNumberFormat="1" applyFont="1" applyFill="1" applyBorder="1"/>
    <xf numFmtId="170" fontId="3" fillId="0" borderId="132" xfId="2" applyNumberFormat="1" applyFont="1" applyFill="1" applyBorder="1"/>
    <xf numFmtId="0" fontId="67" fillId="0" borderId="137" xfId="0" applyFont="1" applyBorder="1"/>
    <xf numFmtId="41" fontId="67" fillId="0" borderId="132" xfId="0" applyNumberFormat="1" applyFont="1" applyBorder="1"/>
    <xf numFmtId="168" fontId="22" fillId="0" borderId="139" xfId="0" applyNumberFormat="1" applyFont="1" applyBorder="1"/>
    <xf numFmtId="168" fontId="22" fillId="0" borderId="11" xfId="0" applyNumberFormat="1" applyFont="1" applyBorder="1"/>
    <xf numFmtId="43" fontId="67" fillId="0" borderId="135" xfId="1" applyFont="1" applyBorder="1"/>
    <xf numFmtId="43" fontId="67" fillId="0" borderId="133" xfId="1" applyFont="1" applyBorder="1"/>
    <xf numFmtId="43" fontId="22" fillId="0" borderId="47" xfId="1" applyFont="1" applyBorder="1"/>
    <xf numFmtId="170" fontId="2" fillId="0" borderId="21" xfId="2" applyNumberFormat="1" applyFont="1" applyFill="1" applyBorder="1"/>
    <xf numFmtId="168" fontId="22" fillId="0" borderId="136" xfId="0" applyNumberFormat="1" applyFont="1" applyBorder="1"/>
    <xf numFmtId="37" fontId="2" fillId="0" borderId="12" xfId="2" applyNumberFormat="1" applyFont="1" applyFill="1" applyBorder="1"/>
    <xf numFmtId="167" fontId="2" fillId="0" borderId="21" xfId="2" applyNumberFormat="1" applyFont="1" applyFill="1" applyBorder="1"/>
    <xf numFmtId="168" fontId="22" fillId="0" borderId="140" xfId="0" applyNumberFormat="1" applyFont="1" applyBorder="1"/>
    <xf numFmtId="168" fontId="22" fillId="0" borderId="127" xfId="0" applyNumberFormat="1" applyFont="1" applyBorder="1"/>
    <xf numFmtId="170" fontId="2" fillId="0" borderId="12" xfId="1" applyNumberFormat="1" applyFont="1" applyFill="1" applyBorder="1"/>
    <xf numFmtId="170" fontId="2" fillId="0" borderId="47" xfId="1" applyNumberFormat="1" applyFont="1" applyFill="1" applyBorder="1"/>
    <xf numFmtId="170" fontId="2" fillId="0" borderId="18" xfId="1" applyNumberFormat="1" applyFont="1" applyFill="1" applyBorder="1"/>
    <xf numFmtId="170" fontId="2" fillId="0" borderId="4" xfId="1" applyNumberFormat="1" applyFont="1" applyFill="1" applyBorder="1"/>
    <xf numFmtId="170" fontId="2" fillId="0" borderId="17" xfId="1" applyNumberFormat="1" applyFont="1" applyFill="1" applyBorder="1"/>
    <xf numFmtId="170" fontId="2" fillId="0" borderId="19" xfId="1" applyNumberFormat="1" applyFont="1" applyFill="1" applyBorder="1"/>
    <xf numFmtId="170" fontId="2" fillId="0" borderId="20" xfId="1" applyNumberFormat="1" applyFont="1" applyFill="1" applyBorder="1"/>
    <xf numFmtId="37" fontId="2" fillId="0" borderId="47" xfId="2" applyNumberFormat="1" applyFont="1" applyFill="1" applyBorder="1"/>
    <xf numFmtId="37" fontId="2" fillId="0" borderId="17" xfId="2" applyNumberFormat="1" applyFont="1" applyFill="1" applyBorder="1"/>
    <xf numFmtId="168" fontId="231" fillId="0" borderId="0" xfId="1" applyNumberFormat="1" applyFont="1" applyFill="1" applyBorder="1"/>
    <xf numFmtId="168" fontId="231" fillId="0" borderId="12" xfId="1" applyNumberFormat="1" applyFont="1" applyFill="1" applyBorder="1"/>
    <xf numFmtId="43" fontId="22" fillId="0" borderId="0" xfId="1" applyFont="1" applyFill="1" applyBorder="1"/>
    <xf numFmtId="43" fontId="22" fillId="0" borderId="12" xfId="1" applyFont="1" applyFill="1" applyBorder="1"/>
    <xf numFmtId="169" fontId="6" fillId="0" borderId="0" xfId="3" applyNumberFormat="1" applyFont="1"/>
    <xf numFmtId="10" fontId="6" fillId="0" borderId="0" xfId="3" applyNumberFormat="1" applyFont="1"/>
    <xf numFmtId="190" fontId="22" fillId="0" borderId="135" xfId="0" applyNumberFormat="1" applyFont="1" applyBorder="1"/>
    <xf numFmtId="171" fontId="22" fillId="0" borderId="21" xfId="1" applyNumberFormat="1" applyFont="1" applyBorder="1"/>
    <xf numFmtId="0" fontId="2" fillId="0" borderId="0" xfId="2" applyNumberFormat="1" applyFont="1" applyFill="1" applyBorder="1"/>
    <xf numFmtId="43" fontId="65" fillId="0" borderId="0" xfId="0" applyNumberFormat="1" applyFont="1"/>
    <xf numFmtId="168" fontId="89" fillId="0" borderId="0" xfId="0" applyNumberFormat="1" applyFont="1"/>
    <xf numFmtId="43" fontId="67" fillId="0" borderId="136" xfId="1" applyFont="1" applyBorder="1"/>
    <xf numFmtId="170" fontId="2" fillId="0" borderId="48" xfId="1" applyNumberFormat="1" applyFont="1" applyFill="1" applyBorder="1"/>
    <xf numFmtId="168" fontId="62" fillId="0" borderId="143" xfId="0" applyNumberFormat="1" applyFont="1" applyBorder="1"/>
    <xf numFmtId="0" fontId="62" fillId="0" borderId="21" xfId="0" applyFont="1" applyBorder="1"/>
    <xf numFmtId="191" fontId="62" fillId="0" borderId="134" xfId="0" applyNumberFormat="1" applyFont="1" applyBorder="1"/>
    <xf numFmtId="168" fontId="62" fillId="0" borderId="144" xfId="0" applyNumberFormat="1" applyFont="1" applyBorder="1"/>
    <xf numFmtId="168" fontId="62" fillId="0" borderId="128" xfId="0" applyNumberFormat="1" applyFont="1" applyBorder="1"/>
    <xf numFmtId="191" fontId="62" fillId="0" borderId="133" xfId="0" applyNumberFormat="1" applyFont="1" applyBorder="1"/>
    <xf numFmtId="191" fontId="62" fillId="0" borderId="135" xfId="0" applyNumberFormat="1" applyFont="1" applyBorder="1"/>
    <xf numFmtId="191" fontId="62" fillId="0" borderId="19" xfId="0" applyNumberFormat="1" applyFont="1" applyBorder="1"/>
    <xf numFmtId="168" fontId="62" fillId="0" borderId="145" xfId="81" applyNumberFormat="1" applyFont="1" applyBorder="1"/>
    <xf numFmtId="191" fontId="6" fillId="0" borderId="133" xfId="81" applyNumberFormat="1" applyFont="1" applyBorder="1"/>
    <xf numFmtId="191" fontId="6" fillId="0" borderId="135" xfId="81" applyNumberFormat="1" applyFont="1" applyBorder="1"/>
    <xf numFmtId="191" fontId="6" fillId="0" borderId="136" xfId="27" applyNumberFormat="1" applyFont="1" applyBorder="1"/>
    <xf numFmtId="169" fontId="6" fillId="0" borderId="135" xfId="81" applyNumberFormat="1" applyFont="1" applyBorder="1"/>
    <xf numFmtId="169" fontId="6" fillId="0" borderId="18" xfId="27" applyNumberFormat="1" applyFont="1" applyBorder="1"/>
    <xf numFmtId="169" fontId="6" fillId="0" borderId="19" xfId="27" applyNumberFormat="1" applyFont="1" applyBorder="1"/>
    <xf numFmtId="169" fontId="6" fillId="0" borderId="19" xfId="81" applyNumberFormat="1" applyFont="1" applyBorder="1"/>
    <xf numFmtId="0" fontId="62" fillId="0" borderId="136" xfId="0" applyFont="1" applyBorder="1"/>
    <xf numFmtId="0" fontId="11" fillId="2" borderId="132" xfId="0" applyFont="1" applyFill="1" applyBorder="1" applyAlignment="1">
      <alignment horizontal="center"/>
    </xf>
    <xf numFmtId="0" fontId="62" fillId="0" borderId="12" xfId="0" applyFont="1" applyBorder="1"/>
    <xf numFmtId="0" fontId="62" fillId="0" borderId="48" xfId="0" applyFont="1" applyBorder="1"/>
    <xf numFmtId="168" fontId="62" fillId="0" borderId="145" xfId="0" applyNumberFormat="1" applyFont="1" applyBorder="1"/>
    <xf numFmtId="169" fontId="0" fillId="0" borderId="0" xfId="3" applyNumberFormat="1" applyFont="1"/>
    <xf numFmtId="168" fontId="22" fillId="0" borderId="133" xfId="0" applyNumberFormat="1" applyFont="1" applyBorder="1"/>
    <xf numFmtId="168" fontId="22" fillId="0" borderId="18" xfId="0" applyNumberFormat="1" applyFont="1" applyBorder="1"/>
    <xf numFmtId="168" fontId="22" fillId="0" borderId="19" xfId="1" applyNumberFormat="1" applyFont="1" applyFill="1" applyBorder="1"/>
    <xf numFmtId="43" fontId="22" fillId="0" borderId="19" xfId="1" applyFont="1" applyFill="1" applyBorder="1"/>
    <xf numFmtId="43" fontId="22" fillId="0" borderId="20" xfId="1" applyFont="1" applyFill="1" applyBorder="1"/>
    <xf numFmtId="43" fontId="22" fillId="0" borderId="21" xfId="1" applyFont="1" applyFill="1" applyBorder="1"/>
    <xf numFmtId="168" fontId="3" fillId="0" borderId="0" xfId="1" applyNumberFormat="1" applyFont="1" applyBorder="1"/>
    <xf numFmtId="169" fontId="6" fillId="0" borderId="0" xfId="0" applyNumberFormat="1" applyFont="1"/>
    <xf numFmtId="41" fontId="3" fillId="0" borderId="0" xfId="0" applyNumberFormat="1" applyFont="1"/>
    <xf numFmtId="41" fontId="2" fillId="0" borderId="19" xfId="0" applyNumberFormat="1" applyFont="1" applyBorder="1"/>
    <xf numFmtId="43" fontId="2" fillId="0" borderId="0" xfId="0" applyNumberFormat="1" applyFont="1"/>
    <xf numFmtId="0" fontId="2" fillId="0" borderId="51" xfId="1665" applyBorder="1" applyAlignment="1">
      <alignment horizontal="right"/>
    </xf>
    <xf numFmtId="0" fontId="2" fillId="0" borderId="16" xfId="1665" applyBorder="1" applyAlignment="1">
      <alignment horizontal="right"/>
    </xf>
    <xf numFmtId="168" fontId="22" fillId="0" borderId="47" xfId="0" applyNumberFormat="1" applyFont="1" applyBorder="1"/>
    <xf numFmtId="191" fontId="22" fillId="0" borderId="47" xfId="0" applyNumberFormat="1" applyFont="1" applyBorder="1"/>
    <xf numFmtId="191" fontId="22" fillId="0" borderId="0" xfId="0" applyNumberFormat="1" applyFont="1"/>
    <xf numFmtId="191" fontId="22" fillId="0" borderId="17" xfId="0" applyNumberFormat="1" applyFont="1" applyBorder="1"/>
    <xf numFmtId="0" fontId="22" fillId="0" borderId="130" xfId="0" applyFont="1" applyBorder="1"/>
    <xf numFmtId="168" fontId="22" fillId="0" borderId="135" xfId="1" applyNumberFormat="1" applyFont="1" applyBorder="1"/>
    <xf numFmtId="2" fontId="22" fillId="0" borderId="18" xfId="0" applyNumberFormat="1" applyFont="1" applyBorder="1"/>
    <xf numFmtId="2" fontId="22" fillId="0" borderId="19" xfId="0" applyNumberFormat="1" applyFont="1" applyBorder="1"/>
    <xf numFmtId="2" fontId="22" fillId="0" borderId="20" xfId="0" applyNumberFormat="1" applyFont="1" applyBorder="1"/>
    <xf numFmtId="170" fontId="2" fillId="0" borderId="0" xfId="0" applyNumberFormat="1" applyFont="1"/>
    <xf numFmtId="168" fontId="2" fillId="0" borderId="42" xfId="0" applyNumberFormat="1" applyFont="1" applyBorder="1"/>
    <xf numFmtId="0" fontId="68" fillId="0" borderId="0" xfId="0" applyFont="1"/>
    <xf numFmtId="168" fontId="6" fillId="0" borderId="0" xfId="0" applyNumberFormat="1" applyFont="1"/>
    <xf numFmtId="170" fontId="2" fillId="0" borderId="1" xfId="0" applyNumberFormat="1" applyFont="1" applyBorder="1"/>
    <xf numFmtId="0" fontId="2" fillId="0" borderId="52" xfId="0" applyFont="1" applyBorder="1"/>
    <xf numFmtId="0" fontId="2" fillId="0" borderId="135" xfId="0" applyFont="1" applyBorder="1"/>
    <xf numFmtId="10" fontId="2" fillId="0" borderId="0" xfId="3" applyNumberFormat="1" applyFont="1" applyBorder="1"/>
    <xf numFmtId="169" fontId="6" fillId="0" borderId="17" xfId="3" applyNumberFormat="1" applyFont="1" applyBorder="1"/>
    <xf numFmtId="10" fontId="22" fillId="0" borderId="12" xfId="3" applyNumberFormat="1" applyFont="1" applyBorder="1"/>
    <xf numFmtId="168" fontId="22" fillId="0" borderId="0" xfId="1" applyNumberFormat="1" applyFont="1" applyFill="1"/>
    <xf numFmtId="169" fontId="22" fillId="0" borderId="0" xfId="3" applyNumberFormat="1" applyFont="1" applyFill="1"/>
    <xf numFmtId="169" fontId="22" fillId="0" borderId="0" xfId="0" applyNumberFormat="1" applyFont="1"/>
    <xf numFmtId="39" fontId="5" fillId="2" borderId="0" xfId="0" applyNumberFormat="1" applyFont="1" applyFill="1" applyAlignment="1">
      <alignment horizontal="right"/>
    </xf>
    <xf numFmtId="168" fontId="6" fillId="0" borderId="0" xfId="1" applyNumberFormat="1" applyFont="1" applyFill="1" applyBorder="1" applyAlignment="1">
      <alignment horizontal="right"/>
    </xf>
    <xf numFmtId="168" fontId="5" fillId="2" borderId="0" xfId="1" applyNumberFormat="1" applyFont="1" applyFill="1" applyBorder="1" applyAlignment="1">
      <alignment horizontal="right"/>
    </xf>
    <xf numFmtId="168" fontId="22" fillId="0" borderId="21" xfId="1" applyNumberFormat="1" applyFont="1" applyBorder="1"/>
    <xf numFmtId="168" fontId="67" fillId="0" borderId="0" xfId="0" applyNumberFormat="1" applyFont="1"/>
    <xf numFmtId="10" fontId="22" fillId="0" borderId="0" xfId="3" applyNumberFormat="1" applyFont="1" applyBorder="1"/>
    <xf numFmtId="203" fontId="22" fillId="0" borderId="0" xfId="1" applyNumberFormat="1" applyFont="1"/>
    <xf numFmtId="169" fontId="22" fillId="0" borderId="17" xfId="3" applyNumberFormat="1" applyFont="1" applyBorder="1"/>
    <xf numFmtId="9" fontId="0" fillId="0" borderId="0" xfId="3" applyFont="1"/>
    <xf numFmtId="168" fontId="0" fillId="0" borderId="0" xfId="0" applyNumberFormat="1"/>
    <xf numFmtId="173" fontId="0" fillId="0" borderId="0" xfId="0" applyNumberFormat="1"/>
    <xf numFmtId="0" fontId="235" fillId="0" borderId="0" xfId="0" applyFont="1"/>
    <xf numFmtId="169" fontId="0" fillId="0" borderId="0" xfId="0" applyNumberFormat="1"/>
    <xf numFmtId="168" fontId="235" fillId="0" borderId="0" xfId="0" applyNumberFormat="1" applyFont="1"/>
    <xf numFmtId="169" fontId="235" fillId="0" borderId="0" xfId="3" applyNumberFormat="1" applyFont="1"/>
    <xf numFmtId="0" fontId="236" fillId="77" borderId="0" xfId="0" applyFont="1" applyFill="1"/>
    <xf numFmtId="0" fontId="236" fillId="77" borderId="0" xfId="0" applyFont="1" applyFill="1" applyAlignment="1">
      <alignment horizontal="right"/>
    </xf>
    <xf numFmtId="44" fontId="0" fillId="0" borderId="0" xfId="2" applyFont="1"/>
    <xf numFmtId="171" fontId="22" fillId="0" borderId="0" xfId="1" applyNumberFormat="1" applyFont="1"/>
    <xf numFmtId="0" fontId="239" fillId="0" borderId="0" xfId="0" applyFont="1"/>
    <xf numFmtId="168" fontId="60" fillId="78" borderId="0" xfId="1" applyNumberFormat="1" applyFont="1" applyFill="1"/>
    <xf numFmtId="0" fontId="22" fillId="78" borderId="0" xfId="0" applyFont="1" applyFill="1"/>
    <xf numFmtId="0" fontId="239" fillId="53" borderId="0" xfId="0" applyFont="1" applyFill="1"/>
    <xf numFmtId="5" fontId="239" fillId="53" borderId="0" xfId="0" applyNumberFormat="1" applyFont="1" applyFill="1"/>
    <xf numFmtId="0" fontId="239" fillId="53" borderId="0" xfId="0" applyFont="1" applyFill="1" applyAlignment="1">
      <alignment vertical="top"/>
    </xf>
    <xf numFmtId="0" fontId="239" fillId="0" borderId="0" xfId="0" applyFont="1" applyAlignment="1">
      <alignment vertical="top"/>
    </xf>
    <xf numFmtId="0" fontId="243" fillId="53" borderId="3" xfId="0" applyFont="1" applyFill="1" applyBorder="1"/>
    <xf numFmtId="0" fontId="239" fillId="53" borderId="4" xfId="0" applyFont="1" applyFill="1" applyBorder="1"/>
    <xf numFmtId="0" fontId="241" fillId="78" borderId="3" xfId="0" applyFont="1" applyFill="1" applyBorder="1"/>
    <xf numFmtId="264" fontId="241" fillId="78" borderId="0" xfId="0" applyNumberFormat="1" applyFont="1" applyFill="1" applyAlignment="1">
      <alignment horizontal="center"/>
    </xf>
    <xf numFmtId="263" fontId="241" fillId="78" borderId="0" xfId="0" applyNumberFormat="1" applyFont="1" applyFill="1" applyAlignment="1">
      <alignment horizontal="center"/>
    </xf>
    <xf numFmtId="0" fontId="241" fillId="78" borderId="0" xfId="0" applyFont="1" applyFill="1"/>
    <xf numFmtId="0" fontId="241" fillId="78" borderId="4" xfId="0" applyFont="1" applyFill="1" applyBorder="1" applyAlignment="1">
      <alignment horizontal="center"/>
    </xf>
    <xf numFmtId="0" fontId="239" fillId="53" borderId="3" xfId="0" applyFont="1" applyFill="1" applyBorder="1"/>
    <xf numFmtId="204" fontId="239" fillId="53" borderId="0" xfId="0" applyNumberFormat="1" applyFont="1" applyFill="1"/>
    <xf numFmtId="0" fontId="239" fillId="53" borderId="3" xfId="0" applyFont="1" applyFill="1" applyBorder="1" applyAlignment="1">
      <alignment vertical="top"/>
    </xf>
    <xf numFmtId="7" fontId="239" fillId="53" borderId="0" xfId="0" applyNumberFormat="1" applyFont="1" applyFill="1" applyAlignment="1">
      <alignment vertical="top"/>
    </xf>
    <xf numFmtId="0" fontId="239" fillId="53" borderId="4" xfId="0" applyFont="1" applyFill="1" applyBorder="1" applyAlignment="1">
      <alignment vertical="top"/>
    </xf>
    <xf numFmtId="0" fontId="241" fillId="78" borderId="4" xfId="0" applyFont="1" applyFill="1" applyBorder="1"/>
    <xf numFmtId="5" fontId="239" fillId="53" borderId="4" xfId="0" applyNumberFormat="1" applyFont="1" applyFill="1" applyBorder="1"/>
    <xf numFmtId="196" fontId="239" fillId="53" borderId="0" xfId="0" applyNumberFormat="1" applyFont="1" applyFill="1"/>
    <xf numFmtId="5" fontId="239" fillId="53" borderId="0" xfId="0" applyNumberFormat="1" applyFont="1" applyFill="1" applyAlignment="1">
      <alignment vertical="top"/>
    </xf>
    <xf numFmtId="5" fontId="239" fillId="53" borderId="4" xfId="0" applyNumberFormat="1" applyFont="1" applyFill="1" applyBorder="1" applyAlignment="1">
      <alignment vertical="top"/>
    </xf>
    <xf numFmtId="0" fontId="241" fillId="78" borderId="146" xfId="0" applyFont="1" applyFill="1" applyBorder="1"/>
    <xf numFmtId="5" fontId="241" fillId="78" borderId="147" xfId="0" applyNumberFormat="1" applyFont="1" applyFill="1" applyBorder="1"/>
    <xf numFmtId="204" fontId="239" fillId="53" borderId="0" xfId="0" applyNumberFormat="1" applyFont="1" applyFill="1" applyAlignment="1">
      <alignment vertical="top"/>
    </xf>
    <xf numFmtId="265" fontId="239" fillId="53" borderId="0" xfId="0" applyNumberFormat="1" applyFont="1" applyFill="1" applyAlignment="1">
      <alignment horizontal="right"/>
    </xf>
    <xf numFmtId="265" fontId="239" fillId="53" borderId="4" xfId="0" applyNumberFormat="1" applyFont="1" applyFill="1" applyBorder="1" applyAlignment="1">
      <alignment horizontal="right"/>
    </xf>
    <xf numFmtId="265" fontId="239" fillId="53" borderId="0" xfId="0" applyNumberFormat="1" applyFont="1" applyFill="1" applyAlignment="1">
      <alignment horizontal="right" vertical="top"/>
    </xf>
    <xf numFmtId="265" fontId="239" fillId="53" borderId="4" xfId="0" applyNumberFormat="1" applyFont="1" applyFill="1" applyBorder="1" applyAlignment="1">
      <alignment horizontal="right" vertical="top"/>
    </xf>
    <xf numFmtId="265" fontId="244" fillId="53" borderId="4" xfId="0" applyNumberFormat="1" applyFont="1" applyFill="1" applyBorder="1" applyAlignment="1">
      <alignment horizontal="right"/>
    </xf>
    <xf numFmtId="265" fontId="245" fillId="53" borderId="4" xfId="0" applyNumberFormat="1" applyFont="1" applyFill="1" applyBorder="1" applyAlignment="1">
      <alignment horizontal="right"/>
    </xf>
    <xf numFmtId="0" fontId="239" fillId="53" borderId="9" xfId="0" applyFont="1" applyFill="1" applyBorder="1"/>
    <xf numFmtId="7" fontId="239" fillId="53" borderId="4" xfId="0" applyNumberFormat="1" applyFont="1" applyFill="1" applyBorder="1"/>
    <xf numFmtId="169" fontId="239" fillId="53" borderId="10" xfId="0" applyNumberFormat="1" applyFont="1" applyFill="1" applyBorder="1"/>
    <xf numFmtId="0" fontId="240" fillId="80" borderId="3" xfId="0" applyFont="1" applyFill="1" applyBorder="1"/>
    <xf numFmtId="168" fontId="247" fillId="0" borderId="0" xfId="1" applyNumberFormat="1" applyFont="1" applyBorder="1"/>
    <xf numFmtId="0" fontId="2" fillId="0" borderId="136" xfId="1665" applyBorder="1" applyAlignment="1">
      <alignment horizontal="right"/>
    </xf>
    <xf numFmtId="0" fontId="3" fillId="0" borderId="12" xfId="1665" applyFont="1" applyBorder="1" applyAlignment="1">
      <alignment horizontal="right"/>
    </xf>
    <xf numFmtId="169" fontId="6" fillId="2" borderId="12" xfId="0" applyNumberFormat="1" applyFont="1" applyFill="1" applyBorder="1" applyAlignment="1">
      <alignment horizontal="right"/>
    </xf>
    <xf numFmtId="0" fontId="60" fillId="0" borderId="12" xfId="0" applyFont="1" applyBorder="1"/>
    <xf numFmtId="0" fontId="6" fillId="2" borderId="12" xfId="0" applyFont="1" applyFill="1" applyBorder="1" applyAlignment="1">
      <alignment horizontal="right"/>
    </xf>
    <xf numFmtId="0" fontId="6" fillId="2" borderId="21" xfId="0" applyFont="1" applyFill="1" applyBorder="1" applyAlignment="1">
      <alignment horizontal="right"/>
    </xf>
    <xf numFmtId="0" fontId="11" fillId="0" borderId="0" xfId="205" applyFont="1" applyAlignment="1">
      <alignment horizontal="left"/>
    </xf>
    <xf numFmtId="0" fontId="24" fillId="0" borderId="0" xfId="386" applyFont="1"/>
    <xf numFmtId="0" fontId="253" fillId="0" borderId="0" xfId="386" applyFont="1" applyAlignment="1">
      <alignment horizontal="left"/>
    </xf>
    <xf numFmtId="0" fontId="251" fillId="0" borderId="0" xfId="386" applyFont="1" applyAlignment="1">
      <alignment horizontal="left"/>
    </xf>
    <xf numFmtId="168" fontId="24" fillId="0" borderId="0" xfId="386" applyNumberFormat="1" applyFont="1"/>
    <xf numFmtId="168" fontId="253" fillId="0" borderId="0" xfId="9" quotePrefix="1" applyNumberFormat="1" applyFont="1" applyBorder="1" applyAlignment="1" applyProtection="1">
      <alignment horizontal="center"/>
    </xf>
    <xf numFmtId="169" fontId="253" fillId="0" borderId="0" xfId="21" applyNumberFormat="1" applyFont="1" applyBorder="1" applyProtection="1"/>
    <xf numFmtId="10" fontId="253" fillId="0" borderId="0" xfId="21" applyNumberFormat="1" applyFont="1" applyBorder="1" applyProtection="1"/>
    <xf numFmtId="168" fontId="24" fillId="0" borderId="0" xfId="9" applyNumberFormat="1" applyFont="1" applyBorder="1" applyProtection="1"/>
    <xf numFmtId="169" fontId="61" fillId="0" borderId="0" xfId="21" applyNumberFormat="1" applyFont="1" applyBorder="1" applyAlignment="1" applyProtection="1">
      <alignment horizontal="center"/>
    </xf>
    <xf numFmtId="168" fontId="11" fillId="0" borderId="0" xfId="1" applyNumberFormat="1" applyFont="1" applyBorder="1" applyProtection="1"/>
    <xf numFmtId="41" fontId="24" fillId="0" borderId="0" xfId="205" applyNumberFormat="1" applyFont="1"/>
    <xf numFmtId="0" fontId="24" fillId="0" borderId="0" xfId="205" applyFont="1"/>
    <xf numFmtId="168" fontId="24" fillId="0" borderId="0" xfId="205" applyNumberFormat="1" applyFont="1"/>
    <xf numFmtId="0" fontId="253" fillId="0" borderId="0" xfId="386" applyFont="1"/>
    <xf numFmtId="169" fontId="253" fillId="0" borderId="0" xfId="386" applyNumberFormat="1" applyFont="1"/>
    <xf numFmtId="0" fontId="11" fillId="0" borderId="0" xfId="205" applyFont="1"/>
    <xf numFmtId="168" fontId="11" fillId="0" borderId="0" xfId="205" applyNumberFormat="1" applyFont="1"/>
    <xf numFmtId="0" fontId="24" fillId="0" borderId="42" xfId="205" applyFont="1" applyBorder="1"/>
    <xf numFmtId="168" fontId="24" fillId="0" borderId="0" xfId="9" applyNumberFormat="1" applyFont="1" applyFill="1" applyBorder="1"/>
    <xf numFmtId="168" fontId="61" fillId="0" borderId="0" xfId="9" applyNumberFormat="1" applyFont="1" applyFill="1" applyBorder="1" applyAlignment="1">
      <alignment horizontal="center"/>
    </xf>
    <xf numFmtId="0" fontId="61" fillId="0" borderId="0" xfId="386" applyFont="1"/>
    <xf numFmtId="171" fontId="24" fillId="0" borderId="0" xfId="9" applyNumberFormat="1" applyFont="1" applyFill="1" applyBorder="1"/>
    <xf numFmtId="171" fontId="24" fillId="0" borderId="0" xfId="9" applyNumberFormat="1" applyFont="1"/>
    <xf numFmtId="169" fontId="24" fillId="0" borderId="0" xfId="21" applyNumberFormat="1" applyFont="1"/>
    <xf numFmtId="171" fontId="24" fillId="0" borderId="0" xfId="386" applyNumberFormat="1" applyFont="1"/>
    <xf numFmtId="168" fontId="24" fillId="0" borderId="0" xfId="1" applyNumberFormat="1" applyFont="1" applyFill="1" applyBorder="1"/>
    <xf numFmtId="168" fontId="24" fillId="0" borderId="0" xfId="21" applyNumberFormat="1" applyFont="1" applyFill="1" applyBorder="1"/>
    <xf numFmtId="0" fontId="11" fillId="0" borderId="0" xfId="386" applyFont="1"/>
    <xf numFmtId="44" fontId="11" fillId="0" borderId="0" xfId="8" applyFont="1" applyFill="1" applyBorder="1"/>
    <xf numFmtId="43" fontId="11" fillId="0" borderId="0" xfId="8" applyNumberFormat="1" applyFont="1" applyFill="1" applyBorder="1"/>
    <xf numFmtId="169" fontId="255" fillId="0" borderId="0" xfId="21" applyNumberFormat="1" applyFont="1" applyFill="1" applyBorder="1" applyAlignment="1">
      <alignment horizontal="center"/>
    </xf>
    <xf numFmtId="43" fontId="11" fillId="0" borderId="0" xfId="386" applyNumberFormat="1" applyFont="1"/>
    <xf numFmtId="169" fontId="255" fillId="0" borderId="0" xfId="8" applyNumberFormat="1" applyFont="1" applyFill="1" applyBorder="1" applyAlignment="1">
      <alignment horizontal="center"/>
    </xf>
    <xf numFmtId="44" fontId="11" fillId="0" borderId="0" xfId="386" applyNumberFormat="1" applyFont="1"/>
    <xf numFmtId="164" fontId="24" fillId="0" borderId="0" xfId="8" applyNumberFormat="1" applyFont="1" applyFill="1" applyBorder="1"/>
    <xf numFmtId="169" fontId="24" fillId="0" borderId="0" xfId="21" applyNumberFormat="1" applyFont="1" applyFill="1" applyBorder="1"/>
    <xf numFmtId="44" fontId="24" fillId="0" borderId="0" xfId="386" applyNumberFormat="1" applyFont="1"/>
    <xf numFmtId="0" fontId="256" fillId="0" borderId="0" xfId="386" applyFont="1" applyAlignment="1">
      <alignment horizontal="right"/>
    </xf>
    <xf numFmtId="169" fontId="24" fillId="0" borderId="0" xfId="9" applyNumberFormat="1" applyFont="1" applyFill="1" applyBorder="1"/>
    <xf numFmtId="43" fontId="24" fillId="0" borderId="0" xfId="1" applyFont="1" applyAlignment="1">
      <alignment horizontal="left"/>
    </xf>
    <xf numFmtId="43" fontId="24" fillId="0" borderId="0" xfId="1" applyFont="1" applyBorder="1" applyAlignment="1">
      <alignment horizontal="left"/>
    </xf>
    <xf numFmtId="43" fontId="24" fillId="0" borderId="0" xfId="1" quotePrefix="1" applyFont="1" applyBorder="1" applyAlignment="1">
      <alignment horizontal="left"/>
    </xf>
    <xf numFmtId="0" fontId="252" fillId="0" borderId="0" xfId="386" applyFont="1" applyAlignment="1">
      <alignment horizontal="left"/>
    </xf>
    <xf numFmtId="43" fontId="253" fillId="0" borderId="0" xfId="1" applyFont="1" applyAlignment="1" applyProtection="1">
      <alignment horizontal="left"/>
    </xf>
    <xf numFmtId="43" fontId="252" fillId="0" borderId="0" xfId="1" applyFont="1" applyAlignment="1" applyProtection="1">
      <alignment horizontal="left"/>
    </xf>
    <xf numFmtId="0" fontId="61" fillId="0" borderId="0" xfId="205" applyFont="1"/>
    <xf numFmtId="169" fontId="255" fillId="0" borderId="0" xfId="21" applyNumberFormat="1" applyFont="1" applyBorder="1" applyProtection="1"/>
    <xf numFmtId="10" fontId="255" fillId="0" borderId="0" xfId="21" applyNumberFormat="1" applyFont="1" applyBorder="1" applyProtection="1"/>
    <xf numFmtId="168" fontId="24" fillId="0" borderId="0" xfId="1" applyNumberFormat="1" applyFont="1" applyBorder="1" applyProtection="1"/>
    <xf numFmtId="169" fontId="11" fillId="0" borderId="0" xfId="21" applyNumberFormat="1" applyFont="1" applyBorder="1" applyProtection="1"/>
    <xf numFmtId="43" fontId="62" fillId="0" borderId="0" xfId="1" applyFont="1" applyBorder="1" applyAlignment="1">
      <alignment horizontal="left"/>
    </xf>
    <xf numFmtId="0" fontId="258" fillId="0" borderId="0" xfId="386" applyFont="1" applyAlignment="1">
      <alignment horizontal="left"/>
    </xf>
    <xf numFmtId="169" fontId="259" fillId="0" borderId="0" xfId="21" applyNumberFormat="1" applyFont="1" applyBorder="1"/>
    <xf numFmtId="43" fontId="257" fillId="0" borderId="0" xfId="1" applyFont="1" applyBorder="1" applyAlignment="1">
      <alignment horizontal="left"/>
    </xf>
    <xf numFmtId="0" fontId="251" fillId="0" borderId="128" xfId="386" applyFont="1" applyBorder="1" applyAlignment="1">
      <alignment horizontal="left"/>
    </xf>
    <xf numFmtId="0" fontId="257" fillId="0" borderId="0" xfId="205" applyFont="1"/>
    <xf numFmtId="168" fontId="251" fillId="0" borderId="128" xfId="9" quotePrefix="1" applyNumberFormat="1" applyFont="1" applyBorder="1" applyAlignment="1" applyProtection="1">
      <alignment horizontal="center"/>
    </xf>
    <xf numFmtId="0" fontId="259" fillId="0" borderId="0" xfId="205" applyFont="1"/>
    <xf numFmtId="169" fontId="259" fillId="0" borderId="0" xfId="21" applyNumberFormat="1" applyFont="1" applyBorder="1" applyProtection="1"/>
    <xf numFmtId="43" fontId="258" fillId="0" borderId="0" xfId="1" applyFont="1" applyAlignment="1" applyProtection="1">
      <alignment horizontal="left"/>
    </xf>
    <xf numFmtId="43" fontId="11" fillId="0" borderId="0" xfId="1" applyFont="1" applyAlignment="1">
      <alignment horizontal="left"/>
    </xf>
    <xf numFmtId="168" fontId="11" fillId="0" borderId="128" xfId="9" applyNumberFormat="1" applyFont="1" applyBorder="1"/>
    <xf numFmtId="43" fontId="11" fillId="0" borderId="0" xfId="1" applyFont="1" applyBorder="1" applyAlignment="1">
      <alignment horizontal="left"/>
    </xf>
    <xf numFmtId="43" fontId="251" fillId="0" borderId="0" xfId="1" applyFont="1" applyBorder="1" applyAlignment="1" applyProtection="1">
      <alignment horizontal="left"/>
    </xf>
    <xf numFmtId="168" fontId="11" fillId="0" borderId="0" xfId="9" applyNumberFormat="1" applyFont="1" applyBorder="1" applyProtection="1"/>
    <xf numFmtId="43" fontId="251" fillId="0" borderId="0" xfId="1" applyFont="1" applyAlignment="1" applyProtection="1">
      <alignment horizontal="left"/>
    </xf>
    <xf numFmtId="8" fontId="24" fillId="0" borderId="42" xfId="8" applyNumberFormat="1" applyFont="1" applyFill="1" applyBorder="1"/>
    <xf numFmtId="0" fontId="251" fillId="0" borderId="44" xfId="386" applyFont="1" applyBorder="1" applyAlignment="1">
      <alignment horizontal="left"/>
    </xf>
    <xf numFmtId="0" fontId="253" fillId="0" borderId="3" xfId="386" applyFont="1" applyBorder="1" applyAlignment="1">
      <alignment horizontal="left"/>
    </xf>
    <xf numFmtId="0" fontId="232" fillId="0" borderId="3" xfId="386" applyFont="1" applyBorder="1" applyAlignment="1">
      <alignment horizontal="left"/>
    </xf>
    <xf numFmtId="0" fontId="251" fillId="0" borderId="3" xfId="386" applyFont="1" applyBorder="1" applyAlignment="1">
      <alignment horizontal="left"/>
    </xf>
    <xf numFmtId="0" fontId="24" fillId="0" borderId="3" xfId="386" applyFont="1" applyBorder="1"/>
    <xf numFmtId="168" fontId="11" fillId="0" borderId="128" xfId="9" applyNumberFormat="1" applyFont="1" applyBorder="1" applyProtection="1"/>
    <xf numFmtId="0" fontId="261" fillId="0" borderId="3" xfId="386" applyFont="1" applyBorder="1" applyAlignment="1">
      <alignment horizontal="left"/>
    </xf>
    <xf numFmtId="0" fontId="250" fillId="0" borderId="3" xfId="386" applyFont="1" applyBorder="1" applyAlignment="1">
      <alignment horizontal="left"/>
    </xf>
    <xf numFmtId="0" fontId="24" fillId="0" borderId="3" xfId="205" applyFont="1" applyBorder="1"/>
    <xf numFmtId="0" fontId="24" fillId="0" borderId="9" xfId="205" applyFont="1" applyBorder="1"/>
    <xf numFmtId="0" fontId="24" fillId="0" borderId="142" xfId="205" applyFont="1" applyBorder="1" applyAlignment="1">
      <alignment horizontal="left"/>
    </xf>
    <xf numFmtId="41" fontId="24" fillId="0" borderId="142" xfId="386" applyNumberFormat="1" applyFont="1" applyBorder="1"/>
    <xf numFmtId="0" fontId="11" fillId="0" borderId="44" xfId="205" applyFont="1" applyBorder="1"/>
    <xf numFmtId="0" fontId="11" fillId="0" borderId="128" xfId="205" applyFont="1" applyBorder="1"/>
    <xf numFmtId="168" fontId="11" fillId="0" borderId="128" xfId="205" applyNumberFormat="1" applyFont="1" applyBorder="1"/>
    <xf numFmtId="0" fontId="253" fillId="0" borderId="3" xfId="386" applyFont="1" applyBorder="1"/>
    <xf numFmtId="0" fontId="11" fillId="0" borderId="3" xfId="205" applyFont="1" applyBorder="1"/>
    <xf numFmtId="0" fontId="11" fillId="0" borderId="152" xfId="205" applyFont="1" applyBorder="1"/>
    <xf numFmtId="0" fontId="11" fillId="0" borderId="135" xfId="205" applyFont="1" applyBorder="1"/>
    <xf numFmtId="8" fontId="11" fillId="0" borderId="135" xfId="8" applyNumberFormat="1" applyFont="1" applyFill="1" applyBorder="1"/>
    <xf numFmtId="0" fontId="24" fillId="0" borderId="153" xfId="205" applyFont="1" applyBorder="1"/>
    <xf numFmtId="0" fontId="24" fillId="0" borderId="142" xfId="205" applyFont="1" applyBorder="1"/>
    <xf numFmtId="168" fontId="24" fillId="0" borderId="142" xfId="9" applyNumberFormat="1" applyFont="1" applyFill="1" applyBorder="1"/>
    <xf numFmtId="0" fontId="11" fillId="0" borderId="107" xfId="386" applyFont="1" applyBorder="1" applyAlignment="1">
      <alignment horizontal="center"/>
    </xf>
    <xf numFmtId="0" fontId="11" fillId="0" borderId="149" xfId="386" applyFont="1" applyBorder="1" applyAlignment="1">
      <alignment horizontal="center"/>
    </xf>
    <xf numFmtId="0" fontId="11" fillId="0" borderId="150" xfId="386" applyFont="1" applyBorder="1" applyAlignment="1">
      <alignment horizontal="center"/>
    </xf>
    <xf numFmtId="0" fontId="11" fillId="0" borderId="127" xfId="386" applyFont="1" applyBorder="1" applyAlignment="1">
      <alignment horizontal="center"/>
    </xf>
    <xf numFmtId="0" fontId="243" fillId="81" borderId="149" xfId="0" applyFont="1" applyFill="1" applyBorder="1"/>
    <xf numFmtId="0" fontId="242" fillId="81" borderId="150" xfId="0" applyFont="1" applyFill="1" applyBorder="1" applyAlignment="1">
      <alignment horizontal="right"/>
    </xf>
    <xf numFmtId="0" fontId="239" fillId="81" borderId="127" xfId="0" applyFont="1" applyFill="1" applyBorder="1"/>
    <xf numFmtId="0" fontId="239" fillId="81" borderId="150" xfId="0" applyFont="1" applyFill="1" applyBorder="1"/>
    <xf numFmtId="7" fontId="244" fillId="53" borderId="4" xfId="0" applyNumberFormat="1" applyFont="1" applyFill="1" applyBorder="1"/>
    <xf numFmtId="37" fontId="240" fillId="79" borderId="4" xfId="0" applyNumberFormat="1" applyFont="1" applyFill="1" applyBorder="1"/>
    <xf numFmtId="43" fontId="239" fillId="53" borderId="0" xfId="0" applyNumberFormat="1" applyFont="1" applyFill="1" applyAlignment="1">
      <alignment vertical="top"/>
    </xf>
    <xf numFmtId="0" fontId="239" fillId="53" borderId="44" xfId="0" applyFont="1" applyFill="1" applyBorder="1"/>
    <xf numFmtId="265" fontId="240" fillId="53" borderId="43" xfId="0" applyNumberFormat="1" applyFont="1" applyFill="1" applyBorder="1"/>
    <xf numFmtId="265" fontId="240" fillId="53" borderId="4" xfId="0" applyNumberFormat="1" applyFont="1" applyFill="1" applyBorder="1"/>
    <xf numFmtId="265" fontId="240" fillId="53" borderId="10" xfId="0" applyNumberFormat="1" applyFont="1" applyFill="1" applyBorder="1"/>
    <xf numFmtId="5" fontId="246" fillId="53" borderId="4" xfId="0" applyNumberFormat="1" applyFont="1" applyFill="1" applyBorder="1"/>
    <xf numFmtId="5" fontId="240" fillId="53" borderId="0" xfId="0" applyNumberFormat="1" applyFont="1" applyFill="1"/>
    <xf numFmtId="204" fontId="240" fillId="53" borderId="0" xfId="0" applyNumberFormat="1" applyFont="1" applyFill="1"/>
    <xf numFmtId="0" fontId="240" fillId="53" borderId="0" xfId="0" applyFont="1" applyFill="1"/>
    <xf numFmtId="37" fontId="239" fillId="53" borderId="4" xfId="0" applyNumberFormat="1" applyFont="1" applyFill="1" applyBorder="1"/>
    <xf numFmtId="37" fontId="239" fillId="53" borderId="0" xfId="0" applyNumberFormat="1" applyFont="1" applyFill="1"/>
    <xf numFmtId="37" fontId="246" fillId="53" borderId="4" xfId="0" applyNumberFormat="1" applyFont="1" applyFill="1" applyBorder="1"/>
    <xf numFmtId="5" fontId="239" fillId="53" borderId="10" xfId="0" applyNumberFormat="1" applyFont="1" applyFill="1" applyBorder="1"/>
    <xf numFmtId="265" fontId="239" fillId="53" borderId="0" xfId="0" applyNumberFormat="1" applyFont="1" applyFill="1"/>
    <xf numFmtId="0" fontId="22" fillId="0" borderId="17" xfId="1" applyNumberFormat="1" applyFont="1" applyBorder="1"/>
    <xf numFmtId="0" fontId="22" fillId="0" borderId="134" xfId="1" applyNumberFormat="1" applyFont="1" applyBorder="1"/>
    <xf numFmtId="0" fontId="22" fillId="0" borderId="20" xfId="1" applyNumberFormat="1" applyFont="1" applyBorder="1"/>
    <xf numFmtId="169" fontId="231" fillId="0" borderId="0" xfId="3" applyNumberFormat="1" applyFont="1"/>
    <xf numFmtId="169" fontId="231" fillId="0" borderId="47" xfId="3" applyNumberFormat="1" applyFont="1" applyBorder="1"/>
    <xf numFmtId="169" fontId="231" fillId="0" borderId="17" xfId="3" applyNumberFormat="1" applyFont="1" applyBorder="1"/>
    <xf numFmtId="169" fontId="231" fillId="0" borderId="12" xfId="3" applyNumberFormat="1" applyFont="1" applyBorder="1"/>
    <xf numFmtId="169" fontId="231" fillId="0" borderId="0" xfId="3" applyNumberFormat="1" applyFont="1" applyBorder="1"/>
    <xf numFmtId="191" fontId="231" fillId="0" borderId="0" xfId="3" applyNumberFormat="1" applyFont="1" applyBorder="1"/>
    <xf numFmtId="169" fontId="196" fillId="0" borderId="12" xfId="3" applyNumberFormat="1" applyFont="1" applyBorder="1"/>
    <xf numFmtId="169" fontId="196" fillId="0" borderId="0" xfId="3" applyNumberFormat="1" applyFont="1" applyBorder="1"/>
    <xf numFmtId="169" fontId="158" fillId="0" borderId="0" xfId="3" applyNumberFormat="1" applyFont="1"/>
    <xf numFmtId="43" fontId="231" fillId="0" borderId="0" xfId="1" applyFont="1" applyBorder="1"/>
    <xf numFmtId="0" fontId="196" fillId="0" borderId="0" xfId="0" applyFont="1"/>
    <xf numFmtId="169" fontId="196" fillId="0" borderId="0" xfId="3" applyNumberFormat="1" applyFont="1" applyFill="1" applyBorder="1"/>
    <xf numFmtId="0" fontId="158" fillId="0" borderId="0" xfId="0" applyFont="1"/>
    <xf numFmtId="168" fontId="231" fillId="0" borderId="0" xfId="3" applyNumberFormat="1" applyFont="1" applyBorder="1"/>
    <xf numFmtId="168" fontId="231" fillId="0" borderId="12" xfId="3" applyNumberFormat="1" applyFont="1" applyBorder="1"/>
    <xf numFmtId="168" fontId="231" fillId="0" borderId="0" xfId="1" applyNumberFormat="1" applyFont="1" applyBorder="1"/>
    <xf numFmtId="190" fontId="231" fillId="0" borderId="0" xfId="1" applyNumberFormat="1" applyFont="1" applyBorder="1"/>
    <xf numFmtId="190" fontId="231" fillId="0" borderId="0" xfId="3" applyNumberFormat="1" applyFont="1" applyBorder="1"/>
    <xf numFmtId="10" fontId="231" fillId="0" borderId="0" xfId="3" applyNumberFormat="1" applyFont="1" applyBorder="1"/>
    <xf numFmtId="190" fontId="231" fillId="0" borderId="12" xfId="3" applyNumberFormat="1" applyFont="1" applyBorder="1"/>
    <xf numFmtId="43" fontId="196" fillId="0" borderId="0" xfId="3" applyNumberFormat="1" applyFont="1" applyBorder="1"/>
    <xf numFmtId="203" fontId="231" fillId="0" borderId="12" xfId="1" applyNumberFormat="1" applyFont="1" applyBorder="1"/>
    <xf numFmtId="10" fontId="196" fillId="0" borderId="0" xfId="3" applyNumberFormat="1" applyFont="1" applyBorder="1"/>
    <xf numFmtId="190" fontId="196" fillId="0" borderId="0" xfId="3" applyNumberFormat="1" applyFont="1" applyBorder="1"/>
    <xf numFmtId="171" fontId="196" fillId="0" borderId="0" xfId="3" applyNumberFormat="1" applyFont="1" applyBorder="1"/>
    <xf numFmtId="169" fontId="231" fillId="0" borderId="17" xfId="3" applyNumberFormat="1" applyFont="1" applyFill="1" applyBorder="1"/>
    <xf numFmtId="169" fontId="231" fillId="0" borderId="0" xfId="3" applyNumberFormat="1" applyFont="1" applyFill="1" applyBorder="1"/>
    <xf numFmtId="169" fontId="231" fillId="0" borderId="12" xfId="3" applyNumberFormat="1" applyFont="1" applyFill="1" applyBorder="1"/>
    <xf numFmtId="169" fontId="231" fillId="0" borderId="0" xfId="3" applyNumberFormat="1" applyFont="1" applyFill="1"/>
    <xf numFmtId="169" fontId="231" fillId="0" borderId="47" xfId="3" applyNumberFormat="1" applyFont="1" applyFill="1" applyBorder="1"/>
    <xf numFmtId="168" fontId="231" fillId="0" borderId="47" xfId="1" applyNumberFormat="1" applyFont="1" applyFill="1" applyBorder="1"/>
    <xf numFmtId="168" fontId="231" fillId="0" borderId="17" xfId="1" applyNumberFormat="1" applyFont="1" applyFill="1" applyBorder="1"/>
    <xf numFmtId="43" fontId="231" fillId="0" borderId="0" xfId="1" applyFont="1" applyFill="1" applyBorder="1"/>
    <xf numFmtId="43" fontId="196" fillId="0" borderId="0" xfId="1" applyFont="1" applyFill="1" applyBorder="1"/>
    <xf numFmtId="168" fontId="196" fillId="0" borderId="0" xfId="1" applyNumberFormat="1" applyFont="1" applyFill="1" applyBorder="1"/>
    <xf numFmtId="168" fontId="196" fillId="0" borderId="0" xfId="3" applyNumberFormat="1" applyFont="1" applyFill="1" applyBorder="1"/>
    <xf numFmtId="168" fontId="231" fillId="0" borderId="0" xfId="3" applyNumberFormat="1" applyFont="1" applyFill="1" applyBorder="1"/>
    <xf numFmtId="168" fontId="231" fillId="0" borderId="12" xfId="3" applyNumberFormat="1" applyFont="1" applyFill="1" applyBorder="1"/>
    <xf numFmtId="0" fontId="22" fillId="0" borderId="133" xfId="1" applyNumberFormat="1" applyFont="1" applyFill="1" applyBorder="1"/>
    <xf numFmtId="169" fontId="263" fillId="0" borderId="0" xfId="3" applyNumberFormat="1" applyFont="1"/>
    <xf numFmtId="169" fontId="263" fillId="0" borderId="47" xfId="3" applyNumberFormat="1" applyFont="1" applyBorder="1"/>
    <xf numFmtId="169" fontId="263" fillId="0" borderId="17" xfId="3" applyNumberFormat="1" applyFont="1" applyBorder="1"/>
    <xf numFmtId="169" fontId="263" fillId="0" borderId="12" xfId="3" applyNumberFormat="1" applyFont="1" applyBorder="1"/>
    <xf numFmtId="169" fontId="263" fillId="0" borderId="0" xfId="3" applyNumberFormat="1" applyFont="1" applyBorder="1"/>
    <xf numFmtId="9" fontId="263" fillId="0" borderId="12" xfId="3" applyFont="1" applyBorder="1"/>
    <xf numFmtId="9" fontId="263" fillId="0" borderId="47" xfId="3" applyFont="1" applyBorder="1"/>
    <xf numFmtId="9" fontId="263" fillId="0" borderId="0" xfId="3" applyFont="1" applyBorder="1"/>
    <xf numFmtId="9" fontId="263" fillId="0" borderId="17" xfId="3" applyFont="1" applyBorder="1"/>
    <xf numFmtId="191" fontId="263" fillId="0" borderId="47" xfId="3" applyNumberFormat="1" applyFont="1" applyBorder="1"/>
    <xf numFmtId="191" fontId="263" fillId="0" borderId="0" xfId="3" applyNumberFormat="1" applyFont="1" applyBorder="1"/>
    <xf numFmtId="169" fontId="259" fillId="0" borderId="12" xfId="3" applyNumberFormat="1" applyFont="1" applyBorder="1"/>
    <xf numFmtId="169" fontId="259" fillId="0" borderId="47" xfId="3" applyNumberFormat="1" applyFont="1" applyBorder="1"/>
    <xf numFmtId="169" fontId="259" fillId="0" borderId="0" xfId="3" applyNumberFormat="1" applyFont="1" applyBorder="1"/>
    <xf numFmtId="169" fontId="264" fillId="0" borderId="0" xfId="3" applyNumberFormat="1" applyFont="1"/>
    <xf numFmtId="169" fontId="259" fillId="0" borderId="47" xfId="3" applyNumberFormat="1" applyFont="1" applyFill="1" applyBorder="1"/>
    <xf numFmtId="169" fontId="259" fillId="0" borderId="17" xfId="3" applyNumberFormat="1" applyFont="1" applyFill="1" applyBorder="1"/>
    <xf numFmtId="169" fontId="259" fillId="0" borderId="12" xfId="3" applyNumberFormat="1" applyFont="1" applyFill="1" applyBorder="1"/>
    <xf numFmtId="169" fontId="259" fillId="0" borderId="0" xfId="3" applyNumberFormat="1" applyFont="1" applyFill="1" applyBorder="1"/>
    <xf numFmtId="0" fontId="265" fillId="0" borderId="0" xfId="0" applyFont="1"/>
    <xf numFmtId="169" fontId="259" fillId="0" borderId="133" xfId="3" applyNumberFormat="1" applyFont="1" applyFill="1" applyBorder="1"/>
    <xf numFmtId="169" fontId="263" fillId="0" borderId="134" xfId="3" applyNumberFormat="1" applyFont="1" applyBorder="1"/>
    <xf numFmtId="169" fontId="263" fillId="0" borderId="136" xfId="3" applyNumberFormat="1" applyFont="1" applyBorder="1"/>
    <xf numFmtId="169" fontId="259" fillId="0" borderId="136" xfId="3" applyNumberFormat="1" applyFont="1" applyBorder="1"/>
    <xf numFmtId="191" fontId="263" fillId="0" borderId="12" xfId="3" applyNumberFormat="1" applyFont="1" applyBorder="1"/>
    <xf numFmtId="191" fontId="259" fillId="0" borderId="0" xfId="3" applyNumberFormat="1" applyFont="1" applyBorder="1"/>
    <xf numFmtId="0" fontId="264" fillId="0" borderId="0" xfId="0" applyFont="1"/>
    <xf numFmtId="169" fontId="263" fillId="0" borderId="17" xfId="3" applyNumberFormat="1" applyFont="1" applyFill="1" applyBorder="1"/>
    <xf numFmtId="169" fontId="263" fillId="0" borderId="0" xfId="3" applyNumberFormat="1" applyFont="1" applyFill="1" applyBorder="1"/>
    <xf numFmtId="169" fontId="263" fillId="0" borderId="12" xfId="3" applyNumberFormat="1" applyFont="1" applyFill="1" applyBorder="1"/>
    <xf numFmtId="43" fontId="263" fillId="0" borderId="0" xfId="3" applyNumberFormat="1" applyFont="1" applyFill="1" applyBorder="1"/>
    <xf numFmtId="43" fontId="259" fillId="0" borderId="0" xfId="3" applyNumberFormat="1" applyFont="1" applyFill="1" applyBorder="1"/>
    <xf numFmtId="169" fontId="263" fillId="0" borderId="18" xfId="3" applyNumberFormat="1" applyFont="1" applyBorder="1"/>
    <xf numFmtId="169" fontId="263" fillId="0" borderId="20" xfId="3" applyNumberFormat="1" applyFont="1" applyBorder="1"/>
    <xf numFmtId="169" fontId="263" fillId="0" borderId="21" xfId="3" applyNumberFormat="1" applyFont="1" applyBorder="1"/>
    <xf numFmtId="169" fontId="263" fillId="0" borderId="133" xfId="3" applyNumberFormat="1" applyFont="1" applyBorder="1"/>
    <xf numFmtId="169" fontId="263" fillId="0" borderId="135" xfId="3" applyNumberFormat="1" applyFont="1" applyBorder="1"/>
    <xf numFmtId="169" fontId="263" fillId="0" borderId="51" xfId="3" applyNumberFormat="1" applyFont="1" applyBorder="1"/>
    <xf numFmtId="169" fontId="263" fillId="0" borderId="19" xfId="3" applyNumberFormat="1" applyFont="1" applyBorder="1"/>
    <xf numFmtId="169" fontId="263" fillId="0" borderId="42" xfId="3" applyNumberFormat="1" applyFont="1" applyBorder="1"/>
    <xf numFmtId="169" fontId="263" fillId="0" borderId="0" xfId="3" applyNumberFormat="1" applyFont="1" applyAlignment="1">
      <alignment vertical="top"/>
    </xf>
    <xf numFmtId="169" fontId="263" fillId="0" borderId="47" xfId="3" applyNumberFormat="1" applyFont="1" applyBorder="1" applyAlignment="1">
      <alignment vertical="top"/>
    </xf>
    <xf numFmtId="169" fontId="263" fillId="0" borderId="17" xfId="3" applyNumberFormat="1" applyFont="1" applyBorder="1" applyAlignment="1">
      <alignment vertical="top"/>
    </xf>
    <xf numFmtId="169" fontId="263" fillId="0" borderId="12" xfId="3" applyNumberFormat="1" applyFont="1" applyBorder="1" applyAlignment="1">
      <alignment vertical="top"/>
    </xf>
    <xf numFmtId="169" fontId="263" fillId="0" borderId="0" xfId="3" applyNumberFormat="1" applyFont="1" applyBorder="1" applyAlignment="1">
      <alignment vertical="top"/>
    </xf>
    <xf numFmtId="9" fontId="263" fillId="0" borderId="12" xfId="3" applyFont="1" applyBorder="1" applyAlignment="1">
      <alignment vertical="top"/>
    </xf>
    <xf numFmtId="9" fontId="263" fillId="0" borderId="47" xfId="3" applyFont="1" applyBorder="1" applyAlignment="1">
      <alignment vertical="top"/>
    </xf>
    <xf numFmtId="9" fontId="263" fillId="0" borderId="0" xfId="3" applyFont="1" applyBorder="1" applyAlignment="1">
      <alignment vertical="top"/>
    </xf>
    <xf numFmtId="9" fontId="263" fillId="0" borderId="17" xfId="3" applyFont="1" applyBorder="1" applyAlignment="1">
      <alignment vertical="top"/>
    </xf>
    <xf numFmtId="169" fontId="259" fillId="0" borderId="0" xfId="3" applyNumberFormat="1" applyFont="1" applyBorder="1" applyAlignment="1">
      <alignment vertical="top"/>
    </xf>
    <xf numFmtId="169" fontId="259" fillId="0" borderId="12" xfId="3" applyNumberFormat="1" applyFont="1" applyBorder="1" applyAlignment="1">
      <alignment vertical="top"/>
    </xf>
    <xf numFmtId="169" fontId="264" fillId="0" borderId="0" xfId="3" applyNumberFormat="1" applyFont="1" applyAlignment="1">
      <alignment vertical="top"/>
    </xf>
    <xf numFmtId="168" fontId="67" fillId="0" borderId="17" xfId="0" applyNumberFormat="1" applyFont="1" applyBorder="1"/>
    <xf numFmtId="168" fontId="67" fillId="0" borderId="12" xfId="0" applyNumberFormat="1" applyFont="1" applyBorder="1"/>
    <xf numFmtId="170" fontId="67" fillId="0" borderId="0" xfId="0" applyNumberFormat="1" applyFont="1"/>
    <xf numFmtId="168" fontId="3" fillId="0" borderId="0" xfId="0" applyNumberFormat="1" applyFont="1"/>
    <xf numFmtId="168" fontId="67" fillId="0" borderId="139" xfId="0" applyNumberFormat="1" applyFont="1" applyBorder="1"/>
    <xf numFmtId="168" fontId="67" fillId="0" borderId="137" xfId="0" applyNumberFormat="1" applyFont="1" applyBorder="1"/>
    <xf numFmtId="168" fontId="67" fillId="0" borderId="20" xfId="0" applyNumberFormat="1" applyFont="1" applyBorder="1"/>
    <xf numFmtId="170" fontId="67" fillId="0" borderId="14" xfId="0" applyNumberFormat="1" applyFont="1" applyBorder="1"/>
    <xf numFmtId="170" fontId="3" fillId="0" borderId="14" xfId="0" applyNumberFormat="1" applyFont="1" applyBorder="1"/>
    <xf numFmtId="168" fontId="67" fillId="0" borderId="21" xfId="0" applyNumberFormat="1" applyFont="1" applyBorder="1"/>
    <xf numFmtId="169" fontId="266" fillId="0" borderId="0" xfId="3" applyNumberFormat="1" applyFont="1" applyBorder="1"/>
    <xf numFmtId="169" fontId="267" fillId="0" borderId="0" xfId="3" applyNumberFormat="1" applyFont="1" applyBorder="1"/>
    <xf numFmtId="168" fontId="268" fillId="0" borderId="0" xfId="1" applyNumberFormat="1" applyFont="1" applyBorder="1"/>
    <xf numFmtId="191" fontId="266" fillId="0" borderId="0" xfId="3" applyNumberFormat="1" applyFont="1" applyBorder="1"/>
    <xf numFmtId="168" fontId="268" fillId="0" borderId="12" xfId="1" applyNumberFormat="1" applyFont="1" applyBorder="1"/>
    <xf numFmtId="41" fontId="268" fillId="0" borderId="0" xfId="0" applyNumberFormat="1" applyFont="1"/>
    <xf numFmtId="267" fontId="4" fillId="0" borderId="0" xfId="36198" applyFont="1" applyAlignment="1" applyProtection="1">
      <alignment horizontal="left"/>
      <protection locked="0"/>
    </xf>
    <xf numFmtId="267" fontId="3" fillId="0" borderId="0" xfId="36198" applyFont="1" applyProtection="1">
      <protection locked="0"/>
    </xf>
    <xf numFmtId="267" fontId="2" fillId="0" borderId="0" xfId="36198" applyFont="1" applyProtection="1">
      <protection locked="0"/>
    </xf>
    <xf numFmtId="0" fontId="1" fillId="0" borderId="0" xfId="12297"/>
    <xf numFmtId="0" fontId="269" fillId="0" borderId="0" xfId="4" applyFont="1" applyAlignment="1">
      <alignment horizontal="left" vertical="center"/>
    </xf>
    <xf numFmtId="172" fontId="9" fillId="0" borderId="0" xfId="36199" applyFont="1"/>
    <xf numFmtId="267" fontId="271" fillId="0" borderId="0" xfId="363" applyNumberFormat="1" applyFont="1" applyFill="1" applyBorder="1" applyAlignment="1" applyProtection="1">
      <protection locked="0"/>
    </xf>
    <xf numFmtId="267" fontId="2" fillId="0" borderId="0" xfId="36198" applyFont="1" applyAlignment="1" applyProtection="1">
      <alignment horizontal="right"/>
      <protection locked="0"/>
    </xf>
    <xf numFmtId="267" fontId="13" fillId="0" borderId="0" xfId="36198"/>
    <xf numFmtId="267" fontId="272" fillId="0" borderId="0" xfId="36198" applyFont="1" applyProtection="1">
      <protection locked="0"/>
    </xf>
    <xf numFmtId="267" fontId="273" fillId="0" borderId="106" xfId="36198" applyFont="1" applyBorder="1"/>
    <xf numFmtId="38" fontId="274" fillId="82" borderId="0" xfId="36198" applyNumberFormat="1" applyFont="1" applyFill="1" applyAlignment="1" applyProtection="1">
      <alignment horizontal="left"/>
      <protection locked="0"/>
    </xf>
    <xf numFmtId="267" fontId="3" fillId="0" borderId="2" xfId="36198" applyFont="1" applyBorder="1"/>
    <xf numFmtId="171" fontId="9" fillId="83" borderId="4" xfId="36200" applyNumberFormat="1" applyFont="1" applyFill="1" applyBorder="1" applyProtection="1"/>
    <xf numFmtId="267" fontId="274" fillId="0" borderId="0" xfId="36198" applyFont="1" applyAlignment="1" applyProtection="1">
      <alignment horizontal="right"/>
      <protection locked="0"/>
    </xf>
    <xf numFmtId="172" fontId="4" fillId="0" borderId="0" xfId="36199" applyFont="1"/>
    <xf numFmtId="8" fontId="274" fillId="82" borderId="0" xfId="36201" applyFont="1" applyFill="1" applyBorder="1" applyAlignment="1" applyProtection="1">
      <alignment horizontal="right"/>
      <protection locked="0"/>
    </xf>
    <xf numFmtId="267" fontId="2" fillId="0" borderId="2" xfId="36198" applyFont="1" applyBorder="1"/>
    <xf numFmtId="38" fontId="274" fillId="82" borderId="0" xfId="36198" applyNumberFormat="1" applyFont="1" applyFill="1" applyAlignment="1" applyProtection="1">
      <alignment horizontal="right"/>
      <protection locked="0"/>
    </xf>
    <xf numFmtId="0" fontId="269" fillId="0" borderId="0" xfId="5" applyFont="1" applyAlignment="1">
      <alignment horizontal="center"/>
    </xf>
    <xf numFmtId="0" fontId="4" fillId="0" borderId="0" xfId="36199" applyNumberFormat="1" applyFont="1"/>
    <xf numFmtId="0" fontId="275" fillId="0" borderId="2" xfId="36198" applyNumberFormat="1" applyFont="1" applyBorder="1"/>
    <xf numFmtId="0" fontId="9" fillId="0" borderId="0" xfId="36199" applyNumberFormat="1" applyFont="1" applyAlignment="1">
      <alignment horizontal="right"/>
    </xf>
    <xf numFmtId="267" fontId="275" fillId="0" borderId="2" xfId="36198" applyFont="1" applyBorder="1"/>
    <xf numFmtId="172" fontId="9" fillId="0" borderId="0" xfId="36199" applyFont="1" applyAlignment="1">
      <alignment horizontal="right"/>
    </xf>
    <xf numFmtId="267" fontId="269" fillId="0" borderId="4" xfId="285" applyNumberFormat="1" applyFont="1" applyBorder="1" applyAlignment="1">
      <alignment horizontal="center"/>
    </xf>
    <xf numFmtId="172" fontId="4" fillId="0" borderId="0" xfId="36199" quotePrefix="1" applyFont="1" applyAlignment="1">
      <alignment horizontal="left" wrapText="1"/>
    </xf>
    <xf numFmtId="267" fontId="275" fillId="84" borderId="154" xfId="36198" applyFont="1" applyFill="1" applyBorder="1" applyAlignment="1">
      <alignment horizontal="center"/>
    </xf>
    <xf numFmtId="0" fontId="269" fillId="0" borderId="2" xfId="285" applyFont="1" applyBorder="1" applyAlignment="1">
      <alignment horizontal="center"/>
    </xf>
    <xf numFmtId="0" fontId="269" fillId="0" borderId="4" xfId="285" applyFont="1" applyBorder="1" applyAlignment="1">
      <alignment horizontal="center"/>
    </xf>
    <xf numFmtId="267" fontId="275" fillId="84" borderId="2" xfId="36198" applyFont="1" applyFill="1" applyBorder="1" applyAlignment="1">
      <alignment horizontal="center"/>
    </xf>
    <xf numFmtId="172" fontId="4" fillId="3" borderId="2" xfId="36199" applyFont="1" applyFill="1" applyBorder="1" applyAlignment="1">
      <alignment horizontal="center"/>
    </xf>
    <xf numFmtId="172" fontId="4" fillId="3" borderId="4" xfId="36199" applyFont="1" applyFill="1" applyBorder="1" applyAlignment="1">
      <alignment horizontal="center"/>
    </xf>
    <xf numFmtId="17" fontId="9" fillId="0" borderId="0" xfId="36199" applyNumberFormat="1" applyFont="1"/>
    <xf numFmtId="17" fontId="4" fillId="0" borderId="0" xfId="36199" applyNumberFormat="1" applyFont="1" applyAlignment="1">
      <alignment horizontal="left" wrapText="1"/>
    </xf>
    <xf numFmtId="17" fontId="275" fillId="0" borderId="2" xfId="36198" applyNumberFormat="1" applyFont="1" applyBorder="1"/>
    <xf numFmtId="17" fontId="9" fillId="0" borderId="0" xfId="36200" applyNumberFormat="1" applyFont="1" applyFill="1" applyBorder="1" applyAlignment="1" applyProtection="1">
      <alignment horizontal="right"/>
    </xf>
    <xf numFmtId="1" fontId="269" fillId="0" borderId="8" xfId="285" applyNumberFormat="1" applyFont="1" applyBorder="1" applyAlignment="1">
      <alignment horizontal="center"/>
    </xf>
    <xf numFmtId="1" fontId="269" fillId="0" borderId="10" xfId="285" applyNumberFormat="1" applyFont="1" applyBorder="1" applyAlignment="1">
      <alignment horizontal="center"/>
    </xf>
    <xf numFmtId="172" fontId="277" fillId="0" borderId="0" xfId="36199" applyFont="1"/>
    <xf numFmtId="267" fontId="273" fillId="85" borderId="0" xfId="36198" applyFont="1" applyFill="1" applyAlignment="1">
      <alignment horizontal="left"/>
    </xf>
    <xf numFmtId="267" fontId="275" fillId="85" borderId="2" xfId="36198" applyFont="1" applyFill="1" applyBorder="1"/>
    <xf numFmtId="173" fontId="277" fillId="85" borderId="0" xfId="36199" applyNumberFormat="1" applyFont="1" applyFill="1" applyAlignment="1">
      <alignment horizontal="right"/>
    </xf>
    <xf numFmtId="166" fontId="9" fillId="86" borderId="43" xfId="36200" applyNumberFormat="1" applyFont="1" applyFill="1" applyBorder="1" applyProtection="1"/>
    <xf numFmtId="166" fontId="9" fillId="86" borderId="106" xfId="36200" applyNumberFormat="1" applyFont="1" applyFill="1" applyBorder="1" applyAlignment="1" applyProtection="1">
      <alignment horizontal="center"/>
    </xf>
    <xf numFmtId="166" fontId="9" fillId="82" borderId="106" xfId="36200" applyNumberFormat="1" applyFont="1" applyFill="1" applyBorder="1" applyProtection="1"/>
    <xf numFmtId="0" fontId="278" fillId="87" borderId="44" xfId="12297" applyFont="1" applyFill="1" applyBorder="1" applyAlignment="1">
      <alignment horizontal="left" indent="1"/>
    </xf>
    <xf numFmtId="267" fontId="9" fillId="0" borderId="155" xfId="36198" applyFont="1" applyBorder="1"/>
    <xf numFmtId="0" fontId="279" fillId="0" borderId="45" xfId="12297" applyFont="1" applyBorder="1"/>
    <xf numFmtId="172" fontId="278" fillId="87" borderId="9" xfId="36199" applyFont="1" applyFill="1" applyBorder="1" applyAlignment="1">
      <alignment horizontal="left" indent="2"/>
    </xf>
    <xf numFmtId="267" fontId="277" fillId="88" borderId="8" xfId="36198" applyFont="1" applyFill="1" applyBorder="1"/>
    <xf numFmtId="171" fontId="9" fillId="0" borderId="142" xfId="36200" applyNumberFormat="1" applyFont="1" applyFill="1" applyBorder="1" applyAlignment="1" applyProtection="1">
      <alignment horizontal="right"/>
    </xf>
    <xf numFmtId="171" fontId="9" fillId="83" borderId="142" xfId="36200" applyNumberFormat="1" applyFont="1" applyFill="1" applyBorder="1" applyProtection="1"/>
    <xf numFmtId="171" fontId="9" fillId="83" borderId="10" xfId="36200" applyNumberFormat="1" applyFont="1" applyFill="1" applyBorder="1" applyProtection="1"/>
    <xf numFmtId="0" fontId="25" fillId="0" borderId="0" xfId="12297" applyFont="1"/>
    <xf numFmtId="0" fontId="278" fillId="87" borderId="0" xfId="12297" applyFont="1" applyFill="1" applyAlignment="1">
      <alignment horizontal="left" indent="1"/>
    </xf>
    <xf numFmtId="267" fontId="9" fillId="3" borderId="2" xfId="36198" applyFont="1" applyFill="1" applyBorder="1"/>
    <xf numFmtId="0" fontId="279" fillId="3" borderId="0" xfId="12297" applyFont="1" applyFill="1"/>
    <xf numFmtId="174" fontId="25" fillId="0" borderId="3" xfId="12297" applyNumberFormat="1" applyFont="1" applyBorder="1"/>
    <xf numFmtId="172" fontId="278" fillId="87" borderId="0" xfId="36199" applyFont="1" applyFill="1" applyAlignment="1">
      <alignment horizontal="left" indent="2"/>
    </xf>
    <xf numFmtId="267" fontId="277" fillId="88" borderId="2" xfId="36198" applyFont="1" applyFill="1" applyBorder="1"/>
    <xf numFmtId="171" fontId="9" fillId="3" borderId="0" xfId="36200" applyNumberFormat="1" applyFont="1" applyFill="1" applyBorder="1" applyAlignment="1" applyProtection="1">
      <alignment horizontal="right"/>
    </xf>
    <xf numFmtId="171" fontId="9" fillId="83" borderId="3" xfId="36200" applyNumberFormat="1" applyFont="1" applyFill="1" applyBorder="1" applyProtection="1"/>
    <xf numFmtId="171" fontId="9" fillId="83" borderId="0" xfId="36200" applyNumberFormat="1" applyFont="1" applyFill="1" applyBorder="1" applyProtection="1"/>
    <xf numFmtId="0" fontId="279" fillId="0" borderId="44" xfId="12297" applyFont="1" applyBorder="1" applyAlignment="1">
      <alignment horizontal="left" indent="1"/>
    </xf>
    <xf numFmtId="0" fontId="25" fillId="0" borderId="44" xfId="12297" applyFont="1" applyBorder="1"/>
    <xf numFmtId="0" fontId="25" fillId="0" borderId="45" xfId="12297" applyFont="1" applyBorder="1"/>
    <xf numFmtId="0" fontId="25" fillId="0" borderId="43" xfId="12297" applyFont="1" applyBorder="1"/>
    <xf numFmtId="172" fontId="9" fillId="0" borderId="9" xfId="36199" applyFont="1" applyBorder="1" applyAlignment="1">
      <alignment horizontal="left" indent="2"/>
    </xf>
    <xf numFmtId="171" fontId="9" fillId="83" borderId="9" xfId="36200" applyNumberFormat="1" applyFont="1" applyFill="1" applyBorder="1" applyProtection="1"/>
    <xf numFmtId="0" fontId="279" fillId="3" borderId="0" xfId="12297" applyFont="1" applyFill="1" applyAlignment="1">
      <alignment horizontal="left" indent="1"/>
    </xf>
    <xf numFmtId="0" fontId="25" fillId="0" borderId="3" xfId="12297" applyFont="1" applyBorder="1"/>
    <xf numFmtId="172" fontId="9" fillId="3" borderId="0" xfId="36199" applyFont="1" applyFill="1" applyAlignment="1">
      <alignment horizontal="left" indent="2"/>
    </xf>
    <xf numFmtId="0" fontId="279" fillId="3" borderId="44" xfId="12297" applyFont="1" applyFill="1" applyBorder="1" applyAlignment="1">
      <alignment horizontal="left" indent="1"/>
    </xf>
    <xf numFmtId="267" fontId="9" fillId="3" borderId="155" xfId="36198" applyFont="1" applyFill="1" applyBorder="1"/>
    <xf numFmtId="0" fontId="279" fillId="3" borderId="45" xfId="12297" applyFont="1" applyFill="1" applyBorder="1"/>
    <xf numFmtId="172" fontId="9" fillId="3" borderId="9" xfId="36199" applyFont="1" applyFill="1" applyBorder="1" applyAlignment="1">
      <alignment horizontal="left" indent="1"/>
    </xf>
    <xf numFmtId="171" fontId="9" fillId="3" borderId="142" xfId="36200" applyNumberFormat="1" applyFont="1" applyFill="1" applyBorder="1" applyAlignment="1" applyProtection="1">
      <alignment horizontal="right"/>
    </xf>
    <xf numFmtId="172" fontId="280" fillId="0" borderId="0" xfId="36199" applyFont="1"/>
    <xf numFmtId="268" fontId="9" fillId="0" borderId="0" xfId="36199" applyNumberFormat="1" applyFont="1" applyAlignment="1">
      <alignment horizontal="right"/>
    </xf>
    <xf numFmtId="269" fontId="25" fillId="0" borderId="44" xfId="12297" applyNumberFormat="1" applyFont="1" applyBorder="1" applyAlignment="1">
      <alignment horizontal="center"/>
    </xf>
    <xf numFmtId="168" fontId="60" fillId="53" borderId="0" xfId="1" applyNumberFormat="1" applyFont="1" applyFill="1"/>
    <xf numFmtId="169" fontId="60" fillId="53" borderId="0" xfId="3" applyNumberFormat="1" applyFont="1" applyFill="1"/>
    <xf numFmtId="5" fontId="244" fillId="53" borderId="4" xfId="0" applyNumberFormat="1" applyFont="1" applyFill="1" applyBorder="1"/>
    <xf numFmtId="168" fontId="67" fillId="53" borderId="12" xfId="1" applyNumberFormat="1" applyFont="1" applyFill="1" applyBorder="1"/>
    <xf numFmtId="5" fontId="67" fillId="0" borderId="0" xfId="0" applyNumberFormat="1" applyFont="1"/>
    <xf numFmtId="37" fontId="11" fillId="0" borderId="0" xfId="386" applyNumberFormat="1" applyFont="1" applyAlignment="1">
      <alignment horizontal="right"/>
    </xf>
    <xf numFmtId="0" fontId="11" fillId="0" borderId="0" xfId="386" applyFont="1" applyAlignment="1">
      <alignment horizontal="right"/>
    </xf>
    <xf numFmtId="165" fontId="24" fillId="0" borderId="142" xfId="8" applyNumberFormat="1" applyFont="1" applyBorder="1" applyAlignment="1">
      <alignment horizontal="right"/>
    </xf>
    <xf numFmtId="0" fontId="24" fillId="0" borderId="142" xfId="205" applyFont="1" applyBorder="1" applyAlignment="1">
      <alignment horizontal="right"/>
    </xf>
    <xf numFmtId="37" fontId="11" fillId="0" borderId="0" xfId="8" applyNumberFormat="1" applyFont="1" applyBorder="1" applyAlignment="1">
      <alignment horizontal="right"/>
    </xf>
    <xf numFmtId="206" fontId="11" fillId="0" borderId="0" xfId="8" applyNumberFormat="1" applyFont="1" applyBorder="1" applyAlignment="1">
      <alignment horizontal="right"/>
    </xf>
    <xf numFmtId="0" fontId="11" fillId="0" borderId="0" xfId="205" applyFont="1" applyAlignment="1">
      <alignment horizontal="right"/>
    </xf>
    <xf numFmtId="169" fontId="257" fillId="0" borderId="0" xfId="8" applyNumberFormat="1" applyFont="1" applyBorder="1" applyAlignment="1">
      <alignment horizontal="right"/>
    </xf>
    <xf numFmtId="0" fontId="257" fillId="0" borderId="0" xfId="205" applyFont="1" applyAlignment="1">
      <alignment horizontal="right"/>
    </xf>
    <xf numFmtId="165" fontId="24" fillId="0" borderId="0" xfId="8" applyNumberFormat="1" applyFont="1" applyBorder="1" applyAlignment="1">
      <alignment horizontal="right"/>
    </xf>
    <xf numFmtId="0" fontId="24" fillId="0" borderId="0" xfId="205" applyFont="1" applyAlignment="1">
      <alignment horizontal="right"/>
    </xf>
    <xf numFmtId="44" fontId="24" fillId="0" borderId="0" xfId="8" applyFont="1" applyBorder="1" applyAlignment="1">
      <alignment horizontal="right"/>
    </xf>
    <xf numFmtId="0" fontId="24" fillId="0" borderId="0" xfId="386" applyFont="1" applyAlignment="1">
      <alignment horizontal="right"/>
    </xf>
    <xf numFmtId="0" fontId="11" fillId="0" borderId="142" xfId="386" applyFont="1" applyBorder="1" applyAlignment="1">
      <alignment horizontal="right"/>
    </xf>
    <xf numFmtId="44" fontId="11" fillId="0" borderId="0" xfId="386" applyNumberFormat="1" applyFont="1" applyAlignment="1">
      <alignment horizontal="right"/>
    </xf>
    <xf numFmtId="206" fontId="11" fillId="0" borderId="0" xfId="386" applyNumberFormat="1" applyFont="1" applyAlignment="1">
      <alignment horizontal="right"/>
    </xf>
    <xf numFmtId="0" fontId="255" fillId="0" borderId="0" xfId="386" applyFont="1" applyAlignment="1">
      <alignment horizontal="right"/>
    </xf>
    <xf numFmtId="0" fontId="61" fillId="0" borderId="0" xfId="205" applyFont="1" applyAlignment="1">
      <alignment horizontal="right"/>
    </xf>
    <xf numFmtId="206" fontId="24" fillId="0" borderId="0" xfId="386" applyNumberFormat="1" applyFont="1" applyAlignment="1">
      <alignment horizontal="right"/>
    </xf>
    <xf numFmtId="0" fontId="263" fillId="0" borderId="47" xfId="0" applyFont="1" applyBorder="1"/>
    <xf numFmtId="0" fontId="263" fillId="0" borderId="0" xfId="0" applyFont="1"/>
    <xf numFmtId="168" fontId="263" fillId="0" borderId="12" xfId="1" applyNumberFormat="1" applyFont="1" applyBorder="1"/>
    <xf numFmtId="169" fontId="263" fillId="0" borderId="0" xfId="3" applyNumberFormat="1" applyFont="1" applyBorder="1" applyAlignment="1">
      <alignment horizontal="right"/>
    </xf>
    <xf numFmtId="169" fontId="263" fillId="0" borderId="47" xfId="0" applyNumberFormat="1" applyFont="1" applyBorder="1"/>
    <xf numFmtId="169" fontId="263" fillId="0" borderId="0" xfId="0" applyNumberFormat="1" applyFont="1"/>
    <xf numFmtId="169" fontId="263" fillId="0" borderId="0" xfId="0" applyNumberFormat="1" applyFont="1" applyAlignment="1">
      <alignment horizontal="right"/>
    </xf>
    <xf numFmtId="168" fontId="263" fillId="0" borderId="12" xfId="1" applyNumberFormat="1" applyFont="1" applyBorder="1" applyAlignment="1">
      <alignment horizontal="right"/>
    </xf>
    <xf numFmtId="168" fontId="247" fillId="0" borderId="0" xfId="1" applyNumberFormat="1" applyFont="1" applyBorder="1" applyAlignment="1">
      <alignment horizontal="right"/>
    </xf>
    <xf numFmtId="168" fontId="22" fillId="0" borderId="0" xfId="1" applyNumberFormat="1" applyFont="1" applyBorder="1" applyAlignment="1">
      <alignment horizontal="right"/>
    </xf>
    <xf numFmtId="168" fontId="22" fillId="0" borderId="12" xfId="1" applyNumberFormat="1" applyFont="1" applyBorder="1" applyAlignment="1">
      <alignment horizontal="right"/>
    </xf>
    <xf numFmtId="0" fontId="231" fillId="0" borderId="0" xfId="0" applyFont="1"/>
    <xf numFmtId="169" fontId="89" fillId="0" borderId="0" xfId="0" applyNumberFormat="1" applyFont="1"/>
    <xf numFmtId="169" fontId="89" fillId="0" borderId="12" xfId="0" applyNumberFormat="1" applyFont="1" applyBorder="1"/>
    <xf numFmtId="169" fontId="89" fillId="0" borderId="12" xfId="3" applyNumberFormat="1" applyFont="1" applyBorder="1" applyAlignment="1">
      <alignment horizontal="right"/>
    </xf>
    <xf numFmtId="9" fontId="22" fillId="0" borderId="0" xfId="3" applyFont="1" applyBorder="1"/>
    <xf numFmtId="9" fontId="22" fillId="0" borderId="0" xfId="0" applyNumberFormat="1" applyFont="1"/>
    <xf numFmtId="9" fontId="22" fillId="0" borderId="12" xfId="0" applyNumberFormat="1" applyFont="1" applyBorder="1"/>
    <xf numFmtId="169" fontId="22" fillId="0" borderId="12" xfId="3" applyNumberFormat="1" applyFont="1" applyBorder="1"/>
    <xf numFmtId="38" fontId="22" fillId="0" borderId="12" xfId="3" applyNumberFormat="1" applyFont="1" applyBorder="1"/>
    <xf numFmtId="169" fontId="89" fillId="0" borderId="0" xfId="3" applyNumberFormat="1" applyFont="1" applyBorder="1" applyAlignment="1">
      <alignment horizontal="right"/>
    </xf>
    <xf numFmtId="6" fontId="22" fillId="0" borderId="0" xfId="0" applyNumberFormat="1" applyFont="1"/>
    <xf numFmtId="38" fontId="22" fillId="0" borderId="12" xfId="0" applyNumberFormat="1" applyFont="1" applyBorder="1"/>
    <xf numFmtId="0" fontId="22" fillId="0" borderId="42" xfId="0" applyFont="1" applyBorder="1"/>
    <xf numFmtId="0" fontId="22" fillId="0" borderId="0" xfId="0" applyFont="1" applyAlignment="1">
      <alignment horizontal="right"/>
    </xf>
    <xf numFmtId="173" fontId="22" fillId="0" borderId="0" xfId="0" applyNumberFormat="1" applyFont="1"/>
    <xf numFmtId="196" fontId="22" fillId="0" borderId="0" xfId="0" applyNumberFormat="1" applyFont="1"/>
    <xf numFmtId="0" fontId="86" fillId="0" borderId="0" xfId="0" applyFont="1"/>
    <xf numFmtId="204" fontId="67" fillId="0" borderId="0" xfId="0" applyNumberFormat="1" applyFont="1"/>
    <xf numFmtId="204" fontId="67" fillId="0" borderId="0" xfId="1" applyNumberFormat="1" applyFont="1" applyBorder="1"/>
    <xf numFmtId="9" fontId="22" fillId="0" borderId="0" xfId="3" applyFont="1"/>
    <xf numFmtId="37" fontId="22" fillId="0" borderId="0" xfId="0" applyNumberFormat="1" applyFont="1"/>
    <xf numFmtId="0" fontId="22" fillId="0" borderId="0" xfId="0" applyFont="1" applyAlignment="1">
      <alignment horizontal="center"/>
    </xf>
    <xf numFmtId="8" fontId="11" fillId="0" borderId="0" xfId="8" applyNumberFormat="1" applyFont="1" applyFill="1" applyBorder="1"/>
    <xf numFmtId="168" fontId="268" fillId="0" borderId="0" xfId="1" applyNumberFormat="1" applyFont="1" applyFill="1" applyBorder="1"/>
    <xf numFmtId="0" fontId="268" fillId="0" borderId="0" xfId="0" applyFont="1"/>
    <xf numFmtId="168" fontId="281" fillId="53" borderId="0" xfId="1" applyNumberFormat="1" applyFont="1" applyFill="1" applyBorder="1"/>
    <xf numFmtId="168" fontId="281" fillId="0" borderId="0" xfId="1" applyNumberFormat="1" applyFont="1" applyBorder="1"/>
    <xf numFmtId="169" fontId="282" fillId="0" borderId="0" xfId="0" applyNumberFormat="1" applyFont="1"/>
    <xf numFmtId="41" fontId="281" fillId="0" borderId="0" xfId="0" applyNumberFormat="1" applyFont="1"/>
    <xf numFmtId="41" fontId="268" fillId="0" borderId="19" xfId="0" applyNumberFormat="1" applyFont="1" applyBorder="1"/>
    <xf numFmtId="168" fontId="268" fillId="0" borderId="14" xfId="0" applyNumberFormat="1" applyFont="1" applyBorder="1"/>
    <xf numFmtId="168" fontId="268" fillId="0" borderId="0" xfId="0" applyNumberFormat="1" applyFont="1"/>
    <xf numFmtId="168" fontId="268" fillId="0" borderId="42" xfId="0" applyNumberFormat="1" applyFont="1" applyBorder="1"/>
    <xf numFmtId="10" fontId="11" fillId="0" borderId="0" xfId="386" applyNumberFormat="1" applyFont="1" applyAlignment="1">
      <alignment horizontal="right"/>
    </xf>
    <xf numFmtId="169" fontId="267" fillId="0" borderId="0" xfId="3" applyNumberFormat="1" applyFont="1" applyFill="1" applyBorder="1"/>
    <xf numFmtId="43" fontId="60" fillId="0" borderId="0" xfId="1" applyFont="1"/>
    <xf numFmtId="169" fontId="262" fillId="0" borderId="0" xfId="1" applyNumberFormat="1" applyFont="1" applyBorder="1"/>
    <xf numFmtId="0" fontId="60" fillId="0" borderId="0" xfId="0" applyFont="1" applyAlignment="1">
      <alignment horizontal="center"/>
    </xf>
    <xf numFmtId="7" fontId="241" fillId="78" borderId="148" xfId="0" applyNumberFormat="1" applyFont="1" applyFill="1" applyBorder="1"/>
    <xf numFmtId="0" fontId="234" fillId="89" borderId="149" xfId="386" applyFont="1" applyFill="1" applyBorder="1" applyAlignment="1">
      <alignment horizontal="left"/>
    </xf>
    <xf numFmtId="0" fontId="234" fillId="89" borderId="127" xfId="386" applyFont="1" applyFill="1" applyBorder="1" applyAlignment="1">
      <alignment horizontal="left"/>
    </xf>
    <xf numFmtId="0" fontId="234" fillId="89" borderId="127" xfId="386" applyFont="1" applyFill="1" applyBorder="1" applyAlignment="1">
      <alignment horizontal="center"/>
    </xf>
    <xf numFmtId="169" fontId="260" fillId="89" borderId="150" xfId="21" applyNumberFormat="1" applyFont="1" applyFill="1" applyBorder="1" applyAlignment="1" applyProtection="1">
      <alignment horizontal="center"/>
    </xf>
    <xf numFmtId="169" fontId="260" fillId="89" borderId="150" xfId="386" applyNumberFormat="1" applyFont="1" applyFill="1" applyBorder="1" applyAlignment="1">
      <alignment horizontal="center"/>
    </xf>
    <xf numFmtId="0" fontId="70" fillId="89" borderId="139" xfId="0" applyFont="1" applyFill="1" applyBorder="1"/>
    <xf numFmtId="0" fontId="70" fillId="89" borderId="132" xfId="0" applyFont="1" applyFill="1" applyBorder="1"/>
    <xf numFmtId="0" fontId="70" fillId="89" borderId="132" xfId="2" applyNumberFormat="1" applyFont="1" applyFill="1" applyBorder="1" applyAlignment="1">
      <alignment horizontal="center"/>
    </xf>
    <xf numFmtId="0" fontId="70" fillId="89" borderId="130" xfId="2" applyNumberFormat="1" applyFont="1" applyFill="1" applyBorder="1" applyAlignment="1">
      <alignment horizontal="center"/>
    </xf>
    <xf numFmtId="0" fontId="24" fillId="0" borderId="0" xfId="205" applyFont="1" applyAlignment="1">
      <alignment horizontal="center"/>
    </xf>
    <xf numFmtId="0" fontId="24" fillId="0" borderId="0" xfId="386" applyFont="1" applyAlignment="1">
      <alignment horizontal="center"/>
    </xf>
    <xf numFmtId="270" fontId="61" fillId="78" borderId="4" xfId="21" applyNumberFormat="1" applyFont="1" applyFill="1" applyBorder="1" applyAlignment="1" applyProtection="1">
      <alignment horizontal="center"/>
    </xf>
    <xf numFmtId="270" fontId="61" fillId="78" borderId="10" xfId="21" applyNumberFormat="1" applyFont="1" applyFill="1" applyBorder="1" applyAlignment="1" applyProtection="1">
      <alignment horizontal="center"/>
    </xf>
    <xf numFmtId="270" fontId="61" fillId="78" borderId="151" xfId="21" applyNumberFormat="1" applyFont="1" applyFill="1" applyBorder="1" applyAlignment="1" applyProtection="1">
      <alignment horizontal="center"/>
    </xf>
    <xf numFmtId="266" fontId="61" fillId="78" borderId="151" xfId="21" applyNumberFormat="1" applyFont="1" applyFill="1" applyBorder="1" applyAlignment="1" applyProtection="1">
      <alignment horizontal="center"/>
    </xf>
    <xf numFmtId="266" fontId="61" fillId="78" borderId="4" xfId="21" applyNumberFormat="1" applyFont="1" applyFill="1" applyBorder="1" applyAlignment="1" applyProtection="1">
      <alignment horizontal="center"/>
    </xf>
    <xf numFmtId="266" fontId="61" fillId="78" borderId="10" xfId="21" applyNumberFormat="1" applyFont="1" applyFill="1" applyBorder="1" applyAlignment="1" applyProtection="1">
      <alignment horizontal="center"/>
    </xf>
    <xf numFmtId="0" fontId="62" fillId="0" borderId="0" xfId="0" applyFont="1" applyAlignment="1">
      <alignment horizontal="center"/>
    </xf>
    <xf numFmtId="169" fontId="255" fillId="0" borderId="0" xfId="21" applyNumberFormat="1" applyFont="1" applyBorder="1" applyAlignment="1">
      <alignment horizontal="center"/>
    </xf>
    <xf numFmtId="10" fontId="24" fillId="0" borderId="0" xfId="386" applyNumberFormat="1" applyFont="1" applyAlignment="1">
      <alignment horizontal="center"/>
    </xf>
    <xf numFmtId="168" fontId="24" fillId="0" borderId="0" xfId="386" applyNumberFormat="1" applyFont="1" applyAlignment="1">
      <alignment horizontal="center"/>
    </xf>
    <xf numFmtId="168" fontId="61" fillId="0" borderId="0" xfId="21" applyNumberFormat="1" applyFont="1" applyFill="1" applyBorder="1" applyAlignment="1">
      <alignment horizontal="center"/>
    </xf>
    <xf numFmtId="171" fontId="254" fillId="0" borderId="0" xfId="9" applyNumberFormat="1" applyFont="1" applyBorder="1" applyAlignment="1">
      <alignment horizontal="center"/>
    </xf>
    <xf numFmtId="164" fontId="24" fillId="0" borderId="0" xfId="8" applyNumberFormat="1" applyFont="1" applyFill="1" applyBorder="1" applyAlignment="1">
      <alignment horizontal="center"/>
    </xf>
    <xf numFmtId="44" fontId="24" fillId="0" borderId="0" xfId="386" applyNumberFormat="1" applyFont="1" applyAlignment="1">
      <alignment horizontal="center"/>
    </xf>
    <xf numFmtId="169" fontId="24" fillId="0" borderId="0" xfId="21" applyNumberFormat="1" applyFont="1" applyFill="1" applyBorder="1" applyAlignment="1">
      <alignment horizontal="center"/>
    </xf>
    <xf numFmtId="168" fontId="215" fillId="0" borderId="0" xfId="1" applyNumberFormat="1" applyFont="1" applyFill="1" applyBorder="1"/>
    <xf numFmtId="168" fontId="281" fillId="0" borderId="0" xfId="1" applyNumberFormat="1" applyFont="1" applyFill="1" applyBorder="1"/>
    <xf numFmtId="169" fontId="65" fillId="0" borderId="0" xfId="3" applyNumberFormat="1" applyFont="1" applyFill="1" applyBorder="1"/>
    <xf numFmtId="169" fontId="282" fillId="0" borderId="17" xfId="3" applyNumberFormat="1" applyFont="1" applyFill="1" applyBorder="1"/>
    <xf numFmtId="169" fontId="65" fillId="0" borderId="12" xfId="3" applyNumberFormat="1" applyFont="1" applyFill="1" applyBorder="1"/>
    <xf numFmtId="169" fontId="282" fillId="0" borderId="0" xfId="3" applyNumberFormat="1" applyFont="1" applyFill="1" applyBorder="1"/>
    <xf numFmtId="41" fontId="247" fillId="0" borderId="0" xfId="0" applyNumberFormat="1" applyFont="1"/>
    <xf numFmtId="191" fontId="247" fillId="0" borderId="0" xfId="0" applyNumberFormat="1" applyFont="1"/>
    <xf numFmtId="0" fontId="283" fillId="0" borderId="0" xfId="0" applyFont="1"/>
    <xf numFmtId="9" fontId="60" fillId="0" borderId="0" xfId="3" applyFont="1"/>
    <xf numFmtId="191" fontId="268" fillId="0" borderId="0" xfId="0" applyNumberFormat="1" applyFont="1"/>
    <xf numFmtId="0" fontId="284" fillId="0" borderId="0" xfId="0" applyFont="1"/>
    <xf numFmtId="0" fontId="70" fillId="89" borderId="130" xfId="0" applyFont="1" applyFill="1" applyBorder="1" applyAlignment="1">
      <alignment horizontal="center"/>
    </xf>
    <xf numFmtId="169" fontId="247" fillId="0" borderId="0" xfId="3" applyNumberFormat="1" applyFont="1"/>
    <xf numFmtId="0" fontId="247" fillId="0" borderId="0" xfId="0" applyFont="1"/>
    <xf numFmtId="266" fontId="61" fillId="0" borderId="0" xfId="21" applyNumberFormat="1" applyFont="1" applyFill="1" applyBorder="1" applyAlignment="1" applyProtection="1">
      <alignment horizontal="center"/>
    </xf>
    <xf numFmtId="43" fontId="24" fillId="0" borderId="0" xfId="1" applyFont="1" applyFill="1" applyAlignment="1">
      <alignment horizontal="left"/>
    </xf>
    <xf numFmtId="10" fontId="257" fillId="0" borderId="0" xfId="8" applyNumberFormat="1" applyFont="1" applyBorder="1" applyAlignment="1">
      <alignment horizontal="right"/>
    </xf>
    <xf numFmtId="171" fontId="251" fillId="0" borderId="0" xfId="1" applyNumberFormat="1" applyFont="1" applyBorder="1" applyAlignment="1" applyProtection="1">
      <alignment horizontal="left"/>
    </xf>
    <xf numFmtId="0" fontId="22" fillId="53" borderId="0" xfId="0" applyFont="1" applyFill="1"/>
    <xf numFmtId="9" fontId="22" fillId="0" borderId="0" xfId="3" applyFont="1" applyBorder="1" applyAlignment="1">
      <alignment horizontal="right"/>
    </xf>
    <xf numFmtId="190" fontId="22" fillId="0" borderId="0" xfId="1" applyNumberFormat="1" applyFont="1" applyFill="1"/>
    <xf numFmtId="0" fontId="0" fillId="53" borderId="0" xfId="0" applyFill="1"/>
    <xf numFmtId="0" fontId="234" fillId="89" borderId="149" xfId="36202" applyFont="1" applyFill="1" applyBorder="1" applyAlignment="1">
      <alignment wrapText="1"/>
    </xf>
    <xf numFmtId="0" fontId="234" fillId="89" borderId="46" xfId="36202" applyFont="1" applyFill="1" applyBorder="1" applyAlignment="1">
      <alignment horizontal="center" wrapText="1"/>
    </xf>
    <xf numFmtId="0" fontId="234" fillId="89" borderId="157" xfId="36202" applyFont="1" applyFill="1" applyBorder="1" applyAlignment="1">
      <alignment horizontal="center" wrapText="1"/>
    </xf>
    <xf numFmtId="0" fontId="234" fillId="89" borderId="107" xfId="36202" applyFont="1" applyFill="1" applyBorder="1" applyAlignment="1">
      <alignment horizontal="center" wrapText="1"/>
    </xf>
    <xf numFmtId="0" fontId="63" fillId="53" borderId="156" xfId="36202" applyFont="1" applyFill="1" applyBorder="1" applyAlignment="1">
      <alignment wrapText="1"/>
    </xf>
    <xf numFmtId="171" fontId="11" fillId="53" borderId="0" xfId="342" applyNumberFormat="1" applyFont="1" applyFill="1" applyBorder="1" applyAlignment="1" applyProtection="1">
      <alignment horizontal="center" wrapText="1"/>
    </xf>
    <xf numFmtId="171" fontId="11" fillId="53" borderId="4" xfId="342" applyNumberFormat="1" applyFont="1" applyFill="1" applyBorder="1" applyAlignment="1" applyProtection="1">
      <alignment wrapText="1"/>
    </xf>
    <xf numFmtId="171" fontId="11" fillId="53" borderId="156" xfId="342" applyNumberFormat="1" applyFont="1" applyFill="1" applyBorder="1" applyAlignment="1" applyProtection="1">
      <alignment horizontal="center" wrapText="1"/>
    </xf>
    <xf numFmtId="0" fontId="89" fillId="53" borderId="156" xfId="36202" applyFont="1" applyFill="1" applyBorder="1" applyAlignment="1">
      <alignment horizontal="left" wrapText="1"/>
    </xf>
    <xf numFmtId="169" fontId="89" fillId="53" borderId="0" xfId="36202" applyNumberFormat="1" applyFont="1" applyFill="1" applyAlignment="1">
      <alignment wrapText="1"/>
    </xf>
    <xf numFmtId="171" fontId="89" fillId="53" borderId="4" xfId="36202" applyNumberFormat="1" applyFont="1" applyFill="1" applyBorder="1" applyAlignment="1">
      <alignment wrapText="1"/>
    </xf>
    <xf numFmtId="169" fontId="89" fillId="53" borderId="156" xfId="36202" applyNumberFormat="1" applyFont="1" applyFill="1" applyBorder="1" applyAlignment="1">
      <alignment wrapText="1"/>
    </xf>
    <xf numFmtId="169" fontId="89" fillId="53" borderId="4" xfId="36202" applyNumberFormat="1" applyFont="1" applyFill="1" applyBorder="1" applyAlignment="1">
      <alignment wrapText="1"/>
    </xf>
    <xf numFmtId="0" fontId="63" fillId="53" borderId="9" xfId="36202" applyFont="1" applyFill="1" applyBorder="1" applyAlignment="1">
      <alignment wrapText="1"/>
    </xf>
    <xf numFmtId="43" fontId="11" fillId="53" borderId="11" xfId="342" applyFont="1" applyFill="1" applyBorder="1" applyAlignment="1" applyProtection="1">
      <alignment horizontal="center" wrapText="1"/>
    </xf>
    <xf numFmtId="43" fontId="11" fillId="53" borderId="10" xfId="342" applyFont="1" applyFill="1" applyBorder="1" applyAlignment="1" applyProtection="1">
      <alignment wrapText="1"/>
    </xf>
    <xf numFmtId="43" fontId="11" fillId="53" borderId="9" xfId="342" applyFont="1" applyFill="1" applyBorder="1" applyAlignment="1" applyProtection="1">
      <alignment horizontal="center" wrapText="1"/>
    </xf>
    <xf numFmtId="43" fontId="11" fillId="53" borderId="8" xfId="342" applyFont="1" applyFill="1" applyBorder="1" applyAlignment="1" applyProtection="1">
      <alignment wrapText="1"/>
    </xf>
    <xf numFmtId="164" fontId="196" fillId="0" borderId="0" xfId="2" applyNumberFormat="1" applyFont="1" applyFill="1" applyBorder="1"/>
    <xf numFmtId="168" fontId="257" fillId="0" borderId="0" xfId="205" applyNumberFormat="1" applyFont="1"/>
    <xf numFmtId="169" fontId="282" fillId="0" borderId="0" xfId="3" applyNumberFormat="1" applyFont="1" applyBorder="1"/>
    <xf numFmtId="0" fontId="60" fillId="53" borderId="0" xfId="0" applyFont="1" applyFill="1"/>
    <xf numFmtId="2" fontId="11" fillId="53" borderId="11" xfId="342" applyNumberFormat="1" applyFont="1" applyFill="1" applyBorder="1" applyAlignment="1" applyProtection="1">
      <alignment horizontal="right" wrapText="1"/>
    </xf>
    <xf numFmtId="0" fontId="22" fillId="0" borderId="17" xfId="0" applyFont="1" applyBorder="1" applyAlignment="1">
      <alignment wrapText="1"/>
    </xf>
    <xf numFmtId="169" fontId="267" fillId="53" borderId="0" xfId="3" applyNumberFormat="1" applyFont="1" applyFill="1" applyBorder="1"/>
    <xf numFmtId="169" fontId="22" fillId="0" borderId="17" xfId="3" applyNumberFormat="1" applyFont="1" applyBorder="1" applyAlignment="1">
      <alignment horizontal="left"/>
    </xf>
    <xf numFmtId="169" fontId="263" fillId="0" borderId="17" xfId="3" applyNumberFormat="1" applyFont="1" applyBorder="1" applyAlignment="1">
      <alignment horizontal="left"/>
    </xf>
    <xf numFmtId="169" fontId="263" fillId="0" borderId="0" xfId="3" applyNumberFormat="1" applyFont="1" applyBorder="1" applyAlignment="1">
      <alignment horizontal="left"/>
    </xf>
    <xf numFmtId="169" fontId="22" fillId="0" borderId="47" xfId="3" applyNumberFormat="1" applyFont="1" applyBorder="1"/>
    <xf numFmtId="203" fontId="60" fillId="53" borderId="0" xfId="1" applyNumberFormat="1" applyFont="1" applyFill="1"/>
    <xf numFmtId="168" fontId="247" fillId="0" borderId="0" xfId="1" applyNumberFormat="1" applyFont="1" applyFill="1" applyBorder="1" applyAlignment="1"/>
    <xf numFmtId="168" fontId="268" fillId="0" borderId="0" xfId="1" applyNumberFormat="1" applyFont="1" applyFill="1" applyBorder="1" applyAlignment="1"/>
    <xf numFmtId="168" fontId="281" fillId="0" borderId="0" xfId="1" applyNumberFormat="1" applyFont="1" applyFill="1" applyBorder="1" applyAlignment="1"/>
    <xf numFmtId="169" fontId="282" fillId="0" borderId="17" xfId="3" applyNumberFormat="1" applyFont="1" applyFill="1" applyBorder="1" applyAlignment="1"/>
    <xf numFmtId="171" fontId="22" fillId="0" borderId="0" xfId="1" applyNumberFormat="1" applyFont="1" applyBorder="1"/>
    <xf numFmtId="44" fontId="264" fillId="0" borderId="0" xfId="2" applyFont="1"/>
    <xf numFmtId="0" fontId="11" fillId="2" borderId="54" xfId="0" applyFont="1" applyFill="1" applyBorder="1" applyAlignment="1">
      <alignment horizontal="center"/>
    </xf>
    <xf numFmtId="0" fontId="11" fillId="2" borderId="52" xfId="0" applyFont="1" applyFill="1" applyBorder="1" applyAlignment="1">
      <alignment horizontal="center"/>
    </xf>
    <xf numFmtId="0" fontId="11" fillId="2" borderId="53" xfId="0" applyFont="1" applyFill="1" applyBorder="1" applyAlignment="1">
      <alignment horizontal="center"/>
    </xf>
    <xf numFmtId="43" fontId="63" fillId="0" borderId="13" xfId="1" applyFont="1" applyBorder="1" applyAlignment="1">
      <alignment horizontal="center"/>
    </xf>
    <xf numFmtId="43" fontId="63" fillId="0" borderId="14" xfId="1" applyFont="1" applyBorder="1" applyAlignment="1">
      <alignment horizontal="center"/>
    </xf>
    <xf numFmtId="43" fontId="63" fillId="0" borderId="15" xfId="1" applyFont="1" applyBorder="1" applyAlignment="1">
      <alignment horizontal="center"/>
    </xf>
    <xf numFmtId="0" fontId="11" fillId="2" borderId="13" xfId="0" applyFont="1" applyFill="1" applyBorder="1" applyAlignment="1">
      <alignment horizontal="center"/>
    </xf>
    <xf numFmtId="0" fontId="11" fillId="2" borderId="14" xfId="0" applyFont="1" applyFill="1" applyBorder="1" applyAlignment="1">
      <alignment horizontal="center"/>
    </xf>
    <xf numFmtId="0" fontId="11" fillId="2" borderId="15" xfId="0" applyFont="1" applyFill="1" applyBorder="1" applyAlignment="1">
      <alignment horizontal="center"/>
    </xf>
  </cellXfs>
  <cellStyles count="36203">
    <cellStyle name="&quot;A&quot;-style" xfId="1784" xr:uid="{00000000-0005-0000-0000-000000000000}"/>
    <cellStyle name="&quot;A&quot;-style 2" xfId="11102" xr:uid="{00000000-0005-0000-0000-000001000000}"/>
    <cellStyle name="#" xfId="409" xr:uid="{00000000-0005-0000-0000-000002000000}"/>
    <cellStyle name="#-" xfId="410" xr:uid="{00000000-0005-0000-0000-000003000000}"/>
    <cellStyle name="$" xfId="411" xr:uid="{00000000-0005-0000-0000-000004000000}"/>
    <cellStyle name="$-" xfId="412" xr:uid="{00000000-0005-0000-0000-000005000000}"/>
    <cellStyle name="$ &amp; ¢" xfId="1786" xr:uid="{00000000-0005-0000-0000-000006000000}"/>
    <cellStyle name="$ &amp; ¢ 2" xfId="1975" xr:uid="{00000000-0005-0000-0000-000007000000}"/>
    <cellStyle name="$ &amp; ¢ 2 2" xfId="11158" xr:uid="{00000000-0005-0000-0000-000008000000}"/>
    <cellStyle name="$ &amp; ¢ 3" xfId="1994" xr:uid="{00000000-0005-0000-0000-000009000000}"/>
    <cellStyle name="$ &amp; ¢ 3 2" xfId="11321" xr:uid="{00000000-0005-0000-0000-00000A000000}"/>
    <cellStyle name="$ 10" xfId="1993" xr:uid="{00000000-0005-0000-0000-00000B000000}"/>
    <cellStyle name="$ 10 2" xfId="11320" xr:uid="{00000000-0005-0000-0000-00000C000000}"/>
    <cellStyle name="$ 11" xfId="2067" xr:uid="{00000000-0005-0000-0000-00000D000000}"/>
    <cellStyle name="$ 11 2" xfId="11432" xr:uid="{00000000-0005-0000-0000-00000E000000}"/>
    <cellStyle name="$ 12" xfId="1998" xr:uid="{00000000-0005-0000-0000-00000F000000}"/>
    <cellStyle name="$ 12 2" xfId="11337" xr:uid="{00000000-0005-0000-0000-000010000000}"/>
    <cellStyle name="$ 13" xfId="2074" xr:uid="{00000000-0005-0000-0000-000011000000}"/>
    <cellStyle name="$ 13 2" xfId="11475" xr:uid="{00000000-0005-0000-0000-000012000000}"/>
    <cellStyle name="$ 14" xfId="2001" xr:uid="{00000000-0005-0000-0000-000013000000}"/>
    <cellStyle name="$ 14 2" xfId="11345" xr:uid="{00000000-0005-0000-0000-000014000000}"/>
    <cellStyle name="$ 15" xfId="2071" xr:uid="{00000000-0005-0000-0000-000015000000}"/>
    <cellStyle name="$ 15 2" xfId="11458" xr:uid="{00000000-0005-0000-0000-000016000000}"/>
    <cellStyle name="$ 16" xfId="2078" xr:uid="{00000000-0005-0000-0000-000017000000}"/>
    <cellStyle name="$ 16 2" xfId="11496" xr:uid="{00000000-0005-0000-0000-000018000000}"/>
    <cellStyle name="$ 17" xfId="2081" xr:uid="{00000000-0005-0000-0000-000019000000}"/>
    <cellStyle name="$ 17 2" xfId="11512" xr:uid="{00000000-0005-0000-0000-00001A000000}"/>
    <cellStyle name="$ 18" xfId="2084" xr:uid="{00000000-0005-0000-0000-00001B000000}"/>
    <cellStyle name="$ 18 2" xfId="11528" xr:uid="{00000000-0005-0000-0000-00001C000000}"/>
    <cellStyle name="$ 19" xfId="2087" xr:uid="{00000000-0005-0000-0000-00001D000000}"/>
    <cellStyle name="$ 19 2" xfId="11545" xr:uid="{00000000-0005-0000-0000-00001E000000}"/>
    <cellStyle name="$ 2" xfId="1974" xr:uid="{00000000-0005-0000-0000-00001F000000}"/>
    <cellStyle name="$ 2 2" xfId="11157" xr:uid="{00000000-0005-0000-0000-000020000000}"/>
    <cellStyle name="$ 20" xfId="2090" xr:uid="{00000000-0005-0000-0000-000021000000}"/>
    <cellStyle name="$ 20 2" xfId="11561" xr:uid="{00000000-0005-0000-0000-000022000000}"/>
    <cellStyle name="$ 21" xfId="2094" xr:uid="{00000000-0005-0000-0000-000023000000}"/>
    <cellStyle name="$ 21 2" xfId="11577" xr:uid="{00000000-0005-0000-0000-000024000000}"/>
    <cellStyle name="$ 22" xfId="2098" xr:uid="{00000000-0005-0000-0000-000025000000}"/>
    <cellStyle name="$ 22 2" xfId="11592" xr:uid="{00000000-0005-0000-0000-000026000000}"/>
    <cellStyle name="$ 23" xfId="2102" xr:uid="{00000000-0005-0000-0000-000027000000}"/>
    <cellStyle name="$ 23 2" xfId="11608" xr:uid="{00000000-0005-0000-0000-000028000000}"/>
    <cellStyle name="$ 24" xfId="2106" xr:uid="{00000000-0005-0000-0000-000029000000}"/>
    <cellStyle name="$ 24 2" xfId="11624" xr:uid="{00000000-0005-0000-0000-00002A000000}"/>
    <cellStyle name="$ 25" xfId="2109" xr:uid="{00000000-0005-0000-0000-00002B000000}"/>
    <cellStyle name="$ 25 2" xfId="11640" xr:uid="{00000000-0005-0000-0000-00002C000000}"/>
    <cellStyle name="$ 26" xfId="2112" xr:uid="{00000000-0005-0000-0000-00002D000000}"/>
    <cellStyle name="$ 26 2" xfId="11656" xr:uid="{00000000-0005-0000-0000-00002E000000}"/>
    <cellStyle name="$ 27" xfId="2115" xr:uid="{00000000-0005-0000-0000-00002F000000}"/>
    <cellStyle name="$ 27 2" xfId="11671" xr:uid="{00000000-0005-0000-0000-000030000000}"/>
    <cellStyle name="$ 28" xfId="2120" xr:uid="{00000000-0005-0000-0000-000031000000}"/>
    <cellStyle name="$ 28 2" xfId="11685" xr:uid="{00000000-0005-0000-0000-000032000000}"/>
    <cellStyle name="$ 29" xfId="2125" xr:uid="{00000000-0005-0000-0000-000033000000}"/>
    <cellStyle name="$ 29 2" xfId="11700" xr:uid="{00000000-0005-0000-0000-000034000000}"/>
    <cellStyle name="$ 3" xfId="1984" xr:uid="{00000000-0005-0000-0000-000035000000}"/>
    <cellStyle name="$ 3 2" xfId="11167" xr:uid="{00000000-0005-0000-0000-000036000000}"/>
    <cellStyle name="$ 30" xfId="2128" xr:uid="{00000000-0005-0000-0000-000037000000}"/>
    <cellStyle name="$ 30 2" xfId="11715" xr:uid="{00000000-0005-0000-0000-000038000000}"/>
    <cellStyle name="$ 31" xfId="2132" xr:uid="{00000000-0005-0000-0000-000039000000}"/>
    <cellStyle name="$ 31 2" xfId="11730" xr:uid="{00000000-0005-0000-0000-00003A000000}"/>
    <cellStyle name="$ 32" xfId="1785" xr:uid="{00000000-0005-0000-0000-00003B000000}"/>
    <cellStyle name="$ 33" xfId="10928" xr:uid="{00000000-0005-0000-0000-00003C000000}"/>
    <cellStyle name="$ 34" xfId="11081" xr:uid="{00000000-0005-0000-0000-00003D000000}"/>
    <cellStyle name="$ 35" xfId="11101" xr:uid="{00000000-0005-0000-0000-00003E000000}"/>
    <cellStyle name="$ 4" xfId="1986" xr:uid="{00000000-0005-0000-0000-00003F000000}"/>
    <cellStyle name="$ 4 2" xfId="11203" xr:uid="{00000000-0005-0000-0000-000040000000}"/>
    <cellStyle name="$ 5" xfId="1990" xr:uid="{00000000-0005-0000-0000-000041000000}"/>
    <cellStyle name="$ 5 2" xfId="11214" xr:uid="{00000000-0005-0000-0000-000042000000}"/>
    <cellStyle name="$ 6" xfId="1988" xr:uid="{00000000-0005-0000-0000-000043000000}"/>
    <cellStyle name="$ 6 2" xfId="11205" xr:uid="{00000000-0005-0000-0000-000044000000}"/>
    <cellStyle name="$ 7" xfId="1987" xr:uid="{00000000-0005-0000-0000-000045000000}"/>
    <cellStyle name="$ 7 2" xfId="11204" xr:uid="{00000000-0005-0000-0000-000046000000}"/>
    <cellStyle name="$ 8" xfId="1989" xr:uid="{00000000-0005-0000-0000-000047000000}"/>
    <cellStyle name="$ 8 2" xfId="11206" xr:uid="{00000000-0005-0000-0000-000048000000}"/>
    <cellStyle name="$ 9" xfId="1991" xr:uid="{00000000-0005-0000-0000-000049000000}"/>
    <cellStyle name="$ 9 2" xfId="11286" xr:uid="{00000000-0005-0000-0000-00004A000000}"/>
    <cellStyle name="$_Hershey_Model_0.54" xfId="413" xr:uid="{00000000-0005-0000-0000-00004B000000}"/>
    <cellStyle name="$_HSY_2006_Board_Memo_Supportv1.0" xfId="414" xr:uid="{00000000-0005-0000-0000-00004C000000}"/>
    <cellStyle name="$0.00" xfId="82" xr:uid="{00000000-0005-0000-0000-00004D000000}"/>
    <cellStyle name="$0.00 2" xfId="10403" xr:uid="{00000000-0005-0000-0000-00004E000000}"/>
    <cellStyle name="$0.95" xfId="83" xr:uid="{00000000-0005-0000-0000-00004F000000}"/>
    <cellStyle name="$0.95 2" xfId="10404" xr:uid="{00000000-0005-0000-0000-000050000000}"/>
    <cellStyle name="$0.99" xfId="84" xr:uid="{00000000-0005-0000-0000-000051000000}"/>
    <cellStyle name="$0.99 2" xfId="10405" xr:uid="{00000000-0005-0000-0000-000052000000}"/>
    <cellStyle name="$m" xfId="415" xr:uid="{00000000-0005-0000-0000-000053000000}"/>
    <cellStyle name="$q" xfId="416" xr:uid="{00000000-0005-0000-0000-000054000000}"/>
    <cellStyle name="$q*" xfId="417" xr:uid="{00000000-0005-0000-0000-000055000000}"/>
    <cellStyle name="$q_AVP" xfId="418" xr:uid="{00000000-0005-0000-0000-000056000000}"/>
    <cellStyle name="$qA" xfId="419" xr:uid="{00000000-0005-0000-0000-000057000000}"/>
    <cellStyle name="$qRange" xfId="420" xr:uid="{00000000-0005-0000-0000-000058000000}"/>
    <cellStyle name="%" xfId="421" xr:uid="{00000000-0005-0000-0000-000059000000}"/>
    <cellStyle name="%-" xfId="422" xr:uid="{00000000-0005-0000-0000-00005A000000}"/>
    <cellStyle name="% 2" xfId="1976" xr:uid="{00000000-0005-0000-0000-00005B000000}"/>
    <cellStyle name="% 2 2" xfId="11159" xr:uid="{00000000-0005-0000-0000-00005C000000}"/>
    <cellStyle name="% 3" xfId="1995" xr:uid="{00000000-0005-0000-0000-00005D000000}"/>
    <cellStyle name="% 3 2" xfId="11322" xr:uid="{00000000-0005-0000-0000-00005E000000}"/>
    <cellStyle name="% 4" xfId="1787" xr:uid="{00000000-0005-0000-0000-00005F000000}"/>
    <cellStyle name="% 5" xfId="10925" xr:uid="{00000000-0005-0000-0000-000060000000}"/>
    <cellStyle name="% 6" xfId="11082" xr:uid="{00000000-0005-0000-0000-000061000000}"/>
    <cellStyle name="% 7" xfId="11100" xr:uid="{00000000-0005-0000-0000-000062000000}"/>
    <cellStyle name="%.00" xfId="423" xr:uid="{00000000-0005-0000-0000-000063000000}"/>
    <cellStyle name="%.00 2" xfId="1977" xr:uid="{00000000-0005-0000-0000-000064000000}"/>
    <cellStyle name="%.00 2 2" xfId="11160" xr:uid="{00000000-0005-0000-0000-000065000000}"/>
    <cellStyle name="%.00 3" xfId="1996" xr:uid="{00000000-0005-0000-0000-000066000000}"/>
    <cellStyle name="%.00 3 2" xfId="11323" xr:uid="{00000000-0005-0000-0000-000067000000}"/>
    <cellStyle name="%.00 4" xfId="1788" xr:uid="{00000000-0005-0000-0000-000068000000}"/>
    <cellStyle name="%[0]" xfId="330" xr:uid="{00000000-0005-0000-0000-000069000000}"/>
    <cellStyle name="%[1]" xfId="331" xr:uid="{00000000-0005-0000-0000-00006A000000}"/>
    <cellStyle name="%[2]" xfId="332" xr:uid="{00000000-0005-0000-0000-00006B000000}"/>
    <cellStyle name="%0" xfId="424" xr:uid="{00000000-0005-0000-0000-00006C000000}"/>
    <cellStyle name="%1" xfId="425" xr:uid="{00000000-0005-0000-0000-00006D000000}"/>
    <cellStyle name="%2" xfId="426" xr:uid="{00000000-0005-0000-0000-00006E000000}"/>
    <cellStyle name="******************************************" xfId="427" xr:uid="{00000000-0005-0000-0000-00006F000000}"/>
    <cellStyle name=";;;" xfId="428" xr:uid="{00000000-0005-0000-0000-000070000000}"/>
    <cellStyle name="’Ê‰Ý [0.00]_GE 3 MINIMUM" xfId="1789" xr:uid="{00000000-0005-0000-0000-000071000000}"/>
    <cellStyle name="’Ê‰Ý_GE 3 MINIMUM" xfId="1790" xr:uid="{00000000-0005-0000-0000-000072000000}"/>
    <cellStyle name="£ BP" xfId="429" xr:uid="{00000000-0005-0000-0000-000073000000}"/>
    <cellStyle name="£ BP 2" xfId="1791" xr:uid="{00000000-0005-0000-0000-000074000000}"/>
    <cellStyle name="£Currency [0]" xfId="430" xr:uid="{00000000-0005-0000-0000-000075000000}"/>
    <cellStyle name="£Currency [1]" xfId="431" xr:uid="{00000000-0005-0000-0000-000076000000}"/>
    <cellStyle name="£Currency [2]" xfId="432" xr:uid="{00000000-0005-0000-0000-000077000000}"/>
    <cellStyle name="£Currency [p]" xfId="433" xr:uid="{00000000-0005-0000-0000-000078000000}"/>
    <cellStyle name="£Currency [p2]" xfId="434" xr:uid="{00000000-0005-0000-0000-000079000000}"/>
    <cellStyle name="£Pounds" xfId="435" xr:uid="{00000000-0005-0000-0000-00007A000000}"/>
    <cellStyle name="¥ JY" xfId="436" xr:uid="{00000000-0005-0000-0000-00007B000000}"/>
    <cellStyle name="¥ JY 2" xfId="1792" xr:uid="{00000000-0005-0000-0000-00007C000000}"/>
    <cellStyle name="=C:\WINNT\SYSTEM32\COMMAND.COM" xfId="1793" xr:uid="{00000000-0005-0000-0000-00007D000000}"/>
    <cellStyle name="•W_GE 3 MINIMUM" xfId="1794" xr:uid="{00000000-0005-0000-0000-00007E000000}"/>
    <cellStyle name="0.0" xfId="437" xr:uid="{00000000-0005-0000-0000-00007F000000}"/>
    <cellStyle name="0.0%" xfId="438" xr:uid="{00000000-0005-0000-0000-000080000000}"/>
    <cellStyle name="0.00" xfId="439" xr:uid="{00000000-0005-0000-0000-000081000000}"/>
    <cellStyle name="0000" xfId="440" xr:uid="{00000000-0005-0000-0000-000082000000}"/>
    <cellStyle name="20% - Accent1" xfId="1756" builtinId="30" customBuiltin="1"/>
    <cellStyle name="20% - Accent1 10" xfId="19620" xr:uid="{00000000-0005-0000-0000-000084000000}"/>
    <cellStyle name="20% - Accent1 2" xfId="30" xr:uid="{00000000-0005-0000-0000-000085000000}"/>
    <cellStyle name="20% - Accent1 2 2" xfId="85" xr:uid="{00000000-0005-0000-0000-000086000000}"/>
    <cellStyle name="20% - Accent1 2 2 2" xfId="2248" xr:uid="{00000000-0005-0000-0000-000087000000}"/>
    <cellStyle name="20% - Accent1 2 2 2 2" xfId="2247" xr:uid="{00000000-0005-0000-0000-000088000000}"/>
    <cellStyle name="20% - Accent1 2 2 2 2 2" xfId="11885" xr:uid="{00000000-0005-0000-0000-000089000000}"/>
    <cellStyle name="20% - Accent1 2 2 2 2 2 2" xfId="28398" xr:uid="{00000000-0005-0000-0000-00008A000000}"/>
    <cellStyle name="20% - Accent1 2 2 2 2 3" xfId="20356" xr:uid="{00000000-0005-0000-0000-00008B000000}"/>
    <cellStyle name="20% - Accent1 2 2 2 3" xfId="11886" xr:uid="{00000000-0005-0000-0000-00008C000000}"/>
    <cellStyle name="20% - Accent1 2 2 2 3 2" xfId="28399" xr:uid="{00000000-0005-0000-0000-00008D000000}"/>
    <cellStyle name="20% - Accent1 2 2 2 4" xfId="20357" xr:uid="{00000000-0005-0000-0000-00008E000000}"/>
    <cellStyle name="20% - Accent1 2 2 3" xfId="2246" xr:uid="{00000000-0005-0000-0000-00008F000000}"/>
    <cellStyle name="20% - Accent1 2 2 3 2" xfId="11884" xr:uid="{00000000-0005-0000-0000-000090000000}"/>
    <cellStyle name="20% - Accent1 2 2 3 2 2" xfId="28397" xr:uid="{00000000-0005-0000-0000-000091000000}"/>
    <cellStyle name="20% - Accent1 2 2 3 3" xfId="20355" xr:uid="{00000000-0005-0000-0000-000092000000}"/>
    <cellStyle name="20% - Accent1 2 2 4" xfId="2249" xr:uid="{00000000-0005-0000-0000-000093000000}"/>
    <cellStyle name="20% - Accent1 2 2 4 2" xfId="28400" xr:uid="{00000000-0005-0000-0000-000094000000}"/>
    <cellStyle name="20% - Accent1 2 2 5" xfId="20358" xr:uid="{00000000-0005-0000-0000-000095000000}"/>
    <cellStyle name="20% - Accent1 2 3" xfId="2245" xr:uid="{00000000-0005-0000-0000-000096000000}"/>
    <cellStyle name="20% - Accent1 2 3 2" xfId="2244" xr:uid="{00000000-0005-0000-0000-000097000000}"/>
    <cellStyle name="20% - Accent1 2 3 2 2" xfId="11882" xr:uid="{00000000-0005-0000-0000-000098000000}"/>
    <cellStyle name="20% - Accent1 2 3 2 2 2" xfId="28395" xr:uid="{00000000-0005-0000-0000-000099000000}"/>
    <cellStyle name="20% - Accent1 2 3 2 3" xfId="20353" xr:uid="{00000000-0005-0000-0000-00009A000000}"/>
    <cellStyle name="20% - Accent1 2 3 3" xfId="11883" xr:uid="{00000000-0005-0000-0000-00009B000000}"/>
    <cellStyle name="20% - Accent1 2 3 3 2" xfId="28396" xr:uid="{00000000-0005-0000-0000-00009C000000}"/>
    <cellStyle name="20% - Accent1 2 3 4" xfId="20354" xr:uid="{00000000-0005-0000-0000-00009D000000}"/>
    <cellStyle name="20% - Accent1 2 4" xfId="2243" xr:uid="{00000000-0005-0000-0000-00009E000000}"/>
    <cellStyle name="20% - Accent1 2 4 2" xfId="11881" xr:uid="{00000000-0005-0000-0000-00009F000000}"/>
    <cellStyle name="20% - Accent1 2 4 2 2" xfId="28394" xr:uid="{00000000-0005-0000-0000-0000A0000000}"/>
    <cellStyle name="20% - Accent1 2 4 3" xfId="20352" xr:uid="{00000000-0005-0000-0000-0000A1000000}"/>
    <cellStyle name="20% - Accent1 2 5" xfId="10878" xr:uid="{00000000-0005-0000-0000-0000A2000000}"/>
    <cellStyle name="20% - Accent1 2 5 2" xfId="28401" xr:uid="{00000000-0005-0000-0000-0000A3000000}"/>
    <cellStyle name="20% - Accent1 2 6" xfId="2250" xr:uid="{00000000-0005-0000-0000-0000A4000000}"/>
    <cellStyle name="20% - Accent1 3" xfId="86" xr:uid="{00000000-0005-0000-0000-0000A5000000}"/>
    <cellStyle name="20% - Accent1 3 2" xfId="87" xr:uid="{00000000-0005-0000-0000-0000A6000000}"/>
    <cellStyle name="20% - Accent1 3 2 2" xfId="2242" xr:uid="{00000000-0005-0000-0000-0000A7000000}"/>
    <cellStyle name="20% - Accent1 3 2 2 2" xfId="11878" xr:uid="{00000000-0005-0000-0000-0000A8000000}"/>
    <cellStyle name="20% - Accent1 3 2 2 2 2" xfId="28391" xr:uid="{00000000-0005-0000-0000-0000A9000000}"/>
    <cellStyle name="20% - Accent1 3 2 2 3" xfId="20349" xr:uid="{00000000-0005-0000-0000-0000AA000000}"/>
    <cellStyle name="20% - Accent1 3 2 3" xfId="11879" xr:uid="{00000000-0005-0000-0000-0000AB000000}"/>
    <cellStyle name="20% - Accent1 3 2 3 2" xfId="28392" xr:uid="{00000000-0005-0000-0000-0000AC000000}"/>
    <cellStyle name="20% - Accent1 3 2 4" xfId="20350" xr:uid="{00000000-0005-0000-0000-0000AD000000}"/>
    <cellStyle name="20% - Accent1 3 3" xfId="2241" xr:uid="{00000000-0005-0000-0000-0000AE000000}"/>
    <cellStyle name="20% - Accent1 3 3 2" xfId="11877" xr:uid="{00000000-0005-0000-0000-0000AF000000}"/>
    <cellStyle name="20% - Accent1 3 3 2 2" xfId="28390" xr:uid="{00000000-0005-0000-0000-0000B0000000}"/>
    <cellStyle name="20% - Accent1 3 3 3" xfId="20348" xr:uid="{00000000-0005-0000-0000-0000B1000000}"/>
    <cellStyle name="20% - Accent1 3 4" xfId="11880" xr:uid="{00000000-0005-0000-0000-0000B2000000}"/>
    <cellStyle name="20% - Accent1 3 4 2" xfId="28393" xr:uid="{00000000-0005-0000-0000-0000B3000000}"/>
    <cellStyle name="20% - Accent1 3 5" xfId="20351" xr:uid="{00000000-0005-0000-0000-0000B4000000}"/>
    <cellStyle name="20% - Accent1 4" xfId="88" xr:uid="{00000000-0005-0000-0000-0000B5000000}"/>
    <cellStyle name="20% - Accent1 4 2" xfId="2240" xr:uid="{00000000-0005-0000-0000-0000B6000000}"/>
    <cellStyle name="20% - Accent1 4 2 2" xfId="11875" xr:uid="{00000000-0005-0000-0000-0000B7000000}"/>
    <cellStyle name="20% - Accent1 4 2 2 2" xfId="28388" xr:uid="{00000000-0005-0000-0000-0000B8000000}"/>
    <cellStyle name="20% - Accent1 4 2 3" xfId="20346" xr:uid="{00000000-0005-0000-0000-0000B9000000}"/>
    <cellStyle name="20% - Accent1 4 3" xfId="11876" xr:uid="{00000000-0005-0000-0000-0000BA000000}"/>
    <cellStyle name="20% - Accent1 4 3 2" xfId="28389" xr:uid="{00000000-0005-0000-0000-0000BB000000}"/>
    <cellStyle name="20% - Accent1 4 4" xfId="20347" xr:uid="{00000000-0005-0000-0000-0000BC000000}"/>
    <cellStyle name="20% - Accent1 5" xfId="441" xr:uid="{00000000-0005-0000-0000-0000BD000000}"/>
    <cellStyle name="20% - Accent1 5 2" xfId="2238" xr:uid="{00000000-0005-0000-0000-0000BE000000}"/>
    <cellStyle name="20% - Accent1 5 2 2" xfId="11874" xr:uid="{00000000-0005-0000-0000-0000BF000000}"/>
    <cellStyle name="20% - Accent1 5 2 2 2" xfId="28386" xr:uid="{00000000-0005-0000-0000-0000C0000000}"/>
    <cellStyle name="20% - Accent1 5 2 3" xfId="20344" xr:uid="{00000000-0005-0000-0000-0000C1000000}"/>
    <cellStyle name="20% - Accent1 5 3" xfId="2239" xr:uid="{00000000-0005-0000-0000-0000C2000000}"/>
    <cellStyle name="20% - Accent1 5 3 2" xfId="28387" xr:uid="{00000000-0005-0000-0000-0000C3000000}"/>
    <cellStyle name="20% - Accent1 5 4" xfId="20345" xr:uid="{00000000-0005-0000-0000-0000C4000000}"/>
    <cellStyle name="20% - Accent1 6" xfId="2237" xr:uid="{00000000-0005-0000-0000-0000C5000000}"/>
    <cellStyle name="20% - Accent1 6 2" xfId="11873" xr:uid="{00000000-0005-0000-0000-0000C6000000}"/>
    <cellStyle name="20% - Accent1 6 2 2" xfId="28385" xr:uid="{00000000-0005-0000-0000-0000C7000000}"/>
    <cellStyle name="20% - Accent1 6 3" xfId="20343" xr:uid="{00000000-0005-0000-0000-0000C8000000}"/>
    <cellStyle name="20% - Accent1 7" xfId="2236" xr:uid="{00000000-0005-0000-0000-0000C9000000}"/>
    <cellStyle name="20% - Accent1 7 2" xfId="11872" xr:uid="{00000000-0005-0000-0000-0000CA000000}"/>
    <cellStyle name="20% - Accent1 7 2 2" xfId="28384" xr:uid="{00000000-0005-0000-0000-0000CB000000}"/>
    <cellStyle name="20% - Accent1 7 3" xfId="20342" xr:uid="{00000000-0005-0000-0000-0000CC000000}"/>
    <cellStyle name="20% - Accent1 8" xfId="2235" xr:uid="{00000000-0005-0000-0000-0000CD000000}"/>
    <cellStyle name="20% - Accent1 8 2" xfId="11871" xr:uid="{00000000-0005-0000-0000-0000CE000000}"/>
    <cellStyle name="20% - Accent1 8 2 2" xfId="28383" xr:uid="{00000000-0005-0000-0000-0000CF000000}"/>
    <cellStyle name="20% - Accent1 8 3" xfId="20341" xr:uid="{00000000-0005-0000-0000-0000D0000000}"/>
    <cellStyle name="20% - Accent1 9" xfId="11287" xr:uid="{00000000-0005-0000-0000-0000D1000000}"/>
    <cellStyle name="20% - Accent1 9 2" xfId="28148" xr:uid="{00000000-0005-0000-0000-0000D2000000}"/>
    <cellStyle name="20% - Accent2" xfId="1760" builtinId="34" customBuiltin="1"/>
    <cellStyle name="20% - Accent2 10" xfId="19622" xr:uid="{00000000-0005-0000-0000-0000D4000000}"/>
    <cellStyle name="20% - Accent2 2" xfId="31" xr:uid="{00000000-0005-0000-0000-0000D5000000}"/>
    <cellStyle name="20% - Accent2 2 2" xfId="89" xr:uid="{00000000-0005-0000-0000-0000D6000000}"/>
    <cellStyle name="20% - Accent2 2 2 2" xfId="2232" xr:uid="{00000000-0005-0000-0000-0000D7000000}"/>
    <cellStyle name="20% - Accent2 2 2 2 2" xfId="2231" xr:uid="{00000000-0005-0000-0000-0000D8000000}"/>
    <cellStyle name="20% - Accent2 2 2 2 2 2" xfId="11869" xr:uid="{00000000-0005-0000-0000-0000D9000000}"/>
    <cellStyle name="20% - Accent2 2 2 2 2 2 2" xfId="28379" xr:uid="{00000000-0005-0000-0000-0000DA000000}"/>
    <cellStyle name="20% - Accent2 2 2 2 2 3" xfId="20338" xr:uid="{00000000-0005-0000-0000-0000DB000000}"/>
    <cellStyle name="20% - Accent2 2 2 2 3" xfId="11870" xr:uid="{00000000-0005-0000-0000-0000DC000000}"/>
    <cellStyle name="20% - Accent2 2 2 2 3 2" xfId="28380" xr:uid="{00000000-0005-0000-0000-0000DD000000}"/>
    <cellStyle name="20% - Accent2 2 2 2 4" xfId="20339" xr:uid="{00000000-0005-0000-0000-0000DE000000}"/>
    <cellStyle name="20% - Accent2 2 2 3" xfId="2230" xr:uid="{00000000-0005-0000-0000-0000DF000000}"/>
    <cellStyle name="20% - Accent2 2 2 3 2" xfId="11868" xr:uid="{00000000-0005-0000-0000-0000E0000000}"/>
    <cellStyle name="20% - Accent2 2 2 3 2 2" xfId="28378" xr:uid="{00000000-0005-0000-0000-0000E1000000}"/>
    <cellStyle name="20% - Accent2 2 2 3 3" xfId="20337" xr:uid="{00000000-0005-0000-0000-0000E2000000}"/>
    <cellStyle name="20% - Accent2 2 2 4" xfId="2233" xr:uid="{00000000-0005-0000-0000-0000E3000000}"/>
    <cellStyle name="20% - Accent2 2 2 4 2" xfId="28381" xr:uid="{00000000-0005-0000-0000-0000E4000000}"/>
    <cellStyle name="20% - Accent2 2 2 5" xfId="20340" xr:uid="{00000000-0005-0000-0000-0000E5000000}"/>
    <cellStyle name="20% - Accent2 2 3" xfId="2229" xr:uid="{00000000-0005-0000-0000-0000E6000000}"/>
    <cellStyle name="20% - Accent2 2 3 2" xfId="2228" xr:uid="{00000000-0005-0000-0000-0000E7000000}"/>
    <cellStyle name="20% - Accent2 2 3 2 2" xfId="11866" xr:uid="{00000000-0005-0000-0000-0000E8000000}"/>
    <cellStyle name="20% - Accent2 2 3 2 2 2" xfId="28376" xr:uid="{00000000-0005-0000-0000-0000E9000000}"/>
    <cellStyle name="20% - Accent2 2 3 2 3" xfId="20335" xr:uid="{00000000-0005-0000-0000-0000EA000000}"/>
    <cellStyle name="20% - Accent2 2 3 3" xfId="11867" xr:uid="{00000000-0005-0000-0000-0000EB000000}"/>
    <cellStyle name="20% - Accent2 2 3 3 2" xfId="28377" xr:uid="{00000000-0005-0000-0000-0000EC000000}"/>
    <cellStyle name="20% - Accent2 2 3 4" xfId="20336" xr:uid="{00000000-0005-0000-0000-0000ED000000}"/>
    <cellStyle name="20% - Accent2 2 4" xfId="2227" xr:uid="{00000000-0005-0000-0000-0000EE000000}"/>
    <cellStyle name="20% - Accent2 2 4 2" xfId="11865" xr:uid="{00000000-0005-0000-0000-0000EF000000}"/>
    <cellStyle name="20% - Accent2 2 4 2 2" xfId="28375" xr:uid="{00000000-0005-0000-0000-0000F0000000}"/>
    <cellStyle name="20% - Accent2 2 4 3" xfId="20334" xr:uid="{00000000-0005-0000-0000-0000F1000000}"/>
    <cellStyle name="20% - Accent2 2 5" xfId="10879" xr:uid="{00000000-0005-0000-0000-0000F2000000}"/>
    <cellStyle name="20% - Accent2 2 5 2" xfId="28382" xr:uid="{00000000-0005-0000-0000-0000F3000000}"/>
    <cellStyle name="20% - Accent2 2 6" xfId="2234" xr:uid="{00000000-0005-0000-0000-0000F4000000}"/>
    <cellStyle name="20% - Accent2 3" xfId="90" xr:uid="{00000000-0005-0000-0000-0000F5000000}"/>
    <cellStyle name="20% - Accent2 3 2" xfId="91" xr:uid="{00000000-0005-0000-0000-0000F6000000}"/>
    <cellStyle name="20% - Accent2 3 2 2" xfId="2226" xr:uid="{00000000-0005-0000-0000-0000F7000000}"/>
    <cellStyle name="20% - Accent2 3 2 2 2" xfId="11862" xr:uid="{00000000-0005-0000-0000-0000F8000000}"/>
    <cellStyle name="20% - Accent2 3 2 2 2 2" xfId="28372" xr:uid="{00000000-0005-0000-0000-0000F9000000}"/>
    <cellStyle name="20% - Accent2 3 2 2 3" xfId="20331" xr:uid="{00000000-0005-0000-0000-0000FA000000}"/>
    <cellStyle name="20% - Accent2 3 2 3" xfId="11863" xr:uid="{00000000-0005-0000-0000-0000FB000000}"/>
    <cellStyle name="20% - Accent2 3 2 3 2" xfId="28373" xr:uid="{00000000-0005-0000-0000-0000FC000000}"/>
    <cellStyle name="20% - Accent2 3 2 4" xfId="20332" xr:uid="{00000000-0005-0000-0000-0000FD000000}"/>
    <cellStyle name="20% - Accent2 3 3" xfId="2225" xr:uid="{00000000-0005-0000-0000-0000FE000000}"/>
    <cellStyle name="20% - Accent2 3 3 2" xfId="11861" xr:uid="{00000000-0005-0000-0000-0000FF000000}"/>
    <cellStyle name="20% - Accent2 3 3 2 2" xfId="28371" xr:uid="{00000000-0005-0000-0000-000000010000}"/>
    <cellStyle name="20% - Accent2 3 3 3" xfId="20330" xr:uid="{00000000-0005-0000-0000-000001010000}"/>
    <cellStyle name="20% - Accent2 3 4" xfId="11864" xr:uid="{00000000-0005-0000-0000-000002010000}"/>
    <cellStyle name="20% - Accent2 3 4 2" xfId="28374" xr:uid="{00000000-0005-0000-0000-000003010000}"/>
    <cellStyle name="20% - Accent2 3 5" xfId="20333" xr:uid="{00000000-0005-0000-0000-000004010000}"/>
    <cellStyle name="20% - Accent2 4" xfId="92" xr:uid="{00000000-0005-0000-0000-000005010000}"/>
    <cellStyle name="20% - Accent2 4 2" xfId="2224" xr:uid="{00000000-0005-0000-0000-000006010000}"/>
    <cellStyle name="20% - Accent2 4 2 2" xfId="11859" xr:uid="{00000000-0005-0000-0000-000007010000}"/>
    <cellStyle name="20% - Accent2 4 2 2 2" xfId="28369" xr:uid="{00000000-0005-0000-0000-000008010000}"/>
    <cellStyle name="20% - Accent2 4 2 3" xfId="20328" xr:uid="{00000000-0005-0000-0000-000009010000}"/>
    <cellStyle name="20% - Accent2 4 3" xfId="11860" xr:uid="{00000000-0005-0000-0000-00000A010000}"/>
    <cellStyle name="20% - Accent2 4 3 2" xfId="28370" xr:uid="{00000000-0005-0000-0000-00000B010000}"/>
    <cellStyle name="20% - Accent2 4 4" xfId="20329" xr:uid="{00000000-0005-0000-0000-00000C010000}"/>
    <cellStyle name="20% - Accent2 5" xfId="442" xr:uid="{00000000-0005-0000-0000-00000D010000}"/>
    <cellStyle name="20% - Accent2 5 2" xfId="2222" xr:uid="{00000000-0005-0000-0000-00000E010000}"/>
    <cellStyle name="20% - Accent2 5 2 2" xfId="11858" xr:uid="{00000000-0005-0000-0000-00000F010000}"/>
    <cellStyle name="20% - Accent2 5 2 2 2" xfId="28367" xr:uid="{00000000-0005-0000-0000-000010010000}"/>
    <cellStyle name="20% - Accent2 5 2 3" xfId="20326" xr:uid="{00000000-0005-0000-0000-000011010000}"/>
    <cellStyle name="20% - Accent2 5 3" xfId="2223" xr:uid="{00000000-0005-0000-0000-000012010000}"/>
    <cellStyle name="20% - Accent2 5 3 2" xfId="28368" xr:uid="{00000000-0005-0000-0000-000013010000}"/>
    <cellStyle name="20% - Accent2 5 4" xfId="20327" xr:uid="{00000000-0005-0000-0000-000014010000}"/>
    <cellStyle name="20% - Accent2 6" xfId="2221" xr:uid="{00000000-0005-0000-0000-000015010000}"/>
    <cellStyle name="20% - Accent2 6 2" xfId="11857" xr:uid="{00000000-0005-0000-0000-000016010000}"/>
    <cellStyle name="20% - Accent2 6 2 2" xfId="28366" xr:uid="{00000000-0005-0000-0000-000017010000}"/>
    <cellStyle name="20% - Accent2 6 3" xfId="20325" xr:uid="{00000000-0005-0000-0000-000018010000}"/>
    <cellStyle name="20% - Accent2 7" xfId="2220" xr:uid="{00000000-0005-0000-0000-000019010000}"/>
    <cellStyle name="20% - Accent2 7 2" xfId="11856" xr:uid="{00000000-0005-0000-0000-00001A010000}"/>
    <cellStyle name="20% - Accent2 7 2 2" xfId="28365" xr:uid="{00000000-0005-0000-0000-00001B010000}"/>
    <cellStyle name="20% - Accent2 7 3" xfId="20324" xr:uid="{00000000-0005-0000-0000-00001C010000}"/>
    <cellStyle name="20% - Accent2 8" xfId="2219" xr:uid="{00000000-0005-0000-0000-00001D010000}"/>
    <cellStyle name="20% - Accent2 8 2" xfId="11855" xr:uid="{00000000-0005-0000-0000-00001E010000}"/>
    <cellStyle name="20% - Accent2 8 2 2" xfId="28364" xr:uid="{00000000-0005-0000-0000-00001F010000}"/>
    <cellStyle name="20% - Accent2 8 3" xfId="20323" xr:uid="{00000000-0005-0000-0000-000020010000}"/>
    <cellStyle name="20% - Accent2 9" xfId="11289" xr:uid="{00000000-0005-0000-0000-000021010000}"/>
    <cellStyle name="20% - Accent2 9 2" xfId="28150" xr:uid="{00000000-0005-0000-0000-000022010000}"/>
    <cellStyle name="20% - Accent3" xfId="1764" builtinId="38" customBuiltin="1"/>
    <cellStyle name="20% - Accent3 10" xfId="19624" xr:uid="{00000000-0005-0000-0000-000024010000}"/>
    <cellStyle name="20% - Accent3 2" xfId="32" xr:uid="{00000000-0005-0000-0000-000025010000}"/>
    <cellStyle name="20% - Accent3 2 2" xfId="93" xr:uid="{00000000-0005-0000-0000-000026010000}"/>
    <cellStyle name="20% - Accent3 2 2 2" xfId="2216" xr:uid="{00000000-0005-0000-0000-000027010000}"/>
    <cellStyle name="20% - Accent3 2 2 2 2" xfId="2215" xr:uid="{00000000-0005-0000-0000-000028010000}"/>
    <cellStyle name="20% - Accent3 2 2 2 2 2" xfId="11853" xr:uid="{00000000-0005-0000-0000-000029010000}"/>
    <cellStyle name="20% - Accent3 2 2 2 2 2 2" xfId="28360" xr:uid="{00000000-0005-0000-0000-00002A010000}"/>
    <cellStyle name="20% - Accent3 2 2 2 2 3" xfId="20320" xr:uid="{00000000-0005-0000-0000-00002B010000}"/>
    <cellStyle name="20% - Accent3 2 2 2 3" xfId="11854" xr:uid="{00000000-0005-0000-0000-00002C010000}"/>
    <cellStyle name="20% - Accent3 2 2 2 3 2" xfId="28361" xr:uid="{00000000-0005-0000-0000-00002D010000}"/>
    <cellStyle name="20% - Accent3 2 2 2 4" xfId="20321" xr:uid="{00000000-0005-0000-0000-00002E010000}"/>
    <cellStyle name="20% - Accent3 2 2 3" xfId="2214" xr:uid="{00000000-0005-0000-0000-00002F010000}"/>
    <cellStyle name="20% - Accent3 2 2 3 2" xfId="11852" xr:uid="{00000000-0005-0000-0000-000030010000}"/>
    <cellStyle name="20% - Accent3 2 2 3 2 2" xfId="28359" xr:uid="{00000000-0005-0000-0000-000031010000}"/>
    <cellStyle name="20% - Accent3 2 2 3 3" xfId="20319" xr:uid="{00000000-0005-0000-0000-000032010000}"/>
    <cellStyle name="20% - Accent3 2 2 4" xfId="2217" xr:uid="{00000000-0005-0000-0000-000033010000}"/>
    <cellStyle name="20% - Accent3 2 2 4 2" xfId="28362" xr:uid="{00000000-0005-0000-0000-000034010000}"/>
    <cellStyle name="20% - Accent3 2 2 5" xfId="20322" xr:uid="{00000000-0005-0000-0000-000035010000}"/>
    <cellStyle name="20% - Accent3 2 3" xfId="2213" xr:uid="{00000000-0005-0000-0000-000036010000}"/>
    <cellStyle name="20% - Accent3 2 3 2" xfId="2212" xr:uid="{00000000-0005-0000-0000-000037010000}"/>
    <cellStyle name="20% - Accent3 2 3 2 2" xfId="11850" xr:uid="{00000000-0005-0000-0000-000038010000}"/>
    <cellStyle name="20% - Accent3 2 3 2 2 2" xfId="28357" xr:uid="{00000000-0005-0000-0000-000039010000}"/>
    <cellStyle name="20% - Accent3 2 3 2 3" xfId="20317" xr:uid="{00000000-0005-0000-0000-00003A010000}"/>
    <cellStyle name="20% - Accent3 2 3 3" xfId="11851" xr:uid="{00000000-0005-0000-0000-00003B010000}"/>
    <cellStyle name="20% - Accent3 2 3 3 2" xfId="28358" xr:uid="{00000000-0005-0000-0000-00003C010000}"/>
    <cellStyle name="20% - Accent3 2 3 4" xfId="20318" xr:uid="{00000000-0005-0000-0000-00003D010000}"/>
    <cellStyle name="20% - Accent3 2 4" xfId="2211" xr:uid="{00000000-0005-0000-0000-00003E010000}"/>
    <cellStyle name="20% - Accent3 2 4 2" xfId="11849" xr:uid="{00000000-0005-0000-0000-00003F010000}"/>
    <cellStyle name="20% - Accent3 2 4 2 2" xfId="28356" xr:uid="{00000000-0005-0000-0000-000040010000}"/>
    <cellStyle name="20% - Accent3 2 4 3" xfId="20316" xr:uid="{00000000-0005-0000-0000-000041010000}"/>
    <cellStyle name="20% - Accent3 2 5" xfId="10880" xr:uid="{00000000-0005-0000-0000-000042010000}"/>
    <cellStyle name="20% - Accent3 2 5 2" xfId="28363" xr:uid="{00000000-0005-0000-0000-000043010000}"/>
    <cellStyle name="20% - Accent3 2 6" xfId="2218" xr:uid="{00000000-0005-0000-0000-000044010000}"/>
    <cellStyle name="20% - Accent3 3" xfId="94" xr:uid="{00000000-0005-0000-0000-000045010000}"/>
    <cellStyle name="20% - Accent3 3 2" xfId="95" xr:uid="{00000000-0005-0000-0000-000046010000}"/>
    <cellStyle name="20% - Accent3 3 2 2" xfId="2210" xr:uid="{00000000-0005-0000-0000-000047010000}"/>
    <cellStyle name="20% - Accent3 3 2 2 2" xfId="11846" xr:uid="{00000000-0005-0000-0000-000048010000}"/>
    <cellStyle name="20% - Accent3 3 2 2 2 2" xfId="28353" xr:uid="{00000000-0005-0000-0000-000049010000}"/>
    <cellStyle name="20% - Accent3 3 2 2 3" xfId="20313" xr:uid="{00000000-0005-0000-0000-00004A010000}"/>
    <cellStyle name="20% - Accent3 3 2 3" xfId="11847" xr:uid="{00000000-0005-0000-0000-00004B010000}"/>
    <cellStyle name="20% - Accent3 3 2 3 2" xfId="28354" xr:uid="{00000000-0005-0000-0000-00004C010000}"/>
    <cellStyle name="20% - Accent3 3 2 4" xfId="20314" xr:uid="{00000000-0005-0000-0000-00004D010000}"/>
    <cellStyle name="20% - Accent3 3 3" xfId="2209" xr:uid="{00000000-0005-0000-0000-00004E010000}"/>
    <cellStyle name="20% - Accent3 3 3 2" xfId="11845" xr:uid="{00000000-0005-0000-0000-00004F010000}"/>
    <cellStyle name="20% - Accent3 3 3 2 2" xfId="28352" xr:uid="{00000000-0005-0000-0000-000050010000}"/>
    <cellStyle name="20% - Accent3 3 3 3" xfId="20312" xr:uid="{00000000-0005-0000-0000-000051010000}"/>
    <cellStyle name="20% - Accent3 3 4" xfId="11848" xr:uid="{00000000-0005-0000-0000-000052010000}"/>
    <cellStyle name="20% - Accent3 3 4 2" xfId="28355" xr:uid="{00000000-0005-0000-0000-000053010000}"/>
    <cellStyle name="20% - Accent3 3 5" xfId="20315" xr:uid="{00000000-0005-0000-0000-000054010000}"/>
    <cellStyle name="20% - Accent3 4" xfId="96" xr:uid="{00000000-0005-0000-0000-000055010000}"/>
    <cellStyle name="20% - Accent3 4 2" xfId="2208" xr:uid="{00000000-0005-0000-0000-000056010000}"/>
    <cellStyle name="20% - Accent3 4 2 2" xfId="11843" xr:uid="{00000000-0005-0000-0000-000057010000}"/>
    <cellStyle name="20% - Accent3 4 2 2 2" xfId="28350" xr:uid="{00000000-0005-0000-0000-000058010000}"/>
    <cellStyle name="20% - Accent3 4 2 3" xfId="20310" xr:uid="{00000000-0005-0000-0000-000059010000}"/>
    <cellStyle name="20% - Accent3 4 3" xfId="11844" xr:uid="{00000000-0005-0000-0000-00005A010000}"/>
    <cellStyle name="20% - Accent3 4 3 2" xfId="28351" xr:uid="{00000000-0005-0000-0000-00005B010000}"/>
    <cellStyle name="20% - Accent3 4 4" xfId="20311" xr:uid="{00000000-0005-0000-0000-00005C010000}"/>
    <cellStyle name="20% - Accent3 5" xfId="443" xr:uid="{00000000-0005-0000-0000-00005D010000}"/>
    <cellStyle name="20% - Accent3 5 2" xfId="2206" xr:uid="{00000000-0005-0000-0000-00005E010000}"/>
    <cellStyle name="20% - Accent3 5 2 2" xfId="11842" xr:uid="{00000000-0005-0000-0000-00005F010000}"/>
    <cellStyle name="20% - Accent3 5 2 2 2" xfId="28348" xr:uid="{00000000-0005-0000-0000-000060010000}"/>
    <cellStyle name="20% - Accent3 5 2 3" xfId="20308" xr:uid="{00000000-0005-0000-0000-000061010000}"/>
    <cellStyle name="20% - Accent3 5 3" xfId="2207" xr:uid="{00000000-0005-0000-0000-000062010000}"/>
    <cellStyle name="20% - Accent3 5 3 2" xfId="28349" xr:uid="{00000000-0005-0000-0000-000063010000}"/>
    <cellStyle name="20% - Accent3 5 4" xfId="20309" xr:uid="{00000000-0005-0000-0000-000064010000}"/>
    <cellStyle name="20% - Accent3 6" xfId="2205" xr:uid="{00000000-0005-0000-0000-000065010000}"/>
    <cellStyle name="20% - Accent3 6 2" xfId="11841" xr:uid="{00000000-0005-0000-0000-000066010000}"/>
    <cellStyle name="20% - Accent3 6 2 2" xfId="28347" xr:uid="{00000000-0005-0000-0000-000067010000}"/>
    <cellStyle name="20% - Accent3 6 3" xfId="20307" xr:uid="{00000000-0005-0000-0000-000068010000}"/>
    <cellStyle name="20% - Accent3 7" xfId="2204" xr:uid="{00000000-0005-0000-0000-000069010000}"/>
    <cellStyle name="20% - Accent3 7 2" xfId="11840" xr:uid="{00000000-0005-0000-0000-00006A010000}"/>
    <cellStyle name="20% - Accent3 7 2 2" xfId="28346" xr:uid="{00000000-0005-0000-0000-00006B010000}"/>
    <cellStyle name="20% - Accent3 7 3" xfId="20306" xr:uid="{00000000-0005-0000-0000-00006C010000}"/>
    <cellStyle name="20% - Accent3 8" xfId="2203" xr:uid="{00000000-0005-0000-0000-00006D010000}"/>
    <cellStyle name="20% - Accent3 8 2" xfId="11839" xr:uid="{00000000-0005-0000-0000-00006E010000}"/>
    <cellStyle name="20% - Accent3 8 2 2" xfId="28345" xr:uid="{00000000-0005-0000-0000-00006F010000}"/>
    <cellStyle name="20% - Accent3 8 3" xfId="20305" xr:uid="{00000000-0005-0000-0000-000070010000}"/>
    <cellStyle name="20% - Accent3 9" xfId="11291" xr:uid="{00000000-0005-0000-0000-000071010000}"/>
    <cellStyle name="20% - Accent3 9 2" xfId="28152" xr:uid="{00000000-0005-0000-0000-000072010000}"/>
    <cellStyle name="20% - Accent4" xfId="1768" builtinId="42" customBuiltin="1"/>
    <cellStyle name="20% - Accent4 10" xfId="19626" xr:uid="{00000000-0005-0000-0000-000074010000}"/>
    <cellStyle name="20% - Accent4 2" xfId="33" xr:uid="{00000000-0005-0000-0000-000075010000}"/>
    <cellStyle name="20% - Accent4 2 2" xfId="97" xr:uid="{00000000-0005-0000-0000-000076010000}"/>
    <cellStyle name="20% - Accent4 2 2 2" xfId="2200" xr:uid="{00000000-0005-0000-0000-000077010000}"/>
    <cellStyle name="20% - Accent4 2 2 2 2" xfId="2199" xr:uid="{00000000-0005-0000-0000-000078010000}"/>
    <cellStyle name="20% - Accent4 2 2 2 2 2" xfId="11837" xr:uid="{00000000-0005-0000-0000-000079010000}"/>
    <cellStyle name="20% - Accent4 2 2 2 2 2 2" xfId="28341" xr:uid="{00000000-0005-0000-0000-00007A010000}"/>
    <cellStyle name="20% - Accent4 2 2 2 2 3" xfId="20302" xr:uid="{00000000-0005-0000-0000-00007B010000}"/>
    <cellStyle name="20% - Accent4 2 2 2 3" xfId="11838" xr:uid="{00000000-0005-0000-0000-00007C010000}"/>
    <cellStyle name="20% - Accent4 2 2 2 3 2" xfId="28342" xr:uid="{00000000-0005-0000-0000-00007D010000}"/>
    <cellStyle name="20% - Accent4 2 2 2 4" xfId="20303" xr:uid="{00000000-0005-0000-0000-00007E010000}"/>
    <cellStyle name="20% - Accent4 2 2 3" xfId="2198" xr:uid="{00000000-0005-0000-0000-00007F010000}"/>
    <cellStyle name="20% - Accent4 2 2 3 2" xfId="11836" xr:uid="{00000000-0005-0000-0000-000080010000}"/>
    <cellStyle name="20% - Accent4 2 2 3 2 2" xfId="28340" xr:uid="{00000000-0005-0000-0000-000081010000}"/>
    <cellStyle name="20% - Accent4 2 2 3 3" xfId="20301" xr:uid="{00000000-0005-0000-0000-000082010000}"/>
    <cellStyle name="20% - Accent4 2 2 4" xfId="2201" xr:uid="{00000000-0005-0000-0000-000083010000}"/>
    <cellStyle name="20% - Accent4 2 2 4 2" xfId="28343" xr:uid="{00000000-0005-0000-0000-000084010000}"/>
    <cellStyle name="20% - Accent4 2 2 5" xfId="20304" xr:uid="{00000000-0005-0000-0000-000085010000}"/>
    <cellStyle name="20% - Accent4 2 3" xfId="2197" xr:uid="{00000000-0005-0000-0000-000086010000}"/>
    <cellStyle name="20% - Accent4 2 3 2" xfId="2196" xr:uid="{00000000-0005-0000-0000-000087010000}"/>
    <cellStyle name="20% - Accent4 2 3 2 2" xfId="11834" xr:uid="{00000000-0005-0000-0000-000088010000}"/>
    <cellStyle name="20% - Accent4 2 3 2 2 2" xfId="28338" xr:uid="{00000000-0005-0000-0000-000089010000}"/>
    <cellStyle name="20% - Accent4 2 3 2 3" xfId="20299" xr:uid="{00000000-0005-0000-0000-00008A010000}"/>
    <cellStyle name="20% - Accent4 2 3 3" xfId="11835" xr:uid="{00000000-0005-0000-0000-00008B010000}"/>
    <cellStyle name="20% - Accent4 2 3 3 2" xfId="28339" xr:uid="{00000000-0005-0000-0000-00008C010000}"/>
    <cellStyle name="20% - Accent4 2 3 4" xfId="20300" xr:uid="{00000000-0005-0000-0000-00008D010000}"/>
    <cellStyle name="20% - Accent4 2 4" xfId="2195" xr:uid="{00000000-0005-0000-0000-00008E010000}"/>
    <cellStyle name="20% - Accent4 2 4 2" xfId="11833" xr:uid="{00000000-0005-0000-0000-00008F010000}"/>
    <cellStyle name="20% - Accent4 2 4 2 2" xfId="28337" xr:uid="{00000000-0005-0000-0000-000090010000}"/>
    <cellStyle name="20% - Accent4 2 4 3" xfId="20298" xr:uid="{00000000-0005-0000-0000-000091010000}"/>
    <cellStyle name="20% - Accent4 2 5" xfId="10881" xr:uid="{00000000-0005-0000-0000-000092010000}"/>
    <cellStyle name="20% - Accent4 2 5 2" xfId="28344" xr:uid="{00000000-0005-0000-0000-000093010000}"/>
    <cellStyle name="20% - Accent4 2 6" xfId="2202" xr:uid="{00000000-0005-0000-0000-000094010000}"/>
    <cellStyle name="20% - Accent4 3" xfId="98" xr:uid="{00000000-0005-0000-0000-000095010000}"/>
    <cellStyle name="20% - Accent4 3 2" xfId="99" xr:uid="{00000000-0005-0000-0000-000096010000}"/>
    <cellStyle name="20% - Accent4 3 2 2" xfId="2194" xr:uid="{00000000-0005-0000-0000-000097010000}"/>
    <cellStyle name="20% - Accent4 3 2 2 2" xfId="11830" xr:uid="{00000000-0005-0000-0000-000098010000}"/>
    <cellStyle name="20% - Accent4 3 2 2 2 2" xfId="28334" xr:uid="{00000000-0005-0000-0000-000099010000}"/>
    <cellStyle name="20% - Accent4 3 2 2 3" xfId="20295" xr:uid="{00000000-0005-0000-0000-00009A010000}"/>
    <cellStyle name="20% - Accent4 3 2 3" xfId="11831" xr:uid="{00000000-0005-0000-0000-00009B010000}"/>
    <cellStyle name="20% - Accent4 3 2 3 2" xfId="28335" xr:uid="{00000000-0005-0000-0000-00009C010000}"/>
    <cellStyle name="20% - Accent4 3 2 4" xfId="20296" xr:uid="{00000000-0005-0000-0000-00009D010000}"/>
    <cellStyle name="20% - Accent4 3 3" xfId="2193" xr:uid="{00000000-0005-0000-0000-00009E010000}"/>
    <cellStyle name="20% - Accent4 3 3 2" xfId="11829" xr:uid="{00000000-0005-0000-0000-00009F010000}"/>
    <cellStyle name="20% - Accent4 3 3 2 2" xfId="28333" xr:uid="{00000000-0005-0000-0000-0000A0010000}"/>
    <cellStyle name="20% - Accent4 3 3 3" xfId="20294" xr:uid="{00000000-0005-0000-0000-0000A1010000}"/>
    <cellStyle name="20% - Accent4 3 4" xfId="11832" xr:uid="{00000000-0005-0000-0000-0000A2010000}"/>
    <cellStyle name="20% - Accent4 3 4 2" xfId="28336" xr:uid="{00000000-0005-0000-0000-0000A3010000}"/>
    <cellStyle name="20% - Accent4 3 5" xfId="20297" xr:uid="{00000000-0005-0000-0000-0000A4010000}"/>
    <cellStyle name="20% - Accent4 4" xfId="100" xr:uid="{00000000-0005-0000-0000-0000A5010000}"/>
    <cellStyle name="20% - Accent4 4 2" xfId="2192" xr:uid="{00000000-0005-0000-0000-0000A6010000}"/>
    <cellStyle name="20% - Accent4 4 2 2" xfId="11827" xr:uid="{00000000-0005-0000-0000-0000A7010000}"/>
    <cellStyle name="20% - Accent4 4 2 2 2" xfId="28331" xr:uid="{00000000-0005-0000-0000-0000A8010000}"/>
    <cellStyle name="20% - Accent4 4 2 3" xfId="20292" xr:uid="{00000000-0005-0000-0000-0000A9010000}"/>
    <cellStyle name="20% - Accent4 4 3" xfId="11828" xr:uid="{00000000-0005-0000-0000-0000AA010000}"/>
    <cellStyle name="20% - Accent4 4 3 2" xfId="28332" xr:uid="{00000000-0005-0000-0000-0000AB010000}"/>
    <cellStyle name="20% - Accent4 4 4" xfId="20293" xr:uid="{00000000-0005-0000-0000-0000AC010000}"/>
    <cellStyle name="20% - Accent4 5" xfId="444" xr:uid="{00000000-0005-0000-0000-0000AD010000}"/>
    <cellStyle name="20% - Accent4 5 2" xfId="2190" xr:uid="{00000000-0005-0000-0000-0000AE010000}"/>
    <cellStyle name="20% - Accent4 5 2 2" xfId="11826" xr:uid="{00000000-0005-0000-0000-0000AF010000}"/>
    <cellStyle name="20% - Accent4 5 2 2 2" xfId="28329" xr:uid="{00000000-0005-0000-0000-0000B0010000}"/>
    <cellStyle name="20% - Accent4 5 2 3" xfId="20290" xr:uid="{00000000-0005-0000-0000-0000B1010000}"/>
    <cellStyle name="20% - Accent4 5 3" xfId="2191" xr:uid="{00000000-0005-0000-0000-0000B2010000}"/>
    <cellStyle name="20% - Accent4 5 3 2" xfId="28330" xr:uid="{00000000-0005-0000-0000-0000B3010000}"/>
    <cellStyle name="20% - Accent4 5 4" xfId="20291" xr:uid="{00000000-0005-0000-0000-0000B4010000}"/>
    <cellStyle name="20% - Accent4 6" xfId="2189" xr:uid="{00000000-0005-0000-0000-0000B5010000}"/>
    <cellStyle name="20% - Accent4 6 2" xfId="11825" xr:uid="{00000000-0005-0000-0000-0000B6010000}"/>
    <cellStyle name="20% - Accent4 6 2 2" xfId="28328" xr:uid="{00000000-0005-0000-0000-0000B7010000}"/>
    <cellStyle name="20% - Accent4 6 3" xfId="20289" xr:uid="{00000000-0005-0000-0000-0000B8010000}"/>
    <cellStyle name="20% - Accent4 7" xfId="2188" xr:uid="{00000000-0005-0000-0000-0000B9010000}"/>
    <cellStyle name="20% - Accent4 7 2" xfId="11824" xr:uid="{00000000-0005-0000-0000-0000BA010000}"/>
    <cellStyle name="20% - Accent4 7 2 2" xfId="28327" xr:uid="{00000000-0005-0000-0000-0000BB010000}"/>
    <cellStyle name="20% - Accent4 7 3" xfId="20288" xr:uid="{00000000-0005-0000-0000-0000BC010000}"/>
    <cellStyle name="20% - Accent4 8" xfId="2187" xr:uid="{00000000-0005-0000-0000-0000BD010000}"/>
    <cellStyle name="20% - Accent4 8 2" xfId="11823" xr:uid="{00000000-0005-0000-0000-0000BE010000}"/>
    <cellStyle name="20% - Accent4 8 2 2" xfId="28326" xr:uid="{00000000-0005-0000-0000-0000BF010000}"/>
    <cellStyle name="20% - Accent4 8 3" xfId="20287" xr:uid="{00000000-0005-0000-0000-0000C0010000}"/>
    <cellStyle name="20% - Accent4 9" xfId="11293" xr:uid="{00000000-0005-0000-0000-0000C1010000}"/>
    <cellStyle name="20% - Accent4 9 2" xfId="28154" xr:uid="{00000000-0005-0000-0000-0000C2010000}"/>
    <cellStyle name="20% - Accent5" xfId="1772" builtinId="46" customBuiltin="1"/>
    <cellStyle name="20% - Accent5 10" xfId="19628" xr:uid="{00000000-0005-0000-0000-0000C4010000}"/>
    <cellStyle name="20% - Accent5 2" xfId="34" xr:uid="{00000000-0005-0000-0000-0000C5010000}"/>
    <cellStyle name="20% - Accent5 2 2" xfId="2185" xr:uid="{00000000-0005-0000-0000-0000C6010000}"/>
    <cellStyle name="20% - Accent5 2 2 2" xfId="2184" xr:uid="{00000000-0005-0000-0000-0000C7010000}"/>
    <cellStyle name="20% - Accent5 2 2 2 2" xfId="2183" xr:uid="{00000000-0005-0000-0000-0000C8010000}"/>
    <cellStyle name="20% - Accent5 2 2 2 2 2" xfId="11820" xr:uid="{00000000-0005-0000-0000-0000C9010000}"/>
    <cellStyle name="20% - Accent5 2 2 2 2 2 2" xfId="28322" xr:uid="{00000000-0005-0000-0000-0000CA010000}"/>
    <cellStyle name="20% - Accent5 2 2 2 2 3" xfId="20284" xr:uid="{00000000-0005-0000-0000-0000CB010000}"/>
    <cellStyle name="20% - Accent5 2 2 2 3" xfId="11821" xr:uid="{00000000-0005-0000-0000-0000CC010000}"/>
    <cellStyle name="20% - Accent5 2 2 2 3 2" xfId="28323" xr:uid="{00000000-0005-0000-0000-0000CD010000}"/>
    <cellStyle name="20% - Accent5 2 2 2 4" xfId="20285" xr:uid="{00000000-0005-0000-0000-0000CE010000}"/>
    <cellStyle name="20% - Accent5 2 2 3" xfId="2182" xr:uid="{00000000-0005-0000-0000-0000CF010000}"/>
    <cellStyle name="20% - Accent5 2 2 3 2" xfId="11819" xr:uid="{00000000-0005-0000-0000-0000D0010000}"/>
    <cellStyle name="20% - Accent5 2 2 3 2 2" xfId="28321" xr:uid="{00000000-0005-0000-0000-0000D1010000}"/>
    <cellStyle name="20% - Accent5 2 2 3 3" xfId="20283" xr:uid="{00000000-0005-0000-0000-0000D2010000}"/>
    <cellStyle name="20% - Accent5 2 2 4" xfId="11822" xr:uid="{00000000-0005-0000-0000-0000D3010000}"/>
    <cellStyle name="20% - Accent5 2 2 4 2" xfId="28324" xr:uid="{00000000-0005-0000-0000-0000D4010000}"/>
    <cellStyle name="20% - Accent5 2 2 5" xfId="20286" xr:uid="{00000000-0005-0000-0000-0000D5010000}"/>
    <cellStyle name="20% - Accent5 2 3" xfId="2181" xr:uid="{00000000-0005-0000-0000-0000D6010000}"/>
    <cellStyle name="20% - Accent5 2 3 2" xfId="2180" xr:uid="{00000000-0005-0000-0000-0000D7010000}"/>
    <cellStyle name="20% - Accent5 2 3 2 2" xfId="11817" xr:uid="{00000000-0005-0000-0000-0000D8010000}"/>
    <cellStyle name="20% - Accent5 2 3 2 2 2" xfId="28319" xr:uid="{00000000-0005-0000-0000-0000D9010000}"/>
    <cellStyle name="20% - Accent5 2 3 2 3" xfId="20281" xr:uid="{00000000-0005-0000-0000-0000DA010000}"/>
    <cellStyle name="20% - Accent5 2 3 3" xfId="11818" xr:uid="{00000000-0005-0000-0000-0000DB010000}"/>
    <cellStyle name="20% - Accent5 2 3 3 2" xfId="28320" xr:uid="{00000000-0005-0000-0000-0000DC010000}"/>
    <cellStyle name="20% - Accent5 2 3 4" xfId="20282" xr:uid="{00000000-0005-0000-0000-0000DD010000}"/>
    <cellStyle name="20% - Accent5 2 4" xfId="2179" xr:uid="{00000000-0005-0000-0000-0000DE010000}"/>
    <cellStyle name="20% - Accent5 2 4 2" xfId="11816" xr:uid="{00000000-0005-0000-0000-0000DF010000}"/>
    <cellStyle name="20% - Accent5 2 4 2 2" xfId="28318" xr:uid="{00000000-0005-0000-0000-0000E0010000}"/>
    <cellStyle name="20% - Accent5 2 4 3" xfId="20280" xr:uid="{00000000-0005-0000-0000-0000E1010000}"/>
    <cellStyle name="20% - Accent5 2 5" xfId="10882" xr:uid="{00000000-0005-0000-0000-0000E2010000}"/>
    <cellStyle name="20% - Accent5 2 5 2" xfId="28325" xr:uid="{00000000-0005-0000-0000-0000E3010000}"/>
    <cellStyle name="20% - Accent5 2 6" xfId="2186" xr:uid="{00000000-0005-0000-0000-0000E4010000}"/>
    <cellStyle name="20% - Accent5 3" xfId="101" xr:uid="{00000000-0005-0000-0000-0000E5010000}"/>
    <cellStyle name="20% - Accent5 3 2" xfId="102" xr:uid="{00000000-0005-0000-0000-0000E6010000}"/>
    <cellStyle name="20% - Accent5 3 2 2" xfId="2178" xr:uid="{00000000-0005-0000-0000-0000E7010000}"/>
    <cellStyle name="20% - Accent5 3 2 2 2" xfId="11813" xr:uid="{00000000-0005-0000-0000-0000E8010000}"/>
    <cellStyle name="20% - Accent5 3 2 2 2 2" xfId="28315" xr:uid="{00000000-0005-0000-0000-0000E9010000}"/>
    <cellStyle name="20% - Accent5 3 2 2 3" xfId="20277" xr:uid="{00000000-0005-0000-0000-0000EA010000}"/>
    <cellStyle name="20% - Accent5 3 2 3" xfId="11814" xr:uid="{00000000-0005-0000-0000-0000EB010000}"/>
    <cellStyle name="20% - Accent5 3 2 3 2" xfId="28316" xr:uid="{00000000-0005-0000-0000-0000EC010000}"/>
    <cellStyle name="20% - Accent5 3 2 4" xfId="20278" xr:uid="{00000000-0005-0000-0000-0000ED010000}"/>
    <cellStyle name="20% - Accent5 3 3" xfId="2177" xr:uid="{00000000-0005-0000-0000-0000EE010000}"/>
    <cellStyle name="20% - Accent5 3 3 2" xfId="11812" xr:uid="{00000000-0005-0000-0000-0000EF010000}"/>
    <cellStyle name="20% - Accent5 3 3 2 2" xfId="28314" xr:uid="{00000000-0005-0000-0000-0000F0010000}"/>
    <cellStyle name="20% - Accent5 3 3 3" xfId="20276" xr:uid="{00000000-0005-0000-0000-0000F1010000}"/>
    <cellStyle name="20% - Accent5 3 4" xfId="11815" xr:uid="{00000000-0005-0000-0000-0000F2010000}"/>
    <cellStyle name="20% - Accent5 3 4 2" xfId="28317" xr:uid="{00000000-0005-0000-0000-0000F3010000}"/>
    <cellStyle name="20% - Accent5 3 5" xfId="20279" xr:uid="{00000000-0005-0000-0000-0000F4010000}"/>
    <cellStyle name="20% - Accent5 4" xfId="103" xr:uid="{00000000-0005-0000-0000-0000F5010000}"/>
    <cellStyle name="20% - Accent5 4 2" xfId="2176" xr:uid="{00000000-0005-0000-0000-0000F6010000}"/>
    <cellStyle name="20% - Accent5 4 2 2" xfId="11810" xr:uid="{00000000-0005-0000-0000-0000F7010000}"/>
    <cellStyle name="20% - Accent5 4 2 2 2" xfId="28312" xr:uid="{00000000-0005-0000-0000-0000F8010000}"/>
    <cellStyle name="20% - Accent5 4 2 3" xfId="20274" xr:uid="{00000000-0005-0000-0000-0000F9010000}"/>
    <cellStyle name="20% - Accent5 4 3" xfId="11811" xr:uid="{00000000-0005-0000-0000-0000FA010000}"/>
    <cellStyle name="20% - Accent5 4 3 2" xfId="28313" xr:uid="{00000000-0005-0000-0000-0000FB010000}"/>
    <cellStyle name="20% - Accent5 4 4" xfId="20275" xr:uid="{00000000-0005-0000-0000-0000FC010000}"/>
    <cellStyle name="20% - Accent5 5" xfId="445" xr:uid="{00000000-0005-0000-0000-0000FD010000}"/>
    <cellStyle name="20% - Accent5 5 2" xfId="2174" xr:uid="{00000000-0005-0000-0000-0000FE010000}"/>
    <cellStyle name="20% - Accent5 5 2 2" xfId="11809" xr:uid="{00000000-0005-0000-0000-0000FF010000}"/>
    <cellStyle name="20% - Accent5 5 2 2 2" xfId="28310" xr:uid="{00000000-0005-0000-0000-000000020000}"/>
    <cellStyle name="20% - Accent5 5 2 3" xfId="20272" xr:uid="{00000000-0005-0000-0000-000001020000}"/>
    <cellStyle name="20% - Accent5 5 3" xfId="2175" xr:uid="{00000000-0005-0000-0000-000002020000}"/>
    <cellStyle name="20% - Accent5 5 3 2" xfId="28311" xr:uid="{00000000-0005-0000-0000-000003020000}"/>
    <cellStyle name="20% - Accent5 5 4" xfId="20273" xr:uid="{00000000-0005-0000-0000-000004020000}"/>
    <cellStyle name="20% - Accent5 6" xfId="2173" xr:uid="{00000000-0005-0000-0000-000005020000}"/>
    <cellStyle name="20% - Accent5 6 2" xfId="11808" xr:uid="{00000000-0005-0000-0000-000006020000}"/>
    <cellStyle name="20% - Accent5 6 2 2" xfId="28309" xr:uid="{00000000-0005-0000-0000-000007020000}"/>
    <cellStyle name="20% - Accent5 6 3" xfId="20271" xr:uid="{00000000-0005-0000-0000-000008020000}"/>
    <cellStyle name="20% - Accent5 7" xfId="2172" xr:uid="{00000000-0005-0000-0000-000009020000}"/>
    <cellStyle name="20% - Accent5 7 2" xfId="11807" xr:uid="{00000000-0005-0000-0000-00000A020000}"/>
    <cellStyle name="20% - Accent5 7 2 2" xfId="28308" xr:uid="{00000000-0005-0000-0000-00000B020000}"/>
    <cellStyle name="20% - Accent5 7 3" xfId="20270" xr:uid="{00000000-0005-0000-0000-00000C020000}"/>
    <cellStyle name="20% - Accent5 8" xfId="2171" xr:uid="{00000000-0005-0000-0000-00000D020000}"/>
    <cellStyle name="20% - Accent5 8 2" xfId="11806" xr:uid="{00000000-0005-0000-0000-00000E020000}"/>
    <cellStyle name="20% - Accent5 8 2 2" xfId="28307" xr:uid="{00000000-0005-0000-0000-00000F020000}"/>
    <cellStyle name="20% - Accent5 8 3" xfId="20269" xr:uid="{00000000-0005-0000-0000-000010020000}"/>
    <cellStyle name="20% - Accent5 9" xfId="11295" xr:uid="{00000000-0005-0000-0000-000011020000}"/>
    <cellStyle name="20% - Accent5 9 2" xfId="28156" xr:uid="{00000000-0005-0000-0000-000012020000}"/>
    <cellStyle name="20% - Accent6" xfId="1776" builtinId="50" customBuiltin="1"/>
    <cellStyle name="20% - Accent6 10" xfId="19630" xr:uid="{00000000-0005-0000-0000-000014020000}"/>
    <cellStyle name="20% - Accent6 2" xfId="35" xr:uid="{00000000-0005-0000-0000-000015020000}"/>
    <cellStyle name="20% - Accent6 2 2" xfId="104" xr:uid="{00000000-0005-0000-0000-000016020000}"/>
    <cellStyle name="20% - Accent6 2 2 2" xfId="2168" xr:uid="{00000000-0005-0000-0000-000017020000}"/>
    <cellStyle name="20% - Accent6 2 2 2 2" xfId="2167" xr:uid="{00000000-0005-0000-0000-000018020000}"/>
    <cellStyle name="20% - Accent6 2 2 2 2 2" xfId="11804" xr:uid="{00000000-0005-0000-0000-000019020000}"/>
    <cellStyle name="20% - Accent6 2 2 2 2 2 2" xfId="28303" xr:uid="{00000000-0005-0000-0000-00001A020000}"/>
    <cellStyle name="20% - Accent6 2 2 2 2 3" xfId="20266" xr:uid="{00000000-0005-0000-0000-00001B020000}"/>
    <cellStyle name="20% - Accent6 2 2 2 3" xfId="11805" xr:uid="{00000000-0005-0000-0000-00001C020000}"/>
    <cellStyle name="20% - Accent6 2 2 2 3 2" xfId="28304" xr:uid="{00000000-0005-0000-0000-00001D020000}"/>
    <cellStyle name="20% - Accent6 2 2 2 4" xfId="20267" xr:uid="{00000000-0005-0000-0000-00001E020000}"/>
    <cellStyle name="20% - Accent6 2 2 3" xfId="2166" xr:uid="{00000000-0005-0000-0000-00001F020000}"/>
    <cellStyle name="20% - Accent6 2 2 3 2" xfId="11803" xr:uid="{00000000-0005-0000-0000-000020020000}"/>
    <cellStyle name="20% - Accent6 2 2 3 2 2" xfId="28302" xr:uid="{00000000-0005-0000-0000-000021020000}"/>
    <cellStyle name="20% - Accent6 2 2 3 3" xfId="20265" xr:uid="{00000000-0005-0000-0000-000022020000}"/>
    <cellStyle name="20% - Accent6 2 2 4" xfId="2169" xr:uid="{00000000-0005-0000-0000-000023020000}"/>
    <cellStyle name="20% - Accent6 2 2 4 2" xfId="28305" xr:uid="{00000000-0005-0000-0000-000024020000}"/>
    <cellStyle name="20% - Accent6 2 2 5" xfId="20268" xr:uid="{00000000-0005-0000-0000-000025020000}"/>
    <cellStyle name="20% - Accent6 2 3" xfId="2165" xr:uid="{00000000-0005-0000-0000-000026020000}"/>
    <cellStyle name="20% - Accent6 2 3 2" xfId="2164" xr:uid="{00000000-0005-0000-0000-000027020000}"/>
    <cellStyle name="20% - Accent6 2 3 2 2" xfId="11801" xr:uid="{00000000-0005-0000-0000-000028020000}"/>
    <cellStyle name="20% - Accent6 2 3 2 2 2" xfId="28300" xr:uid="{00000000-0005-0000-0000-000029020000}"/>
    <cellStyle name="20% - Accent6 2 3 2 3" xfId="20263" xr:uid="{00000000-0005-0000-0000-00002A020000}"/>
    <cellStyle name="20% - Accent6 2 3 3" xfId="11802" xr:uid="{00000000-0005-0000-0000-00002B020000}"/>
    <cellStyle name="20% - Accent6 2 3 3 2" xfId="28301" xr:uid="{00000000-0005-0000-0000-00002C020000}"/>
    <cellStyle name="20% - Accent6 2 3 4" xfId="20264" xr:uid="{00000000-0005-0000-0000-00002D020000}"/>
    <cellStyle name="20% - Accent6 2 4" xfId="2163" xr:uid="{00000000-0005-0000-0000-00002E020000}"/>
    <cellStyle name="20% - Accent6 2 4 2" xfId="11800" xr:uid="{00000000-0005-0000-0000-00002F020000}"/>
    <cellStyle name="20% - Accent6 2 4 2 2" xfId="28299" xr:uid="{00000000-0005-0000-0000-000030020000}"/>
    <cellStyle name="20% - Accent6 2 4 3" xfId="20262" xr:uid="{00000000-0005-0000-0000-000031020000}"/>
    <cellStyle name="20% - Accent6 2 5" xfId="10883" xr:uid="{00000000-0005-0000-0000-000032020000}"/>
    <cellStyle name="20% - Accent6 2 5 2" xfId="28306" xr:uid="{00000000-0005-0000-0000-000033020000}"/>
    <cellStyle name="20% - Accent6 2 6" xfId="2170" xr:uid="{00000000-0005-0000-0000-000034020000}"/>
    <cellStyle name="20% - Accent6 3" xfId="105" xr:uid="{00000000-0005-0000-0000-000035020000}"/>
    <cellStyle name="20% - Accent6 3 2" xfId="106" xr:uid="{00000000-0005-0000-0000-000036020000}"/>
    <cellStyle name="20% - Accent6 3 2 2" xfId="2162" xr:uid="{00000000-0005-0000-0000-000037020000}"/>
    <cellStyle name="20% - Accent6 3 2 2 2" xfId="11797" xr:uid="{00000000-0005-0000-0000-000038020000}"/>
    <cellStyle name="20% - Accent6 3 2 2 2 2" xfId="28296" xr:uid="{00000000-0005-0000-0000-000039020000}"/>
    <cellStyle name="20% - Accent6 3 2 2 3" xfId="20259" xr:uid="{00000000-0005-0000-0000-00003A020000}"/>
    <cellStyle name="20% - Accent6 3 2 3" xfId="11798" xr:uid="{00000000-0005-0000-0000-00003B020000}"/>
    <cellStyle name="20% - Accent6 3 2 3 2" xfId="28297" xr:uid="{00000000-0005-0000-0000-00003C020000}"/>
    <cellStyle name="20% - Accent6 3 2 4" xfId="20260" xr:uid="{00000000-0005-0000-0000-00003D020000}"/>
    <cellStyle name="20% - Accent6 3 3" xfId="2161" xr:uid="{00000000-0005-0000-0000-00003E020000}"/>
    <cellStyle name="20% - Accent6 3 3 2" xfId="11796" xr:uid="{00000000-0005-0000-0000-00003F020000}"/>
    <cellStyle name="20% - Accent6 3 3 2 2" xfId="28295" xr:uid="{00000000-0005-0000-0000-000040020000}"/>
    <cellStyle name="20% - Accent6 3 3 3" xfId="20258" xr:uid="{00000000-0005-0000-0000-000041020000}"/>
    <cellStyle name="20% - Accent6 3 4" xfId="11799" xr:uid="{00000000-0005-0000-0000-000042020000}"/>
    <cellStyle name="20% - Accent6 3 4 2" xfId="28298" xr:uid="{00000000-0005-0000-0000-000043020000}"/>
    <cellStyle name="20% - Accent6 3 5" xfId="20261" xr:uid="{00000000-0005-0000-0000-000044020000}"/>
    <cellStyle name="20% - Accent6 4" xfId="107" xr:uid="{00000000-0005-0000-0000-000045020000}"/>
    <cellStyle name="20% - Accent6 4 2" xfId="2160" xr:uid="{00000000-0005-0000-0000-000046020000}"/>
    <cellStyle name="20% - Accent6 4 2 2" xfId="11794" xr:uid="{00000000-0005-0000-0000-000047020000}"/>
    <cellStyle name="20% - Accent6 4 2 2 2" xfId="28293" xr:uid="{00000000-0005-0000-0000-000048020000}"/>
    <cellStyle name="20% - Accent6 4 2 3" xfId="20256" xr:uid="{00000000-0005-0000-0000-000049020000}"/>
    <cellStyle name="20% - Accent6 4 3" xfId="11795" xr:uid="{00000000-0005-0000-0000-00004A020000}"/>
    <cellStyle name="20% - Accent6 4 3 2" xfId="28294" xr:uid="{00000000-0005-0000-0000-00004B020000}"/>
    <cellStyle name="20% - Accent6 4 4" xfId="20257" xr:uid="{00000000-0005-0000-0000-00004C020000}"/>
    <cellStyle name="20% - Accent6 5" xfId="446" xr:uid="{00000000-0005-0000-0000-00004D020000}"/>
    <cellStyle name="20% - Accent6 5 2" xfId="2158" xr:uid="{00000000-0005-0000-0000-00004E020000}"/>
    <cellStyle name="20% - Accent6 5 2 2" xfId="11793" xr:uid="{00000000-0005-0000-0000-00004F020000}"/>
    <cellStyle name="20% - Accent6 5 2 2 2" xfId="28291" xr:uid="{00000000-0005-0000-0000-000050020000}"/>
    <cellStyle name="20% - Accent6 5 2 3" xfId="20254" xr:uid="{00000000-0005-0000-0000-000051020000}"/>
    <cellStyle name="20% - Accent6 5 3" xfId="2159" xr:uid="{00000000-0005-0000-0000-000052020000}"/>
    <cellStyle name="20% - Accent6 5 3 2" xfId="28292" xr:uid="{00000000-0005-0000-0000-000053020000}"/>
    <cellStyle name="20% - Accent6 5 4" xfId="20255" xr:uid="{00000000-0005-0000-0000-000054020000}"/>
    <cellStyle name="20% - Accent6 6" xfId="2157" xr:uid="{00000000-0005-0000-0000-000055020000}"/>
    <cellStyle name="20% - Accent6 6 2" xfId="11792" xr:uid="{00000000-0005-0000-0000-000056020000}"/>
    <cellStyle name="20% - Accent6 6 2 2" xfId="28290" xr:uid="{00000000-0005-0000-0000-000057020000}"/>
    <cellStyle name="20% - Accent6 6 3" xfId="20253" xr:uid="{00000000-0005-0000-0000-000058020000}"/>
    <cellStyle name="20% - Accent6 7" xfId="2156" xr:uid="{00000000-0005-0000-0000-000059020000}"/>
    <cellStyle name="20% - Accent6 7 2" xfId="11791" xr:uid="{00000000-0005-0000-0000-00005A020000}"/>
    <cellStyle name="20% - Accent6 7 2 2" xfId="28289" xr:uid="{00000000-0005-0000-0000-00005B020000}"/>
    <cellStyle name="20% - Accent6 7 3" xfId="20252" xr:uid="{00000000-0005-0000-0000-00005C020000}"/>
    <cellStyle name="20% - Accent6 8" xfId="2154" xr:uid="{00000000-0005-0000-0000-00005D020000}"/>
    <cellStyle name="20% - Accent6 8 2" xfId="11790" xr:uid="{00000000-0005-0000-0000-00005E020000}"/>
    <cellStyle name="20% - Accent6 8 2 2" xfId="28288" xr:uid="{00000000-0005-0000-0000-00005F020000}"/>
    <cellStyle name="20% - Accent6 8 3" xfId="20251" xr:uid="{00000000-0005-0000-0000-000060020000}"/>
    <cellStyle name="20% - Accent6 9" xfId="11297" xr:uid="{00000000-0005-0000-0000-000061020000}"/>
    <cellStyle name="20% - Accent6 9 2" xfId="28158" xr:uid="{00000000-0005-0000-0000-000062020000}"/>
    <cellStyle name="20% - Ênfase1" xfId="1795" xr:uid="{00000000-0005-0000-0000-000063020000}"/>
    <cellStyle name="20% - Ênfase2" xfId="1796" xr:uid="{00000000-0005-0000-0000-000064020000}"/>
    <cellStyle name="20% - Ênfase3" xfId="1797" xr:uid="{00000000-0005-0000-0000-000065020000}"/>
    <cellStyle name="20% - Ênfase4" xfId="1798" xr:uid="{00000000-0005-0000-0000-000066020000}"/>
    <cellStyle name="20% - Ênfase5" xfId="1799" xr:uid="{00000000-0005-0000-0000-000067020000}"/>
    <cellStyle name="20% - Ênfase6" xfId="1800" xr:uid="{00000000-0005-0000-0000-000068020000}"/>
    <cellStyle name="20% - Énfasis1" xfId="1801" xr:uid="{00000000-0005-0000-0000-000069020000}"/>
    <cellStyle name="20% - Énfasis2" xfId="1802" xr:uid="{00000000-0005-0000-0000-00006A020000}"/>
    <cellStyle name="20% - Énfasis3" xfId="1803" xr:uid="{00000000-0005-0000-0000-00006B020000}"/>
    <cellStyle name="20% - Énfasis4" xfId="1804" xr:uid="{00000000-0005-0000-0000-00006C020000}"/>
    <cellStyle name="20% - Énfasis5" xfId="1805" xr:uid="{00000000-0005-0000-0000-00006D020000}"/>
    <cellStyle name="20% - Énfasis6" xfId="1806" xr:uid="{00000000-0005-0000-0000-00006E020000}"/>
    <cellStyle name="40% - Accent1" xfId="1757" builtinId="31" customBuiltin="1"/>
    <cellStyle name="40% - Accent1 10" xfId="19621" xr:uid="{00000000-0005-0000-0000-000070020000}"/>
    <cellStyle name="40% - Accent1 2" xfId="36" xr:uid="{00000000-0005-0000-0000-000071020000}"/>
    <cellStyle name="40% - Accent1 2 2" xfId="108" xr:uid="{00000000-0005-0000-0000-000072020000}"/>
    <cellStyle name="40% - Accent1 2 2 2" xfId="2151" xr:uid="{00000000-0005-0000-0000-000073020000}"/>
    <cellStyle name="40% - Accent1 2 2 2 2" xfId="2150" xr:uid="{00000000-0005-0000-0000-000074020000}"/>
    <cellStyle name="40% - Accent1 2 2 2 2 2" xfId="11788" xr:uid="{00000000-0005-0000-0000-000075020000}"/>
    <cellStyle name="40% - Accent1 2 2 2 2 2 2" xfId="28284" xr:uid="{00000000-0005-0000-0000-000076020000}"/>
    <cellStyle name="40% - Accent1 2 2 2 2 3" xfId="20248" xr:uid="{00000000-0005-0000-0000-000077020000}"/>
    <cellStyle name="40% - Accent1 2 2 2 3" xfId="11789" xr:uid="{00000000-0005-0000-0000-000078020000}"/>
    <cellStyle name="40% - Accent1 2 2 2 3 2" xfId="28285" xr:uid="{00000000-0005-0000-0000-000079020000}"/>
    <cellStyle name="40% - Accent1 2 2 2 4" xfId="20249" xr:uid="{00000000-0005-0000-0000-00007A020000}"/>
    <cellStyle name="40% - Accent1 2 2 3" xfId="2149" xr:uid="{00000000-0005-0000-0000-00007B020000}"/>
    <cellStyle name="40% - Accent1 2 2 3 2" xfId="11787" xr:uid="{00000000-0005-0000-0000-00007C020000}"/>
    <cellStyle name="40% - Accent1 2 2 3 2 2" xfId="28283" xr:uid="{00000000-0005-0000-0000-00007D020000}"/>
    <cellStyle name="40% - Accent1 2 2 3 3" xfId="20247" xr:uid="{00000000-0005-0000-0000-00007E020000}"/>
    <cellStyle name="40% - Accent1 2 2 4" xfId="2152" xr:uid="{00000000-0005-0000-0000-00007F020000}"/>
    <cellStyle name="40% - Accent1 2 2 4 2" xfId="28286" xr:uid="{00000000-0005-0000-0000-000080020000}"/>
    <cellStyle name="40% - Accent1 2 2 5" xfId="20250" xr:uid="{00000000-0005-0000-0000-000081020000}"/>
    <cellStyle name="40% - Accent1 2 3" xfId="2148" xr:uid="{00000000-0005-0000-0000-000082020000}"/>
    <cellStyle name="40% - Accent1 2 3 2" xfId="2147" xr:uid="{00000000-0005-0000-0000-000083020000}"/>
    <cellStyle name="40% - Accent1 2 3 2 2" xfId="11785" xr:uid="{00000000-0005-0000-0000-000084020000}"/>
    <cellStyle name="40% - Accent1 2 3 2 2 2" xfId="28281" xr:uid="{00000000-0005-0000-0000-000085020000}"/>
    <cellStyle name="40% - Accent1 2 3 2 3" xfId="20245" xr:uid="{00000000-0005-0000-0000-000086020000}"/>
    <cellStyle name="40% - Accent1 2 3 3" xfId="11786" xr:uid="{00000000-0005-0000-0000-000087020000}"/>
    <cellStyle name="40% - Accent1 2 3 3 2" xfId="28282" xr:uid="{00000000-0005-0000-0000-000088020000}"/>
    <cellStyle name="40% - Accent1 2 3 4" xfId="20246" xr:uid="{00000000-0005-0000-0000-000089020000}"/>
    <cellStyle name="40% - Accent1 2 4" xfId="2146" xr:uid="{00000000-0005-0000-0000-00008A020000}"/>
    <cellStyle name="40% - Accent1 2 4 2" xfId="11784" xr:uid="{00000000-0005-0000-0000-00008B020000}"/>
    <cellStyle name="40% - Accent1 2 4 2 2" xfId="28280" xr:uid="{00000000-0005-0000-0000-00008C020000}"/>
    <cellStyle name="40% - Accent1 2 4 3" xfId="20244" xr:uid="{00000000-0005-0000-0000-00008D020000}"/>
    <cellStyle name="40% - Accent1 2 5" xfId="10884" xr:uid="{00000000-0005-0000-0000-00008E020000}"/>
    <cellStyle name="40% - Accent1 2 5 2" xfId="28287" xr:uid="{00000000-0005-0000-0000-00008F020000}"/>
    <cellStyle name="40% - Accent1 2 6" xfId="2153" xr:uid="{00000000-0005-0000-0000-000090020000}"/>
    <cellStyle name="40% - Accent1 3" xfId="109" xr:uid="{00000000-0005-0000-0000-000091020000}"/>
    <cellStyle name="40% - Accent1 3 2" xfId="110" xr:uid="{00000000-0005-0000-0000-000092020000}"/>
    <cellStyle name="40% - Accent1 3 2 2" xfId="2145" xr:uid="{00000000-0005-0000-0000-000093020000}"/>
    <cellStyle name="40% - Accent1 3 2 2 2" xfId="11781" xr:uid="{00000000-0005-0000-0000-000094020000}"/>
    <cellStyle name="40% - Accent1 3 2 2 2 2" xfId="28277" xr:uid="{00000000-0005-0000-0000-000095020000}"/>
    <cellStyle name="40% - Accent1 3 2 2 3" xfId="20241" xr:uid="{00000000-0005-0000-0000-000096020000}"/>
    <cellStyle name="40% - Accent1 3 2 3" xfId="11782" xr:uid="{00000000-0005-0000-0000-000097020000}"/>
    <cellStyle name="40% - Accent1 3 2 3 2" xfId="28278" xr:uid="{00000000-0005-0000-0000-000098020000}"/>
    <cellStyle name="40% - Accent1 3 2 4" xfId="20242" xr:uid="{00000000-0005-0000-0000-000099020000}"/>
    <cellStyle name="40% - Accent1 3 3" xfId="2144" xr:uid="{00000000-0005-0000-0000-00009A020000}"/>
    <cellStyle name="40% - Accent1 3 3 2" xfId="11780" xr:uid="{00000000-0005-0000-0000-00009B020000}"/>
    <cellStyle name="40% - Accent1 3 3 2 2" xfId="28276" xr:uid="{00000000-0005-0000-0000-00009C020000}"/>
    <cellStyle name="40% - Accent1 3 3 3" xfId="20240" xr:uid="{00000000-0005-0000-0000-00009D020000}"/>
    <cellStyle name="40% - Accent1 3 4" xfId="11783" xr:uid="{00000000-0005-0000-0000-00009E020000}"/>
    <cellStyle name="40% - Accent1 3 4 2" xfId="28279" xr:uid="{00000000-0005-0000-0000-00009F020000}"/>
    <cellStyle name="40% - Accent1 3 5" xfId="20243" xr:uid="{00000000-0005-0000-0000-0000A0020000}"/>
    <cellStyle name="40% - Accent1 4" xfId="111" xr:uid="{00000000-0005-0000-0000-0000A1020000}"/>
    <cellStyle name="40% - Accent1 4 2" xfId="2143" xr:uid="{00000000-0005-0000-0000-0000A2020000}"/>
    <cellStyle name="40% - Accent1 4 2 2" xfId="11778" xr:uid="{00000000-0005-0000-0000-0000A3020000}"/>
    <cellStyle name="40% - Accent1 4 2 2 2" xfId="28274" xr:uid="{00000000-0005-0000-0000-0000A4020000}"/>
    <cellStyle name="40% - Accent1 4 2 3" xfId="20238" xr:uid="{00000000-0005-0000-0000-0000A5020000}"/>
    <cellStyle name="40% - Accent1 4 3" xfId="11779" xr:uid="{00000000-0005-0000-0000-0000A6020000}"/>
    <cellStyle name="40% - Accent1 4 3 2" xfId="28275" xr:uid="{00000000-0005-0000-0000-0000A7020000}"/>
    <cellStyle name="40% - Accent1 4 4" xfId="20239" xr:uid="{00000000-0005-0000-0000-0000A8020000}"/>
    <cellStyle name="40% - Accent1 5" xfId="447" xr:uid="{00000000-0005-0000-0000-0000A9020000}"/>
    <cellStyle name="40% - Accent1 5 2" xfId="2065" xr:uid="{00000000-0005-0000-0000-0000AA020000}"/>
    <cellStyle name="40% - Accent1 5 2 2" xfId="11423" xr:uid="{00000000-0005-0000-0000-0000AB020000}"/>
    <cellStyle name="40% - Accent1 5 2 2 2" xfId="28222" xr:uid="{00000000-0005-0000-0000-0000AC020000}"/>
    <cellStyle name="40% - Accent1 5 2 3" xfId="19896" xr:uid="{00000000-0005-0000-0000-0000AD020000}"/>
    <cellStyle name="40% - Accent1 5 3" xfId="2066" xr:uid="{00000000-0005-0000-0000-0000AE020000}"/>
    <cellStyle name="40% - Accent1 5 3 2" xfId="28223" xr:uid="{00000000-0005-0000-0000-0000AF020000}"/>
    <cellStyle name="40% - Accent1 5 4" xfId="19897" xr:uid="{00000000-0005-0000-0000-0000B0020000}"/>
    <cellStyle name="40% - Accent1 6" xfId="2092" xr:uid="{00000000-0005-0000-0000-0000B1020000}"/>
    <cellStyle name="40% - Accent1 6 2" xfId="11562" xr:uid="{00000000-0005-0000-0000-0000B2020000}"/>
    <cellStyle name="40% - Accent1 6 2 2" xfId="28237" xr:uid="{00000000-0005-0000-0000-0000B3020000}"/>
    <cellStyle name="40% - Accent1 6 3" xfId="20029" xr:uid="{00000000-0005-0000-0000-0000B4020000}"/>
    <cellStyle name="40% - Accent1 7" xfId="2124" xr:uid="{00000000-0005-0000-0000-0000B5020000}"/>
    <cellStyle name="40% - Accent1 7 2" xfId="11699" xr:uid="{00000000-0005-0000-0000-0000B6020000}"/>
    <cellStyle name="40% - Accent1 7 2 2" xfId="28254" xr:uid="{00000000-0005-0000-0000-0000B7020000}"/>
    <cellStyle name="40% - Accent1 7 3" xfId="20158" xr:uid="{00000000-0005-0000-0000-0000B8020000}"/>
    <cellStyle name="40% - Accent1 8" xfId="1997" xr:uid="{00000000-0005-0000-0000-0000B9020000}"/>
    <cellStyle name="40% - Accent1 8 2" xfId="11334" xr:uid="{00000000-0005-0000-0000-0000BA020000}"/>
    <cellStyle name="40% - Accent1 8 2 2" xfId="28162" xr:uid="{00000000-0005-0000-0000-0000BB020000}"/>
    <cellStyle name="40% - Accent1 8 3" xfId="19812" xr:uid="{00000000-0005-0000-0000-0000BC020000}"/>
    <cellStyle name="40% - Accent1 9" xfId="11288" xr:uid="{00000000-0005-0000-0000-0000BD020000}"/>
    <cellStyle name="40% - Accent1 9 2" xfId="28149" xr:uid="{00000000-0005-0000-0000-0000BE020000}"/>
    <cellStyle name="40% - Accent2" xfId="1761" builtinId="35" customBuiltin="1"/>
    <cellStyle name="40% - Accent2 10" xfId="19623" xr:uid="{00000000-0005-0000-0000-0000C0020000}"/>
    <cellStyle name="40% - Accent2 2" xfId="37" xr:uid="{00000000-0005-0000-0000-0000C1020000}"/>
    <cellStyle name="40% - Accent2 2 2" xfId="2069" xr:uid="{00000000-0005-0000-0000-0000C2020000}"/>
    <cellStyle name="40% - Accent2 2 2 2" xfId="2064" xr:uid="{00000000-0005-0000-0000-0000C3020000}"/>
    <cellStyle name="40% - Accent2 2 2 2 2" xfId="2138" xr:uid="{00000000-0005-0000-0000-0000C4020000}"/>
    <cellStyle name="40% - Accent2 2 2 2 2 2" xfId="11761" xr:uid="{00000000-0005-0000-0000-0000C5020000}"/>
    <cellStyle name="40% - Accent2 2 2 2 2 2 2" xfId="28269" xr:uid="{00000000-0005-0000-0000-0000C6020000}"/>
    <cellStyle name="40% - Accent2 2 2 2 2 3" xfId="20221" xr:uid="{00000000-0005-0000-0000-0000C7020000}"/>
    <cellStyle name="40% - Accent2 2 2 2 3" xfId="11422" xr:uid="{00000000-0005-0000-0000-0000C8020000}"/>
    <cellStyle name="40% - Accent2 2 2 2 3 2" xfId="28221" xr:uid="{00000000-0005-0000-0000-0000C9020000}"/>
    <cellStyle name="40% - Accent2 2 2 2 4" xfId="19895" xr:uid="{00000000-0005-0000-0000-0000CA020000}"/>
    <cellStyle name="40% - Accent2 2 2 3" xfId="2063" xr:uid="{00000000-0005-0000-0000-0000CB020000}"/>
    <cellStyle name="40% - Accent2 2 2 3 2" xfId="11421" xr:uid="{00000000-0005-0000-0000-0000CC020000}"/>
    <cellStyle name="40% - Accent2 2 2 3 2 2" xfId="28220" xr:uid="{00000000-0005-0000-0000-0000CD020000}"/>
    <cellStyle name="40% - Accent2 2 2 3 3" xfId="19894" xr:uid="{00000000-0005-0000-0000-0000CE020000}"/>
    <cellStyle name="40% - Accent2 2 2 4" xfId="11456" xr:uid="{00000000-0005-0000-0000-0000CF020000}"/>
    <cellStyle name="40% - Accent2 2 2 4 2" xfId="28224" xr:uid="{00000000-0005-0000-0000-0000D0020000}"/>
    <cellStyle name="40% - Accent2 2 2 5" xfId="19928" xr:uid="{00000000-0005-0000-0000-0000D1020000}"/>
    <cellStyle name="40% - Accent2 2 3" xfId="2100" xr:uid="{00000000-0005-0000-0000-0000D2020000}"/>
    <cellStyle name="40% - Accent2 2 3 2" xfId="2131" xr:uid="{00000000-0005-0000-0000-0000D3020000}"/>
    <cellStyle name="40% - Accent2 2 3 2 2" xfId="11729" xr:uid="{00000000-0005-0000-0000-0000D4020000}"/>
    <cellStyle name="40% - Accent2 2 3 2 2 2" xfId="28261" xr:uid="{00000000-0005-0000-0000-0000D5020000}"/>
    <cellStyle name="40% - Accent2 2 3 2 3" xfId="20189" xr:uid="{00000000-0005-0000-0000-0000D6020000}"/>
    <cellStyle name="40% - Accent2 2 3 3" xfId="11594" xr:uid="{00000000-0005-0000-0000-0000D7020000}"/>
    <cellStyle name="40% - Accent2 2 3 3 2" xfId="28242" xr:uid="{00000000-0005-0000-0000-0000D8020000}"/>
    <cellStyle name="40% - Accent2 2 3 4" xfId="20059" xr:uid="{00000000-0005-0000-0000-0000D9020000}"/>
    <cellStyle name="40% - Accent2 2 4" xfId="1999" xr:uid="{00000000-0005-0000-0000-0000DA020000}"/>
    <cellStyle name="40% - Accent2 2 4 2" xfId="11341" xr:uid="{00000000-0005-0000-0000-0000DB020000}"/>
    <cellStyle name="40% - Accent2 2 4 2 2" xfId="28163" xr:uid="{00000000-0005-0000-0000-0000DC020000}"/>
    <cellStyle name="40% - Accent2 2 4 3" xfId="19818" xr:uid="{00000000-0005-0000-0000-0000DD020000}"/>
    <cellStyle name="40% - Accent2 2 5" xfId="10885" xr:uid="{00000000-0005-0000-0000-0000DE020000}"/>
    <cellStyle name="40% - Accent2 2 5 2" xfId="28251" xr:uid="{00000000-0005-0000-0000-0000DF020000}"/>
    <cellStyle name="40% - Accent2 2 6" xfId="2117" xr:uid="{00000000-0005-0000-0000-0000E0020000}"/>
    <cellStyle name="40% - Accent2 3" xfId="112" xr:uid="{00000000-0005-0000-0000-0000E1020000}"/>
    <cellStyle name="40% - Accent2 3 2" xfId="113" xr:uid="{00000000-0005-0000-0000-0000E2020000}"/>
    <cellStyle name="40% - Accent2 3 2 2" xfId="2062" xr:uid="{00000000-0005-0000-0000-0000E3020000}"/>
    <cellStyle name="40% - Accent2 3 2 2 2" xfId="11420" xr:uid="{00000000-0005-0000-0000-0000E4020000}"/>
    <cellStyle name="40% - Accent2 3 2 2 2 2" xfId="28219" xr:uid="{00000000-0005-0000-0000-0000E5020000}"/>
    <cellStyle name="40% - Accent2 3 2 2 3" xfId="19893" xr:uid="{00000000-0005-0000-0000-0000E6020000}"/>
    <cellStyle name="40% - Accent2 3 2 3" xfId="11301" xr:uid="{00000000-0005-0000-0000-0000E7020000}"/>
    <cellStyle name="40% - Accent2 3 2 3 2" xfId="28161" xr:uid="{00000000-0005-0000-0000-0000E8020000}"/>
    <cellStyle name="40% - Accent2 3 2 4" xfId="19783" xr:uid="{00000000-0005-0000-0000-0000E9020000}"/>
    <cellStyle name="40% - Accent2 3 3" xfId="2107" xr:uid="{00000000-0005-0000-0000-0000EA020000}"/>
    <cellStyle name="40% - Accent2 3 3 2" xfId="11626" xr:uid="{00000000-0005-0000-0000-0000EB020000}"/>
    <cellStyle name="40% - Accent2 3 3 2 2" xfId="28246" xr:uid="{00000000-0005-0000-0000-0000EC020000}"/>
    <cellStyle name="40% - Accent2 3 3 3" xfId="20089" xr:uid="{00000000-0005-0000-0000-0000ED020000}"/>
    <cellStyle name="40% - Accent2 3 4" xfId="11701" xr:uid="{00000000-0005-0000-0000-0000EE020000}"/>
    <cellStyle name="40% - Accent2 3 4 2" xfId="28256" xr:uid="{00000000-0005-0000-0000-0000EF020000}"/>
    <cellStyle name="40% - Accent2 3 5" xfId="20160" xr:uid="{00000000-0005-0000-0000-0000F0020000}"/>
    <cellStyle name="40% - Accent2 4" xfId="114" xr:uid="{00000000-0005-0000-0000-0000F1020000}"/>
    <cellStyle name="40% - Accent2 4 2" xfId="2002" xr:uid="{00000000-0005-0000-0000-0000F2020000}"/>
    <cellStyle name="40% - Accent2 4 2 2" xfId="11349" xr:uid="{00000000-0005-0000-0000-0000F3020000}"/>
    <cellStyle name="40% - Accent2 4 2 2 2" xfId="28165" xr:uid="{00000000-0005-0000-0000-0000F4020000}"/>
    <cellStyle name="40% - Accent2 4 2 3" xfId="19825" xr:uid="{00000000-0005-0000-0000-0000F5020000}"/>
    <cellStyle name="40% - Accent2 4 3" xfId="11760" xr:uid="{00000000-0005-0000-0000-0000F6020000}"/>
    <cellStyle name="40% - Accent2 4 3 2" xfId="28268" xr:uid="{00000000-0005-0000-0000-0000F7020000}"/>
    <cellStyle name="40% - Accent2 4 4" xfId="20220" xr:uid="{00000000-0005-0000-0000-0000F8020000}"/>
    <cellStyle name="40% - Accent2 5" xfId="448" xr:uid="{00000000-0005-0000-0000-0000F9020000}"/>
    <cellStyle name="40% - Accent2 5 2" xfId="2060" xr:uid="{00000000-0005-0000-0000-0000FA020000}"/>
    <cellStyle name="40% - Accent2 5 2 2" xfId="11418" xr:uid="{00000000-0005-0000-0000-0000FB020000}"/>
    <cellStyle name="40% - Accent2 5 2 2 2" xfId="28217" xr:uid="{00000000-0005-0000-0000-0000FC020000}"/>
    <cellStyle name="40% - Accent2 5 2 3" xfId="19892" xr:uid="{00000000-0005-0000-0000-0000FD020000}"/>
    <cellStyle name="40% - Accent2 5 3" xfId="2134" xr:uid="{00000000-0005-0000-0000-0000FE020000}"/>
    <cellStyle name="40% - Accent2 5 3 2" xfId="28263" xr:uid="{00000000-0005-0000-0000-0000FF020000}"/>
    <cellStyle name="40% - Accent2 5 4" xfId="20191" xr:uid="{00000000-0005-0000-0000-000000030000}"/>
    <cellStyle name="40% - Accent2 6" xfId="1992" xr:uid="{00000000-0005-0000-0000-000001030000}"/>
    <cellStyle name="40% - Accent2 6 2" xfId="11299" xr:uid="{00000000-0005-0000-0000-000002030000}"/>
    <cellStyle name="40% - Accent2 6 2 2" xfId="28160" xr:uid="{00000000-0005-0000-0000-000003030000}"/>
    <cellStyle name="40% - Accent2 6 3" xfId="19781" xr:uid="{00000000-0005-0000-0000-000004030000}"/>
    <cellStyle name="40% - Accent2 7" xfId="2140" xr:uid="{00000000-0005-0000-0000-000005030000}"/>
    <cellStyle name="40% - Accent2 7 2" xfId="11763" xr:uid="{00000000-0005-0000-0000-000006030000}"/>
    <cellStyle name="40% - Accent2 7 2 2" xfId="28271" xr:uid="{00000000-0005-0000-0000-000007030000}"/>
    <cellStyle name="40% - Accent2 7 3" xfId="20223" xr:uid="{00000000-0005-0000-0000-000008030000}"/>
    <cellStyle name="40% - Accent2 8" xfId="2059" xr:uid="{00000000-0005-0000-0000-000009030000}"/>
    <cellStyle name="40% - Accent2 8 2" xfId="11417" xr:uid="{00000000-0005-0000-0000-00000A030000}"/>
    <cellStyle name="40% - Accent2 8 2 2" xfId="28216" xr:uid="{00000000-0005-0000-0000-00000B030000}"/>
    <cellStyle name="40% - Accent2 8 3" xfId="19891" xr:uid="{00000000-0005-0000-0000-00000C030000}"/>
    <cellStyle name="40% - Accent2 9" xfId="11290" xr:uid="{00000000-0005-0000-0000-00000D030000}"/>
    <cellStyle name="40% - Accent2 9 2" xfId="28151" xr:uid="{00000000-0005-0000-0000-00000E030000}"/>
    <cellStyle name="40% - Accent3" xfId="1765" builtinId="39" customBuiltin="1"/>
    <cellStyle name="40% - Accent3 10" xfId="19625" xr:uid="{00000000-0005-0000-0000-000010030000}"/>
    <cellStyle name="40% - Accent3 2" xfId="38" xr:uid="{00000000-0005-0000-0000-000011030000}"/>
    <cellStyle name="40% - Accent3 2 2" xfId="115" xr:uid="{00000000-0005-0000-0000-000012030000}"/>
    <cellStyle name="40% - Accent3 2 2 2" xfId="2056" xr:uid="{00000000-0005-0000-0000-000013030000}"/>
    <cellStyle name="40% - Accent3 2 2 2 2" xfId="2055" xr:uid="{00000000-0005-0000-0000-000014030000}"/>
    <cellStyle name="40% - Accent3 2 2 2 2 2" xfId="11415" xr:uid="{00000000-0005-0000-0000-000015030000}"/>
    <cellStyle name="40% - Accent3 2 2 2 2 2 2" xfId="28212" xr:uid="{00000000-0005-0000-0000-000016030000}"/>
    <cellStyle name="40% - Accent3 2 2 2 2 3" xfId="19888" xr:uid="{00000000-0005-0000-0000-000017030000}"/>
    <cellStyle name="40% - Accent3 2 2 2 3" xfId="11416" xr:uid="{00000000-0005-0000-0000-000018030000}"/>
    <cellStyle name="40% - Accent3 2 2 2 3 2" xfId="28213" xr:uid="{00000000-0005-0000-0000-000019030000}"/>
    <cellStyle name="40% - Accent3 2 2 2 4" xfId="19889" xr:uid="{00000000-0005-0000-0000-00001A030000}"/>
    <cellStyle name="40% - Accent3 2 2 3" xfId="2054" xr:uid="{00000000-0005-0000-0000-00001B030000}"/>
    <cellStyle name="40% - Accent3 2 2 3 2" xfId="11414" xr:uid="{00000000-0005-0000-0000-00001C030000}"/>
    <cellStyle name="40% - Accent3 2 2 3 2 2" xfId="28211" xr:uid="{00000000-0005-0000-0000-00001D030000}"/>
    <cellStyle name="40% - Accent3 2 2 3 3" xfId="19887" xr:uid="{00000000-0005-0000-0000-00001E030000}"/>
    <cellStyle name="40% - Accent3 2 2 4" xfId="2057" xr:uid="{00000000-0005-0000-0000-00001F030000}"/>
    <cellStyle name="40% - Accent3 2 2 4 2" xfId="28214" xr:uid="{00000000-0005-0000-0000-000020030000}"/>
    <cellStyle name="40% - Accent3 2 2 5" xfId="19890" xr:uid="{00000000-0005-0000-0000-000021030000}"/>
    <cellStyle name="40% - Accent3 2 3" xfId="2052" xr:uid="{00000000-0005-0000-0000-000022030000}"/>
    <cellStyle name="40% - Accent3 2 3 2" xfId="2051" xr:uid="{00000000-0005-0000-0000-000023030000}"/>
    <cellStyle name="40% - Accent3 2 3 2 2" xfId="11411" xr:uid="{00000000-0005-0000-0000-000024030000}"/>
    <cellStyle name="40% - Accent3 2 3 2 2 2" xfId="28209" xr:uid="{00000000-0005-0000-0000-000025030000}"/>
    <cellStyle name="40% - Accent3 2 3 2 3" xfId="19885" xr:uid="{00000000-0005-0000-0000-000026030000}"/>
    <cellStyle name="40% - Accent3 2 3 3" xfId="11412" xr:uid="{00000000-0005-0000-0000-000027030000}"/>
    <cellStyle name="40% - Accent3 2 3 3 2" xfId="28210" xr:uid="{00000000-0005-0000-0000-000028030000}"/>
    <cellStyle name="40% - Accent3 2 3 4" xfId="19886" xr:uid="{00000000-0005-0000-0000-000029030000}"/>
    <cellStyle name="40% - Accent3 2 4" xfId="2050" xr:uid="{00000000-0005-0000-0000-00002A030000}"/>
    <cellStyle name="40% - Accent3 2 4 2" xfId="11410" xr:uid="{00000000-0005-0000-0000-00002B030000}"/>
    <cellStyle name="40% - Accent3 2 4 2 2" xfId="28208" xr:uid="{00000000-0005-0000-0000-00002C030000}"/>
    <cellStyle name="40% - Accent3 2 4 3" xfId="19884" xr:uid="{00000000-0005-0000-0000-00002D030000}"/>
    <cellStyle name="40% - Accent3 2 5" xfId="10886" xr:uid="{00000000-0005-0000-0000-00002E030000}"/>
    <cellStyle name="40% - Accent3 2 5 2" xfId="28215" xr:uid="{00000000-0005-0000-0000-00002F030000}"/>
    <cellStyle name="40% - Accent3 2 6" xfId="2058" xr:uid="{00000000-0005-0000-0000-000030030000}"/>
    <cellStyle name="40% - Accent3 3" xfId="116" xr:uid="{00000000-0005-0000-0000-000031030000}"/>
    <cellStyle name="40% - Accent3 3 2" xfId="117" xr:uid="{00000000-0005-0000-0000-000032030000}"/>
    <cellStyle name="40% - Accent3 3 2 2" xfId="2049" xr:uid="{00000000-0005-0000-0000-000033030000}"/>
    <cellStyle name="40% - Accent3 3 2 2 2" xfId="11407" xr:uid="{00000000-0005-0000-0000-000034030000}"/>
    <cellStyle name="40% - Accent3 3 2 2 2 2" xfId="28205" xr:uid="{00000000-0005-0000-0000-000035030000}"/>
    <cellStyle name="40% - Accent3 3 2 2 3" xfId="19881" xr:uid="{00000000-0005-0000-0000-000036030000}"/>
    <cellStyle name="40% - Accent3 3 2 3" xfId="11408" xr:uid="{00000000-0005-0000-0000-000037030000}"/>
    <cellStyle name="40% - Accent3 3 2 3 2" xfId="28206" xr:uid="{00000000-0005-0000-0000-000038030000}"/>
    <cellStyle name="40% - Accent3 3 2 4" xfId="19882" xr:uid="{00000000-0005-0000-0000-000039030000}"/>
    <cellStyle name="40% - Accent3 3 3" xfId="2048" xr:uid="{00000000-0005-0000-0000-00003A030000}"/>
    <cellStyle name="40% - Accent3 3 3 2" xfId="11406" xr:uid="{00000000-0005-0000-0000-00003B030000}"/>
    <cellStyle name="40% - Accent3 3 3 2 2" xfId="28204" xr:uid="{00000000-0005-0000-0000-00003C030000}"/>
    <cellStyle name="40% - Accent3 3 3 3" xfId="19880" xr:uid="{00000000-0005-0000-0000-00003D030000}"/>
    <cellStyle name="40% - Accent3 3 4" xfId="11409" xr:uid="{00000000-0005-0000-0000-00003E030000}"/>
    <cellStyle name="40% - Accent3 3 4 2" xfId="28207" xr:uid="{00000000-0005-0000-0000-00003F030000}"/>
    <cellStyle name="40% - Accent3 3 5" xfId="19883" xr:uid="{00000000-0005-0000-0000-000040030000}"/>
    <cellStyle name="40% - Accent3 4" xfId="118" xr:uid="{00000000-0005-0000-0000-000041030000}"/>
    <cellStyle name="40% - Accent3 4 2" xfId="2047" xr:uid="{00000000-0005-0000-0000-000042030000}"/>
    <cellStyle name="40% - Accent3 4 2 2" xfId="11404" xr:uid="{00000000-0005-0000-0000-000043030000}"/>
    <cellStyle name="40% - Accent3 4 2 2 2" xfId="28202" xr:uid="{00000000-0005-0000-0000-000044030000}"/>
    <cellStyle name="40% - Accent3 4 2 3" xfId="19878" xr:uid="{00000000-0005-0000-0000-000045030000}"/>
    <cellStyle name="40% - Accent3 4 3" xfId="11405" xr:uid="{00000000-0005-0000-0000-000046030000}"/>
    <cellStyle name="40% - Accent3 4 3 2" xfId="28203" xr:uid="{00000000-0005-0000-0000-000047030000}"/>
    <cellStyle name="40% - Accent3 4 4" xfId="19879" xr:uid="{00000000-0005-0000-0000-000048030000}"/>
    <cellStyle name="40% - Accent3 5" xfId="449" xr:uid="{00000000-0005-0000-0000-000049030000}"/>
    <cellStyle name="40% - Accent3 5 2" xfId="2045" xr:uid="{00000000-0005-0000-0000-00004A030000}"/>
    <cellStyle name="40% - Accent3 5 2 2" xfId="11403" xr:uid="{00000000-0005-0000-0000-00004B030000}"/>
    <cellStyle name="40% - Accent3 5 2 2 2" xfId="28200" xr:uid="{00000000-0005-0000-0000-00004C030000}"/>
    <cellStyle name="40% - Accent3 5 2 3" xfId="19876" xr:uid="{00000000-0005-0000-0000-00004D030000}"/>
    <cellStyle name="40% - Accent3 5 3" xfId="2046" xr:uid="{00000000-0005-0000-0000-00004E030000}"/>
    <cellStyle name="40% - Accent3 5 3 2" xfId="28201" xr:uid="{00000000-0005-0000-0000-00004F030000}"/>
    <cellStyle name="40% - Accent3 5 4" xfId="19877" xr:uid="{00000000-0005-0000-0000-000050030000}"/>
    <cellStyle name="40% - Accent3 6" xfId="2044" xr:uid="{00000000-0005-0000-0000-000051030000}"/>
    <cellStyle name="40% - Accent3 6 2" xfId="11402" xr:uid="{00000000-0005-0000-0000-000052030000}"/>
    <cellStyle name="40% - Accent3 6 2 2" xfId="28199" xr:uid="{00000000-0005-0000-0000-000053030000}"/>
    <cellStyle name="40% - Accent3 6 3" xfId="19875" xr:uid="{00000000-0005-0000-0000-000054030000}"/>
    <cellStyle name="40% - Accent3 7" xfId="2043" xr:uid="{00000000-0005-0000-0000-000055030000}"/>
    <cellStyle name="40% - Accent3 7 2" xfId="11401" xr:uid="{00000000-0005-0000-0000-000056030000}"/>
    <cellStyle name="40% - Accent3 7 2 2" xfId="28198" xr:uid="{00000000-0005-0000-0000-000057030000}"/>
    <cellStyle name="40% - Accent3 7 3" xfId="19874" xr:uid="{00000000-0005-0000-0000-000058030000}"/>
    <cellStyle name="40% - Accent3 8" xfId="2042" xr:uid="{00000000-0005-0000-0000-000059030000}"/>
    <cellStyle name="40% - Accent3 8 2" xfId="11400" xr:uid="{00000000-0005-0000-0000-00005A030000}"/>
    <cellStyle name="40% - Accent3 8 2 2" xfId="28197" xr:uid="{00000000-0005-0000-0000-00005B030000}"/>
    <cellStyle name="40% - Accent3 8 3" xfId="19873" xr:uid="{00000000-0005-0000-0000-00005C030000}"/>
    <cellStyle name="40% - Accent3 9" xfId="11292" xr:uid="{00000000-0005-0000-0000-00005D030000}"/>
    <cellStyle name="40% - Accent3 9 2" xfId="28153" xr:uid="{00000000-0005-0000-0000-00005E030000}"/>
    <cellStyle name="40% - Accent4" xfId="1769" builtinId="43" customBuiltin="1"/>
    <cellStyle name="40% - Accent4 10" xfId="19627" xr:uid="{00000000-0005-0000-0000-000060030000}"/>
    <cellStyle name="40% - Accent4 2" xfId="39" xr:uid="{00000000-0005-0000-0000-000061030000}"/>
    <cellStyle name="40% - Accent4 2 2" xfId="119" xr:uid="{00000000-0005-0000-0000-000062030000}"/>
    <cellStyle name="40% - Accent4 2 2 2" xfId="2039" xr:uid="{00000000-0005-0000-0000-000063030000}"/>
    <cellStyle name="40% - Accent4 2 2 2 2" xfId="2038" xr:uid="{00000000-0005-0000-0000-000064030000}"/>
    <cellStyle name="40% - Accent4 2 2 2 2 2" xfId="11398" xr:uid="{00000000-0005-0000-0000-000065030000}"/>
    <cellStyle name="40% - Accent4 2 2 2 2 2 2" xfId="28193" xr:uid="{00000000-0005-0000-0000-000066030000}"/>
    <cellStyle name="40% - Accent4 2 2 2 2 3" xfId="19870" xr:uid="{00000000-0005-0000-0000-000067030000}"/>
    <cellStyle name="40% - Accent4 2 2 2 3" xfId="11399" xr:uid="{00000000-0005-0000-0000-000068030000}"/>
    <cellStyle name="40% - Accent4 2 2 2 3 2" xfId="28194" xr:uid="{00000000-0005-0000-0000-000069030000}"/>
    <cellStyle name="40% - Accent4 2 2 2 4" xfId="19871" xr:uid="{00000000-0005-0000-0000-00006A030000}"/>
    <cellStyle name="40% - Accent4 2 2 3" xfId="2037" xr:uid="{00000000-0005-0000-0000-00006B030000}"/>
    <cellStyle name="40% - Accent4 2 2 3 2" xfId="11397" xr:uid="{00000000-0005-0000-0000-00006C030000}"/>
    <cellStyle name="40% - Accent4 2 2 3 2 2" xfId="28192" xr:uid="{00000000-0005-0000-0000-00006D030000}"/>
    <cellStyle name="40% - Accent4 2 2 3 3" xfId="19869" xr:uid="{00000000-0005-0000-0000-00006E030000}"/>
    <cellStyle name="40% - Accent4 2 2 4" xfId="2040" xr:uid="{00000000-0005-0000-0000-00006F030000}"/>
    <cellStyle name="40% - Accent4 2 2 4 2" xfId="28195" xr:uid="{00000000-0005-0000-0000-000070030000}"/>
    <cellStyle name="40% - Accent4 2 2 5" xfId="19872" xr:uid="{00000000-0005-0000-0000-000071030000}"/>
    <cellStyle name="40% - Accent4 2 3" xfId="2036" xr:uid="{00000000-0005-0000-0000-000072030000}"/>
    <cellStyle name="40% - Accent4 2 3 2" xfId="2035" xr:uid="{00000000-0005-0000-0000-000073030000}"/>
    <cellStyle name="40% - Accent4 2 3 2 2" xfId="11395" xr:uid="{00000000-0005-0000-0000-000074030000}"/>
    <cellStyle name="40% - Accent4 2 3 2 2 2" xfId="28190" xr:uid="{00000000-0005-0000-0000-000075030000}"/>
    <cellStyle name="40% - Accent4 2 3 2 3" xfId="19867" xr:uid="{00000000-0005-0000-0000-000076030000}"/>
    <cellStyle name="40% - Accent4 2 3 3" xfId="11396" xr:uid="{00000000-0005-0000-0000-000077030000}"/>
    <cellStyle name="40% - Accent4 2 3 3 2" xfId="28191" xr:uid="{00000000-0005-0000-0000-000078030000}"/>
    <cellStyle name="40% - Accent4 2 3 4" xfId="19868" xr:uid="{00000000-0005-0000-0000-000079030000}"/>
    <cellStyle name="40% - Accent4 2 4" xfId="2034" xr:uid="{00000000-0005-0000-0000-00007A030000}"/>
    <cellStyle name="40% - Accent4 2 4 2" xfId="11394" xr:uid="{00000000-0005-0000-0000-00007B030000}"/>
    <cellStyle name="40% - Accent4 2 4 2 2" xfId="28189" xr:uid="{00000000-0005-0000-0000-00007C030000}"/>
    <cellStyle name="40% - Accent4 2 4 3" xfId="19866" xr:uid="{00000000-0005-0000-0000-00007D030000}"/>
    <cellStyle name="40% - Accent4 2 5" xfId="10887" xr:uid="{00000000-0005-0000-0000-00007E030000}"/>
    <cellStyle name="40% - Accent4 2 5 2" xfId="28196" xr:uid="{00000000-0005-0000-0000-00007F030000}"/>
    <cellStyle name="40% - Accent4 2 6" xfId="2041" xr:uid="{00000000-0005-0000-0000-000080030000}"/>
    <cellStyle name="40% - Accent4 3" xfId="120" xr:uid="{00000000-0005-0000-0000-000081030000}"/>
    <cellStyle name="40% - Accent4 3 2" xfId="121" xr:uid="{00000000-0005-0000-0000-000082030000}"/>
    <cellStyle name="40% - Accent4 3 2 2" xfId="2033" xr:uid="{00000000-0005-0000-0000-000083030000}"/>
    <cellStyle name="40% - Accent4 3 2 2 2" xfId="11391" xr:uid="{00000000-0005-0000-0000-000084030000}"/>
    <cellStyle name="40% - Accent4 3 2 2 2 2" xfId="28186" xr:uid="{00000000-0005-0000-0000-000085030000}"/>
    <cellStyle name="40% - Accent4 3 2 2 3" xfId="19863" xr:uid="{00000000-0005-0000-0000-000086030000}"/>
    <cellStyle name="40% - Accent4 3 2 3" xfId="11392" xr:uid="{00000000-0005-0000-0000-000087030000}"/>
    <cellStyle name="40% - Accent4 3 2 3 2" xfId="28187" xr:uid="{00000000-0005-0000-0000-000088030000}"/>
    <cellStyle name="40% - Accent4 3 2 4" xfId="19864" xr:uid="{00000000-0005-0000-0000-000089030000}"/>
    <cellStyle name="40% - Accent4 3 3" xfId="2032" xr:uid="{00000000-0005-0000-0000-00008A030000}"/>
    <cellStyle name="40% - Accent4 3 3 2" xfId="11390" xr:uid="{00000000-0005-0000-0000-00008B030000}"/>
    <cellStyle name="40% - Accent4 3 3 2 2" xfId="28185" xr:uid="{00000000-0005-0000-0000-00008C030000}"/>
    <cellStyle name="40% - Accent4 3 3 3" xfId="19862" xr:uid="{00000000-0005-0000-0000-00008D030000}"/>
    <cellStyle name="40% - Accent4 3 4" xfId="11393" xr:uid="{00000000-0005-0000-0000-00008E030000}"/>
    <cellStyle name="40% - Accent4 3 4 2" xfId="28188" xr:uid="{00000000-0005-0000-0000-00008F030000}"/>
    <cellStyle name="40% - Accent4 3 5" xfId="19865" xr:uid="{00000000-0005-0000-0000-000090030000}"/>
    <cellStyle name="40% - Accent4 4" xfId="122" xr:uid="{00000000-0005-0000-0000-000091030000}"/>
    <cellStyle name="40% - Accent4 4 2" xfId="2077" xr:uid="{00000000-0005-0000-0000-000092030000}"/>
    <cellStyle name="40% - Accent4 4 2 2" xfId="11494" xr:uid="{00000000-0005-0000-0000-000093030000}"/>
    <cellStyle name="40% - Accent4 4 2 2 2" xfId="28228" xr:uid="{00000000-0005-0000-0000-000094030000}"/>
    <cellStyle name="40% - Accent4 4 2 3" xfId="19964" xr:uid="{00000000-0005-0000-0000-000095030000}"/>
    <cellStyle name="40% - Accent4 4 3" xfId="11389" xr:uid="{00000000-0005-0000-0000-000096030000}"/>
    <cellStyle name="40% - Accent4 4 3 2" xfId="28184" xr:uid="{00000000-0005-0000-0000-000097030000}"/>
    <cellStyle name="40% - Accent4 4 4" xfId="19861" xr:uid="{00000000-0005-0000-0000-000098030000}"/>
    <cellStyle name="40% - Accent4 5" xfId="450" xr:uid="{00000000-0005-0000-0000-000099030000}"/>
    <cellStyle name="40% - Accent4 5 2" xfId="2083" xr:uid="{00000000-0005-0000-0000-00009A030000}"/>
    <cellStyle name="40% - Accent4 5 2 2" xfId="11526" xr:uid="{00000000-0005-0000-0000-00009B030000}"/>
    <cellStyle name="40% - Accent4 5 2 2 2" xfId="28231" xr:uid="{00000000-0005-0000-0000-00009C030000}"/>
    <cellStyle name="40% - Accent4 5 2 3" xfId="19995" xr:uid="{00000000-0005-0000-0000-00009D030000}"/>
    <cellStyle name="40% - Accent4 5 3" xfId="2031" xr:uid="{00000000-0005-0000-0000-00009E030000}"/>
    <cellStyle name="40% - Accent4 5 3 2" xfId="28183" xr:uid="{00000000-0005-0000-0000-00009F030000}"/>
    <cellStyle name="40% - Accent4 5 4" xfId="19860" xr:uid="{00000000-0005-0000-0000-0000A0030000}"/>
    <cellStyle name="40% - Accent4 6" xfId="2030" xr:uid="{00000000-0005-0000-0000-0000A1030000}"/>
    <cellStyle name="40% - Accent4 6 2" xfId="11388" xr:uid="{00000000-0005-0000-0000-0000A2030000}"/>
    <cellStyle name="40% - Accent4 6 2 2" xfId="28182" xr:uid="{00000000-0005-0000-0000-0000A3030000}"/>
    <cellStyle name="40% - Accent4 6 3" xfId="19859" xr:uid="{00000000-0005-0000-0000-0000A4030000}"/>
    <cellStyle name="40% - Accent4 7" xfId="2089" xr:uid="{00000000-0005-0000-0000-0000A5030000}"/>
    <cellStyle name="40% - Accent4 7 2" xfId="11559" xr:uid="{00000000-0005-0000-0000-0000A6030000}"/>
    <cellStyle name="40% - Accent4 7 2 2" xfId="28235" xr:uid="{00000000-0005-0000-0000-0000A7030000}"/>
    <cellStyle name="40% - Accent4 7 3" xfId="20026" xr:uid="{00000000-0005-0000-0000-0000A8030000}"/>
    <cellStyle name="40% - Accent4 8" xfId="2029" xr:uid="{00000000-0005-0000-0000-0000A9030000}"/>
    <cellStyle name="40% - Accent4 8 2" xfId="11387" xr:uid="{00000000-0005-0000-0000-0000AA030000}"/>
    <cellStyle name="40% - Accent4 8 2 2" xfId="28181" xr:uid="{00000000-0005-0000-0000-0000AB030000}"/>
    <cellStyle name="40% - Accent4 8 3" xfId="19858" xr:uid="{00000000-0005-0000-0000-0000AC030000}"/>
    <cellStyle name="40% - Accent4 9" xfId="11294" xr:uid="{00000000-0005-0000-0000-0000AD030000}"/>
    <cellStyle name="40% - Accent4 9 2" xfId="28155" xr:uid="{00000000-0005-0000-0000-0000AE030000}"/>
    <cellStyle name="40% - Accent5" xfId="1773" builtinId="47" customBuiltin="1"/>
    <cellStyle name="40% - Accent5 10" xfId="19629" xr:uid="{00000000-0005-0000-0000-0000B0030000}"/>
    <cellStyle name="40% - Accent5 2" xfId="40" xr:uid="{00000000-0005-0000-0000-0000B1030000}"/>
    <cellStyle name="40% - Accent5 2 2" xfId="2028" xr:uid="{00000000-0005-0000-0000-0000B2030000}"/>
    <cellStyle name="40% - Accent5 2 2 2" xfId="2105" xr:uid="{00000000-0005-0000-0000-0000B3030000}"/>
    <cellStyle name="40% - Accent5 2 2 2 2" xfId="2027" xr:uid="{00000000-0005-0000-0000-0000B4030000}"/>
    <cellStyle name="40% - Accent5 2 2 2 2 2" xfId="11385" xr:uid="{00000000-0005-0000-0000-0000B5030000}"/>
    <cellStyle name="40% - Accent5 2 2 2 2 2 2" xfId="28179" xr:uid="{00000000-0005-0000-0000-0000B6030000}"/>
    <cellStyle name="40% - Accent5 2 2 2 2 3" xfId="19856" xr:uid="{00000000-0005-0000-0000-0000B7030000}"/>
    <cellStyle name="40% - Accent5 2 2 2 3" xfId="11622" xr:uid="{00000000-0005-0000-0000-0000B8030000}"/>
    <cellStyle name="40% - Accent5 2 2 2 3 2" xfId="28244" xr:uid="{00000000-0005-0000-0000-0000B9030000}"/>
    <cellStyle name="40% - Accent5 2 2 2 4" xfId="20086" xr:uid="{00000000-0005-0000-0000-0000BA030000}"/>
    <cellStyle name="40% - Accent5 2 2 3" xfId="2111" xr:uid="{00000000-0005-0000-0000-0000BB030000}"/>
    <cellStyle name="40% - Accent5 2 2 3 2" xfId="11654" xr:uid="{00000000-0005-0000-0000-0000BC030000}"/>
    <cellStyle name="40% - Accent5 2 2 3 2 2" xfId="28248" xr:uid="{00000000-0005-0000-0000-0000BD030000}"/>
    <cellStyle name="40% - Accent5 2 2 3 3" xfId="20116" xr:uid="{00000000-0005-0000-0000-0000BE030000}"/>
    <cellStyle name="40% - Accent5 2 2 4" xfId="11386" xr:uid="{00000000-0005-0000-0000-0000BF030000}"/>
    <cellStyle name="40% - Accent5 2 2 4 2" xfId="28180" xr:uid="{00000000-0005-0000-0000-0000C0030000}"/>
    <cellStyle name="40% - Accent5 2 2 5" xfId="19857" xr:uid="{00000000-0005-0000-0000-0000C1030000}"/>
    <cellStyle name="40% - Accent5 2 3" xfId="2026" xr:uid="{00000000-0005-0000-0000-0000C2030000}"/>
    <cellStyle name="40% - Accent5 2 3 2" xfId="2119" xr:uid="{00000000-0005-0000-0000-0000C3030000}"/>
    <cellStyle name="40% - Accent5 2 3 2 2" xfId="11684" xr:uid="{00000000-0005-0000-0000-0000C4030000}"/>
    <cellStyle name="40% - Accent5 2 3 2 2 2" xfId="28252" xr:uid="{00000000-0005-0000-0000-0000C5030000}"/>
    <cellStyle name="40% - Accent5 2 3 2 3" xfId="20144" xr:uid="{00000000-0005-0000-0000-0000C6030000}"/>
    <cellStyle name="40% - Accent5 2 3 3" xfId="11384" xr:uid="{00000000-0005-0000-0000-0000C7030000}"/>
    <cellStyle name="40% - Accent5 2 3 3 2" xfId="28178" xr:uid="{00000000-0005-0000-0000-0000C8030000}"/>
    <cellStyle name="40% - Accent5 2 3 4" xfId="19855" xr:uid="{00000000-0005-0000-0000-0000C9030000}"/>
    <cellStyle name="40% - Accent5 2 4" xfId="2025" xr:uid="{00000000-0005-0000-0000-0000CA030000}"/>
    <cellStyle name="40% - Accent5 2 4 2" xfId="11383" xr:uid="{00000000-0005-0000-0000-0000CB030000}"/>
    <cellStyle name="40% - Accent5 2 4 2 2" xfId="28177" xr:uid="{00000000-0005-0000-0000-0000CC030000}"/>
    <cellStyle name="40% - Accent5 2 4 3" xfId="19854" xr:uid="{00000000-0005-0000-0000-0000CD030000}"/>
    <cellStyle name="40% - Accent5 2 5" xfId="10888" xr:uid="{00000000-0005-0000-0000-0000CE030000}"/>
    <cellStyle name="40% - Accent5 2 5 2" xfId="28240" xr:uid="{00000000-0005-0000-0000-0000CF030000}"/>
    <cellStyle name="40% - Accent5 2 6" xfId="2097" xr:uid="{00000000-0005-0000-0000-0000D0030000}"/>
    <cellStyle name="40% - Accent5 3" xfId="123" xr:uid="{00000000-0005-0000-0000-0000D1030000}"/>
    <cellStyle name="40% - Accent5 3 2" xfId="124" xr:uid="{00000000-0005-0000-0000-0000D2030000}"/>
    <cellStyle name="40% - Accent5 3 2 2" xfId="2135" xr:uid="{00000000-0005-0000-0000-0000D3030000}"/>
    <cellStyle name="40% - Accent5 3 2 2 2" xfId="11744" xr:uid="{00000000-0005-0000-0000-0000D4030000}"/>
    <cellStyle name="40% - Accent5 3 2 2 2 2" xfId="28264" xr:uid="{00000000-0005-0000-0000-0000D5030000}"/>
    <cellStyle name="40% - Accent5 3 2 2 3" xfId="20204" xr:uid="{00000000-0005-0000-0000-0000D6030000}"/>
    <cellStyle name="40% - Accent5 3 2 3" xfId="11382" xr:uid="{00000000-0005-0000-0000-0000D7030000}"/>
    <cellStyle name="40% - Accent5 3 2 3 2" xfId="28176" xr:uid="{00000000-0005-0000-0000-0000D8030000}"/>
    <cellStyle name="40% - Accent5 3 2 4" xfId="19853" xr:uid="{00000000-0005-0000-0000-0000D9030000}"/>
    <cellStyle name="40% - Accent5 3 3" xfId="2024" xr:uid="{00000000-0005-0000-0000-0000DA030000}"/>
    <cellStyle name="40% - Accent5 3 3 2" xfId="11381" xr:uid="{00000000-0005-0000-0000-0000DB030000}"/>
    <cellStyle name="40% - Accent5 3 3 2 2" xfId="28175" xr:uid="{00000000-0005-0000-0000-0000DC030000}"/>
    <cellStyle name="40% - Accent5 3 3 3" xfId="19852" xr:uid="{00000000-0005-0000-0000-0000DD030000}"/>
    <cellStyle name="40% - Accent5 3 4" xfId="11714" xr:uid="{00000000-0005-0000-0000-0000DE030000}"/>
    <cellStyle name="40% - Accent5 3 4 2" xfId="28257" xr:uid="{00000000-0005-0000-0000-0000DF030000}"/>
    <cellStyle name="40% - Accent5 3 5" xfId="20173" xr:uid="{00000000-0005-0000-0000-0000E0030000}"/>
    <cellStyle name="40% - Accent5 4" xfId="125" xr:uid="{00000000-0005-0000-0000-0000E1030000}"/>
    <cellStyle name="40% - Accent5 4 2" xfId="2072" xr:uid="{00000000-0005-0000-0000-0000E2030000}"/>
    <cellStyle name="40% - Accent5 4 2 2" xfId="11459" xr:uid="{00000000-0005-0000-0000-0000E3030000}"/>
    <cellStyle name="40% - Accent5 4 2 2 2" xfId="28225" xr:uid="{00000000-0005-0000-0000-0000E4030000}"/>
    <cellStyle name="40% - Accent5 4 2 3" xfId="19930" xr:uid="{00000000-0005-0000-0000-0000E5030000}"/>
    <cellStyle name="40% - Accent5 4 3" xfId="11776" xr:uid="{00000000-0005-0000-0000-0000E6030000}"/>
    <cellStyle name="40% - Accent5 4 3 2" xfId="28272" xr:uid="{00000000-0005-0000-0000-0000E7030000}"/>
    <cellStyle name="40% - Accent5 4 4" xfId="20236" xr:uid="{00000000-0005-0000-0000-0000E8030000}"/>
    <cellStyle name="40% - Accent5 5" xfId="451" xr:uid="{00000000-0005-0000-0000-0000E9030000}"/>
    <cellStyle name="40% - Accent5 5 2" xfId="2088" xr:uid="{00000000-0005-0000-0000-0000EA030000}"/>
    <cellStyle name="40% - Accent5 5 2 2" xfId="11546" xr:uid="{00000000-0005-0000-0000-0000EB030000}"/>
    <cellStyle name="40% - Accent5 5 2 2 2" xfId="28234" xr:uid="{00000000-0005-0000-0000-0000EC030000}"/>
    <cellStyle name="40% - Accent5 5 2 3" xfId="20013" xr:uid="{00000000-0005-0000-0000-0000ED030000}"/>
    <cellStyle name="40% - Accent5 5 3" xfId="2082" xr:uid="{00000000-0005-0000-0000-0000EE030000}"/>
    <cellStyle name="40% - Accent5 5 3 2" xfId="28230" xr:uid="{00000000-0005-0000-0000-0000EF030000}"/>
    <cellStyle name="40% - Accent5 5 4" xfId="19981" xr:uid="{00000000-0005-0000-0000-0000F0030000}"/>
    <cellStyle name="40% - Accent5 6" xfId="2095" xr:uid="{00000000-0005-0000-0000-0000F1030000}"/>
    <cellStyle name="40% - Accent5 6 2" xfId="11578" xr:uid="{00000000-0005-0000-0000-0000F2030000}"/>
    <cellStyle name="40% - Accent5 6 2 2" xfId="28239" xr:uid="{00000000-0005-0000-0000-0000F3030000}"/>
    <cellStyle name="40% - Accent5 6 3" xfId="20044" xr:uid="{00000000-0005-0000-0000-0000F4030000}"/>
    <cellStyle name="40% - Accent5 7" xfId="2103" xr:uid="{00000000-0005-0000-0000-0000F5030000}"/>
    <cellStyle name="40% - Accent5 7 2" xfId="11609" xr:uid="{00000000-0005-0000-0000-0000F6030000}"/>
    <cellStyle name="40% - Accent5 7 2 2" xfId="28243" xr:uid="{00000000-0005-0000-0000-0000F7030000}"/>
    <cellStyle name="40% - Accent5 7 3" xfId="20073" xr:uid="{00000000-0005-0000-0000-0000F8030000}"/>
    <cellStyle name="40% - Accent5 8" xfId="2110" xr:uid="{00000000-0005-0000-0000-0000F9030000}"/>
    <cellStyle name="40% - Accent5 8 2" xfId="11641" xr:uid="{00000000-0005-0000-0000-0000FA030000}"/>
    <cellStyle name="40% - Accent5 8 2 2" xfId="28247" xr:uid="{00000000-0005-0000-0000-0000FB030000}"/>
    <cellStyle name="40% - Accent5 8 3" xfId="20103" xr:uid="{00000000-0005-0000-0000-0000FC030000}"/>
    <cellStyle name="40% - Accent5 9" xfId="11296" xr:uid="{00000000-0005-0000-0000-0000FD030000}"/>
    <cellStyle name="40% - Accent5 9 2" xfId="28157" xr:uid="{00000000-0005-0000-0000-0000FE030000}"/>
    <cellStyle name="40% - Accent6" xfId="1777" builtinId="51" customBuiltin="1"/>
    <cellStyle name="40% - Accent6 10" xfId="19631" xr:uid="{00000000-0005-0000-0000-000000040000}"/>
    <cellStyle name="40% - Accent6 2" xfId="41" xr:uid="{00000000-0005-0000-0000-000001040000}"/>
    <cellStyle name="40% - Accent6 2 2" xfId="126" xr:uid="{00000000-0005-0000-0000-000002040000}"/>
    <cellStyle name="40% - Accent6 2 2 2" xfId="2133" xr:uid="{00000000-0005-0000-0000-000003040000}"/>
    <cellStyle name="40% - Accent6 2 2 2 2" xfId="2139" xr:uid="{00000000-0005-0000-0000-000004040000}"/>
    <cellStyle name="40% - Accent6 2 2 2 2 2" xfId="11762" xr:uid="{00000000-0005-0000-0000-000005040000}"/>
    <cellStyle name="40% - Accent6 2 2 2 2 2 2" xfId="28270" xr:uid="{00000000-0005-0000-0000-000006040000}"/>
    <cellStyle name="40% - Accent6 2 2 2 2 3" xfId="20222" xr:uid="{00000000-0005-0000-0000-000007040000}"/>
    <cellStyle name="40% - Accent6 2 2 2 3" xfId="11731" xr:uid="{00000000-0005-0000-0000-000008040000}"/>
    <cellStyle name="40% - Accent6 2 2 2 3 2" xfId="28262" xr:uid="{00000000-0005-0000-0000-000009040000}"/>
    <cellStyle name="40% - Accent6 2 2 2 4" xfId="20190" xr:uid="{00000000-0005-0000-0000-00000A040000}"/>
    <cellStyle name="40% - Accent6 2 2 3" xfId="2023" xr:uid="{00000000-0005-0000-0000-00000B040000}"/>
    <cellStyle name="40% - Accent6 2 2 3 2" xfId="11380" xr:uid="{00000000-0005-0000-0000-00000C040000}"/>
    <cellStyle name="40% - Accent6 2 2 3 2 2" xfId="28174" xr:uid="{00000000-0005-0000-0000-00000D040000}"/>
    <cellStyle name="40% - Accent6 2 2 3 3" xfId="19851" xr:uid="{00000000-0005-0000-0000-00000E040000}"/>
    <cellStyle name="40% - Accent6 2 2 4" xfId="2126" xr:uid="{00000000-0005-0000-0000-00000F040000}"/>
    <cellStyle name="40% - Accent6 2 2 4 2" xfId="28255" xr:uid="{00000000-0005-0000-0000-000010040000}"/>
    <cellStyle name="40% - Accent6 2 2 5" xfId="20159" xr:uid="{00000000-0005-0000-0000-000011040000}"/>
    <cellStyle name="40% - Accent6 2 3" xfId="2022" xr:uid="{00000000-0005-0000-0000-000012040000}"/>
    <cellStyle name="40% - Accent6 2 3 2" xfId="2021" xr:uid="{00000000-0005-0000-0000-000013040000}"/>
    <cellStyle name="40% - Accent6 2 3 2 2" xfId="11378" xr:uid="{00000000-0005-0000-0000-000014040000}"/>
    <cellStyle name="40% - Accent6 2 3 2 2 2" xfId="28172" xr:uid="{00000000-0005-0000-0000-000015040000}"/>
    <cellStyle name="40% - Accent6 2 3 2 3" xfId="19849" xr:uid="{00000000-0005-0000-0000-000016040000}"/>
    <cellStyle name="40% - Accent6 2 3 3" xfId="11379" xr:uid="{00000000-0005-0000-0000-000017040000}"/>
    <cellStyle name="40% - Accent6 2 3 3 2" xfId="28173" xr:uid="{00000000-0005-0000-0000-000018040000}"/>
    <cellStyle name="40% - Accent6 2 3 4" xfId="19850" xr:uid="{00000000-0005-0000-0000-000019040000}"/>
    <cellStyle name="40% - Accent6 2 4" xfId="2142" xr:uid="{00000000-0005-0000-0000-00001A040000}"/>
    <cellStyle name="40% - Accent6 2 4 2" xfId="11777" xr:uid="{00000000-0005-0000-0000-00001B040000}"/>
    <cellStyle name="40% - Accent6 2 4 2 2" xfId="28273" xr:uid="{00000000-0005-0000-0000-00001C040000}"/>
    <cellStyle name="40% - Accent6 2 4 3" xfId="20237" xr:uid="{00000000-0005-0000-0000-00001D040000}"/>
    <cellStyle name="40% - Accent6 2 5" xfId="10889" xr:uid="{00000000-0005-0000-0000-00001E040000}"/>
    <cellStyle name="40% - Accent6 2 5 2" xfId="28250" xr:uid="{00000000-0005-0000-0000-00001F040000}"/>
    <cellStyle name="40% - Accent6 2 6" xfId="2116" xr:uid="{00000000-0005-0000-0000-000020040000}"/>
    <cellStyle name="40% - Accent6 3" xfId="127" xr:uid="{00000000-0005-0000-0000-000021040000}"/>
    <cellStyle name="40% - Accent6 3 2" xfId="128" xr:uid="{00000000-0005-0000-0000-000022040000}"/>
    <cellStyle name="40% - Accent6 3 2 2" xfId="2121" xr:uid="{00000000-0005-0000-0000-000023040000}"/>
    <cellStyle name="40% - Accent6 3 2 2 2" xfId="11686" xr:uid="{00000000-0005-0000-0000-000024040000}"/>
    <cellStyle name="40% - Accent6 3 2 2 2 2" xfId="28253" xr:uid="{00000000-0005-0000-0000-000025040000}"/>
    <cellStyle name="40% - Accent6 3 2 2 3" xfId="20145" xr:uid="{00000000-0005-0000-0000-000026040000}"/>
    <cellStyle name="40% - Accent6 3 2 3" xfId="11716" xr:uid="{00000000-0005-0000-0000-000027040000}"/>
    <cellStyle name="40% - Accent6 3 2 3 2" xfId="28258" xr:uid="{00000000-0005-0000-0000-000028040000}"/>
    <cellStyle name="40% - Accent6 3 2 4" xfId="20174" xr:uid="{00000000-0005-0000-0000-000029040000}"/>
    <cellStyle name="40% - Accent6 3 3" xfId="2113" xr:uid="{00000000-0005-0000-0000-00002A040000}"/>
    <cellStyle name="40% - Accent6 3 3 2" xfId="11657" xr:uid="{00000000-0005-0000-0000-00002B040000}"/>
    <cellStyle name="40% - Accent6 3 3 2 2" xfId="28249" xr:uid="{00000000-0005-0000-0000-00002C040000}"/>
    <cellStyle name="40% - Accent6 3 3 3" xfId="20118" xr:uid="{00000000-0005-0000-0000-00002D040000}"/>
    <cellStyle name="40% - Accent6 3 4" xfId="11746" xr:uid="{00000000-0005-0000-0000-00002E040000}"/>
    <cellStyle name="40% - Accent6 3 4 2" xfId="28266" xr:uid="{00000000-0005-0000-0000-00002F040000}"/>
    <cellStyle name="40% - Accent6 3 5" xfId="20206" xr:uid="{00000000-0005-0000-0000-000030040000}"/>
    <cellStyle name="40% - Accent6 4" xfId="129" xr:uid="{00000000-0005-0000-0000-000031040000}"/>
    <cellStyle name="40% - Accent6 4 2" xfId="2099" xr:uid="{00000000-0005-0000-0000-000032040000}"/>
    <cellStyle name="40% - Accent6 4 2 2" xfId="11593" xr:uid="{00000000-0005-0000-0000-000033040000}"/>
    <cellStyle name="40% - Accent6 4 2 2 2" xfId="28241" xr:uid="{00000000-0005-0000-0000-000034040000}"/>
    <cellStyle name="40% - Accent6 4 2 3" xfId="20058" xr:uid="{00000000-0005-0000-0000-000035040000}"/>
    <cellStyle name="40% - Accent6 4 3" xfId="11625" xr:uid="{00000000-0005-0000-0000-000036040000}"/>
    <cellStyle name="40% - Accent6 4 3 2" xfId="28245" xr:uid="{00000000-0005-0000-0000-000037040000}"/>
    <cellStyle name="40% - Accent6 4 4" xfId="20088" xr:uid="{00000000-0005-0000-0000-000038040000}"/>
    <cellStyle name="40% - Accent6 5" xfId="452" xr:uid="{00000000-0005-0000-0000-000039040000}"/>
    <cellStyle name="40% - Accent6 5 2" xfId="2085" xr:uid="{00000000-0005-0000-0000-00003A040000}"/>
    <cellStyle name="40% - Accent6 5 2 2" xfId="11529" xr:uid="{00000000-0005-0000-0000-00003B040000}"/>
    <cellStyle name="40% - Accent6 5 2 2 2" xfId="28232" xr:uid="{00000000-0005-0000-0000-00003C040000}"/>
    <cellStyle name="40% - Accent6 5 2 3" xfId="19997" xr:uid="{00000000-0005-0000-0000-00003D040000}"/>
    <cellStyle name="40% - Accent6 5 3" xfId="2091" xr:uid="{00000000-0005-0000-0000-00003E040000}"/>
    <cellStyle name="40% - Accent6 5 3 2" xfId="28236" xr:uid="{00000000-0005-0000-0000-00003F040000}"/>
    <cellStyle name="40% - Accent6 5 4" xfId="20028" xr:uid="{00000000-0005-0000-0000-000040040000}"/>
    <cellStyle name="40% - Accent6 6" xfId="2079" xr:uid="{00000000-0005-0000-0000-000041040000}"/>
    <cellStyle name="40% - Accent6 6 2" xfId="11497" xr:uid="{00000000-0005-0000-0000-000042040000}"/>
    <cellStyle name="40% - Accent6 6 2 2" xfId="28229" xr:uid="{00000000-0005-0000-0000-000043040000}"/>
    <cellStyle name="40% - Accent6 6 3" xfId="19966" xr:uid="{00000000-0005-0000-0000-000044040000}"/>
    <cellStyle name="40% - Accent6 7" xfId="2020" xr:uid="{00000000-0005-0000-0000-000045040000}"/>
    <cellStyle name="40% - Accent6 7 2" xfId="11377" xr:uid="{00000000-0005-0000-0000-000046040000}"/>
    <cellStyle name="40% - Accent6 7 2 2" xfId="28171" xr:uid="{00000000-0005-0000-0000-000047040000}"/>
    <cellStyle name="40% - Accent6 7 3" xfId="19848" xr:uid="{00000000-0005-0000-0000-000048040000}"/>
    <cellStyle name="40% - Accent6 8" xfId="2137" xr:uid="{00000000-0005-0000-0000-000049040000}"/>
    <cellStyle name="40% - Accent6 8 2" xfId="11759" xr:uid="{00000000-0005-0000-0000-00004A040000}"/>
    <cellStyle name="40% - Accent6 8 2 2" xfId="28267" xr:uid="{00000000-0005-0000-0000-00004B040000}"/>
    <cellStyle name="40% - Accent6 8 3" xfId="20219" xr:uid="{00000000-0005-0000-0000-00004C040000}"/>
    <cellStyle name="40% - Accent6 9" xfId="11298" xr:uid="{00000000-0005-0000-0000-00004D040000}"/>
    <cellStyle name="40% - Accent6 9 2" xfId="28159" xr:uid="{00000000-0005-0000-0000-00004E040000}"/>
    <cellStyle name="40% - Ênfase1" xfId="1807" xr:uid="{00000000-0005-0000-0000-00004F040000}"/>
    <cellStyle name="40% - Ênfase2" xfId="1808" xr:uid="{00000000-0005-0000-0000-000050040000}"/>
    <cellStyle name="40% - Ênfase3" xfId="1809" xr:uid="{00000000-0005-0000-0000-000051040000}"/>
    <cellStyle name="40% - Ênfase4" xfId="1810" xr:uid="{00000000-0005-0000-0000-000052040000}"/>
    <cellStyle name="40% - Ênfase5" xfId="1811" xr:uid="{00000000-0005-0000-0000-000053040000}"/>
    <cellStyle name="40% - Ênfase6" xfId="1812" xr:uid="{00000000-0005-0000-0000-000054040000}"/>
    <cellStyle name="40% - Énfasis1" xfId="1813" xr:uid="{00000000-0005-0000-0000-000055040000}"/>
    <cellStyle name="40% - Énfasis2" xfId="1814" xr:uid="{00000000-0005-0000-0000-000056040000}"/>
    <cellStyle name="40% - Énfasis3" xfId="1815" xr:uid="{00000000-0005-0000-0000-000057040000}"/>
    <cellStyle name="40% - Énfasis4" xfId="1816" xr:uid="{00000000-0005-0000-0000-000058040000}"/>
    <cellStyle name="40% - Énfasis5" xfId="1817" xr:uid="{00000000-0005-0000-0000-000059040000}"/>
    <cellStyle name="40% - Énfasis6" xfId="1818" xr:uid="{00000000-0005-0000-0000-00005A040000}"/>
    <cellStyle name="60% - Accent1" xfId="1758" builtinId="32" customBuiltin="1"/>
    <cellStyle name="60% - Accent1 2" xfId="42" xr:uid="{00000000-0005-0000-0000-00005C040000}"/>
    <cellStyle name="60% - Accent1 2 2" xfId="130" xr:uid="{00000000-0005-0000-0000-00005D040000}"/>
    <cellStyle name="60% - Accent1 3" xfId="453" xr:uid="{00000000-0005-0000-0000-00005E040000}"/>
    <cellStyle name="60% - Accent2" xfId="1762" builtinId="36" customBuiltin="1"/>
    <cellStyle name="60% - Accent2 2" xfId="43" xr:uid="{00000000-0005-0000-0000-000060040000}"/>
    <cellStyle name="60% - Accent2 3" xfId="454" xr:uid="{00000000-0005-0000-0000-000061040000}"/>
    <cellStyle name="60% - Accent3" xfId="1766" builtinId="40" customBuiltin="1"/>
    <cellStyle name="60% - Accent3 2" xfId="44" xr:uid="{00000000-0005-0000-0000-000063040000}"/>
    <cellStyle name="60% - Accent3 2 2" xfId="131" xr:uid="{00000000-0005-0000-0000-000064040000}"/>
    <cellStyle name="60% - Accent3 3" xfId="455" xr:uid="{00000000-0005-0000-0000-000065040000}"/>
    <cellStyle name="60% - Accent4" xfId="1770" builtinId="44" customBuiltin="1"/>
    <cellStyle name="60% - Accent4 2" xfId="45" xr:uid="{00000000-0005-0000-0000-000067040000}"/>
    <cellStyle name="60% - Accent4 2 2" xfId="132" xr:uid="{00000000-0005-0000-0000-000068040000}"/>
    <cellStyle name="60% - Accent4 3" xfId="456" xr:uid="{00000000-0005-0000-0000-000069040000}"/>
    <cellStyle name="60% - Accent5" xfId="1774" builtinId="48" customBuiltin="1"/>
    <cellStyle name="60% - Accent5 2" xfId="46" xr:uid="{00000000-0005-0000-0000-00006B040000}"/>
    <cellStyle name="60% - Accent5 2 2" xfId="133" xr:uid="{00000000-0005-0000-0000-00006C040000}"/>
    <cellStyle name="60% - Accent5 3" xfId="457" xr:uid="{00000000-0005-0000-0000-00006D040000}"/>
    <cellStyle name="60% - Accent6" xfId="1778" builtinId="52" customBuiltin="1"/>
    <cellStyle name="60% - Accent6 2" xfId="47" xr:uid="{00000000-0005-0000-0000-00006F040000}"/>
    <cellStyle name="60% - Accent6 2 2" xfId="134" xr:uid="{00000000-0005-0000-0000-000070040000}"/>
    <cellStyle name="60% - Accent6 3" xfId="458" xr:uid="{00000000-0005-0000-0000-000071040000}"/>
    <cellStyle name="60% - Ênfase1" xfId="1819" xr:uid="{00000000-0005-0000-0000-000072040000}"/>
    <cellStyle name="60% - Ênfase2" xfId="1820" xr:uid="{00000000-0005-0000-0000-000073040000}"/>
    <cellStyle name="60% - Ênfase3" xfId="1821" xr:uid="{00000000-0005-0000-0000-000074040000}"/>
    <cellStyle name="60% - Ênfase4" xfId="1822" xr:uid="{00000000-0005-0000-0000-000075040000}"/>
    <cellStyle name="60% - Ênfase5" xfId="1823" xr:uid="{00000000-0005-0000-0000-000076040000}"/>
    <cellStyle name="60% - Ênfase6" xfId="1824" xr:uid="{00000000-0005-0000-0000-000077040000}"/>
    <cellStyle name="60% - Énfasis1" xfId="1825" xr:uid="{00000000-0005-0000-0000-000078040000}"/>
    <cellStyle name="60% - Énfasis2" xfId="1826" xr:uid="{00000000-0005-0000-0000-000079040000}"/>
    <cellStyle name="60% - Énfasis3" xfId="1827" xr:uid="{00000000-0005-0000-0000-00007A040000}"/>
    <cellStyle name="60% - Énfasis4" xfId="1828" xr:uid="{00000000-0005-0000-0000-00007B040000}"/>
    <cellStyle name="60% - Énfasis5" xfId="1829" xr:uid="{00000000-0005-0000-0000-00007C040000}"/>
    <cellStyle name="60% - Énfasis6" xfId="1830" xr:uid="{00000000-0005-0000-0000-00007D040000}"/>
    <cellStyle name="Accent1" xfId="1755" builtinId="29" customBuiltin="1"/>
    <cellStyle name="Accent1 2" xfId="48" xr:uid="{00000000-0005-0000-0000-00007F040000}"/>
    <cellStyle name="Accent1 2 2" xfId="135" xr:uid="{00000000-0005-0000-0000-000080040000}"/>
    <cellStyle name="Accent1 3" xfId="459" xr:uid="{00000000-0005-0000-0000-000081040000}"/>
    <cellStyle name="Accent2" xfId="1759" builtinId="33" customBuiltin="1"/>
    <cellStyle name="Accent2 2" xfId="49" xr:uid="{00000000-0005-0000-0000-000083040000}"/>
    <cellStyle name="Accent2 3" xfId="460" xr:uid="{00000000-0005-0000-0000-000084040000}"/>
    <cellStyle name="Accent3" xfId="1763" builtinId="37" customBuiltin="1"/>
    <cellStyle name="Accent3 2" xfId="50" xr:uid="{00000000-0005-0000-0000-000086040000}"/>
    <cellStyle name="Accent3 2 2" xfId="136" xr:uid="{00000000-0005-0000-0000-000087040000}"/>
    <cellStyle name="Accent3 3" xfId="461" xr:uid="{00000000-0005-0000-0000-000088040000}"/>
    <cellStyle name="Accent4" xfId="1767" builtinId="41" customBuiltin="1"/>
    <cellStyle name="Accent4 2" xfId="51" xr:uid="{00000000-0005-0000-0000-00008A040000}"/>
    <cellStyle name="Accent4 2 2" xfId="137" xr:uid="{00000000-0005-0000-0000-00008B040000}"/>
    <cellStyle name="Accent4 3" xfId="462" xr:uid="{00000000-0005-0000-0000-00008C040000}"/>
    <cellStyle name="Accent5" xfId="1771" builtinId="45" customBuiltin="1"/>
    <cellStyle name="Accent5 2" xfId="52" xr:uid="{00000000-0005-0000-0000-00008E040000}"/>
    <cellStyle name="Accent5 2 2" xfId="138" xr:uid="{00000000-0005-0000-0000-00008F040000}"/>
    <cellStyle name="Accent5 3" xfId="463" xr:uid="{00000000-0005-0000-0000-000090040000}"/>
    <cellStyle name="Accent6" xfId="1775" builtinId="49" customBuiltin="1"/>
    <cellStyle name="Accent6 2" xfId="53" xr:uid="{00000000-0005-0000-0000-000092040000}"/>
    <cellStyle name="Accent6 2 2" xfId="139" xr:uid="{00000000-0005-0000-0000-000093040000}"/>
    <cellStyle name="Accent6 3" xfId="464" xr:uid="{00000000-0005-0000-0000-000094040000}"/>
    <cellStyle name="Accounting $" xfId="465" xr:uid="{00000000-0005-0000-0000-000095040000}"/>
    <cellStyle name="AFE" xfId="466" xr:uid="{00000000-0005-0000-0000-000096040000}"/>
    <cellStyle name="AFE 2" xfId="467" xr:uid="{00000000-0005-0000-0000-000097040000}"/>
    <cellStyle name="AFE_COACH_Public_Comps_SOLUTION_v1 28_Hermes (3)" xfId="468" xr:uid="{00000000-0005-0000-0000-000098040000}"/>
    <cellStyle name="Availability" xfId="1831" xr:uid="{00000000-0005-0000-0000-000099040000}"/>
    <cellStyle name="Bad" xfId="1744" builtinId="27" customBuiltin="1"/>
    <cellStyle name="Bad 10" xfId="11264" xr:uid="{00000000-0005-0000-0000-00009B040000}"/>
    <cellStyle name="Bad 11" xfId="11275" xr:uid="{00000000-0005-0000-0000-00009C040000}"/>
    <cellStyle name="Bad 12" xfId="11307" xr:uid="{00000000-0005-0000-0000-00009D040000}"/>
    <cellStyle name="Bad 13" xfId="11448" xr:uid="{00000000-0005-0000-0000-00009E040000}"/>
    <cellStyle name="Bad 14" xfId="11326" xr:uid="{00000000-0005-0000-0000-00009F040000}"/>
    <cellStyle name="Bad 15" xfId="11488" xr:uid="{00000000-0005-0000-0000-0000A0040000}"/>
    <cellStyle name="Bad 16" xfId="11505" xr:uid="{00000000-0005-0000-0000-0000A1040000}"/>
    <cellStyle name="Bad 17" xfId="11520" xr:uid="{00000000-0005-0000-0000-0000A2040000}"/>
    <cellStyle name="Bad 18" xfId="11537" xr:uid="{00000000-0005-0000-0000-0000A3040000}"/>
    <cellStyle name="Bad 19" xfId="11553" xr:uid="{00000000-0005-0000-0000-0000A4040000}"/>
    <cellStyle name="Bad 2" xfId="54" xr:uid="{00000000-0005-0000-0000-0000A5040000}"/>
    <cellStyle name="Bad 20" xfId="11569" xr:uid="{00000000-0005-0000-0000-0000A6040000}"/>
    <cellStyle name="Bad 21" xfId="11585" xr:uid="{00000000-0005-0000-0000-0000A7040000}"/>
    <cellStyle name="Bad 22" xfId="11601" xr:uid="{00000000-0005-0000-0000-0000A8040000}"/>
    <cellStyle name="Bad 23" xfId="11616" xr:uid="{00000000-0005-0000-0000-0000A9040000}"/>
    <cellStyle name="Bad 24" xfId="11633" xr:uid="{00000000-0005-0000-0000-0000AA040000}"/>
    <cellStyle name="Bad 25" xfId="11648" xr:uid="{00000000-0005-0000-0000-0000AB040000}"/>
    <cellStyle name="Bad 26" xfId="11664" xr:uid="{00000000-0005-0000-0000-0000AC040000}"/>
    <cellStyle name="Bad 27" xfId="11678" xr:uid="{00000000-0005-0000-0000-0000AD040000}"/>
    <cellStyle name="Bad 28" xfId="11693" xr:uid="{00000000-0005-0000-0000-0000AE040000}"/>
    <cellStyle name="Bad 29" xfId="11708" xr:uid="{00000000-0005-0000-0000-0000AF040000}"/>
    <cellStyle name="Bad 3" xfId="469" xr:uid="{00000000-0005-0000-0000-0000B0040000}"/>
    <cellStyle name="Bad 3 2" xfId="11130" xr:uid="{00000000-0005-0000-0000-0000B1040000}"/>
    <cellStyle name="Bad 30" xfId="11723" xr:uid="{00000000-0005-0000-0000-0000B2040000}"/>
    <cellStyle name="Bad 31" xfId="11738" xr:uid="{00000000-0005-0000-0000-0000B3040000}"/>
    <cellStyle name="Bad 32" xfId="11753" xr:uid="{00000000-0005-0000-0000-0000B4040000}"/>
    <cellStyle name="Bad 33" xfId="11770" xr:uid="{00000000-0005-0000-0000-0000B5040000}"/>
    <cellStyle name="Bad 34" xfId="19641" xr:uid="{00000000-0005-0000-0000-0000B6040000}"/>
    <cellStyle name="Bad 35" xfId="19658" xr:uid="{00000000-0005-0000-0000-0000B7040000}"/>
    <cellStyle name="Bad 36" xfId="19679" xr:uid="{00000000-0005-0000-0000-0000B8040000}"/>
    <cellStyle name="Bad 37" xfId="19691" xr:uid="{00000000-0005-0000-0000-0000B9040000}"/>
    <cellStyle name="Bad 38" xfId="19721" xr:uid="{00000000-0005-0000-0000-0000BA040000}"/>
    <cellStyle name="Bad 39" xfId="19737" xr:uid="{00000000-0005-0000-0000-0000BB040000}"/>
    <cellStyle name="Bad 4" xfId="11146" xr:uid="{00000000-0005-0000-0000-0000BC040000}"/>
    <cellStyle name="Bad 40" xfId="19743" xr:uid="{00000000-0005-0000-0000-0000BD040000}"/>
    <cellStyle name="Bad 41" xfId="19759" xr:uid="{00000000-0005-0000-0000-0000BE040000}"/>
    <cellStyle name="Bad 42" xfId="19770" xr:uid="{00000000-0005-0000-0000-0000BF040000}"/>
    <cellStyle name="Bad 43" xfId="19789" xr:uid="{00000000-0005-0000-0000-0000C0040000}"/>
    <cellStyle name="Bad 44" xfId="19920" xr:uid="{00000000-0005-0000-0000-0000C1040000}"/>
    <cellStyle name="Bad 45" xfId="19804" xr:uid="{00000000-0005-0000-0000-0000C2040000}"/>
    <cellStyle name="Bad 46" xfId="19958" xr:uid="{00000000-0005-0000-0000-0000C3040000}"/>
    <cellStyle name="Bad 47" xfId="19974" xr:uid="{00000000-0005-0000-0000-0000C4040000}"/>
    <cellStyle name="Bad 48" xfId="19989" xr:uid="{00000000-0005-0000-0000-0000C5040000}"/>
    <cellStyle name="Bad 49" xfId="20005" xr:uid="{00000000-0005-0000-0000-0000C6040000}"/>
    <cellStyle name="Bad 5" xfId="11179" xr:uid="{00000000-0005-0000-0000-0000C7040000}"/>
    <cellStyle name="Bad 50" xfId="20020" xr:uid="{00000000-0005-0000-0000-0000C8040000}"/>
    <cellStyle name="Bad 51" xfId="20036" xr:uid="{00000000-0005-0000-0000-0000C9040000}"/>
    <cellStyle name="Bad 52" xfId="20051" xr:uid="{00000000-0005-0000-0000-0000CA040000}"/>
    <cellStyle name="Bad 53" xfId="20066" xr:uid="{00000000-0005-0000-0000-0000CB040000}"/>
    <cellStyle name="Bad 54" xfId="20080" xr:uid="{00000000-0005-0000-0000-0000CC040000}"/>
    <cellStyle name="Bad 55" xfId="20096" xr:uid="{00000000-0005-0000-0000-0000CD040000}"/>
    <cellStyle name="Bad 56" xfId="20110" xr:uid="{00000000-0005-0000-0000-0000CE040000}"/>
    <cellStyle name="Bad 57" xfId="20125" xr:uid="{00000000-0005-0000-0000-0000CF040000}"/>
    <cellStyle name="Bad 58" xfId="20138" xr:uid="{00000000-0005-0000-0000-0000D0040000}"/>
    <cellStyle name="Bad 59" xfId="20152" xr:uid="{00000000-0005-0000-0000-0000D1040000}"/>
    <cellStyle name="Bad 6" xfId="11191" xr:uid="{00000000-0005-0000-0000-0000D2040000}"/>
    <cellStyle name="Bad 60" xfId="20167" xr:uid="{00000000-0005-0000-0000-0000D3040000}"/>
    <cellStyle name="Bad 61" xfId="20182" xr:uid="{00000000-0005-0000-0000-0000D4040000}"/>
    <cellStyle name="Bad 62" xfId="20198" xr:uid="{00000000-0005-0000-0000-0000D5040000}"/>
    <cellStyle name="Bad 63" xfId="20213" xr:uid="{00000000-0005-0000-0000-0000D6040000}"/>
    <cellStyle name="Bad 64" xfId="20230" xr:uid="{00000000-0005-0000-0000-0000D7040000}"/>
    <cellStyle name="Bad 7" xfId="11226" xr:uid="{00000000-0005-0000-0000-0000D8040000}"/>
    <cellStyle name="Bad 8" xfId="11242" xr:uid="{00000000-0005-0000-0000-0000D9040000}"/>
    <cellStyle name="Bad 9" xfId="11248" xr:uid="{00000000-0005-0000-0000-0000DA040000}"/>
    <cellStyle name="bch" xfId="6633" xr:uid="{00000000-0005-0000-0000-0000DB040000}"/>
    <cellStyle name="B-CHeader" xfId="1832" xr:uid="{00000000-0005-0000-0000-0000DC040000}"/>
    <cellStyle name="bci" xfId="6634" xr:uid="{00000000-0005-0000-0000-0000DD040000}"/>
    <cellStyle name="Black" xfId="140" xr:uid="{00000000-0005-0000-0000-0000DE040000}"/>
    <cellStyle name="Black Text" xfId="1833" xr:uid="{00000000-0005-0000-0000-0000DF040000}"/>
    <cellStyle name="Black Text (No Wrap)" xfId="1834" xr:uid="{00000000-0005-0000-0000-0000E0040000}"/>
    <cellStyle name="Black Text_Argentina" xfId="1835" xr:uid="{00000000-0005-0000-0000-0000E1040000}"/>
    <cellStyle name="Blank" xfId="2076" xr:uid="{00000000-0005-0000-0000-0000E2040000}"/>
    <cellStyle name="Blank 2" xfId="36192" xr:uid="{00000000-0005-0000-0000-0000E3040000}"/>
    <cellStyle name="Blue" xfId="141" xr:uid="{00000000-0005-0000-0000-0000E4040000}"/>
    <cellStyle name="Blue 2" xfId="470" xr:uid="{00000000-0005-0000-0000-0000E5040000}"/>
    <cellStyle name="Blue 3" xfId="1836" xr:uid="{00000000-0005-0000-0000-0000E6040000}"/>
    <cellStyle name="Blue Text" xfId="1837" xr:uid="{00000000-0005-0000-0000-0000E7040000}"/>
    <cellStyle name="Blue Text - Ariel 10" xfId="1838" xr:uid="{00000000-0005-0000-0000-0000E8040000}"/>
    <cellStyle name="Blue Text_Argentina" xfId="1839" xr:uid="{00000000-0005-0000-0000-0000E9040000}"/>
    <cellStyle name="Body_$Dollars" xfId="471" xr:uid="{00000000-0005-0000-0000-0000EA040000}"/>
    <cellStyle name="Bold/Border" xfId="472" xr:uid="{00000000-0005-0000-0000-0000EB040000}"/>
    <cellStyle name="Bol-Data" xfId="1840" xr:uid="{00000000-0005-0000-0000-0000EC040000}"/>
    <cellStyle name="bolet" xfId="1841" xr:uid="{00000000-0005-0000-0000-0000ED040000}"/>
    <cellStyle name="Boletim" xfId="1842" xr:uid="{00000000-0005-0000-0000-0000EE040000}"/>
    <cellStyle name="Bom" xfId="1843" xr:uid="{00000000-0005-0000-0000-0000EF040000}"/>
    <cellStyle name="Border, Bottom" xfId="1844" xr:uid="{00000000-0005-0000-0000-0000F0040000}"/>
    <cellStyle name="Border, Bottom 2" xfId="1978" xr:uid="{00000000-0005-0000-0000-0000F1040000}"/>
    <cellStyle name="Border, Bottom 2 2" xfId="11161" xr:uid="{00000000-0005-0000-0000-0000F2040000}"/>
    <cellStyle name="Border, Bottom 3" xfId="2007" xr:uid="{00000000-0005-0000-0000-0000F3040000}"/>
    <cellStyle name="Border, Bottom 3 2" xfId="11369" xr:uid="{00000000-0005-0000-0000-0000F4040000}"/>
    <cellStyle name="Border, Left" xfId="1845" xr:uid="{00000000-0005-0000-0000-0000F5040000}"/>
    <cellStyle name="Border, Left 2" xfId="1979" xr:uid="{00000000-0005-0000-0000-0000F6040000}"/>
    <cellStyle name="Border, Left 2 2" xfId="11162" xr:uid="{00000000-0005-0000-0000-0000F7040000}"/>
    <cellStyle name="Border, Left 3" xfId="2008" xr:uid="{00000000-0005-0000-0000-0000F8040000}"/>
    <cellStyle name="Border, Left 3 2" xfId="11370" xr:uid="{00000000-0005-0000-0000-0000F9040000}"/>
    <cellStyle name="Border, Right" xfId="1846" xr:uid="{00000000-0005-0000-0000-0000FA040000}"/>
    <cellStyle name="Border, Right 2" xfId="1980" xr:uid="{00000000-0005-0000-0000-0000FB040000}"/>
    <cellStyle name="Border, Right 2 2" xfId="11163" xr:uid="{00000000-0005-0000-0000-0000FC040000}"/>
    <cellStyle name="Border, Right 3" xfId="2009" xr:uid="{00000000-0005-0000-0000-0000FD040000}"/>
    <cellStyle name="Border, Right 3 2" xfId="11371" xr:uid="{00000000-0005-0000-0000-0000FE040000}"/>
    <cellStyle name="Border, Top" xfId="1847" xr:uid="{00000000-0005-0000-0000-0000FF040000}"/>
    <cellStyle name="Border, Top 2" xfId="1981" xr:uid="{00000000-0005-0000-0000-000000050000}"/>
    <cellStyle name="Border, Top 2 2" xfId="11093" xr:uid="{00000000-0005-0000-0000-000001050000}"/>
    <cellStyle name="Border, Top 2 2 2" xfId="11164" xr:uid="{00000000-0005-0000-0000-000002050000}"/>
    <cellStyle name="Border, Top 2 3" xfId="11096" xr:uid="{00000000-0005-0000-0000-000003050000}"/>
    <cellStyle name="Border, Top 3" xfId="2010" xr:uid="{00000000-0005-0000-0000-000004050000}"/>
    <cellStyle name="Border, Top 3 2" xfId="11095" xr:uid="{00000000-0005-0000-0000-000005050000}"/>
    <cellStyle name="Border, Top 3 2 2" xfId="11372" xr:uid="{00000000-0005-0000-0000-000006050000}"/>
    <cellStyle name="Border, Top 3 3" xfId="11094" xr:uid="{00000000-0005-0000-0000-000007050000}"/>
    <cellStyle name="Border, Top 4" xfId="11083" xr:uid="{00000000-0005-0000-0000-000008050000}"/>
    <cellStyle name="Border, Top 5" xfId="11099" xr:uid="{00000000-0005-0000-0000-000009050000}"/>
    <cellStyle name="Bottom Edge" xfId="473" xr:uid="{00000000-0005-0000-0000-00000A050000}"/>
    <cellStyle name="Bottom Edge 2" xfId="1601" xr:uid="{00000000-0005-0000-0000-00000B050000}"/>
    <cellStyle name="Bottom Edge 2 2" xfId="1643" xr:uid="{00000000-0005-0000-0000-00000C050000}"/>
    <cellStyle name="Bottom Edge 2 3" xfId="1662" xr:uid="{00000000-0005-0000-0000-00000D050000}"/>
    <cellStyle name="Bottom Edge 3" xfId="1618" xr:uid="{00000000-0005-0000-0000-00000E050000}"/>
    <cellStyle name="Bottom Edge 4" xfId="1616" xr:uid="{00000000-0005-0000-0000-00000F050000}"/>
    <cellStyle name="Buena" xfId="1848" xr:uid="{00000000-0005-0000-0000-000010050000}"/>
    <cellStyle name="Bullet" xfId="474" xr:uid="{00000000-0005-0000-0000-000011050000}"/>
    <cellStyle name="Bullet 2" xfId="1849" xr:uid="{00000000-0005-0000-0000-000012050000}"/>
    <cellStyle name="c_HardInc " xfId="475" xr:uid="{00000000-0005-0000-0000-000013050000}"/>
    <cellStyle name="c_HardInc _1 Cadbury_&amp;_Kraft_Model_v11.0" xfId="476" xr:uid="{00000000-0005-0000-0000-000014050000}"/>
    <cellStyle name="c_HardInc _2 HNZ_CPB_v11.0" xfId="477" xr:uid="{00000000-0005-0000-0000-000015050000}"/>
    <cellStyle name="c_HardInc _2 HNZ_CPB_v11.0.2" xfId="478" xr:uid="{00000000-0005-0000-0000-000016050000}"/>
    <cellStyle name="c_HardInc _Book2" xfId="479" xr:uid="{00000000-0005-0000-0000-000017050000}"/>
    <cellStyle name="c_HardInc _CBRY_Case_v2.0 DRAFT4.0_AL" xfId="480" xr:uid="{00000000-0005-0000-0000-000018050000}"/>
    <cellStyle name="c_HardInc _CBRY_Case_v2.0 DRAFT4.0_AL_MBA_Val_101_CAD_2009_BACKUP_v1.0_Draft_10" xfId="481" xr:uid="{00000000-0005-0000-0000-000019050000}"/>
    <cellStyle name="c_HardInc _CBRY_Case_v2.0 DRAFT4.0_AL_MBA_Val_101_CAD_2009_BACKUP_v1.0_Draft_15" xfId="482" xr:uid="{00000000-0005-0000-0000-00001A050000}"/>
    <cellStyle name="c_HardInc _COH_Merger_Model_Analysts_SOLUTION_v1.88" xfId="483" xr:uid="{00000000-0005-0000-0000-00001B050000}"/>
    <cellStyle name="c_HardInc _Copy of COH_2008_FM_SOLUTION_DCF_v1.05" xfId="484" xr:uid="{00000000-0005-0000-0000-00001C050000}"/>
    <cellStyle name="c_HardInc _MBA_Val_CAD_DCFv2.0" xfId="485" xr:uid="{00000000-0005-0000-0000-00001D050000}"/>
    <cellStyle name="c_HardInc _MBA_Val_CAD_DCFv2.0_MBA_Val_101_CAD_2009_BACKUP_v1.0_Draft_10" xfId="486" xr:uid="{00000000-0005-0000-0000-00001E050000}"/>
    <cellStyle name="c_HardInc _MBA_Val_CAD_DCFv2.0_MBA_Val_101_CAD_2009_BACKUP_v1.0_Draft_15" xfId="487" xr:uid="{00000000-0005-0000-0000-00001F050000}"/>
    <cellStyle name="c_HardInc _MBA_Val_CAD_DCFv2.0_MBA_Val_101_CAD_2009_BACKUP_v1.0_Draft_9" xfId="488" xr:uid="{00000000-0005-0000-0000-000020050000}"/>
    <cellStyle name="Calculation" xfId="1748" builtinId="22" customBuiltin="1"/>
    <cellStyle name="Calculation 10" xfId="11260" xr:uid="{00000000-0005-0000-0000-000022050000}"/>
    <cellStyle name="Calculation 11" xfId="11279" xr:uid="{00000000-0005-0000-0000-000023050000}"/>
    <cellStyle name="Calculation 12" xfId="11311" xr:uid="{00000000-0005-0000-0000-000024050000}"/>
    <cellStyle name="Calculation 13" xfId="11443" xr:uid="{00000000-0005-0000-0000-000025050000}"/>
    <cellStyle name="Calculation 14" xfId="11330" xr:uid="{00000000-0005-0000-0000-000026050000}"/>
    <cellStyle name="Calculation 15" xfId="11484" xr:uid="{00000000-0005-0000-0000-000027050000}"/>
    <cellStyle name="Calculation 16" xfId="11501" xr:uid="{00000000-0005-0000-0000-000028050000}"/>
    <cellStyle name="Calculation 17" xfId="11516" xr:uid="{00000000-0005-0000-0000-000029050000}"/>
    <cellStyle name="Calculation 18" xfId="11533" xr:uid="{00000000-0005-0000-0000-00002A050000}"/>
    <cellStyle name="Calculation 19" xfId="11549" xr:uid="{00000000-0005-0000-0000-00002B050000}"/>
    <cellStyle name="Calculation 2" xfId="55" xr:uid="{00000000-0005-0000-0000-00002C050000}"/>
    <cellStyle name="Calculation 2 2" xfId="142" xr:uid="{00000000-0005-0000-0000-00002D050000}"/>
    <cellStyle name="Calculation 2 2 2" xfId="1589" xr:uid="{00000000-0005-0000-0000-00002E050000}"/>
    <cellStyle name="Calculation 2 2 2 2" xfId="1632" xr:uid="{00000000-0005-0000-0000-00002F050000}"/>
    <cellStyle name="Calculation 2 2 2 3" xfId="1651" xr:uid="{00000000-0005-0000-0000-000030050000}"/>
    <cellStyle name="Calculation 2 2 3" xfId="1612" xr:uid="{00000000-0005-0000-0000-000031050000}"/>
    <cellStyle name="Calculation 2 2 4" xfId="11112" xr:uid="{00000000-0005-0000-0000-000032050000}"/>
    <cellStyle name="Calculation 2 3" xfId="1584" xr:uid="{00000000-0005-0000-0000-000033050000}"/>
    <cellStyle name="Calculation 2 3 2" xfId="1627" xr:uid="{00000000-0005-0000-0000-000034050000}"/>
    <cellStyle name="Calculation 2 3 3" xfId="1646" xr:uid="{00000000-0005-0000-0000-000035050000}"/>
    <cellStyle name="Calculation 2 4" xfId="1607" xr:uid="{00000000-0005-0000-0000-000036050000}"/>
    <cellStyle name="Calculation 2 5" xfId="11111" xr:uid="{00000000-0005-0000-0000-000037050000}"/>
    <cellStyle name="Calculation 20" xfId="11565" xr:uid="{00000000-0005-0000-0000-000038050000}"/>
    <cellStyle name="Calculation 21" xfId="11581" xr:uid="{00000000-0005-0000-0000-000039050000}"/>
    <cellStyle name="Calculation 22" xfId="11597" xr:uid="{00000000-0005-0000-0000-00003A050000}"/>
    <cellStyle name="Calculation 23" xfId="11612" xr:uid="{00000000-0005-0000-0000-00003B050000}"/>
    <cellStyle name="Calculation 24" xfId="11629" xr:uid="{00000000-0005-0000-0000-00003C050000}"/>
    <cellStyle name="Calculation 25" xfId="11644" xr:uid="{00000000-0005-0000-0000-00003D050000}"/>
    <cellStyle name="Calculation 26" xfId="11660" xr:uid="{00000000-0005-0000-0000-00003E050000}"/>
    <cellStyle name="Calculation 27" xfId="11674" xr:uid="{00000000-0005-0000-0000-00003F050000}"/>
    <cellStyle name="Calculation 28" xfId="11689" xr:uid="{00000000-0005-0000-0000-000040050000}"/>
    <cellStyle name="Calculation 29" xfId="11704" xr:uid="{00000000-0005-0000-0000-000041050000}"/>
    <cellStyle name="Calculation 3" xfId="489" xr:uid="{00000000-0005-0000-0000-000042050000}"/>
    <cellStyle name="Calculation 3 2" xfId="1602" xr:uid="{00000000-0005-0000-0000-000043050000}"/>
    <cellStyle name="Calculation 3 2 2" xfId="1644" xr:uid="{00000000-0005-0000-0000-000044050000}"/>
    <cellStyle name="Calculation 3 2 3" xfId="1663" xr:uid="{00000000-0005-0000-0000-000045050000}"/>
    <cellStyle name="Calculation 3 3" xfId="1619" xr:uid="{00000000-0005-0000-0000-000046050000}"/>
    <cellStyle name="Calculation 3 4" xfId="1614" xr:uid="{00000000-0005-0000-0000-000047050000}"/>
    <cellStyle name="Calculation 3 5" xfId="11134" xr:uid="{00000000-0005-0000-0000-000048050000}"/>
    <cellStyle name="Calculation 30" xfId="11719" xr:uid="{00000000-0005-0000-0000-000049050000}"/>
    <cellStyle name="Calculation 31" xfId="11734" xr:uid="{00000000-0005-0000-0000-00004A050000}"/>
    <cellStyle name="Calculation 32" xfId="11749" xr:uid="{00000000-0005-0000-0000-00004B050000}"/>
    <cellStyle name="Calculation 33" xfId="11766" xr:uid="{00000000-0005-0000-0000-00004C050000}"/>
    <cellStyle name="Calculation 34" xfId="19645" xr:uid="{00000000-0005-0000-0000-00004D050000}"/>
    <cellStyle name="Calculation 35" xfId="19662" xr:uid="{00000000-0005-0000-0000-00004E050000}"/>
    <cellStyle name="Calculation 36" xfId="19675" xr:uid="{00000000-0005-0000-0000-00004F050000}"/>
    <cellStyle name="Calculation 37" xfId="19695" xr:uid="{00000000-0005-0000-0000-000050050000}"/>
    <cellStyle name="Calculation 38" xfId="19717" xr:uid="{00000000-0005-0000-0000-000051050000}"/>
    <cellStyle name="Calculation 39" xfId="19733" xr:uid="{00000000-0005-0000-0000-000052050000}"/>
    <cellStyle name="Calculation 4" xfId="11150" xr:uid="{00000000-0005-0000-0000-000053050000}"/>
    <cellStyle name="Calculation 40" xfId="19708" xr:uid="{00000000-0005-0000-0000-000054050000}"/>
    <cellStyle name="Calculation 41" xfId="19755" xr:uid="{00000000-0005-0000-0000-000055050000}"/>
    <cellStyle name="Calculation 42" xfId="19774" xr:uid="{00000000-0005-0000-0000-000056050000}"/>
    <cellStyle name="Calculation 43" xfId="19793" xr:uid="{00000000-0005-0000-0000-000057050000}"/>
    <cellStyle name="Calculation 44" xfId="19916" xr:uid="{00000000-0005-0000-0000-000058050000}"/>
    <cellStyle name="Calculation 45" xfId="19808" xr:uid="{00000000-0005-0000-0000-000059050000}"/>
    <cellStyle name="Calculation 46" xfId="19954" xr:uid="{00000000-0005-0000-0000-00005A050000}"/>
    <cellStyle name="Calculation 47" xfId="19970" xr:uid="{00000000-0005-0000-0000-00005B050000}"/>
    <cellStyle name="Calculation 48" xfId="19985" xr:uid="{00000000-0005-0000-0000-00005C050000}"/>
    <cellStyle name="Calculation 49" xfId="20001" xr:uid="{00000000-0005-0000-0000-00005D050000}"/>
    <cellStyle name="Calculation 5" xfId="11174" xr:uid="{00000000-0005-0000-0000-00005E050000}"/>
    <cellStyle name="Calculation 50" xfId="20016" xr:uid="{00000000-0005-0000-0000-00005F050000}"/>
    <cellStyle name="Calculation 51" xfId="20032" xr:uid="{00000000-0005-0000-0000-000060050000}"/>
    <cellStyle name="Calculation 52" xfId="20047" xr:uid="{00000000-0005-0000-0000-000061050000}"/>
    <cellStyle name="Calculation 53" xfId="20062" xr:uid="{00000000-0005-0000-0000-000062050000}"/>
    <cellStyle name="Calculation 54" xfId="20076" xr:uid="{00000000-0005-0000-0000-000063050000}"/>
    <cellStyle name="Calculation 55" xfId="20092" xr:uid="{00000000-0005-0000-0000-000064050000}"/>
    <cellStyle name="Calculation 56" xfId="20106" xr:uid="{00000000-0005-0000-0000-000065050000}"/>
    <cellStyle name="Calculation 57" xfId="20121" xr:uid="{00000000-0005-0000-0000-000066050000}"/>
    <cellStyle name="Calculation 58" xfId="20134" xr:uid="{00000000-0005-0000-0000-000067050000}"/>
    <cellStyle name="Calculation 59" xfId="20148" xr:uid="{00000000-0005-0000-0000-000068050000}"/>
    <cellStyle name="Calculation 6" xfId="11195" xr:uid="{00000000-0005-0000-0000-000069050000}"/>
    <cellStyle name="Calculation 60" xfId="20163" xr:uid="{00000000-0005-0000-0000-00006A050000}"/>
    <cellStyle name="Calculation 61" xfId="20178" xr:uid="{00000000-0005-0000-0000-00006B050000}"/>
    <cellStyle name="Calculation 62" xfId="20194" xr:uid="{00000000-0005-0000-0000-00006C050000}"/>
    <cellStyle name="Calculation 63" xfId="20209" xr:uid="{00000000-0005-0000-0000-00006D050000}"/>
    <cellStyle name="Calculation 64" xfId="20226" xr:uid="{00000000-0005-0000-0000-00006E050000}"/>
    <cellStyle name="Calculation 7" xfId="11222" xr:uid="{00000000-0005-0000-0000-00006F050000}"/>
    <cellStyle name="Calculation 8" xfId="11238" xr:uid="{00000000-0005-0000-0000-000070050000}"/>
    <cellStyle name="Calculation 9" xfId="11212" xr:uid="{00000000-0005-0000-0000-000071050000}"/>
    <cellStyle name="Cálculo" xfId="1850" xr:uid="{00000000-0005-0000-0000-000072050000}"/>
    <cellStyle name="Cálculo 2" xfId="11084" xr:uid="{00000000-0005-0000-0000-000073050000}"/>
    <cellStyle name="Celda de comprobación" xfId="1851" xr:uid="{00000000-0005-0000-0000-000074050000}"/>
    <cellStyle name="Celda vinculada" xfId="1852" xr:uid="{00000000-0005-0000-0000-000075050000}"/>
    <cellStyle name="cell" xfId="6635" xr:uid="{00000000-0005-0000-0000-000076050000}"/>
    <cellStyle name="Célula de Verificação" xfId="1853" xr:uid="{00000000-0005-0000-0000-000077050000}"/>
    <cellStyle name="Célula Vinculada" xfId="1854" xr:uid="{00000000-0005-0000-0000-000078050000}"/>
    <cellStyle name="Centered Heading" xfId="2122" xr:uid="{00000000-0005-0000-0000-000079050000}"/>
    <cellStyle name="Centered Heading 2" xfId="36193" xr:uid="{00000000-0005-0000-0000-00007A050000}"/>
    <cellStyle name="Centered Heading 5" xfId="6636" xr:uid="{00000000-0005-0000-0000-00007B050000}"/>
    <cellStyle name="Cents" xfId="490" xr:uid="{00000000-0005-0000-0000-00007C050000}"/>
    <cellStyle name="ch" xfId="6637" xr:uid="{00000000-0005-0000-0000-00007D050000}"/>
    <cellStyle name="Changeable" xfId="1855" xr:uid="{00000000-0005-0000-0000-00007E050000}"/>
    <cellStyle name="ChartingText" xfId="333" xr:uid="{00000000-0005-0000-0000-00007F050000}"/>
    <cellStyle name="ChartingText 2" xfId="334" xr:uid="{00000000-0005-0000-0000-000080050000}"/>
    <cellStyle name="ChartingText 3" xfId="491" xr:uid="{00000000-0005-0000-0000-000081050000}"/>
    <cellStyle name="Check Cell" xfId="1750" builtinId="23" customBuiltin="1"/>
    <cellStyle name="Check Cell 10" xfId="11258" xr:uid="{00000000-0005-0000-0000-000083050000}"/>
    <cellStyle name="Check Cell 11" xfId="11281" xr:uid="{00000000-0005-0000-0000-000084050000}"/>
    <cellStyle name="Check Cell 12" xfId="11313" xr:uid="{00000000-0005-0000-0000-000085050000}"/>
    <cellStyle name="Check Cell 13" xfId="11441" xr:uid="{00000000-0005-0000-0000-000086050000}"/>
    <cellStyle name="Check Cell 14" xfId="11332" xr:uid="{00000000-0005-0000-0000-000087050000}"/>
    <cellStyle name="Check Cell 15" xfId="11482" xr:uid="{00000000-0005-0000-0000-000088050000}"/>
    <cellStyle name="Check Cell 16" xfId="11499" xr:uid="{00000000-0005-0000-0000-000089050000}"/>
    <cellStyle name="Check Cell 17" xfId="11514" xr:uid="{00000000-0005-0000-0000-00008A050000}"/>
    <cellStyle name="Check Cell 18" xfId="11531" xr:uid="{00000000-0005-0000-0000-00008B050000}"/>
    <cellStyle name="Check Cell 19" xfId="11547" xr:uid="{00000000-0005-0000-0000-00008C050000}"/>
    <cellStyle name="Check Cell 2" xfId="56" xr:uid="{00000000-0005-0000-0000-00008D050000}"/>
    <cellStyle name="Check Cell 2 2" xfId="143" xr:uid="{00000000-0005-0000-0000-00008E050000}"/>
    <cellStyle name="Check Cell 20" xfId="11563" xr:uid="{00000000-0005-0000-0000-00008F050000}"/>
    <cellStyle name="Check Cell 21" xfId="11579" xr:uid="{00000000-0005-0000-0000-000090050000}"/>
    <cellStyle name="Check Cell 22" xfId="11595" xr:uid="{00000000-0005-0000-0000-000091050000}"/>
    <cellStyle name="Check Cell 23" xfId="11610" xr:uid="{00000000-0005-0000-0000-000092050000}"/>
    <cellStyle name="Check Cell 24" xfId="11627" xr:uid="{00000000-0005-0000-0000-000093050000}"/>
    <cellStyle name="Check Cell 25" xfId="11642" xr:uid="{00000000-0005-0000-0000-000094050000}"/>
    <cellStyle name="Check Cell 26" xfId="11658" xr:uid="{00000000-0005-0000-0000-000095050000}"/>
    <cellStyle name="Check Cell 27" xfId="11672" xr:uid="{00000000-0005-0000-0000-000096050000}"/>
    <cellStyle name="Check Cell 28" xfId="11687" xr:uid="{00000000-0005-0000-0000-000097050000}"/>
    <cellStyle name="Check Cell 29" xfId="11702" xr:uid="{00000000-0005-0000-0000-000098050000}"/>
    <cellStyle name="Check Cell 3" xfId="492" xr:uid="{00000000-0005-0000-0000-000099050000}"/>
    <cellStyle name="Check Cell 3 2" xfId="11136" xr:uid="{00000000-0005-0000-0000-00009A050000}"/>
    <cellStyle name="Check Cell 30" xfId="11717" xr:uid="{00000000-0005-0000-0000-00009B050000}"/>
    <cellStyle name="Check Cell 31" xfId="11732" xr:uid="{00000000-0005-0000-0000-00009C050000}"/>
    <cellStyle name="Check Cell 32" xfId="11747" xr:uid="{00000000-0005-0000-0000-00009D050000}"/>
    <cellStyle name="Check Cell 33" xfId="11764" xr:uid="{00000000-0005-0000-0000-00009E050000}"/>
    <cellStyle name="Check Cell 34" xfId="19647" xr:uid="{00000000-0005-0000-0000-00009F050000}"/>
    <cellStyle name="Check Cell 35" xfId="19664" xr:uid="{00000000-0005-0000-0000-0000A0050000}"/>
    <cellStyle name="Check Cell 36" xfId="19673" xr:uid="{00000000-0005-0000-0000-0000A1050000}"/>
    <cellStyle name="Check Cell 37" xfId="19697" xr:uid="{00000000-0005-0000-0000-0000A2050000}"/>
    <cellStyle name="Check Cell 38" xfId="19715" xr:uid="{00000000-0005-0000-0000-0000A3050000}"/>
    <cellStyle name="Check Cell 39" xfId="19731" xr:uid="{00000000-0005-0000-0000-0000A4050000}"/>
    <cellStyle name="Check Cell 4" xfId="11152" xr:uid="{00000000-0005-0000-0000-0000A5050000}"/>
    <cellStyle name="Check Cell 40" xfId="19707" xr:uid="{00000000-0005-0000-0000-0000A6050000}"/>
    <cellStyle name="Check Cell 41" xfId="19753" xr:uid="{00000000-0005-0000-0000-0000A7050000}"/>
    <cellStyle name="Check Cell 42" xfId="19776" xr:uid="{00000000-0005-0000-0000-0000A8050000}"/>
    <cellStyle name="Check Cell 43" xfId="19795" xr:uid="{00000000-0005-0000-0000-0000A9050000}"/>
    <cellStyle name="Check Cell 44" xfId="19914" xr:uid="{00000000-0005-0000-0000-0000AA050000}"/>
    <cellStyle name="Check Cell 45" xfId="19810" xr:uid="{00000000-0005-0000-0000-0000AB050000}"/>
    <cellStyle name="Check Cell 46" xfId="19952" xr:uid="{00000000-0005-0000-0000-0000AC050000}"/>
    <cellStyle name="Check Cell 47" xfId="19968" xr:uid="{00000000-0005-0000-0000-0000AD050000}"/>
    <cellStyle name="Check Cell 48" xfId="19983" xr:uid="{00000000-0005-0000-0000-0000AE050000}"/>
    <cellStyle name="Check Cell 49" xfId="19999" xr:uid="{00000000-0005-0000-0000-0000AF050000}"/>
    <cellStyle name="Check Cell 5" xfId="11172" xr:uid="{00000000-0005-0000-0000-0000B0050000}"/>
    <cellStyle name="Check Cell 50" xfId="20014" xr:uid="{00000000-0005-0000-0000-0000B1050000}"/>
    <cellStyle name="Check Cell 51" xfId="20030" xr:uid="{00000000-0005-0000-0000-0000B2050000}"/>
    <cellStyle name="Check Cell 52" xfId="20045" xr:uid="{00000000-0005-0000-0000-0000B3050000}"/>
    <cellStyle name="Check Cell 53" xfId="20060" xr:uid="{00000000-0005-0000-0000-0000B4050000}"/>
    <cellStyle name="Check Cell 54" xfId="20074" xr:uid="{00000000-0005-0000-0000-0000B5050000}"/>
    <cellStyle name="Check Cell 55" xfId="20090" xr:uid="{00000000-0005-0000-0000-0000B6050000}"/>
    <cellStyle name="Check Cell 56" xfId="20104" xr:uid="{00000000-0005-0000-0000-0000B7050000}"/>
    <cellStyle name="Check Cell 57" xfId="20119" xr:uid="{00000000-0005-0000-0000-0000B8050000}"/>
    <cellStyle name="Check Cell 58" xfId="20132" xr:uid="{00000000-0005-0000-0000-0000B9050000}"/>
    <cellStyle name="Check Cell 59" xfId="20146" xr:uid="{00000000-0005-0000-0000-0000BA050000}"/>
    <cellStyle name="Check Cell 6" xfId="11197" xr:uid="{00000000-0005-0000-0000-0000BB050000}"/>
    <cellStyle name="Check Cell 60" xfId="20161" xr:uid="{00000000-0005-0000-0000-0000BC050000}"/>
    <cellStyle name="Check Cell 61" xfId="20176" xr:uid="{00000000-0005-0000-0000-0000BD050000}"/>
    <cellStyle name="Check Cell 62" xfId="20192" xr:uid="{00000000-0005-0000-0000-0000BE050000}"/>
    <cellStyle name="Check Cell 63" xfId="20207" xr:uid="{00000000-0005-0000-0000-0000BF050000}"/>
    <cellStyle name="Check Cell 64" xfId="20224" xr:uid="{00000000-0005-0000-0000-0000C0050000}"/>
    <cellStyle name="Check Cell 7" xfId="11220" xr:uid="{00000000-0005-0000-0000-0000C1050000}"/>
    <cellStyle name="Check Cell 8" xfId="11236" xr:uid="{00000000-0005-0000-0000-0000C2050000}"/>
    <cellStyle name="Check Cell 9" xfId="11211" xr:uid="{00000000-0005-0000-0000-0000C3050000}"/>
    <cellStyle name="CLEAR" xfId="1856" xr:uid="{00000000-0005-0000-0000-0000C4050000}"/>
    <cellStyle name="ColHeading" xfId="1857" xr:uid="{00000000-0005-0000-0000-0000C5050000}"/>
    <cellStyle name="Column_Title" xfId="6638" xr:uid="{00000000-0005-0000-0000-0000C6050000}"/>
    <cellStyle name="ColumnHeaderNormal" xfId="335" xr:uid="{00000000-0005-0000-0000-0000C7050000}"/>
    <cellStyle name="ColumnHeaderNormal 2" xfId="493" xr:uid="{00000000-0005-0000-0000-0000C8050000}"/>
    <cellStyle name="Comma" xfId="1" builtinId="3"/>
    <cellStyle name="Comma  - Style1" xfId="1858" xr:uid="{00000000-0005-0000-0000-0000CA050000}"/>
    <cellStyle name="Comma  - Style2" xfId="1859" xr:uid="{00000000-0005-0000-0000-0000CB050000}"/>
    <cellStyle name="Comma  - Style3" xfId="1860" xr:uid="{00000000-0005-0000-0000-0000CC050000}"/>
    <cellStyle name="Comma  - Style4" xfId="1861" xr:uid="{00000000-0005-0000-0000-0000CD050000}"/>
    <cellStyle name="Comma  - Style5" xfId="1862" xr:uid="{00000000-0005-0000-0000-0000CE050000}"/>
    <cellStyle name="Comma  - Style6" xfId="1863" xr:uid="{00000000-0005-0000-0000-0000CF050000}"/>
    <cellStyle name="Comma  - Style7" xfId="1864" xr:uid="{00000000-0005-0000-0000-0000D0050000}"/>
    <cellStyle name="Comma  - Style8" xfId="1865" xr:uid="{00000000-0005-0000-0000-0000D1050000}"/>
    <cellStyle name="comma (0)" xfId="1866" xr:uid="{00000000-0005-0000-0000-0000D2050000}"/>
    <cellStyle name="Comma [1]" xfId="494" xr:uid="{00000000-0005-0000-0000-0000D3050000}"/>
    <cellStyle name="Comma 0.00" xfId="6627" xr:uid="{00000000-0005-0000-0000-0000D4050000}"/>
    <cellStyle name="Comma 10" xfId="336" xr:uid="{00000000-0005-0000-0000-0000D5050000}"/>
    <cellStyle name="Comma 10 2" xfId="337" xr:uid="{00000000-0005-0000-0000-0000D6050000}"/>
    <cellStyle name="Comma 10 2 2" xfId="6639" xr:uid="{00000000-0005-0000-0000-0000D7050000}"/>
    <cellStyle name="Comma 10 2 3" xfId="2130" xr:uid="{00000000-0005-0000-0000-0000D8050000}"/>
    <cellStyle name="Comma 10 2 3 2" xfId="28260" xr:uid="{00000000-0005-0000-0000-0000D9050000}"/>
    <cellStyle name="Comma 10 2 4" xfId="20188" xr:uid="{00000000-0005-0000-0000-0000DA050000}"/>
    <cellStyle name="Comma 10 3" xfId="338" xr:uid="{00000000-0005-0000-0000-0000DB050000}"/>
    <cellStyle name="Comma 10 3 2" xfId="2018" xr:uid="{00000000-0005-0000-0000-0000DC050000}"/>
    <cellStyle name="Comma 10 4" xfId="2019" xr:uid="{00000000-0005-0000-0000-0000DD050000}"/>
    <cellStyle name="Comma 100" xfId="10620" xr:uid="{00000000-0005-0000-0000-0000DE050000}"/>
    <cellStyle name="Comma 101" xfId="10623" xr:uid="{00000000-0005-0000-0000-0000DF050000}"/>
    <cellStyle name="Comma 102" xfId="10626" xr:uid="{00000000-0005-0000-0000-0000E0050000}"/>
    <cellStyle name="Comma 103" xfId="10629" xr:uid="{00000000-0005-0000-0000-0000E1050000}"/>
    <cellStyle name="Comma 104" xfId="10632" xr:uid="{00000000-0005-0000-0000-0000E2050000}"/>
    <cellStyle name="Comma 105" xfId="10635" xr:uid="{00000000-0005-0000-0000-0000E3050000}"/>
    <cellStyle name="Comma 106" xfId="10638" xr:uid="{00000000-0005-0000-0000-0000E4050000}"/>
    <cellStyle name="Comma 107" xfId="10641" xr:uid="{00000000-0005-0000-0000-0000E5050000}"/>
    <cellStyle name="Comma 108" xfId="10644" xr:uid="{00000000-0005-0000-0000-0000E6050000}"/>
    <cellStyle name="Comma 109" xfId="10647" xr:uid="{00000000-0005-0000-0000-0000E7050000}"/>
    <cellStyle name="Comma 11" xfId="339" xr:uid="{00000000-0005-0000-0000-0000E8050000}"/>
    <cellStyle name="Comma 11 2" xfId="340" xr:uid="{00000000-0005-0000-0000-0000E9050000}"/>
    <cellStyle name="Comma 11 2 2" xfId="2017" xr:uid="{00000000-0005-0000-0000-0000EA050000}"/>
    <cellStyle name="Comma 11 3" xfId="341" xr:uid="{00000000-0005-0000-0000-0000EB050000}"/>
    <cellStyle name="Comma 11 4" xfId="1695" xr:uid="{00000000-0005-0000-0000-0000EC050000}"/>
    <cellStyle name="Comma 11 5" xfId="2123" xr:uid="{00000000-0005-0000-0000-0000ED050000}"/>
    <cellStyle name="Comma 110" xfId="10650" xr:uid="{00000000-0005-0000-0000-0000EE050000}"/>
    <cellStyle name="Comma 111" xfId="10653" xr:uid="{00000000-0005-0000-0000-0000EF050000}"/>
    <cellStyle name="Comma 112" xfId="10656" xr:uid="{00000000-0005-0000-0000-0000F0050000}"/>
    <cellStyle name="Comma 113" xfId="10659" xr:uid="{00000000-0005-0000-0000-0000F1050000}"/>
    <cellStyle name="Comma 114" xfId="10662" xr:uid="{00000000-0005-0000-0000-0000F2050000}"/>
    <cellStyle name="Comma 115" xfId="10665" xr:uid="{00000000-0005-0000-0000-0000F3050000}"/>
    <cellStyle name="Comma 116" xfId="10668" xr:uid="{00000000-0005-0000-0000-0000F4050000}"/>
    <cellStyle name="Comma 117" xfId="10671" xr:uid="{00000000-0005-0000-0000-0000F5050000}"/>
    <cellStyle name="Comma 118" xfId="10674" xr:uid="{00000000-0005-0000-0000-0000F6050000}"/>
    <cellStyle name="Comma 119" xfId="10677" xr:uid="{00000000-0005-0000-0000-0000F7050000}"/>
    <cellStyle name="Comma 12" xfId="1579" xr:uid="{00000000-0005-0000-0000-0000F8050000}"/>
    <cellStyle name="Comma 12 10" xfId="2016" xr:uid="{00000000-0005-0000-0000-0000F9050000}"/>
    <cellStyle name="Comma 12 10 2" xfId="11376" xr:uid="{00000000-0005-0000-0000-0000FA050000}"/>
    <cellStyle name="Comma 12 10 2 2" xfId="28170" xr:uid="{00000000-0005-0000-0000-0000FB050000}"/>
    <cellStyle name="Comma 12 10 3" xfId="19847" xr:uid="{00000000-0005-0000-0000-0000FC050000}"/>
    <cellStyle name="Comma 12 11" xfId="6640" xr:uid="{00000000-0005-0000-0000-0000FD050000}"/>
    <cellStyle name="Comma 12 12" xfId="2114" xr:uid="{00000000-0005-0000-0000-0000FE050000}"/>
    <cellStyle name="Comma 12 2" xfId="2108" xr:uid="{00000000-0005-0000-0000-0000FF050000}"/>
    <cellStyle name="Comma 12 2 2" xfId="2015" xr:uid="{00000000-0005-0000-0000-000000060000}"/>
    <cellStyle name="Comma 12 2 2 2" xfId="6641" xr:uid="{00000000-0005-0000-0000-000001060000}"/>
    <cellStyle name="Comma 12 3" xfId="2101" xr:uid="{00000000-0005-0000-0000-000002060000}"/>
    <cellStyle name="Comma 12 3 2" xfId="2014" xr:uid="{00000000-0005-0000-0000-000003060000}"/>
    <cellStyle name="Comma 12 3 2 2" xfId="2093" xr:uid="{00000000-0005-0000-0000-000004060000}"/>
    <cellStyle name="Comma 12 3 2 2 2" xfId="6642" xr:uid="{00000000-0005-0000-0000-000005060000}"/>
    <cellStyle name="Comma 12 3 2 2 2 2" xfId="15845" xr:uid="{00000000-0005-0000-0000-000006060000}"/>
    <cellStyle name="Comma 12 3 2 2 2 2 2" xfId="32418" xr:uid="{00000000-0005-0000-0000-000007060000}"/>
    <cellStyle name="Comma 12 3 2 2 2 3" xfId="24371" xr:uid="{00000000-0005-0000-0000-000008060000}"/>
    <cellStyle name="Comma 12 3 2 2 3" xfId="11575" xr:uid="{00000000-0005-0000-0000-000009060000}"/>
    <cellStyle name="Comma 12 3 2 2 3 2" xfId="28238" xr:uid="{00000000-0005-0000-0000-00000A060000}"/>
    <cellStyle name="Comma 12 3 2 2 4" xfId="20042" xr:uid="{00000000-0005-0000-0000-00000B060000}"/>
    <cellStyle name="Comma 12 3 2 3" xfId="2013" xr:uid="{00000000-0005-0000-0000-00000C060000}"/>
    <cellStyle name="Comma 12 3 2 3 2" xfId="11375" xr:uid="{00000000-0005-0000-0000-00000D060000}"/>
    <cellStyle name="Comma 12 3 2 3 2 2" xfId="28169" xr:uid="{00000000-0005-0000-0000-00000E060000}"/>
    <cellStyle name="Comma 12 3 2 3 3" xfId="19846" xr:uid="{00000000-0005-0000-0000-00000F060000}"/>
    <cellStyle name="Comma 12 3 3" xfId="2086" xr:uid="{00000000-0005-0000-0000-000010060000}"/>
    <cellStyle name="Comma 12 3 3 2" xfId="6643" xr:uid="{00000000-0005-0000-0000-000011060000}"/>
    <cellStyle name="Comma 12 3 3 2 2" xfId="15846" xr:uid="{00000000-0005-0000-0000-000012060000}"/>
    <cellStyle name="Comma 12 3 3 2 2 2" xfId="32419" xr:uid="{00000000-0005-0000-0000-000013060000}"/>
    <cellStyle name="Comma 12 3 3 2 3" xfId="24372" xr:uid="{00000000-0005-0000-0000-000014060000}"/>
    <cellStyle name="Comma 12 3 3 3" xfId="11543" xr:uid="{00000000-0005-0000-0000-000015060000}"/>
    <cellStyle name="Comma 12 3 3 3 2" xfId="28233" xr:uid="{00000000-0005-0000-0000-000016060000}"/>
    <cellStyle name="Comma 12 3 3 4" xfId="20011" xr:uid="{00000000-0005-0000-0000-000017060000}"/>
    <cellStyle name="Comma 12 3 4" xfId="2012" xr:uid="{00000000-0005-0000-0000-000018060000}"/>
    <cellStyle name="Comma 12 3 4 2" xfId="11374" xr:uid="{00000000-0005-0000-0000-000019060000}"/>
    <cellStyle name="Comma 12 3 4 2 2" xfId="28168" xr:uid="{00000000-0005-0000-0000-00001A060000}"/>
    <cellStyle name="Comma 12 3 4 3" xfId="19845" xr:uid="{00000000-0005-0000-0000-00001B060000}"/>
    <cellStyle name="Comma 12 4" xfId="2253" xr:uid="{00000000-0005-0000-0000-00001C060000}"/>
    <cellStyle name="Comma 12 4 2" xfId="2254" xr:uid="{00000000-0005-0000-0000-00001D060000}"/>
    <cellStyle name="Comma 12 4 2 2" xfId="6644" xr:uid="{00000000-0005-0000-0000-00001E060000}"/>
    <cellStyle name="Comma 12 4 2 2 2" xfId="15847" xr:uid="{00000000-0005-0000-0000-00001F060000}"/>
    <cellStyle name="Comma 12 4 2 2 2 2" xfId="32420" xr:uid="{00000000-0005-0000-0000-000020060000}"/>
    <cellStyle name="Comma 12 4 2 2 3" xfId="24373" xr:uid="{00000000-0005-0000-0000-000021060000}"/>
    <cellStyle name="Comma 12 4 2 3" xfId="11887" xr:uid="{00000000-0005-0000-0000-000022060000}"/>
    <cellStyle name="Comma 12 4 2 3 2" xfId="28402" xr:uid="{00000000-0005-0000-0000-000023060000}"/>
    <cellStyle name="Comma 12 4 2 4" xfId="20359" xr:uid="{00000000-0005-0000-0000-000024060000}"/>
    <cellStyle name="Comma 12 4 3" xfId="2255" xr:uid="{00000000-0005-0000-0000-000025060000}"/>
    <cellStyle name="Comma 12 4 3 2" xfId="11888" xr:uid="{00000000-0005-0000-0000-000026060000}"/>
    <cellStyle name="Comma 12 4 3 2 2" xfId="28403" xr:uid="{00000000-0005-0000-0000-000027060000}"/>
    <cellStyle name="Comma 12 4 3 3" xfId="20360" xr:uid="{00000000-0005-0000-0000-000028060000}"/>
    <cellStyle name="Comma 12 5" xfId="2256" xr:uid="{00000000-0005-0000-0000-000029060000}"/>
    <cellStyle name="Comma 12 5 2" xfId="2257" xr:uid="{00000000-0005-0000-0000-00002A060000}"/>
    <cellStyle name="Comma 12 5 2 2" xfId="11889" xr:uid="{00000000-0005-0000-0000-00002B060000}"/>
    <cellStyle name="Comma 12 5 2 2 2" xfId="28404" xr:uid="{00000000-0005-0000-0000-00002C060000}"/>
    <cellStyle name="Comma 12 5 2 3" xfId="20361" xr:uid="{00000000-0005-0000-0000-00002D060000}"/>
    <cellStyle name="Comma 12 6" xfId="2258" xr:uid="{00000000-0005-0000-0000-00002E060000}"/>
    <cellStyle name="Comma 12 6 2" xfId="6645" xr:uid="{00000000-0005-0000-0000-00002F060000}"/>
    <cellStyle name="Comma 12 6 2 2" xfId="15848" xr:uid="{00000000-0005-0000-0000-000030060000}"/>
    <cellStyle name="Comma 12 6 2 2 2" xfId="32421" xr:uid="{00000000-0005-0000-0000-000031060000}"/>
    <cellStyle name="Comma 12 6 2 3" xfId="24374" xr:uid="{00000000-0005-0000-0000-000032060000}"/>
    <cellStyle name="Comma 12 7" xfId="2259" xr:uid="{00000000-0005-0000-0000-000033060000}"/>
    <cellStyle name="Comma 12 8" xfId="2260" xr:uid="{00000000-0005-0000-0000-000034060000}"/>
    <cellStyle name="Comma 12 9" xfId="2261" xr:uid="{00000000-0005-0000-0000-000035060000}"/>
    <cellStyle name="Comma 120" xfId="10680" xr:uid="{00000000-0005-0000-0000-000036060000}"/>
    <cellStyle name="Comma 121" xfId="10683" xr:uid="{00000000-0005-0000-0000-000037060000}"/>
    <cellStyle name="Comma 122" xfId="10686" xr:uid="{00000000-0005-0000-0000-000038060000}"/>
    <cellStyle name="Comma 123" xfId="10689" xr:uid="{00000000-0005-0000-0000-000039060000}"/>
    <cellStyle name="Comma 124" xfId="10692" xr:uid="{00000000-0005-0000-0000-00003A060000}"/>
    <cellStyle name="Comma 125" xfId="10695" xr:uid="{00000000-0005-0000-0000-00003B060000}"/>
    <cellStyle name="Comma 126" xfId="10698" xr:uid="{00000000-0005-0000-0000-00003C060000}"/>
    <cellStyle name="Comma 127" xfId="10701" xr:uid="{00000000-0005-0000-0000-00003D060000}"/>
    <cellStyle name="Comma 128" xfId="10704" xr:uid="{00000000-0005-0000-0000-00003E060000}"/>
    <cellStyle name="Comma 129" xfId="10707" xr:uid="{00000000-0005-0000-0000-00003F060000}"/>
    <cellStyle name="Comma 13" xfId="1581" xr:uid="{00000000-0005-0000-0000-000040060000}"/>
    <cellStyle name="Comma 13 2" xfId="2263" xr:uid="{00000000-0005-0000-0000-000041060000}"/>
    <cellStyle name="Comma 13 2 2" xfId="2264" xr:uid="{00000000-0005-0000-0000-000042060000}"/>
    <cellStyle name="Comma 13 2 2 2" xfId="2265" xr:uid="{00000000-0005-0000-0000-000043060000}"/>
    <cellStyle name="Comma 13 2 2 2 2" xfId="6646" xr:uid="{00000000-0005-0000-0000-000044060000}"/>
    <cellStyle name="Comma 13 2 2 2 2 2" xfId="15849" xr:uid="{00000000-0005-0000-0000-000045060000}"/>
    <cellStyle name="Comma 13 2 2 2 2 2 2" xfId="32422" xr:uid="{00000000-0005-0000-0000-000046060000}"/>
    <cellStyle name="Comma 13 2 2 2 2 3" xfId="24375" xr:uid="{00000000-0005-0000-0000-000047060000}"/>
    <cellStyle name="Comma 13 2 2 2 3" xfId="11891" xr:uid="{00000000-0005-0000-0000-000048060000}"/>
    <cellStyle name="Comma 13 2 2 2 3 2" xfId="28406" xr:uid="{00000000-0005-0000-0000-000049060000}"/>
    <cellStyle name="Comma 13 2 2 2 4" xfId="20363" xr:uid="{00000000-0005-0000-0000-00004A060000}"/>
    <cellStyle name="Comma 13 2 2 3" xfId="6647" xr:uid="{00000000-0005-0000-0000-00004B060000}"/>
    <cellStyle name="Comma 13 2 2 3 2" xfId="15850" xr:uid="{00000000-0005-0000-0000-00004C060000}"/>
    <cellStyle name="Comma 13 2 2 3 2 2" xfId="32423" xr:uid="{00000000-0005-0000-0000-00004D060000}"/>
    <cellStyle name="Comma 13 2 2 3 3" xfId="24376" xr:uid="{00000000-0005-0000-0000-00004E060000}"/>
    <cellStyle name="Comma 13 2 2 4" xfId="11890" xr:uid="{00000000-0005-0000-0000-00004F060000}"/>
    <cellStyle name="Comma 13 2 2 4 2" xfId="28405" xr:uid="{00000000-0005-0000-0000-000050060000}"/>
    <cellStyle name="Comma 13 2 2 5" xfId="20362" xr:uid="{00000000-0005-0000-0000-000051060000}"/>
    <cellStyle name="Comma 13 2 3" xfId="2266" xr:uid="{00000000-0005-0000-0000-000052060000}"/>
    <cellStyle name="Comma 13 2 3 2" xfId="6648" xr:uid="{00000000-0005-0000-0000-000053060000}"/>
    <cellStyle name="Comma 13 2 3 2 2" xfId="15851" xr:uid="{00000000-0005-0000-0000-000054060000}"/>
    <cellStyle name="Comma 13 2 3 2 2 2" xfId="32424" xr:uid="{00000000-0005-0000-0000-000055060000}"/>
    <cellStyle name="Comma 13 2 3 2 3" xfId="24377" xr:uid="{00000000-0005-0000-0000-000056060000}"/>
    <cellStyle name="Comma 13 2 3 3" xfId="11892" xr:uid="{00000000-0005-0000-0000-000057060000}"/>
    <cellStyle name="Comma 13 2 3 3 2" xfId="28407" xr:uid="{00000000-0005-0000-0000-000058060000}"/>
    <cellStyle name="Comma 13 2 3 4" xfId="20364" xr:uid="{00000000-0005-0000-0000-000059060000}"/>
    <cellStyle name="Comma 13 2 4" xfId="2267" xr:uid="{00000000-0005-0000-0000-00005A060000}"/>
    <cellStyle name="Comma 13 2 4 2" xfId="11893" xr:uid="{00000000-0005-0000-0000-00005B060000}"/>
    <cellStyle name="Comma 13 2 4 2 2" xfId="28408" xr:uid="{00000000-0005-0000-0000-00005C060000}"/>
    <cellStyle name="Comma 13 2 4 3" xfId="20365" xr:uid="{00000000-0005-0000-0000-00005D060000}"/>
    <cellStyle name="Comma 13 3" xfId="2268" xr:uid="{00000000-0005-0000-0000-00005E060000}"/>
    <cellStyle name="Comma 13 3 2" xfId="2269" xr:uid="{00000000-0005-0000-0000-00005F060000}"/>
    <cellStyle name="Comma 13 3 2 2" xfId="6649" xr:uid="{00000000-0005-0000-0000-000060060000}"/>
    <cellStyle name="Comma 13 3 2 2 2" xfId="15852" xr:uid="{00000000-0005-0000-0000-000061060000}"/>
    <cellStyle name="Comma 13 3 2 2 2 2" xfId="32425" xr:uid="{00000000-0005-0000-0000-000062060000}"/>
    <cellStyle name="Comma 13 3 2 2 3" xfId="24378" xr:uid="{00000000-0005-0000-0000-000063060000}"/>
    <cellStyle name="Comma 13 3 2 3" xfId="11894" xr:uid="{00000000-0005-0000-0000-000064060000}"/>
    <cellStyle name="Comma 13 3 2 3 2" xfId="28409" xr:uid="{00000000-0005-0000-0000-000065060000}"/>
    <cellStyle name="Comma 13 3 2 4" xfId="20366" xr:uid="{00000000-0005-0000-0000-000066060000}"/>
    <cellStyle name="Comma 13 3 3" xfId="2270" xr:uid="{00000000-0005-0000-0000-000067060000}"/>
    <cellStyle name="Comma 13 3 3 2" xfId="11895" xr:uid="{00000000-0005-0000-0000-000068060000}"/>
    <cellStyle name="Comma 13 3 3 2 2" xfId="28410" xr:uid="{00000000-0005-0000-0000-000069060000}"/>
    <cellStyle name="Comma 13 3 3 3" xfId="20367" xr:uid="{00000000-0005-0000-0000-00006A060000}"/>
    <cellStyle name="Comma 13 4" xfId="2271" xr:uid="{00000000-0005-0000-0000-00006B060000}"/>
    <cellStyle name="Comma 13 4 2" xfId="2272" xr:uid="{00000000-0005-0000-0000-00006C060000}"/>
    <cellStyle name="Comma 13 4 2 2" xfId="11896" xr:uid="{00000000-0005-0000-0000-00006D060000}"/>
    <cellStyle name="Comma 13 4 2 2 2" xfId="28411" xr:uid="{00000000-0005-0000-0000-00006E060000}"/>
    <cellStyle name="Comma 13 4 2 3" xfId="20368" xr:uid="{00000000-0005-0000-0000-00006F060000}"/>
    <cellStyle name="Comma 13 5" xfId="2273" xr:uid="{00000000-0005-0000-0000-000070060000}"/>
    <cellStyle name="Comma 13 5 2" xfId="6650" xr:uid="{00000000-0005-0000-0000-000071060000}"/>
    <cellStyle name="Comma 13 5 2 2" xfId="15853" xr:uid="{00000000-0005-0000-0000-000072060000}"/>
    <cellStyle name="Comma 13 5 2 2 2" xfId="32426" xr:uid="{00000000-0005-0000-0000-000073060000}"/>
    <cellStyle name="Comma 13 5 2 3" xfId="24379" xr:uid="{00000000-0005-0000-0000-000074060000}"/>
    <cellStyle name="Comma 13 6" xfId="2274" xr:uid="{00000000-0005-0000-0000-000075060000}"/>
    <cellStyle name="Comma 13 7" xfId="2275" xr:uid="{00000000-0005-0000-0000-000076060000}"/>
    <cellStyle name="Comma 13 8" xfId="2276" xr:uid="{00000000-0005-0000-0000-000077060000}"/>
    <cellStyle name="Comma 13 8 2" xfId="11897" xr:uid="{00000000-0005-0000-0000-000078060000}"/>
    <cellStyle name="Comma 13 8 2 2" xfId="28412" xr:uid="{00000000-0005-0000-0000-000079060000}"/>
    <cellStyle name="Comma 13 8 3" xfId="20369" xr:uid="{00000000-0005-0000-0000-00007A060000}"/>
    <cellStyle name="Comma 13 9" xfId="2262" xr:uid="{00000000-0005-0000-0000-00007B060000}"/>
    <cellStyle name="Comma 130" xfId="10710" xr:uid="{00000000-0005-0000-0000-00007C060000}"/>
    <cellStyle name="Comma 131" xfId="10713" xr:uid="{00000000-0005-0000-0000-00007D060000}"/>
    <cellStyle name="Comma 132" xfId="10716" xr:uid="{00000000-0005-0000-0000-00007E060000}"/>
    <cellStyle name="Comma 133" xfId="10719" xr:uid="{00000000-0005-0000-0000-00007F060000}"/>
    <cellStyle name="Comma 134" xfId="10722" xr:uid="{00000000-0005-0000-0000-000080060000}"/>
    <cellStyle name="Comma 135" xfId="10725" xr:uid="{00000000-0005-0000-0000-000081060000}"/>
    <cellStyle name="Comma 136" xfId="10728" xr:uid="{00000000-0005-0000-0000-000082060000}"/>
    <cellStyle name="Comma 137" xfId="10731" xr:uid="{00000000-0005-0000-0000-000083060000}"/>
    <cellStyle name="Comma 138" xfId="10734" xr:uid="{00000000-0005-0000-0000-000084060000}"/>
    <cellStyle name="Comma 139" xfId="10737" xr:uid="{00000000-0005-0000-0000-000085060000}"/>
    <cellStyle name="Comma 14" xfId="1583" xr:uid="{00000000-0005-0000-0000-000086060000}"/>
    <cellStyle name="Comma 14 2" xfId="2278" xr:uid="{00000000-0005-0000-0000-000087060000}"/>
    <cellStyle name="Comma 14 2 2" xfId="2279" xr:uid="{00000000-0005-0000-0000-000088060000}"/>
    <cellStyle name="Comma 14 2 2 2" xfId="2280" xr:uid="{00000000-0005-0000-0000-000089060000}"/>
    <cellStyle name="Comma 14 2 2 2 2" xfId="6652" xr:uid="{00000000-0005-0000-0000-00008A060000}"/>
    <cellStyle name="Comma 14 2 2 2 2 2" xfId="15854" xr:uid="{00000000-0005-0000-0000-00008B060000}"/>
    <cellStyle name="Comma 14 2 2 2 2 2 2" xfId="32427" xr:uid="{00000000-0005-0000-0000-00008C060000}"/>
    <cellStyle name="Comma 14 2 2 2 2 3" xfId="24380" xr:uid="{00000000-0005-0000-0000-00008D060000}"/>
    <cellStyle name="Comma 14 2 2 2 3" xfId="11900" xr:uid="{00000000-0005-0000-0000-00008E060000}"/>
    <cellStyle name="Comma 14 2 2 2 3 2" xfId="28415" xr:uid="{00000000-0005-0000-0000-00008F060000}"/>
    <cellStyle name="Comma 14 2 2 2 4" xfId="20372" xr:uid="{00000000-0005-0000-0000-000090060000}"/>
    <cellStyle name="Comma 14 2 2 3" xfId="6653" xr:uid="{00000000-0005-0000-0000-000091060000}"/>
    <cellStyle name="Comma 14 2 2 3 2" xfId="15855" xr:uid="{00000000-0005-0000-0000-000092060000}"/>
    <cellStyle name="Comma 14 2 2 3 2 2" xfId="32428" xr:uid="{00000000-0005-0000-0000-000093060000}"/>
    <cellStyle name="Comma 14 2 2 3 3" xfId="24381" xr:uid="{00000000-0005-0000-0000-000094060000}"/>
    <cellStyle name="Comma 14 2 2 4" xfId="11899" xr:uid="{00000000-0005-0000-0000-000095060000}"/>
    <cellStyle name="Comma 14 2 2 4 2" xfId="28414" xr:uid="{00000000-0005-0000-0000-000096060000}"/>
    <cellStyle name="Comma 14 2 2 5" xfId="20371" xr:uid="{00000000-0005-0000-0000-000097060000}"/>
    <cellStyle name="Comma 14 2 3" xfId="2281" xr:uid="{00000000-0005-0000-0000-000098060000}"/>
    <cellStyle name="Comma 14 2 3 2" xfId="6654" xr:uid="{00000000-0005-0000-0000-000099060000}"/>
    <cellStyle name="Comma 14 2 3 2 2" xfId="15856" xr:uid="{00000000-0005-0000-0000-00009A060000}"/>
    <cellStyle name="Comma 14 2 3 2 2 2" xfId="32429" xr:uid="{00000000-0005-0000-0000-00009B060000}"/>
    <cellStyle name="Comma 14 2 3 2 3" xfId="24382" xr:uid="{00000000-0005-0000-0000-00009C060000}"/>
    <cellStyle name="Comma 14 2 3 3" xfId="11901" xr:uid="{00000000-0005-0000-0000-00009D060000}"/>
    <cellStyle name="Comma 14 2 3 3 2" xfId="28416" xr:uid="{00000000-0005-0000-0000-00009E060000}"/>
    <cellStyle name="Comma 14 2 3 4" xfId="20373" xr:uid="{00000000-0005-0000-0000-00009F060000}"/>
    <cellStyle name="Comma 14 2 4" xfId="6655" xr:uid="{00000000-0005-0000-0000-0000A0060000}"/>
    <cellStyle name="Comma 14 2 4 2" xfId="15857" xr:uid="{00000000-0005-0000-0000-0000A1060000}"/>
    <cellStyle name="Comma 14 2 4 2 2" xfId="32430" xr:uid="{00000000-0005-0000-0000-0000A2060000}"/>
    <cellStyle name="Comma 14 2 4 3" xfId="24383" xr:uid="{00000000-0005-0000-0000-0000A3060000}"/>
    <cellStyle name="Comma 14 2 5" xfId="11898" xr:uid="{00000000-0005-0000-0000-0000A4060000}"/>
    <cellStyle name="Comma 14 2 5 2" xfId="28413" xr:uid="{00000000-0005-0000-0000-0000A5060000}"/>
    <cellStyle name="Comma 14 2 6" xfId="20370" xr:uid="{00000000-0005-0000-0000-0000A6060000}"/>
    <cellStyle name="Comma 14 3" xfId="2282" xr:uid="{00000000-0005-0000-0000-0000A7060000}"/>
    <cellStyle name="Comma 14 3 2" xfId="2283" xr:uid="{00000000-0005-0000-0000-0000A8060000}"/>
    <cellStyle name="Comma 14 3 2 2" xfId="6656" xr:uid="{00000000-0005-0000-0000-0000A9060000}"/>
    <cellStyle name="Comma 14 3 2 2 2" xfId="15858" xr:uid="{00000000-0005-0000-0000-0000AA060000}"/>
    <cellStyle name="Comma 14 3 2 2 2 2" xfId="32431" xr:uid="{00000000-0005-0000-0000-0000AB060000}"/>
    <cellStyle name="Comma 14 3 2 2 3" xfId="24384" xr:uid="{00000000-0005-0000-0000-0000AC060000}"/>
    <cellStyle name="Comma 14 3 2 3" xfId="11903" xr:uid="{00000000-0005-0000-0000-0000AD060000}"/>
    <cellStyle name="Comma 14 3 2 3 2" xfId="28418" xr:uid="{00000000-0005-0000-0000-0000AE060000}"/>
    <cellStyle name="Comma 14 3 2 4" xfId="20375" xr:uid="{00000000-0005-0000-0000-0000AF060000}"/>
    <cellStyle name="Comma 14 3 3" xfId="6657" xr:uid="{00000000-0005-0000-0000-0000B0060000}"/>
    <cellStyle name="Comma 14 3 3 2" xfId="15859" xr:uid="{00000000-0005-0000-0000-0000B1060000}"/>
    <cellStyle name="Comma 14 3 3 2 2" xfId="32432" xr:uid="{00000000-0005-0000-0000-0000B2060000}"/>
    <cellStyle name="Comma 14 3 3 3" xfId="24385" xr:uid="{00000000-0005-0000-0000-0000B3060000}"/>
    <cellStyle name="Comma 14 3 4" xfId="11902" xr:uid="{00000000-0005-0000-0000-0000B4060000}"/>
    <cellStyle name="Comma 14 3 4 2" xfId="28417" xr:uid="{00000000-0005-0000-0000-0000B5060000}"/>
    <cellStyle name="Comma 14 3 5" xfId="20374" xr:uid="{00000000-0005-0000-0000-0000B6060000}"/>
    <cellStyle name="Comma 14 4" xfId="2284" xr:uid="{00000000-0005-0000-0000-0000B7060000}"/>
    <cellStyle name="Comma 14 4 2" xfId="6658" xr:uid="{00000000-0005-0000-0000-0000B8060000}"/>
    <cellStyle name="Comma 14 4 2 2" xfId="15860" xr:uid="{00000000-0005-0000-0000-0000B9060000}"/>
    <cellStyle name="Comma 14 4 2 2 2" xfId="32433" xr:uid="{00000000-0005-0000-0000-0000BA060000}"/>
    <cellStyle name="Comma 14 4 2 3" xfId="24386" xr:uid="{00000000-0005-0000-0000-0000BB060000}"/>
    <cellStyle name="Comma 14 4 3" xfId="11904" xr:uid="{00000000-0005-0000-0000-0000BC060000}"/>
    <cellStyle name="Comma 14 4 3 2" xfId="28419" xr:uid="{00000000-0005-0000-0000-0000BD060000}"/>
    <cellStyle name="Comma 14 4 4" xfId="20376" xr:uid="{00000000-0005-0000-0000-0000BE060000}"/>
    <cellStyle name="Comma 14 5" xfId="6659" xr:uid="{00000000-0005-0000-0000-0000BF060000}"/>
    <cellStyle name="Comma 14 5 2" xfId="15861" xr:uid="{00000000-0005-0000-0000-0000C0060000}"/>
    <cellStyle name="Comma 14 5 2 2" xfId="32434" xr:uid="{00000000-0005-0000-0000-0000C1060000}"/>
    <cellStyle name="Comma 14 5 3" xfId="24387" xr:uid="{00000000-0005-0000-0000-0000C2060000}"/>
    <cellStyle name="Comma 14 6" xfId="6651" xr:uid="{00000000-0005-0000-0000-0000C3060000}"/>
    <cellStyle name="Comma 14 7" xfId="2277" xr:uid="{00000000-0005-0000-0000-0000C4060000}"/>
    <cellStyle name="Comma 140" xfId="10740" xr:uid="{00000000-0005-0000-0000-0000C5060000}"/>
    <cellStyle name="Comma 141" xfId="10743" xr:uid="{00000000-0005-0000-0000-0000C6060000}"/>
    <cellStyle name="Comma 142" xfId="10746" xr:uid="{00000000-0005-0000-0000-0000C7060000}"/>
    <cellStyle name="Comma 143" xfId="10749" xr:uid="{00000000-0005-0000-0000-0000C8060000}"/>
    <cellStyle name="Comma 144" xfId="10752" xr:uid="{00000000-0005-0000-0000-0000C9060000}"/>
    <cellStyle name="Comma 145" xfId="10755" xr:uid="{00000000-0005-0000-0000-0000CA060000}"/>
    <cellStyle name="Comma 146" xfId="10758" xr:uid="{00000000-0005-0000-0000-0000CB060000}"/>
    <cellStyle name="Comma 147" xfId="10761" xr:uid="{00000000-0005-0000-0000-0000CC060000}"/>
    <cellStyle name="Comma 148" xfId="10764" xr:uid="{00000000-0005-0000-0000-0000CD060000}"/>
    <cellStyle name="Comma 149" xfId="10767" xr:uid="{00000000-0005-0000-0000-0000CE060000}"/>
    <cellStyle name="Comma 15" xfId="1694" xr:uid="{00000000-0005-0000-0000-0000CF060000}"/>
    <cellStyle name="Comma 15 2" xfId="2286" xr:uid="{00000000-0005-0000-0000-0000D0060000}"/>
    <cellStyle name="Comma 15 2 2" xfId="2287" xr:uid="{00000000-0005-0000-0000-0000D1060000}"/>
    <cellStyle name="Comma 15 2 2 2" xfId="2288" xr:uid="{00000000-0005-0000-0000-0000D2060000}"/>
    <cellStyle name="Comma 15 2 2 2 2" xfId="6660" xr:uid="{00000000-0005-0000-0000-0000D3060000}"/>
    <cellStyle name="Comma 15 2 2 2 2 2" xfId="15862" xr:uid="{00000000-0005-0000-0000-0000D4060000}"/>
    <cellStyle name="Comma 15 2 2 2 2 2 2" xfId="32435" xr:uid="{00000000-0005-0000-0000-0000D5060000}"/>
    <cellStyle name="Comma 15 2 2 2 2 3" xfId="24388" xr:uid="{00000000-0005-0000-0000-0000D6060000}"/>
    <cellStyle name="Comma 15 2 2 2 3" xfId="11907" xr:uid="{00000000-0005-0000-0000-0000D7060000}"/>
    <cellStyle name="Comma 15 2 2 2 3 2" xfId="28422" xr:uid="{00000000-0005-0000-0000-0000D8060000}"/>
    <cellStyle name="Comma 15 2 2 2 4" xfId="20379" xr:uid="{00000000-0005-0000-0000-0000D9060000}"/>
    <cellStyle name="Comma 15 2 2 3" xfId="6661" xr:uid="{00000000-0005-0000-0000-0000DA060000}"/>
    <cellStyle name="Comma 15 2 2 3 2" xfId="15863" xr:uid="{00000000-0005-0000-0000-0000DB060000}"/>
    <cellStyle name="Comma 15 2 2 3 2 2" xfId="32436" xr:uid="{00000000-0005-0000-0000-0000DC060000}"/>
    <cellStyle name="Comma 15 2 2 3 3" xfId="24389" xr:uid="{00000000-0005-0000-0000-0000DD060000}"/>
    <cellStyle name="Comma 15 2 2 4" xfId="11906" xr:uid="{00000000-0005-0000-0000-0000DE060000}"/>
    <cellStyle name="Comma 15 2 2 4 2" xfId="28421" xr:uid="{00000000-0005-0000-0000-0000DF060000}"/>
    <cellStyle name="Comma 15 2 2 5" xfId="20378" xr:uid="{00000000-0005-0000-0000-0000E0060000}"/>
    <cellStyle name="Comma 15 2 3" xfId="2289" xr:uid="{00000000-0005-0000-0000-0000E1060000}"/>
    <cellStyle name="Comma 15 2 3 2" xfId="6662" xr:uid="{00000000-0005-0000-0000-0000E2060000}"/>
    <cellStyle name="Comma 15 2 3 2 2" xfId="15864" xr:uid="{00000000-0005-0000-0000-0000E3060000}"/>
    <cellStyle name="Comma 15 2 3 2 2 2" xfId="32437" xr:uid="{00000000-0005-0000-0000-0000E4060000}"/>
    <cellStyle name="Comma 15 2 3 2 3" xfId="24390" xr:uid="{00000000-0005-0000-0000-0000E5060000}"/>
    <cellStyle name="Comma 15 2 3 3" xfId="11908" xr:uid="{00000000-0005-0000-0000-0000E6060000}"/>
    <cellStyle name="Comma 15 2 3 3 2" xfId="28423" xr:uid="{00000000-0005-0000-0000-0000E7060000}"/>
    <cellStyle name="Comma 15 2 3 4" xfId="20380" xr:uid="{00000000-0005-0000-0000-0000E8060000}"/>
    <cellStyle name="Comma 15 2 4" xfId="6663" xr:uid="{00000000-0005-0000-0000-0000E9060000}"/>
    <cellStyle name="Comma 15 2 4 2" xfId="15865" xr:uid="{00000000-0005-0000-0000-0000EA060000}"/>
    <cellStyle name="Comma 15 2 4 2 2" xfId="32438" xr:uid="{00000000-0005-0000-0000-0000EB060000}"/>
    <cellStyle name="Comma 15 2 4 3" xfId="24391" xr:uid="{00000000-0005-0000-0000-0000EC060000}"/>
    <cellStyle name="Comma 15 2 5" xfId="11905" xr:uid="{00000000-0005-0000-0000-0000ED060000}"/>
    <cellStyle name="Comma 15 2 5 2" xfId="28420" xr:uid="{00000000-0005-0000-0000-0000EE060000}"/>
    <cellStyle name="Comma 15 2 6" xfId="20377" xr:uid="{00000000-0005-0000-0000-0000EF060000}"/>
    <cellStyle name="Comma 15 3" xfId="2290" xr:uid="{00000000-0005-0000-0000-0000F0060000}"/>
    <cellStyle name="Comma 15 3 2" xfId="2291" xr:uid="{00000000-0005-0000-0000-0000F1060000}"/>
    <cellStyle name="Comma 15 3 2 2" xfId="2292" xr:uid="{00000000-0005-0000-0000-0000F2060000}"/>
    <cellStyle name="Comma 15 3 2 2 2" xfId="2293" xr:uid="{00000000-0005-0000-0000-0000F3060000}"/>
    <cellStyle name="Comma 15 3 2 2 2 2" xfId="11912" xr:uid="{00000000-0005-0000-0000-0000F4060000}"/>
    <cellStyle name="Comma 15 3 2 2 2 2 2" xfId="28427" xr:uid="{00000000-0005-0000-0000-0000F5060000}"/>
    <cellStyle name="Comma 15 3 2 2 2 3" xfId="20384" xr:uid="{00000000-0005-0000-0000-0000F6060000}"/>
    <cellStyle name="Comma 15 3 2 2 3" xfId="11911" xr:uid="{00000000-0005-0000-0000-0000F7060000}"/>
    <cellStyle name="Comma 15 3 2 2 3 2" xfId="28426" xr:uid="{00000000-0005-0000-0000-0000F8060000}"/>
    <cellStyle name="Comma 15 3 2 2 4" xfId="20383" xr:uid="{00000000-0005-0000-0000-0000F9060000}"/>
    <cellStyle name="Comma 15 3 2 3" xfId="11910" xr:uid="{00000000-0005-0000-0000-0000FA060000}"/>
    <cellStyle name="Comma 15 3 2 3 2" xfId="28425" xr:uid="{00000000-0005-0000-0000-0000FB060000}"/>
    <cellStyle name="Comma 15 3 2 4" xfId="20382" xr:uid="{00000000-0005-0000-0000-0000FC060000}"/>
    <cellStyle name="Comma 15 3 3" xfId="6664" xr:uid="{00000000-0005-0000-0000-0000FD060000}"/>
    <cellStyle name="Comma 15 3 3 2" xfId="15866" xr:uid="{00000000-0005-0000-0000-0000FE060000}"/>
    <cellStyle name="Comma 15 3 3 2 2" xfId="32439" xr:uid="{00000000-0005-0000-0000-0000FF060000}"/>
    <cellStyle name="Comma 15 3 3 3" xfId="24392" xr:uid="{00000000-0005-0000-0000-000000070000}"/>
    <cellStyle name="Comma 15 3 4" xfId="11909" xr:uid="{00000000-0005-0000-0000-000001070000}"/>
    <cellStyle name="Comma 15 3 4 2" xfId="28424" xr:uid="{00000000-0005-0000-0000-000002070000}"/>
    <cellStyle name="Comma 15 3 5" xfId="20381" xr:uid="{00000000-0005-0000-0000-000003070000}"/>
    <cellStyle name="Comma 15 4" xfId="2294" xr:uid="{00000000-0005-0000-0000-000004070000}"/>
    <cellStyle name="Comma 15 4 2" xfId="6665" xr:uid="{00000000-0005-0000-0000-000005070000}"/>
    <cellStyle name="Comma 15 4 2 2" xfId="15867" xr:uid="{00000000-0005-0000-0000-000006070000}"/>
    <cellStyle name="Comma 15 4 2 2 2" xfId="32440" xr:uid="{00000000-0005-0000-0000-000007070000}"/>
    <cellStyle name="Comma 15 4 2 3" xfId="24393" xr:uid="{00000000-0005-0000-0000-000008070000}"/>
    <cellStyle name="Comma 15 4 3" xfId="11913" xr:uid="{00000000-0005-0000-0000-000009070000}"/>
    <cellStyle name="Comma 15 4 3 2" xfId="28428" xr:uid="{00000000-0005-0000-0000-00000A070000}"/>
    <cellStyle name="Comma 15 4 4" xfId="20385" xr:uid="{00000000-0005-0000-0000-00000B070000}"/>
    <cellStyle name="Comma 15 5" xfId="6666" xr:uid="{00000000-0005-0000-0000-00000C070000}"/>
    <cellStyle name="Comma 15 5 2" xfId="15868" xr:uid="{00000000-0005-0000-0000-00000D070000}"/>
    <cellStyle name="Comma 15 5 2 2" xfId="32441" xr:uid="{00000000-0005-0000-0000-00000E070000}"/>
    <cellStyle name="Comma 15 5 3" xfId="24394" xr:uid="{00000000-0005-0000-0000-00000F070000}"/>
    <cellStyle name="Comma 15 6" xfId="2285" xr:uid="{00000000-0005-0000-0000-000010070000}"/>
    <cellStyle name="Comma 150" xfId="10770" xr:uid="{00000000-0005-0000-0000-000011070000}"/>
    <cellStyle name="Comma 151" xfId="10773" xr:uid="{00000000-0005-0000-0000-000012070000}"/>
    <cellStyle name="Comma 152" xfId="10776" xr:uid="{00000000-0005-0000-0000-000013070000}"/>
    <cellStyle name="Comma 153" xfId="10779" xr:uid="{00000000-0005-0000-0000-000014070000}"/>
    <cellStyle name="Comma 154" xfId="10782" xr:uid="{00000000-0005-0000-0000-000015070000}"/>
    <cellStyle name="Comma 155" xfId="10785" xr:uid="{00000000-0005-0000-0000-000016070000}"/>
    <cellStyle name="Comma 156" xfId="10788" xr:uid="{00000000-0005-0000-0000-000017070000}"/>
    <cellStyle name="Comma 157" xfId="10791" xr:uid="{00000000-0005-0000-0000-000018070000}"/>
    <cellStyle name="Comma 158" xfId="10794" xr:uid="{00000000-0005-0000-0000-000019070000}"/>
    <cellStyle name="Comma 159" xfId="10797" xr:uid="{00000000-0005-0000-0000-00001A070000}"/>
    <cellStyle name="Comma 16" xfId="1732" xr:uid="{00000000-0005-0000-0000-00001B070000}"/>
    <cellStyle name="Comma 16 2" xfId="2295" xr:uid="{00000000-0005-0000-0000-00001C070000}"/>
    <cellStyle name="Comma 16 2 2" xfId="6667" xr:uid="{00000000-0005-0000-0000-00001D070000}"/>
    <cellStyle name="Comma 160" xfId="10800" xr:uid="{00000000-0005-0000-0000-00001E070000}"/>
    <cellStyle name="Comma 161" xfId="10803" xr:uid="{00000000-0005-0000-0000-00001F070000}"/>
    <cellStyle name="Comma 162" xfId="10806" xr:uid="{00000000-0005-0000-0000-000020070000}"/>
    <cellStyle name="Comma 163" xfId="10809" xr:uid="{00000000-0005-0000-0000-000021070000}"/>
    <cellStyle name="Comma 164" xfId="10812" xr:uid="{00000000-0005-0000-0000-000022070000}"/>
    <cellStyle name="Comma 165" xfId="10815" xr:uid="{00000000-0005-0000-0000-000023070000}"/>
    <cellStyle name="Comma 166" xfId="10818" xr:uid="{00000000-0005-0000-0000-000024070000}"/>
    <cellStyle name="Comma 167" xfId="10821" xr:uid="{00000000-0005-0000-0000-000025070000}"/>
    <cellStyle name="Comma 168" xfId="10824" xr:uid="{00000000-0005-0000-0000-000026070000}"/>
    <cellStyle name="Comma 169" xfId="10827" xr:uid="{00000000-0005-0000-0000-000027070000}"/>
    <cellStyle name="Comma 17" xfId="1666" xr:uid="{00000000-0005-0000-0000-000028070000}"/>
    <cellStyle name="Comma 17 2" xfId="2297" xr:uid="{00000000-0005-0000-0000-000029070000}"/>
    <cellStyle name="Comma 17 2 2" xfId="2298" xr:uid="{00000000-0005-0000-0000-00002A070000}"/>
    <cellStyle name="Comma 17 2 2 2" xfId="11915" xr:uid="{00000000-0005-0000-0000-00002B070000}"/>
    <cellStyle name="Comma 17 2 2 2 2" xfId="28430" xr:uid="{00000000-0005-0000-0000-00002C070000}"/>
    <cellStyle name="Comma 17 2 2 3" xfId="20387" xr:uid="{00000000-0005-0000-0000-00002D070000}"/>
    <cellStyle name="Comma 17 2 3" xfId="2299" xr:uid="{00000000-0005-0000-0000-00002E070000}"/>
    <cellStyle name="Comma 17 2 3 2" xfId="11916" xr:uid="{00000000-0005-0000-0000-00002F070000}"/>
    <cellStyle name="Comma 17 2 3 2 2" xfId="28431" xr:uid="{00000000-0005-0000-0000-000030070000}"/>
    <cellStyle name="Comma 17 2 3 3" xfId="20388" xr:uid="{00000000-0005-0000-0000-000031070000}"/>
    <cellStyle name="Comma 17 2 4" xfId="11914" xr:uid="{00000000-0005-0000-0000-000032070000}"/>
    <cellStyle name="Comma 17 2 4 2" xfId="28429" xr:uid="{00000000-0005-0000-0000-000033070000}"/>
    <cellStyle name="Comma 17 2 5" xfId="20386" xr:uid="{00000000-0005-0000-0000-000034070000}"/>
    <cellStyle name="Comma 17 3" xfId="2300" xr:uid="{00000000-0005-0000-0000-000035070000}"/>
    <cellStyle name="Comma 17 3 2" xfId="11917" xr:uid="{00000000-0005-0000-0000-000036070000}"/>
    <cellStyle name="Comma 17 3 2 2" xfId="28432" xr:uid="{00000000-0005-0000-0000-000037070000}"/>
    <cellStyle name="Comma 17 3 3" xfId="20389" xr:uid="{00000000-0005-0000-0000-000038070000}"/>
    <cellStyle name="Comma 17 4" xfId="2296" xr:uid="{00000000-0005-0000-0000-000039070000}"/>
    <cellStyle name="Comma 170" xfId="10830" xr:uid="{00000000-0005-0000-0000-00003A070000}"/>
    <cellStyle name="Comma 171" xfId="10833" xr:uid="{00000000-0005-0000-0000-00003B070000}"/>
    <cellStyle name="Comma 172" xfId="10836" xr:uid="{00000000-0005-0000-0000-00003C070000}"/>
    <cellStyle name="Comma 173" xfId="10839" xr:uid="{00000000-0005-0000-0000-00003D070000}"/>
    <cellStyle name="Comma 174" xfId="10842" xr:uid="{00000000-0005-0000-0000-00003E070000}"/>
    <cellStyle name="Comma 175" xfId="10845" xr:uid="{00000000-0005-0000-0000-00003F070000}"/>
    <cellStyle name="Comma 176" xfId="10848" xr:uid="{00000000-0005-0000-0000-000040070000}"/>
    <cellStyle name="Comma 177" xfId="10851" xr:uid="{00000000-0005-0000-0000-000041070000}"/>
    <cellStyle name="Comma 178" xfId="10854" xr:uid="{00000000-0005-0000-0000-000042070000}"/>
    <cellStyle name="Comma 179" xfId="10857" xr:uid="{00000000-0005-0000-0000-000043070000}"/>
    <cellStyle name="Comma 18" xfId="1692" xr:uid="{00000000-0005-0000-0000-000044070000}"/>
    <cellStyle name="Comma 18 2" xfId="2302" xr:uid="{00000000-0005-0000-0000-000045070000}"/>
    <cellStyle name="Comma 18 2 2" xfId="2303" xr:uid="{00000000-0005-0000-0000-000046070000}"/>
    <cellStyle name="Comma 18 2 2 2" xfId="11919" xr:uid="{00000000-0005-0000-0000-000047070000}"/>
    <cellStyle name="Comma 18 2 2 2 2" xfId="28434" xr:uid="{00000000-0005-0000-0000-000048070000}"/>
    <cellStyle name="Comma 18 2 2 3" xfId="20391" xr:uid="{00000000-0005-0000-0000-000049070000}"/>
    <cellStyle name="Comma 18 2 3" xfId="6668" xr:uid="{00000000-0005-0000-0000-00004A070000}"/>
    <cellStyle name="Comma 18 2 4" xfId="11918" xr:uid="{00000000-0005-0000-0000-00004B070000}"/>
    <cellStyle name="Comma 18 2 4 2" xfId="28433" xr:uid="{00000000-0005-0000-0000-00004C070000}"/>
    <cellStyle name="Comma 18 2 5" xfId="20390" xr:uid="{00000000-0005-0000-0000-00004D070000}"/>
    <cellStyle name="Comma 18 3" xfId="2304" xr:uid="{00000000-0005-0000-0000-00004E070000}"/>
    <cellStyle name="Comma 18 3 2" xfId="11920" xr:uid="{00000000-0005-0000-0000-00004F070000}"/>
    <cellStyle name="Comma 18 3 2 2" xfId="28435" xr:uid="{00000000-0005-0000-0000-000050070000}"/>
    <cellStyle name="Comma 18 3 3" xfId="20392" xr:uid="{00000000-0005-0000-0000-000051070000}"/>
    <cellStyle name="Comma 18 4" xfId="2305" xr:uid="{00000000-0005-0000-0000-000052070000}"/>
    <cellStyle name="Comma 18 5" xfId="2301" xr:uid="{00000000-0005-0000-0000-000053070000}"/>
    <cellStyle name="Comma 180" xfId="10860" xr:uid="{00000000-0005-0000-0000-000054070000}"/>
    <cellStyle name="Comma 181" xfId="10863" xr:uid="{00000000-0005-0000-0000-000055070000}"/>
    <cellStyle name="Comma 182" xfId="10866" xr:uid="{00000000-0005-0000-0000-000056070000}"/>
    <cellStyle name="Comma 183" xfId="10869" xr:uid="{00000000-0005-0000-0000-000057070000}"/>
    <cellStyle name="Comma 184" xfId="10872" xr:uid="{00000000-0005-0000-0000-000058070000}"/>
    <cellStyle name="Comma 185" xfId="10875" xr:uid="{00000000-0005-0000-0000-000059070000}"/>
    <cellStyle name="Comma 186" xfId="10944" xr:uid="{00000000-0005-0000-0000-00005A070000}"/>
    <cellStyle name="Comma 187" xfId="10947" xr:uid="{00000000-0005-0000-0000-00005B070000}"/>
    <cellStyle name="Comma 188" xfId="10950" xr:uid="{00000000-0005-0000-0000-00005C070000}"/>
    <cellStyle name="Comma 189" xfId="10953" xr:uid="{00000000-0005-0000-0000-00005D070000}"/>
    <cellStyle name="Comma 19" xfId="1735" xr:uid="{00000000-0005-0000-0000-00005E070000}"/>
    <cellStyle name="Comma 19 2" xfId="2307" xr:uid="{00000000-0005-0000-0000-00005F070000}"/>
    <cellStyle name="Comma 19 2 2" xfId="11921" xr:uid="{00000000-0005-0000-0000-000060070000}"/>
    <cellStyle name="Comma 19 2 2 2" xfId="28436" xr:uid="{00000000-0005-0000-0000-000061070000}"/>
    <cellStyle name="Comma 19 2 3" xfId="20393" xr:uid="{00000000-0005-0000-0000-000062070000}"/>
    <cellStyle name="Comma 19 3" xfId="2306" xr:uid="{00000000-0005-0000-0000-000063070000}"/>
    <cellStyle name="Comma 190" xfId="10956" xr:uid="{00000000-0005-0000-0000-000064070000}"/>
    <cellStyle name="Comma 191" xfId="10959" xr:uid="{00000000-0005-0000-0000-000065070000}"/>
    <cellStyle name="Comma 192" xfId="10962" xr:uid="{00000000-0005-0000-0000-000066070000}"/>
    <cellStyle name="Comma 193" xfId="10965" xr:uid="{00000000-0005-0000-0000-000067070000}"/>
    <cellStyle name="Comma 194" xfId="10968" xr:uid="{00000000-0005-0000-0000-000068070000}"/>
    <cellStyle name="Comma 195" xfId="10971" xr:uid="{00000000-0005-0000-0000-000069070000}"/>
    <cellStyle name="Comma 196" xfId="10974" xr:uid="{00000000-0005-0000-0000-00006A070000}"/>
    <cellStyle name="Comma 197" xfId="10977" xr:uid="{00000000-0005-0000-0000-00006B070000}"/>
    <cellStyle name="Comma 198" xfId="10980" xr:uid="{00000000-0005-0000-0000-00006C070000}"/>
    <cellStyle name="Comma 199" xfId="10983" xr:uid="{00000000-0005-0000-0000-00006D070000}"/>
    <cellStyle name="Comma 2" xfId="9" xr:uid="{00000000-0005-0000-0000-00006E070000}"/>
    <cellStyle name="Comma 2 2" xfId="24" xr:uid="{00000000-0005-0000-0000-00006F070000}"/>
    <cellStyle name="Comma 2 2 2" xfId="76" xr:uid="{00000000-0005-0000-0000-000070070000}"/>
    <cellStyle name="Comma 2 2 2 2" xfId="144" xr:uid="{00000000-0005-0000-0000-000071070000}"/>
    <cellStyle name="Comma 2 2 2 2 2" xfId="145" xr:uid="{00000000-0005-0000-0000-000072070000}"/>
    <cellStyle name="Comma 2 2 2 2 3" xfId="2311" xr:uid="{00000000-0005-0000-0000-000073070000}"/>
    <cellStyle name="Comma 2 2 2 2 3 2" xfId="28437" xr:uid="{00000000-0005-0000-0000-000074070000}"/>
    <cellStyle name="Comma 2 2 2 2 4" xfId="20394" xr:uid="{00000000-0005-0000-0000-000075070000}"/>
    <cellStyle name="Comma 2 2 2 3" xfId="146" xr:uid="{00000000-0005-0000-0000-000076070000}"/>
    <cellStyle name="Comma 2 2 2 3 2" xfId="2312" xr:uid="{00000000-0005-0000-0000-000077070000}"/>
    <cellStyle name="Comma 2 2 2 3 2 2" xfId="28438" xr:uid="{00000000-0005-0000-0000-000078070000}"/>
    <cellStyle name="Comma 2 2 2 3 3" xfId="20395" xr:uid="{00000000-0005-0000-0000-000079070000}"/>
    <cellStyle name="Comma 2 2 2 4" xfId="10892" xr:uid="{00000000-0005-0000-0000-00007A070000}"/>
    <cellStyle name="Comma 2 2 2 5" xfId="2310" xr:uid="{00000000-0005-0000-0000-00007B070000}"/>
    <cellStyle name="Comma 2 2 3" xfId="147" xr:uid="{00000000-0005-0000-0000-00007C070000}"/>
    <cellStyle name="Comma 2 2 3 2" xfId="148" xr:uid="{00000000-0005-0000-0000-00007D070000}"/>
    <cellStyle name="Comma 2 2 3 3" xfId="2313" xr:uid="{00000000-0005-0000-0000-00007E070000}"/>
    <cellStyle name="Comma 2 2 3 3 2" xfId="28439" xr:uid="{00000000-0005-0000-0000-00007F070000}"/>
    <cellStyle name="Comma 2 2 3 4" xfId="20396" xr:uid="{00000000-0005-0000-0000-000080070000}"/>
    <cellStyle name="Comma 2 2 4" xfId="149" xr:uid="{00000000-0005-0000-0000-000081070000}"/>
    <cellStyle name="Comma 2 2 4 2" xfId="2314" xr:uid="{00000000-0005-0000-0000-000082070000}"/>
    <cellStyle name="Comma 2 2 5" xfId="342" xr:uid="{00000000-0005-0000-0000-000083070000}"/>
    <cellStyle name="Comma 2 2 6" xfId="1668" xr:uid="{00000000-0005-0000-0000-000084070000}"/>
    <cellStyle name="Comma 2 2 7" xfId="2309" xr:uid="{00000000-0005-0000-0000-000085070000}"/>
    <cellStyle name="Comma 2 3" xfId="81" xr:uid="{00000000-0005-0000-0000-000086070000}"/>
    <cellStyle name="Comma 2 3 2" xfId="150" xr:uid="{00000000-0005-0000-0000-000087070000}"/>
    <cellStyle name="Comma 2 3 2 2" xfId="6669" xr:uid="{00000000-0005-0000-0000-000088070000}"/>
    <cellStyle name="Comma 2 3 2 3" xfId="2316" xr:uid="{00000000-0005-0000-0000-000089070000}"/>
    <cellStyle name="Comma 2 3 2 3 2" xfId="28440" xr:uid="{00000000-0005-0000-0000-00008A070000}"/>
    <cellStyle name="Comma 2 3 2 4" xfId="20397" xr:uid="{00000000-0005-0000-0000-00008B070000}"/>
    <cellStyle name="Comma 2 3 3" xfId="2317" xr:uid="{00000000-0005-0000-0000-00008C070000}"/>
    <cellStyle name="Comma 2 3 4" xfId="2315" xr:uid="{00000000-0005-0000-0000-00008D070000}"/>
    <cellStyle name="Comma 2 4" xfId="151" xr:uid="{00000000-0005-0000-0000-00008E070000}"/>
    <cellStyle name="Comma 2 4 2" xfId="2319" xr:uid="{00000000-0005-0000-0000-00008F070000}"/>
    <cellStyle name="Comma 2 4 2 2" xfId="11922" xr:uid="{00000000-0005-0000-0000-000090070000}"/>
    <cellStyle name="Comma 2 4 2 2 2" xfId="28441" xr:uid="{00000000-0005-0000-0000-000091070000}"/>
    <cellStyle name="Comma 2 4 2 3" xfId="20398" xr:uid="{00000000-0005-0000-0000-000092070000}"/>
    <cellStyle name="Comma 2 4 3" xfId="6670" xr:uid="{00000000-0005-0000-0000-000093070000}"/>
    <cellStyle name="Comma 2 4 4" xfId="2318" xr:uid="{00000000-0005-0000-0000-000094070000}"/>
    <cellStyle name="Comma 2 5" xfId="1667" xr:uid="{00000000-0005-0000-0000-000095070000}"/>
    <cellStyle name="Comma 2 5 2" xfId="2320" xr:uid="{00000000-0005-0000-0000-000096070000}"/>
    <cellStyle name="Comma 2 6" xfId="2308" xr:uid="{00000000-0005-0000-0000-000097070000}"/>
    <cellStyle name="Comma 2 7" xfId="6624" xr:uid="{00000000-0005-0000-0000-000098070000}"/>
    <cellStyle name="Comma 2 8" xfId="10890" xr:uid="{00000000-0005-0000-0000-000099070000}"/>
    <cellStyle name="Comma 2 8 2" xfId="28227" xr:uid="{00000000-0005-0000-0000-00009A070000}"/>
    <cellStyle name="Comma 2 9" xfId="2075" xr:uid="{00000000-0005-0000-0000-00009B070000}"/>
    <cellStyle name="Comma 20" xfId="2321" xr:uid="{00000000-0005-0000-0000-00009C070000}"/>
    <cellStyle name="Comma 20 2" xfId="6671" xr:uid="{00000000-0005-0000-0000-00009D070000}"/>
    <cellStyle name="Comma 20 2 2" xfId="15869" xr:uid="{00000000-0005-0000-0000-00009E070000}"/>
    <cellStyle name="Comma 20 2 2 2" xfId="32442" xr:uid="{00000000-0005-0000-0000-00009F070000}"/>
    <cellStyle name="Comma 20 2 3" xfId="24395" xr:uid="{00000000-0005-0000-0000-0000A0070000}"/>
    <cellStyle name="Comma 200" xfId="10986" xr:uid="{00000000-0005-0000-0000-0000A1070000}"/>
    <cellStyle name="Comma 201" xfId="10989" xr:uid="{00000000-0005-0000-0000-0000A2070000}"/>
    <cellStyle name="Comma 202" xfId="10992" xr:uid="{00000000-0005-0000-0000-0000A3070000}"/>
    <cellStyle name="Comma 203" xfId="10995" xr:uid="{00000000-0005-0000-0000-0000A4070000}"/>
    <cellStyle name="Comma 204" xfId="10998" xr:uid="{00000000-0005-0000-0000-0000A5070000}"/>
    <cellStyle name="Comma 205" xfId="11001" xr:uid="{00000000-0005-0000-0000-0000A6070000}"/>
    <cellStyle name="Comma 206" xfId="11004" xr:uid="{00000000-0005-0000-0000-0000A7070000}"/>
    <cellStyle name="Comma 207" xfId="11007" xr:uid="{00000000-0005-0000-0000-0000A8070000}"/>
    <cellStyle name="Comma 208" xfId="11010" xr:uid="{00000000-0005-0000-0000-0000A9070000}"/>
    <cellStyle name="Comma 209" xfId="11013" xr:uid="{00000000-0005-0000-0000-0000AA070000}"/>
    <cellStyle name="Comma 21" xfId="2322" xr:uid="{00000000-0005-0000-0000-0000AB070000}"/>
    <cellStyle name="Comma 21 2" xfId="6672" xr:uid="{00000000-0005-0000-0000-0000AC070000}"/>
    <cellStyle name="Comma 21 2 2" xfId="15870" xr:uid="{00000000-0005-0000-0000-0000AD070000}"/>
    <cellStyle name="Comma 21 2 2 2" xfId="32443" xr:uid="{00000000-0005-0000-0000-0000AE070000}"/>
    <cellStyle name="Comma 21 2 3" xfId="24396" xr:uid="{00000000-0005-0000-0000-0000AF070000}"/>
    <cellStyle name="Comma 210" xfId="11016" xr:uid="{00000000-0005-0000-0000-0000B0070000}"/>
    <cellStyle name="Comma 211" xfId="11019" xr:uid="{00000000-0005-0000-0000-0000B1070000}"/>
    <cellStyle name="Comma 212" xfId="11022" xr:uid="{00000000-0005-0000-0000-0000B2070000}"/>
    <cellStyle name="Comma 213" xfId="11025" xr:uid="{00000000-0005-0000-0000-0000B3070000}"/>
    <cellStyle name="Comma 214" xfId="11028" xr:uid="{00000000-0005-0000-0000-0000B4070000}"/>
    <cellStyle name="Comma 215" xfId="11031" xr:uid="{00000000-0005-0000-0000-0000B5070000}"/>
    <cellStyle name="Comma 216" xfId="11034" xr:uid="{00000000-0005-0000-0000-0000B6070000}"/>
    <cellStyle name="Comma 217" xfId="11037" xr:uid="{00000000-0005-0000-0000-0000B7070000}"/>
    <cellStyle name="Comma 218" xfId="11040" xr:uid="{00000000-0005-0000-0000-0000B8070000}"/>
    <cellStyle name="Comma 219" xfId="11043" xr:uid="{00000000-0005-0000-0000-0000B9070000}"/>
    <cellStyle name="Comma 22" xfId="2323" xr:uid="{00000000-0005-0000-0000-0000BA070000}"/>
    <cellStyle name="Comma 22 2" xfId="6673" xr:uid="{00000000-0005-0000-0000-0000BB070000}"/>
    <cellStyle name="Comma 220" xfId="11046" xr:uid="{00000000-0005-0000-0000-0000BC070000}"/>
    <cellStyle name="Comma 221" xfId="11049" xr:uid="{00000000-0005-0000-0000-0000BD070000}"/>
    <cellStyle name="Comma 222" xfId="11051" xr:uid="{00000000-0005-0000-0000-0000BE070000}"/>
    <cellStyle name="Comma 223" xfId="1782" xr:uid="{00000000-0005-0000-0000-0000BF070000}"/>
    <cellStyle name="Comma 224" xfId="10938" xr:uid="{00000000-0005-0000-0000-0000C0070000}"/>
    <cellStyle name="Comma 225" xfId="11080" xr:uid="{00000000-0005-0000-0000-0000C1070000}"/>
    <cellStyle name="Comma 226" xfId="11103" xr:uid="{00000000-0005-0000-0000-0000C2070000}"/>
    <cellStyle name="Comma 23" xfId="2324" xr:uid="{00000000-0005-0000-0000-0000C3070000}"/>
    <cellStyle name="Comma 23 2" xfId="6621" xr:uid="{00000000-0005-0000-0000-0000C4070000}"/>
    <cellStyle name="Comma 24" xfId="2325" xr:uid="{00000000-0005-0000-0000-0000C5070000}"/>
    <cellStyle name="Comma 24 2" xfId="10399" xr:uid="{00000000-0005-0000-0000-0000C6070000}"/>
    <cellStyle name="Comma 24 3" xfId="11923" xr:uid="{00000000-0005-0000-0000-0000C7070000}"/>
    <cellStyle name="Comma 24 3 2" xfId="28442" xr:uid="{00000000-0005-0000-0000-0000C8070000}"/>
    <cellStyle name="Comma 24 4" xfId="20399" xr:uid="{00000000-0005-0000-0000-0000C9070000}"/>
    <cellStyle name="Comma 25" xfId="2326" xr:uid="{00000000-0005-0000-0000-0000CA070000}"/>
    <cellStyle name="Comma 25 2" xfId="2327" xr:uid="{00000000-0005-0000-0000-0000CB070000}"/>
    <cellStyle name="Comma 25 3" xfId="6617" xr:uid="{00000000-0005-0000-0000-0000CC070000}"/>
    <cellStyle name="Comma 26" xfId="2328" xr:uid="{00000000-0005-0000-0000-0000CD070000}"/>
    <cellStyle name="Comma 27" xfId="2329" xr:uid="{00000000-0005-0000-0000-0000CE070000}"/>
    <cellStyle name="Comma 28" xfId="2330" xr:uid="{00000000-0005-0000-0000-0000CF070000}"/>
    <cellStyle name="Comma 29" xfId="2331" xr:uid="{00000000-0005-0000-0000-0000D0070000}"/>
    <cellStyle name="Comma 29 2" xfId="11924" xr:uid="{00000000-0005-0000-0000-0000D1070000}"/>
    <cellStyle name="Comma 29 2 2" xfId="28443" xr:uid="{00000000-0005-0000-0000-0000D2070000}"/>
    <cellStyle name="Comma 29 3" xfId="20400" xr:uid="{00000000-0005-0000-0000-0000D3070000}"/>
    <cellStyle name="Comma 3" xfId="22" xr:uid="{00000000-0005-0000-0000-0000D4070000}"/>
    <cellStyle name="Comma 3 2" xfId="78" xr:uid="{00000000-0005-0000-0000-0000D5070000}"/>
    <cellStyle name="Comma 3 2 2" xfId="152" xr:uid="{00000000-0005-0000-0000-0000D6070000}"/>
    <cellStyle name="Comma 3 2 2 2" xfId="153" xr:uid="{00000000-0005-0000-0000-0000D7070000}"/>
    <cellStyle name="Comma 3 2 2 3" xfId="2334" xr:uid="{00000000-0005-0000-0000-0000D8070000}"/>
    <cellStyle name="Comma 3 2 3" xfId="154" xr:uid="{00000000-0005-0000-0000-0000D9070000}"/>
    <cellStyle name="Comma 3 2 3 2" xfId="6675" xr:uid="{00000000-0005-0000-0000-0000DA070000}"/>
    <cellStyle name="Comma 3 2 4" xfId="6674" xr:uid="{00000000-0005-0000-0000-0000DB070000}"/>
    <cellStyle name="Comma 3 2 5" xfId="2333" xr:uid="{00000000-0005-0000-0000-0000DC070000}"/>
    <cellStyle name="Comma 3 3" xfId="155" xr:uid="{00000000-0005-0000-0000-0000DD070000}"/>
    <cellStyle name="Comma 3 3 2" xfId="6676" xr:uid="{00000000-0005-0000-0000-0000DE070000}"/>
    <cellStyle name="Comma 3 3 3" xfId="2335" xr:uid="{00000000-0005-0000-0000-0000DF070000}"/>
    <cellStyle name="Comma 3 4" xfId="2336" xr:uid="{00000000-0005-0000-0000-0000E0070000}"/>
    <cellStyle name="Comma 3 5" xfId="2337" xr:uid="{00000000-0005-0000-0000-0000E1070000}"/>
    <cellStyle name="Comma 3 6" xfId="2338" xr:uid="{00000000-0005-0000-0000-0000E2070000}"/>
    <cellStyle name="Comma 3 7" xfId="2332" xr:uid="{00000000-0005-0000-0000-0000E3070000}"/>
    <cellStyle name="Comma 3 8" xfId="6626" xr:uid="{00000000-0005-0000-0000-0000E4070000}"/>
    <cellStyle name="Comma 3 8 2" xfId="15843" xr:uid="{00000000-0005-0000-0000-0000E5070000}"/>
    <cellStyle name="Comma 3 8 2 2" xfId="32415" xr:uid="{00000000-0005-0000-0000-0000E6070000}"/>
    <cellStyle name="Comma 3 8 3" xfId="24368" xr:uid="{00000000-0005-0000-0000-0000E7070000}"/>
    <cellStyle name="Comma 3 9" xfId="2104" xr:uid="{00000000-0005-0000-0000-0000E8070000}"/>
    <cellStyle name="Comma 30" xfId="2073" xr:uid="{00000000-0005-0000-0000-0000E9070000}"/>
    <cellStyle name="Comma 30 2" xfId="11471" xr:uid="{00000000-0005-0000-0000-0000EA070000}"/>
    <cellStyle name="Comma 30 2 2" xfId="28226" xr:uid="{00000000-0005-0000-0000-0000EB070000}"/>
    <cellStyle name="Comma 30 3" xfId="19942" xr:uid="{00000000-0005-0000-0000-0000EC070000}"/>
    <cellStyle name="Comma 31" xfId="10413" xr:uid="{00000000-0005-0000-0000-0000ED070000}"/>
    <cellStyle name="Comma 31 2" xfId="28145" xr:uid="{00000000-0005-0000-0000-0000EE070000}"/>
    <cellStyle name="Comma 32" xfId="10416" xr:uid="{00000000-0005-0000-0000-0000EF070000}"/>
    <cellStyle name="Comma 33" xfId="10419" xr:uid="{00000000-0005-0000-0000-0000F0070000}"/>
    <cellStyle name="Comma 34" xfId="10422" xr:uid="{00000000-0005-0000-0000-0000F1070000}"/>
    <cellStyle name="Comma 35" xfId="10425" xr:uid="{00000000-0005-0000-0000-0000F2070000}"/>
    <cellStyle name="Comma 36" xfId="10428" xr:uid="{00000000-0005-0000-0000-0000F3070000}"/>
    <cellStyle name="Comma 36 2" xfId="19635" xr:uid="{00000000-0005-0000-0000-0000F4070000}"/>
    <cellStyle name="Comma 37" xfId="10431" xr:uid="{00000000-0005-0000-0000-0000F5070000}"/>
    <cellStyle name="Comma 38" xfId="10434" xr:uid="{00000000-0005-0000-0000-0000F6070000}"/>
    <cellStyle name="Comma 39" xfId="10437" xr:uid="{00000000-0005-0000-0000-0000F7070000}"/>
    <cellStyle name="Comma 4" xfId="156" xr:uid="{00000000-0005-0000-0000-0000F8070000}"/>
    <cellStyle name="Comma 4 2" xfId="157" xr:uid="{00000000-0005-0000-0000-0000F9070000}"/>
    <cellStyle name="Comma 4 2 2" xfId="6677" xr:uid="{00000000-0005-0000-0000-0000FA070000}"/>
    <cellStyle name="Comma 4 2 3" xfId="2340" xr:uid="{00000000-0005-0000-0000-0000FB070000}"/>
    <cellStyle name="Comma 4 3" xfId="2341" xr:uid="{00000000-0005-0000-0000-0000FC070000}"/>
    <cellStyle name="Comma 4 3 2" xfId="6678" xr:uid="{00000000-0005-0000-0000-0000FD070000}"/>
    <cellStyle name="Comma 4 4" xfId="2342" xr:uid="{00000000-0005-0000-0000-0000FE070000}"/>
    <cellStyle name="Comma 4 5" xfId="2343" xr:uid="{00000000-0005-0000-0000-0000FF070000}"/>
    <cellStyle name="Comma 4 6" xfId="2339" xr:uid="{00000000-0005-0000-0000-000000080000}"/>
    <cellStyle name="Comma 4 7" xfId="6622" xr:uid="{00000000-0005-0000-0000-000001080000}"/>
    <cellStyle name="Comma 4 8" xfId="2011" xr:uid="{00000000-0005-0000-0000-000002080000}"/>
    <cellStyle name="Comma 40" xfId="10440" xr:uid="{00000000-0005-0000-0000-000003080000}"/>
    <cellStyle name="Comma 41" xfId="10443" xr:uid="{00000000-0005-0000-0000-000004080000}"/>
    <cellStyle name="Comma 42" xfId="10446" xr:uid="{00000000-0005-0000-0000-000005080000}"/>
    <cellStyle name="Comma 43" xfId="10449" xr:uid="{00000000-0005-0000-0000-000006080000}"/>
    <cellStyle name="Comma 44" xfId="10452" xr:uid="{00000000-0005-0000-0000-000007080000}"/>
    <cellStyle name="Comma 45" xfId="10455" xr:uid="{00000000-0005-0000-0000-000008080000}"/>
    <cellStyle name="Comma 46" xfId="10458" xr:uid="{00000000-0005-0000-0000-000009080000}"/>
    <cellStyle name="Comma 47" xfId="10461" xr:uid="{00000000-0005-0000-0000-00000A080000}"/>
    <cellStyle name="Comma 48" xfId="10464" xr:uid="{00000000-0005-0000-0000-00000B080000}"/>
    <cellStyle name="Comma 49" xfId="10467" xr:uid="{00000000-0005-0000-0000-00000C080000}"/>
    <cellStyle name="Comma 5" xfId="158" xr:uid="{00000000-0005-0000-0000-00000D080000}"/>
    <cellStyle name="Comma 5 2" xfId="159" xr:uid="{00000000-0005-0000-0000-00000E080000}"/>
    <cellStyle name="Comma 5 2 2" xfId="160" xr:uid="{00000000-0005-0000-0000-00000F080000}"/>
    <cellStyle name="Comma 5 2 2 2" xfId="11925" xr:uid="{00000000-0005-0000-0000-000010080000}"/>
    <cellStyle name="Comma 5 2 2 2 2" xfId="28444" xr:uid="{00000000-0005-0000-0000-000011080000}"/>
    <cellStyle name="Comma 5 2 2 3" xfId="20401" xr:uid="{00000000-0005-0000-0000-000012080000}"/>
    <cellStyle name="Comma 5 2 3" xfId="2346" xr:uid="{00000000-0005-0000-0000-000013080000}"/>
    <cellStyle name="Comma 5 2 3 2" xfId="11926" xr:uid="{00000000-0005-0000-0000-000014080000}"/>
    <cellStyle name="Comma 5 2 3 2 2" xfId="28445" xr:uid="{00000000-0005-0000-0000-000015080000}"/>
    <cellStyle name="Comma 5 2 3 3" xfId="20402" xr:uid="{00000000-0005-0000-0000-000016080000}"/>
    <cellStyle name="Comma 5 2 4" xfId="6679" xr:uid="{00000000-0005-0000-0000-000017080000}"/>
    <cellStyle name="Comma 5 2 5" xfId="2345" xr:uid="{00000000-0005-0000-0000-000018080000}"/>
    <cellStyle name="Comma 5 3" xfId="161" xr:uid="{00000000-0005-0000-0000-000019080000}"/>
    <cellStyle name="Comma 5 3 2" xfId="2348" xr:uid="{00000000-0005-0000-0000-00001A080000}"/>
    <cellStyle name="Comma 5 3 2 2" xfId="11927" xr:uid="{00000000-0005-0000-0000-00001B080000}"/>
    <cellStyle name="Comma 5 3 2 2 2" xfId="28446" xr:uid="{00000000-0005-0000-0000-00001C080000}"/>
    <cellStyle name="Comma 5 3 2 3" xfId="20403" xr:uid="{00000000-0005-0000-0000-00001D080000}"/>
    <cellStyle name="Comma 5 3 3" xfId="2347" xr:uid="{00000000-0005-0000-0000-00001E080000}"/>
    <cellStyle name="Comma 5 4" xfId="343" xr:uid="{00000000-0005-0000-0000-00001F080000}"/>
    <cellStyle name="Comma 5 4 2" xfId="2349" xr:uid="{00000000-0005-0000-0000-000020080000}"/>
    <cellStyle name="Comma 5 5" xfId="1696" xr:uid="{00000000-0005-0000-0000-000021080000}"/>
    <cellStyle name="Comma 5 5 2" xfId="2350" xr:uid="{00000000-0005-0000-0000-000022080000}"/>
    <cellStyle name="Comma 5 6" xfId="1669" xr:uid="{00000000-0005-0000-0000-000023080000}"/>
    <cellStyle name="Comma 5 7" xfId="6615" xr:uid="{00000000-0005-0000-0000-000024080000}"/>
    <cellStyle name="Comma 5 8" xfId="2344" xr:uid="{00000000-0005-0000-0000-000025080000}"/>
    <cellStyle name="Comma 50" xfId="10470" xr:uid="{00000000-0005-0000-0000-000026080000}"/>
    <cellStyle name="Comma 51" xfId="10473" xr:uid="{00000000-0005-0000-0000-000027080000}"/>
    <cellStyle name="Comma 52" xfId="10476" xr:uid="{00000000-0005-0000-0000-000028080000}"/>
    <cellStyle name="Comma 53" xfId="10479" xr:uid="{00000000-0005-0000-0000-000029080000}"/>
    <cellStyle name="Comma 54" xfId="10482" xr:uid="{00000000-0005-0000-0000-00002A080000}"/>
    <cellStyle name="Comma 55" xfId="10485" xr:uid="{00000000-0005-0000-0000-00002B080000}"/>
    <cellStyle name="Comma 56" xfId="10488" xr:uid="{00000000-0005-0000-0000-00002C080000}"/>
    <cellStyle name="Comma 57" xfId="10491" xr:uid="{00000000-0005-0000-0000-00002D080000}"/>
    <cellStyle name="Comma 58" xfId="10494" xr:uid="{00000000-0005-0000-0000-00002E080000}"/>
    <cellStyle name="Comma 59" xfId="10497" xr:uid="{00000000-0005-0000-0000-00002F080000}"/>
    <cellStyle name="Comma 6" xfId="162" xr:uid="{00000000-0005-0000-0000-000030080000}"/>
    <cellStyle name="Comma 6 2" xfId="1697" xr:uid="{00000000-0005-0000-0000-000031080000}"/>
    <cellStyle name="Comma 6 2 2" xfId="2352" xr:uid="{00000000-0005-0000-0000-000032080000}"/>
    <cellStyle name="Comma 6 2 3" xfId="2351" xr:uid="{00000000-0005-0000-0000-000033080000}"/>
    <cellStyle name="Comma 6 3" xfId="2353" xr:uid="{00000000-0005-0000-0000-000034080000}"/>
    <cellStyle name="Comma 6 4" xfId="2354" xr:uid="{00000000-0005-0000-0000-000035080000}"/>
    <cellStyle name="Comma 60" xfId="10500" xr:uid="{00000000-0005-0000-0000-000036080000}"/>
    <cellStyle name="Comma 61" xfId="10503" xr:uid="{00000000-0005-0000-0000-000037080000}"/>
    <cellStyle name="Comma 62" xfId="10506" xr:uid="{00000000-0005-0000-0000-000038080000}"/>
    <cellStyle name="Comma 63" xfId="10509" xr:uid="{00000000-0005-0000-0000-000039080000}"/>
    <cellStyle name="Comma 64" xfId="10512" xr:uid="{00000000-0005-0000-0000-00003A080000}"/>
    <cellStyle name="Comma 65" xfId="10515" xr:uid="{00000000-0005-0000-0000-00003B080000}"/>
    <cellStyle name="Comma 66" xfId="10518" xr:uid="{00000000-0005-0000-0000-00003C080000}"/>
    <cellStyle name="Comma 67" xfId="10521" xr:uid="{00000000-0005-0000-0000-00003D080000}"/>
    <cellStyle name="Comma 68" xfId="10524" xr:uid="{00000000-0005-0000-0000-00003E080000}"/>
    <cellStyle name="Comma 69" xfId="10527" xr:uid="{00000000-0005-0000-0000-00003F080000}"/>
    <cellStyle name="Comma 7" xfId="18" xr:uid="{00000000-0005-0000-0000-000040080000}"/>
    <cellStyle name="Comma 7 10" xfId="2356" xr:uid="{00000000-0005-0000-0000-000041080000}"/>
    <cellStyle name="Comma 7 11" xfId="2357" xr:uid="{00000000-0005-0000-0000-000042080000}"/>
    <cellStyle name="Comma 7 12" xfId="2358" xr:uid="{00000000-0005-0000-0000-000043080000}"/>
    <cellStyle name="Comma 7 13" xfId="2359" xr:uid="{00000000-0005-0000-0000-000044080000}"/>
    <cellStyle name="Comma 7 14" xfId="2360" xr:uid="{00000000-0005-0000-0000-000045080000}"/>
    <cellStyle name="Comma 7 15" xfId="2361" xr:uid="{00000000-0005-0000-0000-000046080000}"/>
    <cellStyle name="Comma 7 16" xfId="2362" xr:uid="{00000000-0005-0000-0000-000047080000}"/>
    <cellStyle name="Comma 7 17" xfId="2363" xr:uid="{00000000-0005-0000-0000-000048080000}"/>
    <cellStyle name="Comma 7 18" xfId="2355" xr:uid="{00000000-0005-0000-0000-000049080000}"/>
    <cellStyle name="Comma 7 2" xfId="1698" xr:uid="{00000000-0005-0000-0000-00004A080000}"/>
    <cellStyle name="Comma 7 2 2" xfId="2365" xr:uid="{00000000-0005-0000-0000-00004B080000}"/>
    <cellStyle name="Comma 7 2 2 2" xfId="2366" xr:uid="{00000000-0005-0000-0000-00004C080000}"/>
    <cellStyle name="Comma 7 2 3" xfId="2367" xr:uid="{00000000-0005-0000-0000-00004D080000}"/>
    <cellStyle name="Comma 7 2 4" xfId="2368" xr:uid="{00000000-0005-0000-0000-00004E080000}"/>
    <cellStyle name="Comma 7 2 5" xfId="2364" xr:uid="{00000000-0005-0000-0000-00004F080000}"/>
    <cellStyle name="Comma 7 3" xfId="2369" xr:uid="{00000000-0005-0000-0000-000050080000}"/>
    <cellStyle name="Comma 7 3 2" xfId="2370" xr:uid="{00000000-0005-0000-0000-000051080000}"/>
    <cellStyle name="Comma 7 3 3" xfId="2371" xr:uid="{00000000-0005-0000-0000-000052080000}"/>
    <cellStyle name="Comma 7 4" xfId="2372" xr:uid="{00000000-0005-0000-0000-000053080000}"/>
    <cellStyle name="Comma 7 5" xfId="2373" xr:uid="{00000000-0005-0000-0000-000054080000}"/>
    <cellStyle name="Comma 7 6" xfId="2374" xr:uid="{00000000-0005-0000-0000-000055080000}"/>
    <cellStyle name="Comma 7 7" xfId="2375" xr:uid="{00000000-0005-0000-0000-000056080000}"/>
    <cellStyle name="Comma 7 8" xfId="2376" xr:uid="{00000000-0005-0000-0000-000057080000}"/>
    <cellStyle name="Comma 7 9" xfId="2377" xr:uid="{00000000-0005-0000-0000-000058080000}"/>
    <cellStyle name="Comma 70" xfId="10530" xr:uid="{00000000-0005-0000-0000-000059080000}"/>
    <cellStyle name="Comma 71" xfId="10533" xr:uid="{00000000-0005-0000-0000-00005A080000}"/>
    <cellStyle name="Comma 72" xfId="10536" xr:uid="{00000000-0005-0000-0000-00005B080000}"/>
    <cellStyle name="Comma 73" xfId="10539" xr:uid="{00000000-0005-0000-0000-00005C080000}"/>
    <cellStyle name="Comma 74" xfId="10542" xr:uid="{00000000-0005-0000-0000-00005D080000}"/>
    <cellStyle name="Comma 75" xfId="10545" xr:uid="{00000000-0005-0000-0000-00005E080000}"/>
    <cellStyle name="Comma 76" xfId="10548" xr:uid="{00000000-0005-0000-0000-00005F080000}"/>
    <cellStyle name="Comma 77" xfId="10551" xr:uid="{00000000-0005-0000-0000-000060080000}"/>
    <cellStyle name="Comma 78" xfId="10554" xr:uid="{00000000-0005-0000-0000-000061080000}"/>
    <cellStyle name="Comma 79" xfId="10557" xr:uid="{00000000-0005-0000-0000-000062080000}"/>
    <cellStyle name="Comma 8" xfId="344" xr:uid="{00000000-0005-0000-0000-000063080000}"/>
    <cellStyle name="Comma 8 2" xfId="1699" xr:uid="{00000000-0005-0000-0000-000064080000}"/>
    <cellStyle name="Comma 8 2 2" xfId="2380" xr:uid="{00000000-0005-0000-0000-000065080000}"/>
    <cellStyle name="Comma 8 2 3" xfId="2379" xr:uid="{00000000-0005-0000-0000-000066080000}"/>
    <cellStyle name="Comma 8 3" xfId="2381" xr:uid="{00000000-0005-0000-0000-000067080000}"/>
    <cellStyle name="Comma 8 3 2" xfId="2382" xr:uid="{00000000-0005-0000-0000-000068080000}"/>
    <cellStyle name="Comma 8 3 2 2" xfId="2383" xr:uid="{00000000-0005-0000-0000-000069080000}"/>
    <cellStyle name="Comma 8 3 2 2 2" xfId="11929" xr:uid="{00000000-0005-0000-0000-00006A080000}"/>
    <cellStyle name="Comma 8 3 2 2 2 2" xfId="28448" xr:uid="{00000000-0005-0000-0000-00006B080000}"/>
    <cellStyle name="Comma 8 3 2 2 3" xfId="20405" xr:uid="{00000000-0005-0000-0000-00006C080000}"/>
    <cellStyle name="Comma 8 3 2 3" xfId="2384" xr:uid="{00000000-0005-0000-0000-00006D080000}"/>
    <cellStyle name="Comma 8 3 2 3 2" xfId="11930" xr:uid="{00000000-0005-0000-0000-00006E080000}"/>
    <cellStyle name="Comma 8 3 2 3 2 2" xfId="28449" xr:uid="{00000000-0005-0000-0000-00006F080000}"/>
    <cellStyle name="Comma 8 3 2 3 3" xfId="20406" xr:uid="{00000000-0005-0000-0000-000070080000}"/>
    <cellStyle name="Comma 8 3 2 4" xfId="11928" xr:uid="{00000000-0005-0000-0000-000071080000}"/>
    <cellStyle name="Comma 8 3 2 4 2" xfId="28447" xr:uid="{00000000-0005-0000-0000-000072080000}"/>
    <cellStyle name="Comma 8 3 2 5" xfId="20404" xr:uid="{00000000-0005-0000-0000-000073080000}"/>
    <cellStyle name="Comma 8 3 3" xfId="2385" xr:uid="{00000000-0005-0000-0000-000074080000}"/>
    <cellStyle name="Comma 8 3 3 2" xfId="11931" xr:uid="{00000000-0005-0000-0000-000075080000}"/>
    <cellStyle name="Comma 8 3 3 2 2" xfId="28450" xr:uid="{00000000-0005-0000-0000-000076080000}"/>
    <cellStyle name="Comma 8 3 3 3" xfId="20407" xr:uid="{00000000-0005-0000-0000-000077080000}"/>
    <cellStyle name="Comma 8 4" xfId="2386" xr:uid="{00000000-0005-0000-0000-000078080000}"/>
    <cellStyle name="Comma 8 4 2" xfId="2387" xr:uid="{00000000-0005-0000-0000-000079080000}"/>
    <cellStyle name="Comma 8 4 2 2" xfId="2388" xr:uid="{00000000-0005-0000-0000-00007A080000}"/>
    <cellStyle name="Comma 8 4 2 2 2" xfId="2389" xr:uid="{00000000-0005-0000-0000-00007B080000}"/>
    <cellStyle name="Comma 8 4 2 2 2 2" xfId="2390" xr:uid="{00000000-0005-0000-0000-00007C080000}"/>
    <cellStyle name="Comma 8 4 2 2 2 2 2" xfId="11936" xr:uid="{00000000-0005-0000-0000-00007D080000}"/>
    <cellStyle name="Comma 8 4 2 2 2 2 2 2" xfId="28455" xr:uid="{00000000-0005-0000-0000-00007E080000}"/>
    <cellStyle name="Comma 8 4 2 2 2 2 3" xfId="20412" xr:uid="{00000000-0005-0000-0000-00007F080000}"/>
    <cellStyle name="Comma 8 4 2 2 2 3" xfId="11935" xr:uid="{00000000-0005-0000-0000-000080080000}"/>
    <cellStyle name="Comma 8 4 2 2 2 3 2" xfId="28454" xr:uid="{00000000-0005-0000-0000-000081080000}"/>
    <cellStyle name="Comma 8 4 2 2 2 4" xfId="20411" xr:uid="{00000000-0005-0000-0000-000082080000}"/>
    <cellStyle name="Comma 8 4 2 2 3" xfId="11934" xr:uid="{00000000-0005-0000-0000-000083080000}"/>
    <cellStyle name="Comma 8 4 2 2 3 2" xfId="28453" xr:uid="{00000000-0005-0000-0000-000084080000}"/>
    <cellStyle name="Comma 8 4 2 2 4" xfId="20410" xr:uid="{00000000-0005-0000-0000-000085080000}"/>
    <cellStyle name="Comma 8 4 2 3" xfId="11933" xr:uid="{00000000-0005-0000-0000-000086080000}"/>
    <cellStyle name="Comma 8 4 2 3 2" xfId="28452" xr:uid="{00000000-0005-0000-0000-000087080000}"/>
    <cellStyle name="Comma 8 4 2 4" xfId="20409" xr:uid="{00000000-0005-0000-0000-000088080000}"/>
    <cellStyle name="Comma 8 4 3" xfId="11932" xr:uid="{00000000-0005-0000-0000-000089080000}"/>
    <cellStyle name="Comma 8 4 3 2" xfId="28451" xr:uid="{00000000-0005-0000-0000-00008A080000}"/>
    <cellStyle name="Comma 8 4 4" xfId="20408" xr:uid="{00000000-0005-0000-0000-00008B080000}"/>
    <cellStyle name="Comma 8 5" xfId="2391" xr:uid="{00000000-0005-0000-0000-00008C080000}"/>
    <cellStyle name="Comma 8 6" xfId="2378" xr:uid="{00000000-0005-0000-0000-00008D080000}"/>
    <cellStyle name="Comma 80" xfId="10560" xr:uid="{00000000-0005-0000-0000-00008E080000}"/>
    <cellStyle name="Comma 81" xfId="10563" xr:uid="{00000000-0005-0000-0000-00008F080000}"/>
    <cellStyle name="Comma 82" xfId="10566" xr:uid="{00000000-0005-0000-0000-000090080000}"/>
    <cellStyle name="Comma 83" xfId="10569" xr:uid="{00000000-0005-0000-0000-000091080000}"/>
    <cellStyle name="Comma 84" xfId="10572" xr:uid="{00000000-0005-0000-0000-000092080000}"/>
    <cellStyle name="Comma 85" xfId="10575" xr:uid="{00000000-0005-0000-0000-000093080000}"/>
    <cellStyle name="Comma 86" xfId="10578" xr:uid="{00000000-0005-0000-0000-000094080000}"/>
    <cellStyle name="Comma 87" xfId="10581" xr:uid="{00000000-0005-0000-0000-000095080000}"/>
    <cellStyle name="Comma 88" xfId="10584" xr:uid="{00000000-0005-0000-0000-000096080000}"/>
    <cellStyle name="Comma 89" xfId="10587" xr:uid="{00000000-0005-0000-0000-000097080000}"/>
    <cellStyle name="Comma 9" xfId="345" xr:uid="{00000000-0005-0000-0000-000098080000}"/>
    <cellStyle name="Comma 9 2" xfId="1700" xr:uid="{00000000-0005-0000-0000-000099080000}"/>
    <cellStyle name="Comma 9 2 2" xfId="2394" xr:uid="{00000000-0005-0000-0000-00009A080000}"/>
    <cellStyle name="Comma 9 2 3" xfId="2393" xr:uid="{00000000-0005-0000-0000-00009B080000}"/>
    <cellStyle name="Comma 9 3" xfId="2395" xr:uid="{00000000-0005-0000-0000-00009C080000}"/>
    <cellStyle name="Comma 9 4" xfId="2396" xr:uid="{00000000-0005-0000-0000-00009D080000}"/>
    <cellStyle name="Comma 9 5" xfId="6680" xr:uid="{00000000-0005-0000-0000-00009E080000}"/>
    <cellStyle name="Comma 9 6" xfId="2392" xr:uid="{00000000-0005-0000-0000-00009F080000}"/>
    <cellStyle name="Comma 90" xfId="10590" xr:uid="{00000000-0005-0000-0000-0000A0080000}"/>
    <cellStyle name="Comma 91" xfId="10593" xr:uid="{00000000-0005-0000-0000-0000A1080000}"/>
    <cellStyle name="Comma 92" xfId="10596" xr:uid="{00000000-0005-0000-0000-0000A2080000}"/>
    <cellStyle name="Comma 93" xfId="10599" xr:uid="{00000000-0005-0000-0000-0000A3080000}"/>
    <cellStyle name="Comma 94" xfId="10602" xr:uid="{00000000-0005-0000-0000-0000A4080000}"/>
    <cellStyle name="Comma 95" xfId="10605" xr:uid="{00000000-0005-0000-0000-0000A5080000}"/>
    <cellStyle name="Comma 96" xfId="10608" xr:uid="{00000000-0005-0000-0000-0000A6080000}"/>
    <cellStyle name="Comma 97" xfId="10611" xr:uid="{00000000-0005-0000-0000-0000A7080000}"/>
    <cellStyle name="Comma 98" xfId="10614" xr:uid="{00000000-0005-0000-0000-0000A8080000}"/>
    <cellStyle name="Comma 99" xfId="10617" xr:uid="{00000000-0005-0000-0000-0000A9080000}"/>
    <cellStyle name="Comma Cents" xfId="495" xr:uid="{00000000-0005-0000-0000-0000AA080000}"/>
    <cellStyle name="comma[0]" xfId="346" xr:uid="{00000000-0005-0000-0000-0000AB080000}"/>
    <cellStyle name="comma[0] 2" xfId="496" xr:uid="{00000000-0005-0000-0000-0000AC080000}"/>
    <cellStyle name="comma[1]" xfId="347" xr:uid="{00000000-0005-0000-0000-0000AD080000}"/>
    <cellStyle name="comma[1] 2" xfId="348" xr:uid="{00000000-0005-0000-0000-0000AE080000}"/>
    <cellStyle name="comma[1] 2 2" xfId="1701" xr:uid="{00000000-0005-0000-0000-0000AF080000}"/>
    <cellStyle name="comma[1] 3" xfId="349" xr:uid="{00000000-0005-0000-0000-0000B0080000}"/>
    <cellStyle name="comma[1] 3 2" xfId="1702" xr:uid="{00000000-0005-0000-0000-0000B1080000}"/>
    <cellStyle name="comma[1] 4" xfId="350" xr:uid="{00000000-0005-0000-0000-0000B2080000}"/>
    <cellStyle name="comma[1] 4 2" xfId="351" xr:uid="{00000000-0005-0000-0000-0000B3080000}"/>
    <cellStyle name="comma[1] 4 2 2" xfId="1704" xr:uid="{00000000-0005-0000-0000-0000B4080000}"/>
    <cellStyle name="comma[1] 4 3" xfId="1703" xr:uid="{00000000-0005-0000-0000-0000B5080000}"/>
    <cellStyle name="comma[2]" xfId="352" xr:uid="{00000000-0005-0000-0000-0000B6080000}"/>
    <cellStyle name="Comma_EMC072000" xfId="36200" xr:uid="{BF932E25-BEB7-49AF-B70B-6CC98F14CF0D}"/>
    <cellStyle name="Comma0" xfId="1867" xr:uid="{00000000-0005-0000-0000-0000B7080000}"/>
    <cellStyle name="Company" xfId="1868" xr:uid="{00000000-0005-0000-0000-0000B8080000}"/>
    <cellStyle name="Company Name" xfId="2003" xr:uid="{00000000-0005-0000-0000-0000B9080000}"/>
    <cellStyle name="CompanyName" xfId="1869" xr:uid="{00000000-0005-0000-0000-0000BA080000}"/>
    <cellStyle name="CompanyTitle" xfId="497" xr:uid="{00000000-0005-0000-0000-0000BB080000}"/>
    <cellStyle name="CR Comma" xfId="6681" xr:uid="{00000000-0005-0000-0000-0000BC080000}"/>
    <cellStyle name="CR Currency" xfId="6682" xr:uid="{00000000-0005-0000-0000-0000BD080000}"/>
    <cellStyle name="CurRatio" xfId="1870" xr:uid="{00000000-0005-0000-0000-0000BE080000}"/>
    <cellStyle name="Currency" xfId="2" builtinId="4"/>
    <cellStyle name="Currency $" xfId="498" xr:uid="{00000000-0005-0000-0000-0000C0080000}"/>
    <cellStyle name="Currency [1]" xfId="353" xr:uid="{00000000-0005-0000-0000-0000C1080000}"/>
    <cellStyle name="Currency [1] 2" xfId="499" xr:uid="{00000000-0005-0000-0000-0000C2080000}"/>
    <cellStyle name="Currency [1] 3" xfId="1596" xr:uid="{00000000-0005-0000-0000-0000C3080000}"/>
    <cellStyle name="Currency [1] 3 2" xfId="1639" xr:uid="{00000000-0005-0000-0000-0000C4080000}"/>
    <cellStyle name="Currency [1] 3 3" xfId="1658" xr:uid="{00000000-0005-0000-0000-0000C5080000}"/>
    <cellStyle name="Currency [2]" xfId="354" xr:uid="{00000000-0005-0000-0000-0000C6080000}"/>
    <cellStyle name="Currency [2] 2" xfId="355" xr:uid="{00000000-0005-0000-0000-0000C7080000}"/>
    <cellStyle name="Currency [2] 2 2" xfId="1706" xr:uid="{00000000-0005-0000-0000-0000C8080000}"/>
    <cellStyle name="Currency [2] 3" xfId="356" xr:uid="{00000000-0005-0000-0000-0000C9080000}"/>
    <cellStyle name="Currency [2] 3 2" xfId="1707" xr:uid="{00000000-0005-0000-0000-0000CA080000}"/>
    <cellStyle name="Currency [2] 4" xfId="357" xr:uid="{00000000-0005-0000-0000-0000CB080000}"/>
    <cellStyle name="Currency [2] 4 2" xfId="358" xr:uid="{00000000-0005-0000-0000-0000CC080000}"/>
    <cellStyle name="Currency [2] 4 2 2" xfId="1709" xr:uid="{00000000-0005-0000-0000-0000CD080000}"/>
    <cellStyle name="Currency [2] 4 3" xfId="1708" xr:uid="{00000000-0005-0000-0000-0000CE080000}"/>
    <cellStyle name="Currency [2] 5" xfId="500" xr:uid="{00000000-0005-0000-0000-0000CF080000}"/>
    <cellStyle name="Currency [2] 6" xfId="1871" xr:uid="{00000000-0005-0000-0000-0000D0080000}"/>
    <cellStyle name="Currency [2]_BBBB 2 4 09" xfId="359" xr:uid="{00000000-0005-0000-0000-0000D1080000}"/>
    <cellStyle name="Currency 0.00" xfId="6628" xr:uid="{00000000-0005-0000-0000-0000D2080000}"/>
    <cellStyle name="Currency 10" xfId="1705" xr:uid="{00000000-0005-0000-0000-0000D3080000}"/>
    <cellStyle name="Currency 10 2" xfId="2397" xr:uid="{00000000-0005-0000-0000-0000D4080000}"/>
    <cellStyle name="Currency 10 3" xfId="6683" xr:uid="{00000000-0005-0000-0000-0000D5080000}"/>
    <cellStyle name="Currency 10 3 2" xfId="15871" xr:uid="{00000000-0005-0000-0000-0000D6080000}"/>
    <cellStyle name="Currency 10 3 2 2" xfId="32444" xr:uid="{00000000-0005-0000-0000-0000D7080000}"/>
    <cellStyle name="Currency 10 3 3" xfId="24397" xr:uid="{00000000-0005-0000-0000-0000D8080000}"/>
    <cellStyle name="Currency 11" xfId="1714" xr:uid="{00000000-0005-0000-0000-0000D9080000}"/>
    <cellStyle name="Currency 11 2" xfId="6684" xr:uid="{00000000-0005-0000-0000-0000DA080000}"/>
    <cellStyle name="Currency 11 2 2" xfId="32445" xr:uid="{00000000-0005-0000-0000-0000DB080000}"/>
    <cellStyle name="Currency 11 3" xfId="24398" xr:uid="{00000000-0005-0000-0000-0000DC080000}"/>
    <cellStyle name="Currency 12" xfId="1670" xr:uid="{00000000-0005-0000-0000-0000DD080000}"/>
    <cellStyle name="Currency 13" xfId="1691" xr:uid="{00000000-0005-0000-0000-0000DE080000}"/>
    <cellStyle name="Currency 14" xfId="1736" xr:uid="{00000000-0005-0000-0000-0000DF080000}"/>
    <cellStyle name="Currency 14 2" xfId="6618" xr:uid="{00000000-0005-0000-0000-0000E0080000}"/>
    <cellStyle name="Currency 15" xfId="1780" xr:uid="{00000000-0005-0000-0000-0000E1080000}"/>
    <cellStyle name="Currency 15 2" xfId="11120" xr:uid="{00000000-0005-0000-0000-0000E2080000}"/>
    <cellStyle name="Currency 16" xfId="10940" xr:uid="{00000000-0005-0000-0000-0000E3080000}"/>
    <cellStyle name="Currency 16 2" xfId="19614" xr:uid="{00000000-0005-0000-0000-0000E4080000}"/>
    <cellStyle name="Currency 17" xfId="11078" xr:uid="{00000000-0005-0000-0000-0000E5080000}"/>
    <cellStyle name="Currency 17 2" xfId="19615" xr:uid="{00000000-0005-0000-0000-0000E6080000}"/>
    <cellStyle name="Currency 18" xfId="19616" xr:uid="{00000000-0005-0000-0000-0000E7080000}"/>
    <cellStyle name="Currency 19" xfId="19617" xr:uid="{00000000-0005-0000-0000-0000E8080000}"/>
    <cellStyle name="Currency 2" xfId="8" xr:uid="{00000000-0005-0000-0000-0000E9080000}"/>
    <cellStyle name="Currency 2 2" xfId="25" xr:uid="{00000000-0005-0000-0000-0000EA080000}"/>
    <cellStyle name="Currency 2 2 2" xfId="75" xr:uid="{00000000-0005-0000-0000-0000EB080000}"/>
    <cellStyle name="Currency 2 2 2 2" xfId="163" xr:uid="{00000000-0005-0000-0000-0000EC080000}"/>
    <cellStyle name="Currency 2 2 3" xfId="164" xr:uid="{00000000-0005-0000-0000-0000ED080000}"/>
    <cellStyle name="Currency 2 2 3 2" xfId="6632" xr:uid="{00000000-0005-0000-0000-0000EE080000}"/>
    <cellStyle name="Currency 2 2 3 2 2" xfId="32417" xr:uid="{00000000-0005-0000-0000-0000EF080000}"/>
    <cellStyle name="Currency 2 2 3 3" xfId="24370" xr:uid="{00000000-0005-0000-0000-0000F0080000}"/>
    <cellStyle name="Currency 2 3" xfId="80" xr:uid="{00000000-0005-0000-0000-0000F1080000}"/>
    <cellStyle name="Currency 2 3 2" xfId="165" xr:uid="{00000000-0005-0000-0000-0000F2080000}"/>
    <cellStyle name="Currency 2 3 3" xfId="2399" xr:uid="{00000000-0005-0000-0000-0000F3080000}"/>
    <cellStyle name="Currency 2 4" xfId="166" xr:uid="{00000000-0005-0000-0000-0000F4080000}"/>
    <cellStyle name="Currency 2 4 2" xfId="2400" xr:uid="{00000000-0005-0000-0000-0000F5080000}"/>
    <cellStyle name="Currency 2 5" xfId="1671" xr:uid="{00000000-0005-0000-0000-0000F6080000}"/>
    <cellStyle name="Currency 2 5 2" xfId="2398" xr:uid="{00000000-0005-0000-0000-0000F7080000}"/>
    <cellStyle name="Currency 2 6" xfId="6625" xr:uid="{00000000-0005-0000-0000-0000F8080000}"/>
    <cellStyle name="Currency 2 7" xfId="10894" xr:uid="{00000000-0005-0000-0000-0000F9080000}"/>
    <cellStyle name="Currency 2 7 2" xfId="28166" xr:uid="{00000000-0005-0000-0000-0000FA080000}"/>
    <cellStyle name="Currency 2 8" xfId="2004" xr:uid="{00000000-0005-0000-0000-0000FB080000}"/>
    <cellStyle name="Currency 20" xfId="19633" xr:uid="{00000000-0005-0000-0000-0000FC080000}"/>
    <cellStyle name="Currency 21" xfId="19618" xr:uid="{00000000-0005-0000-0000-0000FD080000}"/>
    <cellStyle name="Currency 22" xfId="11105" xr:uid="{00000000-0005-0000-0000-0000FE080000}"/>
    <cellStyle name="Currency 3" xfId="26" xr:uid="{00000000-0005-0000-0000-0000FF080000}"/>
    <cellStyle name="Currency 3 10" xfId="2006" xr:uid="{00000000-0005-0000-0000-000000090000}"/>
    <cellStyle name="Currency 3 2" xfId="74" xr:uid="{00000000-0005-0000-0000-000001090000}"/>
    <cellStyle name="Currency 3 2 2" xfId="167" xr:uid="{00000000-0005-0000-0000-000002090000}"/>
    <cellStyle name="Currency 3 2 2 2" xfId="6686" xr:uid="{00000000-0005-0000-0000-000003090000}"/>
    <cellStyle name="Currency 3 2 3" xfId="6685" xr:uid="{00000000-0005-0000-0000-000004090000}"/>
    <cellStyle name="Currency 3 2 3 2" xfId="15872" xr:uid="{00000000-0005-0000-0000-000005090000}"/>
    <cellStyle name="Currency 3 2 3 2 2" xfId="32446" xr:uid="{00000000-0005-0000-0000-000006090000}"/>
    <cellStyle name="Currency 3 2 3 3" xfId="24399" xr:uid="{00000000-0005-0000-0000-000007090000}"/>
    <cellStyle name="Currency 3 2 4" xfId="2402" xr:uid="{00000000-0005-0000-0000-000008090000}"/>
    <cellStyle name="Currency 3 3" xfId="168" xr:uid="{00000000-0005-0000-0000-000009090000}"/>
    <cellStyle name="Currency 3 3 2" xfId="6688" xr:uid="{00000000-0005-0000-0000-00000A090000}"/>
    <cellStyle name="Currency 3 3 3" xfId="6687" xr:uid="{00000000-0005-0000-0000-00000B090000}"/>
    <cellStyle name="Currency 3 3 4" xfId="2403" xr:uid="{00000000-0005-0000-0000-00000C090000}"/>
    <cellStyle name="Currency 3 4" xfId="2404" xr:uid="{00000000-0005-0000-0000-00000D090000}"/>
    <cellStyle name="Currency 3 4 2" xfId="2405" xr:uid="{00000000-0005-0000-0000-00000E090000}"/>
    <cellStyle name="Currency 3 4 2 2" xfId="2406" xr:uid="{00000000-0005-0000-0000-00000F090000}"/>
    <cellStyle name="Currency 3 4 2 2 2" xfId="6689" xr:uid="{00000000-0005-0000-0000-000010090000}"/>
    <cellStyle name="Currency 3 4 2 2 2 2" xfId="15873" xr:uid="{00000000-0005-0000-0000-000011090000}"/>
    <cellStyle name="Currency 3 4 2 2 2 2 2" xfId="32447" xr:uid="{00000000-0005-0000-0000-000012090000}"/>
    <cellStyle name="Currency 3 4 2 2 2 3" xfId="24400" xr:uid="{00000000-0005-0000-0000-000013090000}"/>
    <cellStyle name="Currency 3 4 2 2 3" xfId="11938" xr:uid="{00000000-0005-0000-0000-000014090000}"/>
    <cellStyle name="Currency 3 4 2 2 3 2" xfId="28457" xr:uid="{00000000-0005-0000-0000-000015090000}"/>
    <cellStyle name="Currency 3 4 2 2 4" xfId="20414" xr:uid="{00000000-0005-0000-0000-000016090000}"/>
    <cellStyle name="Currency 3 4 2 3" xfId="2407" xr:uid="{00000000-0005-0000-0000-000017090000}"/>
    <cellStyle name="Currency 3 4 2 3 2" xfId="11939" xr:uid="{00000000-0005-0000-0000-000018090000}"/>
    <cellStyle name="Currency 3 4 2 3 2 2" xfId="28458" xr:uid="{00000000-0005-0000-0000-000019090000}"/>
    <cellStyle name="Currency 3 4 2 3 3" xfId="20415" xr:uid="{00000000-0005-0000-0000-00001A090000}"/>
    <cellStyle name="Currency 3 4 2 4" xfId="11937" xr:uid="{00000000-0005-0000-0000-00001B090000}"/>
    <cellStyle name="Currency 3 4 2 4 2" xfId="28456" xr:uid="{00000000-0005-0000-0000-00001C090000}"/>
    <cellStyle name="Currency 3 4 2 5" xfId="20413" xr:uid="{00000000-0005-0000-0000-00001D090000}"/>
    <cellStyle name="Currency 3 4 3" xfId="2408" xr:uid="{00000000-0005-0000-0000-00001E090000}"/>
    <cellStyle name="Currency 3 4 3 2" xfId="6690" xr:uid="{00000000-0005-0000-0000-00001F090000}"/>
    <cellStyle name="Currency 3 4 3 2 2" xfId="15874" xr:uid="{00000000-0005-0000-0000-000020090000}"/>
    <cellStyle name="Currency 3 4 3 2 2 2" xfId="32448" xr:uid="{00000000-0005-0000-0000-000021090000}"/>
    <cellStyle name="Currency 3 4 3 2 3" xfId="24401" xr:uid="{00000000-0005-0000-0000-000022090000}"/>
    <cellStyle name="Currency 3 4 3 3" xfId="11940" xr:uid="{00000000-0005-0000-0000-000023090000}"/>
    <cellStyle name="Currency 3 4 3 3 2" xfId="28459" xr:uid="{00000000-0005-0000-0000-000024090000}"/>
    <cellStyle name="Currency 3 4 3 4" xfId="20416" xr:uid="{00000000-0005-0000-0000-000025090000}"/>
    <cellStyle name="Currency 3 4 4" xfId="2409" xr:uid="{00000000-0005-0000-0000-000026090000}"/>
    <cellStyle name="Currency 3 4 4 2" xfId="11941" xr:uid="{00000000-0005-0000-0000-000027090000}"/>
    <cellStyle name="Currency 3 4 4 2 2" xfId="28460" xr:uid="{00000000-0005-0000-0000-000028090000}"/>
    <cellStyle name="Currency 3 4 4 3" xfId="20417" xr:uid="{00000000-0005-0000-0000-000029090000}"/>
    <cellStyle name="Currency 3 5" xfId="2410" xr:uid="{00000000-0005-0000-0000-00002A090000}"/>
    <cellStyle name="Currency 3 5 2" xfId="2411" xr:uid="{00000000-0005-0000-0000-00002B090000}"/>
    <cellStyle name="Currency 3 5 2 2" xfId="6691" xr:uid="{00000000-0005-0000-0000-00002C090000}"/>
    <cellStyle name="Currency 3 5 2 2 2" xfId="15875" xr:uid="{00000000-0005-0000-0000-00002D090000}"/>
    <cellStyle name="Currency 3 5 2 2 2 2" xfId="32449" xr:uid="{00000000-0005-0000-0000-00002E090000}"/>
    <cellStyle name="Currency 3 5 2 2 3" xfId="24402" xr:uid="{00000000-0005-0000-0000-00002F090000}"/>
    <cellStyle name="Currency 3 5 2 3" xfId="11942" xr:uid="{00000000-0005-0000-0000-000030090000}"/>
    <cellStyle name="Currency 3 5 2 3 2" xfId="28461" xr:uid="{00000000-0005-0000-0000-000031090000}"/>
    <cellStyle name="Currency 3 5 2 4" xfId="20418" xr:uid="{00000000-0005-0000-0000-000032090000}"/>
    <cellStyle name="Currency 3 5 3" xfId="2412" xr:uid="{00000000-0005-0000-0000-000033090000}"/>
    <cellStyle name="Currency 3 5 3 2" xfId="11943" xr:uid="{00000000-0005-0000-0000-000034090000}"/>
    <cellStyle name="Currency 3 5 3 2 2" xfId="28462" xr:uid="{00000000-0005-0000-0000-000035090000}"/>
    <cellStyle name="Currency 3 5 3 3" xfId="20419" xr:uid="{00000000-0005-0000-0000-000036090000}"/>
    <cellStyle name="Currency 3 6" xfId="2413" xr:uid="{00000000-0005-0000-0000-000037090000}"/>
    <cellStyle name="Currency 3 6 2" xfId="6692" xr:uid="{00000000-0005-0000-0000-000038090000}"/>
    <cellStyle name="Currency 3 6 2 2" xfId="15876" xr:uid="{00000000-0005-0000-0000-000039090000}"/>
    <cellStyle name="Currency 3 6 2 2 2" xfId="32450" xr:uid="{00000000-0005-0000-0000-00003A090000}"/>
    <cellStyle name="Currency 3 6 2 3" xfId="24403" xr:uid="{00000000-0005-0000-0000-00003B090000}"/>
    <cellStyle name="Currency 3 6 3" xfId="11944" xr:uid="{00000000-0005-0000-0000-00003C090000}"/>
    <cellStyle name="Currency 3 6 3 2" xfId="28463" xr:uid="{00000000-0005-0000-0000-00003D090000}"/>
    <cellStyle name="Currency 3 6 4" xfId="20420" xr:uid="{00000000-0005-0000-0000-00003E090000}"/>
    <cellStyle name="Currency 3 7" xfId="2414" xr:uid="{00000000-0005-0000-0000-00003F090000}"/>
    <cellStyle name="Currency 3 7 2" xfId="11945" xr:uid="{00000000-0005-0000-0000-000040090000}"/>
    <cellStyle name="Currency 3 7 2 2" xfId="28464" xr:uid="{00000000-0005-0000-0000-000041090000}"/>
    <cellStyle name="Currency 3 7 3" xfId="20421" xr:uid="{00000000-0005-0000-0000-000042090000}"/>
    <cellStyle name="Currency 3 8" xfId="2401" xr:uid="{00000000-0005-0000-0000-000043090000}"/>
    <cellStyle name="Currency 3 8 2" xfId="6693" xr:uid="{00000000-0005-0000-0000-000044090000}"/>
    <cellStyle name="Currency 3 8 2 2" xfId="15877" xr:uid="{00000000-0005-0000-0000-000045090000}"/>
    <cellStyle name="Currency 3 8 2 2 2" xfId="32451" xr:uid="{00000000-0005-0000-0000-000046090000}"/>
    <cellStyle name="Currency 3 8 2 3" xfId="24404" xr:uid="{00000000-0005-0000-0000-000047090000}"/>
    <cellStyle name="Currency 3 9" xfId="10895" xr:uid="{00000000-0005-0000-0000-000048090000}"/>
    <cellStyle name="Currency 4" xfId="169" xr:uid="{00000000-0005-0000-0000-000049090000}"/>
    <cellStyle name="Currency 4 2" xfId="170" xr:uid="{00000000-0005-0000-0000-00004A090000}"/>
    <cellStyle name="Currency 4 2 2" xfId="2417" xr:uid="{00000000-0005-0000-0000-00004B090000}"/>
    <cellStyle name="Currency 4 2 2 2" xfId="2418" xr:uid="{00000000-0005-0000-0000-00004C090000}"/>
    <cellStyle name="Currency 4 2 2 2 2" xfId="6694" xr:uid="{00000000-0005-0000-0000-00004D090000}"/>
    <cellStyle name="Currency 4 2 2 2 2 2" xfId="15878" xr:uid="{00000000-0005-0000-0000-00004E090000}"/>
    <cellStyle name="Currency 4 2 2 2 2 2 2" xfId="32452" xr:uid="{00000000-0005-0000-0000-00004F090000}"/>
    <cellStyle name="Currency 4 2 2 2 2 3" xfId="24405" xr:uid="{00000000-0005-0000-0000-000050090000}"/>
    <cellStyle name="Currency 4 2 2 2 3" xfId="11947" xr:uid="{00000000-0005-0000-0000-000051090000}"/>
    <cellStyle name="Currency 4 2 2 2 3 2" xfId="28466" xr:uid="{00000000-0005-0000-0000-000052090000}"/>
    <cellStyle name="Currency 4 2 2 2 4" xfId="20423" xr:uid="{00000000-0005-0000-0000-000053090000}"/>
    <cellStyle name="Currency 4 2 2 3" xfId="6695" xr:uid="{00000000-0005-0000-0000-000054090000}"/>
    <cellStyle name="Currency 4 2 2 3 2" xfId="15879" xr:uid="{00000000-0005-0000-0000-000055090000}"/>
    <cellStyle name="Currency 4 2 2 3 2 2" xfId="32453" xr:uid="{00000000-0005-0000-0000-000056090000}"/>
    <cellStyle name="Currency 4 2 2 3 3" xfId="24406" xr:uid="{00000000-0005-0000-0000-000057090000}"/>
    <cellStyle name="Currency 4 2 2 4" xfId="11946" xr:uid="{00000000-0005-0000-0000-000058090000}"/>
    <cellStyle name="Currency 4 2 2 4 2" xfId="28465" xr:uid="{00000000-0005-0000-0000-000059090000}"/>
    <cellStyle name="Currency 4 2 2 5" xfId="20422" xr:uid="{00000000-0005-0000-0000-00005A090000}"/>
    <cellStyle name="Currency 4 2 3" xfId="2419" xr:uid="{00000000-0005-0000-0000-00005B090000}"/>
    <cellStyle name="Currency 4 2 3 2" xfId="6696" xr:uid="{00000000-0005-0000-0000-00005C090000}"/>
    <cellStyle name="Currency 4 2 3 2 2" xfId="15880" xr:uid="{00000000-0005-0000-0000-00005D090000}"/>
    <cellStyle name="Currency 4 2 3 2 2 2" xfId="32454" xr:uid="{00000000-0005-0000-0000-00005E090000}"/>
    <cellStyle name="Currency 4 2 3 2 3" xfId="24407" xr:uid="{00000000-0005-0000-0000-00005F090000}"/>
    <cellStyle name="Currency 4 2 3 3" xfId="11948" xr:uid="{00000000-0005-0000-0000-000060090000}"/>
    <cellStyle name="Currency 4 2 3 3 2" xfId="28467" xr:uid="{00000000-0005-0000-0000-000061090000}"/>
    <cellStyle name="Currency 4 2 3 4" xfId="20424" xr:uid="{00000000-0005-0000-0000-000062090000}"/>
    <cellStyle name="Currency 4 2 4" xfId="2420" xr:uid="{00000000-0005-0000-0000-000063090000}"/>
    <cellStyle name="Currency 4 2 4 2" xfId="11949" xr:uid="{00000000-0005-0000-0000-000064090000}"/>
    <cellStyle name="Currency 4 2 4 2 2" xfId="28468" xr:uid="{00000000-0005-0000-0000-000065090000}"/>
    <cellStyle name="Currency 4 2 4 3" xfId="20425" xr:uid="{00000000-0005-0000-0000-000066090000}"/>
    <cellStyle name="Currency 4 2 5" xfId="2416" xr:uid="{00000000-0005-0000-0000-000067090000}"/>
    <cellStyle name="Currency 4 3" xfId="360" xr:uid="{00000000-0005-0000-0000-000068090000}"/>
    <cellStyle name="Currency 4 3 2" xfId="2422" xr:uid="{00000000-0005-0000-0000-000069090000}"/>
    <cellStyle name="Currency 4 3 2 2" xfId="6697" xr:uid="{00000000-0005-0000-0000-00006A090000}"/>
    <cellStyle name="Currency 4 3 2 2 2" xfId="15881" xr:uid="{00000000-0005-0000-0000-00006B090000}"/>
    <cellStyle name="Currency 4 3 2 2 2 2" xfId="32455" xr:uid="{00000000-0005-0000-0000-00006C090000}"/>
    <cellStyle name="Currency 4 3 2 2 3" xfId="24408" xr:uid="{00000000-0005-0000-0000-00006D090000}"/>
    <cellStyle name="Currency 4 3 2 3" xfId="11950" xr:uid="{00000000-0005-0000-0000-00006E090000}"/>
    <cellStyle name="Currency 4 3 2 3 2" xfId="28470" xr:uid="{00000000-0005-0000-0000-00006F090000}"/>
    <cellStyle name="Currency 4 3 2 4" xfId="20427" xr:uid="{00000000-0005-0000-0000-000070090000}"/>
    <cellStyle name="Currency 4 3 3" xfId="6698" xr:uid="{00000000-0005-0000-0000-000071090000}"/>
    <cellStyle name="Currency 4 3 3 2" xfId="15882" xr:uid="{00000000-0005-0000-0000-000072090000}"/>
    <cellStyle name="Currency 4 3 3 2 2" xfId="32456" xr:uid="{00000000-0005-0000-0000-000073090000}"/>
    <cellStyle name="Currency 4 3 3 3" xfId="24409" xr:uid="{00000000-0005-0000-0000-000074090000}"/>
    <cellStyle name="Currency 4 3 4" xfId="2421" xr:uid="{00000000-0005-0000-0000-000075090000}"/>
    <cellStyle name="Currency 4 3 4 2" xfId="28469" xr:uid="{00000000-0005-0000-0000-000076090000}"/>
    <cellStyle name="Currency 4 3 5" xfId="20426" xr:uid="{00000000-0005-0000-0000-000077090000}"/>
    <cellStyle name="Currency 4 4" xfId="1683" xr:uid="{00000000-0005-0000-0000-000078090000}"/>
    <cellStyle name="Currency 4 4 2" xfId="6699" xr:uid="{00000000-0005-0000-0000-000079090000}"/>
    <cellStyle name="Currency 4 4 2 2" xfId="15883" xr:uid="{00000000-0005-0000-0000-00007A090000}"/>
    <cellStyle name="Currency 4 4 2 2 2" xfId="32457" xr:uid="{00000000-0005-0000-0000-00007B090000}"/>
    <cellStyle name="Currency 4 4 2 3" xfId="24410" xr:uid="{00000000-0005-0000-0000-00007C090000}"/>
    <cellStyle name="Currency 4 4 3" xfId="11951" xr:uid="{00000000-0005-0000-0000-00007D090000}"/>
    <cellStyle name="Currency 4 4 3 2" xfId="28471" xr:uid="{00000000-0005-0000-0000-00007E090000}"/>
    <cellStyle name="Currency 4 4 4" xfId="20428" xr:uid="{00000000-0005-0000-0000-00007F090000}"/>
    <cellStyle name="Currency 4 5" xfId="2423" xr:uid="{00000000-0005-0000-0000-000080090000}"/>
    <cellStyle name="Currency 4 5 2" xfId="11952" xr:uid="{00000000-0005-0000-0000-000081090000}"/>
    <cellStyle name="Currency 4 5 2 2" xfId="28472" xr:uid="{00000000-0005-0000-0000-000082090000}"/>
    <cellStyle name="Currency 4 5 3" xfId="20429" xr:uid="{00000000-0005-0000-0000-000083090000}"/>
    <cellStyle name="Currency 4 6" xfId="2424" xr:uid="{00000000-0005-0000-0000-000084090000}"/>
    <cellStyle name="Currency 4 6 2" xfId="6623" xr:uid="{00000000-0005-0000-0000-000085090000}"/>
    <cellStyle name="Currency 4 6 3" xfId="11953" xr:uid="{00000000-0005-0000-0000-000086090000}"/>
    <cellStyle name="Currency 4 6 3 2" xfId="28473" xr:uid="{00000000-0005-0000-0000-000087090000}"/>
    <cellStyle name="Currency 4 6 4" xfId="20430" xr:uid="{00000000-0005-0000-0000-000088090000}"/>
    <cellStyle name="Currency 4 7" xfId="2415" xr:uid="{00000000-0005-0000-0000-000089090000}"/>
    <cellStyle name="Currency 4 8" xfId="10896" xr:uid="{00000000-0005-0000-0000-00008A090000}"/>
    <cellStyle name="Currency 4 9" xfId="2080" xr:uid="{00000000-0005-0000-0000-00008B090000}"/>
    <cellStyle name="Currency 5" xfId="13" xr:uid="{00000000-0005-0000-0000-00008C090000}"/>
    <cellStyle name="Currency 5 2" xfId="171" xr:uid="{00000000-0005-0000-0000-00008D090000}"/>
    <cellStyle name="Currency 5 2 2" xfId="2425" xr:uid="{00000000-0005-0000-0000-00008E090000}"/>
    <cellStyle name="Currency 5 2 2 2" xfId="2426" xr:uid="{00000000-0005-0000-0000-00008F090000}"/>
    <cellStyle name="Currency 5 2 2 2 2" xfId="6700" xr:uid="{00000000-0005-0000-0000-000090090000}"/>
    <cellStyle name="Currency 5 2 2 2 2 2" xfId="15884" xr:uid="{00000000-0005-0000-0000-000091090000}"/>
    <cellStyle name="Currency 5 2 2 2 2 2 2" xfId="32458" xr:uid="{00000000-0005-0000-0000-000092090000}"/>
    <cellStyle name="Currency 5 2 2 2 2 3" xfId="24411" xr:uid="{00000000-0005-0000-0000-000093090000}"/>
    <cellStyle name="Currency 5 2 2 2 3" xfId="11955" xr:uid="{00000000-0005-0000-0000-000094090000}"/>
    <cellStyle name="Currency 5 2 2 2 3 2" xfId="28475" xr:uid="{00000000-0005-0000-0000-000095090000}"/>
    <cellStyle name="Currency 5 2 2 2 4" xfId="20432" xr:uid="{00000000-0005-0000-0000-000096090000}"/>
    <cellStyle name="Currency 5 2 2 3" xfId="6701" xr:uid="{00000000-0005-0000-0000-000097090000}"/>
    <cellStyle name="Currency 5 2 2 3 2" xfId="15885" xr:uid="{00000000-0005-0000-0000-000098090000}"/>
    <cellStyle name="Currency 5 2 2 3 2 2" xfId="32459" xr:uid="{00000000-0005-0000-0000-000099090000}"/>
    <cellStyle name="Currency 5 2 2 3 3" xfId="24412" xr:uid="{00000000-0005-0000-0000-00009A090000}"/>
    <cellStyle name="Currency 5 2 2 4" xfId="11954" xr:uid="{00000000-0005-0000-0000-00009B090000}"/>
    <cellStyle name="Currency 5 2 2 4 2" xfId="28474" xr:uid="{00000000-0005-0000-0000-00009C090000}"/>
    <cellStyle name="Currency 5 2 2 5" xfId="20431" xr:uid="{00000000-0005-0000-0000-00009D090000}"/>
    <cellStyle name="Currency 5 2 3" xfId="2427" xr:uid="{00000000-0005-0000-0000-00009E090000}"/>
    <cellStyle name="Currency 5 2 3 2" xfId="6702" xr:uid="{00000000-0005-0000-0000-00009F090000}"/>
    <cellStyle name="Currency 5 2 3 2 2" xfId="15886" xr:uid="{00000000-0005-0000-0000-0000A0090000}"/>
    <cellStyle name="Currency 5 2 3 2 2 2" xfId="32460" xr:uid="{00000000-0005-0000-0000-0000A1090000}"/>
    <cellStyle name="Currency 5 2 3 2 3" xfId="24413" xr:uid="{00000000-0005-0000-0000-0000A2090000}"/>
    <cellStyle name="Currency 5 2 3 3" xfId="11956" xr:uid="{00000000-0005-0000-0000-0000A3090000}"/>
    <cellStyle name="Currency 5 2 3 3 2" xfId="28476" xr:uid="{00000000-0005-0000-0000-0000A4090000}"/>
    <cellStyle name="Currency 5 2 3 4" xfId="20433" xr:uid="{00000000-0005-0000-0000-0000A5090000}"/>
    <cellStyle name="Currency 5 2 4" xfId="2428" xr:uid="{00000000-0005-0000-0000-0000A6090000}"/>
    <cellStyle name="Currency 5 2 4 2" xfId="11957" xr:uid="{00000000-0005-0000-0000-0000A7090000}"/>
    <cellStyle name="Currency 5 2 4 2 2" xfId="28477" xr:uid="{00000000-0005-0000-0000-0000A8090000}"/>
    <cellStyle name="Currency 5 2 4 3" xfId="20434" xr:uid="{00000000-0005-0000-0000-0000A9090000}"/>
    <cellStyle name="Currency 5 3" xfId="2429" xr:uid="{00000000-0005-0000-0000-0000AA090000}"/>
    <cellStyle name="Currency 5 3 2" xfId="2430" xr:uid="{00000000-0005-0000-0000-0000AB090000}"/>
    <cellStyle name="Currency 5 3 2 2" xfId="6703" xr:uid="{00000000-0005-0000-0000-0000AC090000}"/>
    <cellStyle name="Currency 5 3 2 2 2" xfId="15887" xr:uid="{00000000-0005-0000-0000-0000AD090000}"/>
    <cellStyle name="Currency 5 3 2 2 2 2" xfId="32461" xr:uid="{00000000-0005-0000-0000-0000AE090000}"/>
    <cellStyle name="Currency 5 3 2 2 3" xfId="24414" xr:uid="{00000000-0005-0000-0000-0000AF090000}"/>
    <cellStyle name="Currency 5 3 2 3" xfId="11959" xr:uid="{00000000-0005-0000-0000-0000B0090000}"/>
    <cellStyle name="Currency 5 3 2 3 2" xfId="28479" xr:uid="{00000000-0005-0000-0000-0000B1090000}"/>
    <cellStyle name="Currency 5 3 2 4" xfId="20436" xr:uid="{00000000-0005-0000-0000-0000B2090000}"/>
    <cellStyle name="Currency 5 3 3" xfId="6704" xr:uid="{00000000-0005-0000-0000-0000B3090000}"/>
    <cellStyle name="Currency 5 3 3 2" xfId="15888" xr:uid="{00000000-0005-0000-0000-0000B4090000}"/>
    <cellStyle name="Currency 5 3 3 2 2" xfId="32462" xr:uid="{00000000-0005-0000-0000-0000B5090000}"/>
    <cellStyle name="Currency 5 3 3 3" xfId="24415" xr:uid="{00000000-0005-0000-0000-0000B6090000}"/>
    <cellStyle name="Currency 5 3 4" xfId="11958" xr:uid="{00000000-0005-0000-0000-0000B7090000}"/>
    <cellStyle name="Currency 5 3 4 2" xfId="28478" xr:uid="{00000000-0005-0000-0000-0000B8090000}"/>
    <cellStyle name="Currency 5 3 5" xfId="20435" xr:uid="{00000000-0005-0000-0000-0000B9090000}"/>
    <cellStyle name="Currency 5 4" xfId="2431" xr:uid="{00000000-0005-0000-0000-0000BA090000}"/>
    <cellStyle name="Currency 5 4 2" xfId="6705" xr:uid="{00000000-0005-0000-0000-0000BB090000}"/>
    <cellStyle name="Currency 5 4 2 2" xfId="15889" xr:uid="{00000000-0005-0000-0000-0000BC090000}"/>
    <cellStyle name="Currency 5 4 2 2 2" xfId="32463" xr:uid="{00000000-0005-0000-0000-0000BD090000}"/>
    <cellStyle name="Currency 5 4 2 3" xfId="24416" xr:uid="{00000000-0005-0000-0000-0000BE090000}"/>
    <cellStyle name="Currency 5 4 3" xfId="11960" xr:uid="{00000000-0005-0000-0000-0000BF090000}"/>
    <cellStyle name="Currency 5 4 3 2" xfId="28480" xr:uid="{00000000-0005-0000-0000-0000C0090000}"/>
    <cellStyle name="Currency 5 4 4" xfId="20437" xr:uid="{00000000-0005-0000-0000-0000C1090000}"/>
    <cellStyle name="Currency 5 5" xfId="6706" xr:uid="{00000000-0005-0000-0000-0000C2090000}"/>
    <cellStyle name="Currency 5 5 2" xfId="15890" xr:uid="{00000000-0005-0000-0000-0000C3090000}"/>
    <cellStyle name="Currency 5 5 2 2" xfId="32464" xr:uid="{00000000-0005-0000-0000-0000C4090000}"/>
    <cellStyle name="Currency 5 5 3" xfId="24417" xr:uid="{00000000-0005-0000-0000-0000C5090000}"/>
    <cellStyle name="Currency 6" xfId="1710" xr:uid="{00000000-0005-0000-0000-0000C6090000}"/>
    <cellStyle name="Currency 6 2" xfId="2433" xr:uid="{00000000-0005-0000-0000-0000C7090000}"/>
    <cellStyle name="Currency 6 2 2" xfId="2434" xr:uid="{00000000-0005-0000-0000-0000C8090000}"/>
    <cellStyle name="Currency 6 2 2 2" xfId="2435" xr:uid="{00000000-0005-0000-0000-0000C9090000}"/>
    <cellStyle name="Currency 6 2 2 2 2" xfId="6707" xr:uid="{00000000-0005-0000-0000-0000CA090000}"/>
    <cellStyle name="Currency 6 2 2 2 2 2" xfId="15891" xr:uid="{00000000-0005-0000-0000-0000CB090000}"/>
    <cellStyle name="Currency 6 2 2 2 2 2 2" xfId="32465" xr:uid="{00000000-0005-0000-0000-0000CC090000}"/>
    <cellStyle name="Currency 6 2 2 2 2 3" xfId="24418" xr:uid="{00000000-0005-0000-0000-0000CD090000}"/>
    <cellStyle name="Currency 6 2 2 2 3" xfId="11963" xr:uid="{00000000-0005-0000-0000-0000CE090000}"/>
    <cellStyle name="Currency 6 2 2 2 3 2" xfId="28484" xr:uid="{00000000-0005-0000-0000-0000CF090000}"/>
    <cellStyle name="Currency 6 2 2 2 4" xfId="20441" xr:uid="{00000000-0005-0000-0000-0000D0090000}"/>
    <cellStyle name="Currency 6 2 2 3" xfId="6708" xr:uid="{00000000-0005-0000-0000-0000D1090000}"/>
    <cellStyle name="Currency 6 2 2 3 2" xfId="15892" xr:uid="{00000000-0005-0000-0000-0000D2090000}"/>
    <cellStyle name="Currency 6 2 2 3 2 2" xfId="32466" xr:uid="{00000000-0005-0000-0000-0000D3090000}"/>
    <cellStyle name="Currency 6 2 2 3 3" xfId="24419" xr:uid="{00000000-0005-0000-0000-0000D4090000}"/>
    <cellStyle name="Currency 6 2 2 4" xfId="11962" xr:uid="{00000000-0005-0000-0000-0000D5090000}"/>
    <cellStyle name="Currency 6 2 2 4 2" xfId="28483" xr:uid="{00000000-0005-0000-0000-0000D6090000}"/>
    <cellStyle name="Currency 6 2 2 5" xfId="20440" xr:uid="{00000000-0005-0000-0000-0000D7090000}"/>
    <cellStyle name="Currency 6 2 3" xfId="2436" xr:uid="{00000000-0005-0000-0000-0000D8090000}"/>
    <cellStyle name="Currency 6 2 3 2" xfId="6709" xr:uid="{00000000-0005-0000-0000-0000D9090000}"/>
    <cellStyle name="Currency 6 2 3 2 2" xfId="15893" xr:uid="{00000000-0005-0000-0000-0000DA090000}"/>
    <cellStyle name="Currency 6 2 3 2 2 2" xfId="32467" xr:uid="{00000000-0005-0000-0000-0000DB090000}"/>
    <cellStyle name="Currency 6 2 3 2 3" xfId="24420" xr:uid="{00000000-0005-0000-0000-0000DC090000}"/>
    <cellStyle name="Currency 6 2 3 3" xfId="11964" xr:uid="{00000000-0005-0000-0000-0000DD090000}"/>
    <cellStyle name="Currency 6 2 3 3 2" xfId="28485" xr:uid="{00000000-0005-0000-0000-0000DE090000}"/>
    <cellStyle name="Currency 6 2 3 4" xfId="20442" xr:uid="{00000000-0005-0000-0000-0000DF090000}"/>
    <cellStyle name="Currency 6 2 4" xfId="6710" xr:uid="{00000000-0005-0000-0000-0000E0090000}"/>
    <cellStyle name="Currency 6 2 4 2" xfId="15894" xr:uid="{00000000-0005-0000-0000-0000E1090000}"/>
    <cellStyle name="Currency 6 2 4 2 2" xfId="32468" xr:uid="{00000000-0005-0000-0000-0000E2090000}"/>
    <cellStyle name="Currency 6 2 4 3" xfId="24421" xr:uid="{00000000-0005-0000-0000-0000E3090000}"/>
    <cellStyle name="Currency 6 2 5" xfId="11961" xr:uid="{00000000-0005-0000-0000-0000E4090000}"/>
    <cellStyle name="Currency 6 2 5 2" xfId="28482" xr:uid="{00000000-0005-0000-0000-0000E5090000}"/>
    <cellStyle name="Currency 6 2 6" xfId="20439" xr:uid="{00000000-0005-0000-0000-0000E6090000}"/>
    <cellStyle name="Currency 6 3" xfId="2437" xr:uid="{00000000-0005-0000-0000-0000E7090000}"/>
    <cellStyle name="Currency 6 3 2" xfId="2438" xr:uid="{00000000-0005-0000-0000-0000E8090000}"/>
    <cellStyle name="Currency 6 3 2 2" xfId="6711" xr:uid="{00000000-0005-0000-0000-0000E9090000}"/>
    <cellStyle name="Currency 6 3 2 2 2" xfId="15895" xr:uid="{00000000-0005-0000-0000-0000EA090000}"/>
    <cellStyle name="Currency 6 3 2 2 2 2" xfId="32469" xr:uid="{00000000-0005-0000-0000-0000EB090000}"/>
    <cellStyle name="Currency 6 3 2 2 3" xfId="24422" xr:uid="{00000000-0005-0000-0000-0000EC090000}"/>
    <cellStyle name="Currency 6 3 2 3" xfId="11966" xr:uid="{00000000-0005-0000-0000-0000ED090000}"/>
    <cellStyle name="Currency 6 3 2 3 2" xfId="28487" xr:uid="{00000000-0005-0000-0000-0000EE090000}"/>
    <cellStyle name="Currency 6 3 2 4" xfId="20444" xr:uid="{00000000-0005-0000-0000-0000EF090000}"/>
    <cellStyle name="Currency 6 3 3" xfId="6712" xr:uid="{00000000-0005-0000-0000-0000F0090000}"/>
    <cellStyle name="Currency 6 3 3 2" xfId="15896" xr:uid="{00000000-0005-0000-0000-0000F1090000}"/>
    <cellStyle name="Currency 6 3 3 2 2" xfId="32470" xr:uid="{00000000-0005-0000-0000-0000F2090000}"/>
    <cellStyle name="Currency 6 3 3 3" xfId="24423" xr:uid="{00000000-0005-0000-0000-0000F3090000}"/>
    <cellStyle name="Currency 6 3 4" xfId="11965" xr:uid="{00000000-0005-0000-0000-0000F4090000}"/>
    <cellStyle name="Currency 6 3 4 2" xfId="28486" xr:uid="{00000000-0005-0000-0000-0000F5090000}"/>
    <cellStyle name="Currency 6 3 5" xfId="20443" xr:uid="{00000000-0005-0000-0000-0000F6090000}"/>
    <cellStyle name="Currency 6 4" xfId="2439" xr:uid="{00000000-0005-0000-0000-0000F7090000}"/>
    <cellStyle name="Currency 6 4 2" xfId="6713" xr:uid="{00000000-0005-0000-0000-0000F8090000}"/>
    <cellStyle name="Currency 6 4 2 2" xfId="15897" xr:uid="{00000000-0005-0000-0000-0000F9090000}"/>
    <cellStyle name="Currency 6 4 2 2 2" xfId="32471" xr:uid="{00000000-0005-0000-0000-0000FA090000}"/>
    <cellStyle name="Currency 6 4 2 3" xfId="24424" xr:uid="{00000000-0005-0000-0000-0000FB090000}"/>
    <cellStyle name="Currency 6 4 3" xfId="11967" xr:uid="{00000000-0005-0000-0000-0000FC090000}"/>
    <cellStyle name="Currency 6 4 3 2" xfId="28488" xr:uid="{00000000-0005-0000-0000-0000FD090000}"/>
    <cellStyle name="Currency 6 4 4" xfId="20445" xr:uid="{00000000-0005-0000-0000-0000FE090000}"/>
    <cellStyle name="Currency 6 5" xfId="6714" xr:uid="{00000000-0005-0000-0000-0000FF090000}"/>
    <cellStyle name="Currency 6 5 2" xfId="15898" xr:uid="{00000000-0005-0000-0000-0000000A0000}"/>
    <cellStyle name="Currency 6 5 2 2" xfId="32472" xr:uid="{00000000-0005-0000-0000-0000010A0000}"/>
    <cellStyle name="Currency 6 5 3" xfId="24425" xr:uid="{00000000-0005-0000-0000-0000020A0000}"/>
    <cellStyle name="Currency 6 6" xfId="2432" xr:uid="{00000000-0005-0000-0000-0000030A0000}"/>
    <cellStyle name="Currency 6 6 2" xfId="28481" xr:uid="{00000000-0005-0000-0000-0000040A0000}"/>
    <cellStyle name="Currency 6 7" xfId="20438" xr:uid="{00000000-0005-0000-0000-0000050A0000}"/>
    <cellStyle name="Currency 7" xfId="1711" xr:uid="{00000000-0005-0000-0000-0000060A0000}"/>
    <cellStyle name="Currency 7 2" xfId="2441" xr:uid="{00000000-0005-0000-0000-0000070A0000}"/>
    <cellStyle name="Currency 7 2 2" xfId="6715" xr:uid="{00000000-0005-0000-0000-0000080A0000}"/>
    <cellStyle name="Currency 7 2 2 2" xfId="15899" xr:uid="{00000000-0005-0000-0000-0000090A0000}"/>
    <cellStyle name="Currency 7 2 2 2 2" xfId="32473" xr:uid="{00000000-0005-0000-0000-00000A0A0000}"/>
    <cellStyle name="Currency 7 2 2 3" xfId="24426" xr:uid="{00000000-0005-0000-0000-00000B0A0000}"/>
    <cellStyle name="Currency 7 2 3" xfId="11968" xr:uid="{00000000-0005-0000-0000-00000C0A0000}"/>
    <cellStyle name="Currency 7 2 3 2" xfId="28490" xr:uid="{00000000-0005-0000-0000-00000D0A0000}"/>
    <cellStyle name="Currency 7 2 4" xfId="20447" xr:uid="{00000000-0005-0000-0000-00000E0A0000}"/>
    <cellStyle name="Currency 7 3" xfId="6716" xr:uid="{00000000-0005-0000-0000-00000F0A0000}"/>
    <cellStyle name="Currency 7 3 2" xfId="15900" xr:uid="{00000000-0005-0000-0000-0000100A0000}"/>
    <cellStyle name="Currency 7 3 2 2" xfId="32474" xr:uid="{00000000-0005-0000-0000-0000110A0000}"/>
    <cellStyle name="Currency 7 3 3" xfId="24427" xr:uid="{00000000-0005-0000-0000-0000120A0000}"/>
    <cellStyle name="Currency 7 4" xfId="2440" xr:uid="{00000000-0005-0000-0000-0000130A0000}"/>
    <cellStyle name="Currency 7 4 2" xfId="28489" xr:uid="{00000000-0005-0000-0000-0000140A0000}"/>
    <cellStyle name="Currency 7 5" xfId="20446" xr:uid="{00000000-0005-0000-0000-0000150A0000}"/>
    <cellStyle name="Currency 8" xfId="1712" xr:uid="{00000000-0005-0000-0000-0000160A0000}"/>
    <cellStyle name="Currency 8 2" xfId="6717" xr:uid="{00000000-0005-0000-0000-0000170A0000}"/>
    <cellStyle name="Currency 9" xfId="1713" xr:uid="{00000000-0005-0000-0000-0000180A0000}"/>
    <cellStyle name="Currency 9 2" xfId="6718" xr:uid="{00000000-0005-0000-0000-0000190A0000}"/>
    <cellStyle name="Currency(1)" xfId="1872" xr:uid="{00000000-0005-0000-0000-00001A0A0000}"/>
    <cellStyle name="Currency_Cognex 4.17.07" xfId="36201" xr:uid="{E66CE1A2-3723-4B7C-9BFE-8C87CE8D9596}"/>
    <cellStyle name="Currency0" xfId="1873" xr:uid="{00000000-0005-0000-0000-00001B0A0000}"/>
    <cellStyle name="CUS.Work.Area" xfId="1874" xr:uid="{00000000-0005-0000-0000-00001C0A0000}"/>
    <cellStyle name="d_yield" xfId="501" xr:uid="{00000000-0005-0000-0000-00001D0A0000}"/>
    <cellStyle name="d_yield_1 FM_101_Examples_v7.31McIntire" xfId="502" xr:uid="{00000000-0005-0000-0000-00001E0A0000}"/>
    <cellStyle name="d_yield_1 FM_101_Examples_v7.31McIntire_1 FM_101_Examples_TWO-Day_v7.31" xfId="503" xr:uid="{00000000-0005-0000-0000-00001F0A0000}"/>
    <cellStyle name="d_yield_AVP" xfId="504" xr:uid="{00000000-0005-0000-0000-0000200A0000}"/>
    <cellStyle name="d_yield_AVP_1 FM_101_Examples_v7.31McIntire" xfId="505" xr:uid="{00000000-0005-0000-0000-0000210A0000}"/>
    <cellStyle name="d_yield_AVP_1 FM_101_Examples_v7.31McIntire_1 FM_101_Examples_TWO-Day_v7.31" xfId="506" xr:uid="{00000000-0005-0000-0000-0000220A0000}"/>
    <cellStyle name="d_yield_AVP_Graphic Depiction - NO DEV" xfId="507" xr:uid="{00000000-0005-0000-0000-0000230A0000}"/>
    <cellStyle name="d_yield_AVP_Graphic Depiction - NO DEV_1 FM_101_Examples_v7.31McIntire" xfId="508" xr:uid="{00000000-0005-0000-0000-0000240A0000}"/>
    <cellStyle name="d_yield_AVP_Graphic Depiction - NO DEV_1 FM_101_Examples_v7.31McIntire_1 FM_101_Examples_TWO-Day_v7.31" xfId="509" xr:uid="{00000000-0005-0000-0000-0000250A0000}"/>
    <cellStyle name="d_yield_AVP_Graphic Depiction - NO DEV_Val_1_Book_Lecture_Notes_v3.06" xfId="510" xr:uid="{00000000-0005-0000-0000-0000260A0000}"/>
    <cellStyle name="d_yield_AVP_THEsumPage (2)" xfId="511" xr:uid="{00000000-0005-0000-0000-0000270A0000}"/>
    <cellStyle name="d_yield_AVP_THEsumPage (2)_1 FM_101_Examples_v7.31McIntire" xfId="512" xr:uid="{00000000-0005-0000-0000-0000280A0000}"/>
    <cellStyle name="d_yield_AVP_THEsumPage (2)_1 FM_101_Examples_v7.31McIntire_1 FM_101_Examples_TWO-Day_v7.31" xfId="513" xr:uid="{00000000-0005-0000-0000-0000290A0000}"/>
    <cellStyle name="d_yield_AVP_THEsumPage (2)_Val_1_Book_Lecture_Notes_v3.06" xfId="514" xr:uid="{00000000-0005-0000-0000-00002A0A0000}"/>
    <cellStyle name="d_yield_AVP_Val_1_Book_Lecture_Notes_v3.06" xfId="515" xr:uid="{00000000-0005-0000-0000-00002B0A0000}"/>
    <cellStyle name="d_yield_CompSheet" xfId="516" xr:uid="{00000000-0005-0000-0000-00002C0A0000}"/>
    <cellStyle name="d_yield_CompSheet_LANCE_Model_v0.6.DCF.MASTER.Name" xfId="517" xr:uid="{00000000-0005-0000-0000-00002D0A0000}"/>
    <cellStyle name="d_yield_CompSheet_LANCE_Model_v0.6.DCF.MASTER.Name_DCF &amp; Raios to CLX Tootsie_v1.33.xls" xfId="518" xr:uid="{00000000-0005-0000-0000-00002E0A0000}"/>
    <cellStyle name="d_yield_CompSheet_LANCE_Model_v0.6.DCF.MASTER.Name_Tootsie_TWO_DAY_TTS_Solution_v1.34" xfId="519" xr:uid="{00000000-0005-0000-0000-00002F0A0000}"/>
    <cellStyle name="d_yield_CompSheet_LANCE_Model_v0.6.DCF.MASTER.Name_Val_1_Book_Lecture_Notes_v3.06" xfId="520" xr:uid="{00000000-0005-0000-0000-0000300A0000}"/>
    <cellStyle name="d_yield_CompSheet_Val_1_Book_Lecture_Notes_v3.06" xfId="521" xr:uid="{00000000-0005-0000-0000-0000310A0000}"/>
    <cellStyle name="d_yield_Disc Analysis" xfId="522" xr:uid="{00000000-0005-0000-0000-0000320A0000}"/>
    <cellStyle name="d_yield_Disc Analysis_1 FM_101_Examples_v7.31McIntire" xfId="523" xr:uid="{00000000-0005-0000-0000-0000330A0000}"/>
    <cellStyle name="d_yield_Disc Analysis_1 FM_101_Examples_v7.31McIntire_1 FM_101_Examples_TWO-Day_v7.31" xfId="524" xr:uid="{00000000-0005-0000-0000-0000340A0000}"/>
    <cellStyle name="d_yield_Disc Analysis_CompSheet" xfId="525" xr:uid="{00000000-0005-0000-0000-0000350A0000}"/>
    <cellStyle name="d_yield_Disc Analysis_CompSheet_1 FM_101_Examples_v7.31McIntire" xfId="526" xr:uid="{00000000-0005-0000-0000-0000360A0000}"/>
    <cellStyle name="d_yield_Disc Analysis_CompSheet_1 FM_101_Examples_v7.31McIntire_1 FM_101_Examples_TWO-Day_v7.31" xfId="527" xr:uid="{00000000-0005-0000-0000-0000370A0000}"/>
    <cellStyle name="d_yield_Disc Analysis_CompSheet_Val_1_Book_Lecture_Notes_v3.06" xfId="528" xr:uid="{00000000-0005-0000-0000-0000380A0000}"/>
    <cellStyle name="d_yield_Disc Analysis_THEsumPage (2)" xfId="529" xr:uid="{00000000-0005-0000-0000-0000390A0000}"/>
    <cellStyle name="d_yield_Disc Analysis_THEsumPage (2)_1 FM_101_Examples_v7.31McIntire" xfId="530" xr:uid="{00000000-0005-0000-0000-00003A0A0000}"/>
    <cellStyle name="d_yield_Disc Analysis_THEsumPage (2)_1 FM_101_Examples_v7.31McIntire_1 FM_101_Examples_TWO-Day_v7.31" xfId="531" xr:uid="{00000000-0005-0000-0000-00003B0A0000}"/>
    <cellStyle name="d_yield_Disc Analysis_THEsumPage (2)_Val_1_Book_Lecture_Notes_v3.06" xfId="532" xr:uid="{00000000-0005-0000-0000-00003C0A0000}"/>
    <cellStyle name="d_yield_Disc Analysis_Val_1_Book_Lecture_Notes_v3.06" xfId="533" xr:uid="{00000000-0005-0000-0000-00003D0A0000}"/>
    <cellStyle name="d_yield_Fairness Opinion Valuation 4-23a.xls Chart 1" xfId="534" xr:uid="{00000000-0005-0000-0000-00003E0A0000}"/>
    <cellStyle name="d_yield_Fairness Opinion Valuation 4-23a.xls Chart 1_LANCE_Model_v0.6.DCF.MASTER.Name" xfId="535" xr:uid="{00000000-0005-0000-0000-00003F0A0000}"/>
    <cellStyle name="d_yield_Fairness Opinion Valuation 4-23a.xls Chart 1_LANCE_Model_v0.6.DCF.MASTER.Name_DCF &amp; Raios to CLX Tootsie_v1.33.xls" xfId="536" xr:uid="{00000000-0005-0000-0000-0000400A0000}"/>
    <cellStyle name="d_yield_Fairness Opinion Valuation 4-23a.xls Chart 1_LANCE_Model_v0.6.DCF.MASTER.Name_Tootsie_TWO_DAY_TTS_Solution_v1.34" xfId="537" xr:uid="{00000000-0005-0000-0000-0000410A0000}"/>
    <cellStyle name="d_yield_Fairness Opinion Valuation 4-23a.xls Chart 1_LANCE_Model_v0.6.DCF.MASTER.Name_Val_1_Book_Lecture_Notes_v3.06" xfId="538" xr:uid="{00000000-0005-0000-0000-0000420A0000}"/>
    <cellStyle name="d_yield_Fairness Opinion Valuation 4-23a.xls Chart 1_Val_1_Book_Lecture_Notes_v3.06" xfId="539" xr:uid="{00000000-0005-0000-0000-0000430A0000}"/>
    <cellStyle name="d_yield_LP Chart" xfId="540" xr:uid="{00000000-0005-0000-0000-0000440A0000}"/>
    <cellStyle name="d_yield_LP Chart_LANCE_Model_v0.6.DCF.MASTER.Name" xfId="541" xr:uid="{00000000-0005-0000-0000-0000450A0000}"/>
    <cellStyle name="d_yield_LP Chart_LANCE_Model_v0.6.DCF.MASTER.Name_DCF &amp; Raios to CLX Tootsie_v1.33.xls" xfId="542" xr:uid="{00000000-0005-0000-0000-0000460A0000}"/>
    <cellStyle name="d_yield_LP Chart_LANCE_Model_v0.6.DCF.MASTER.Name_Tootsie_TWO_DAY_TTS_Solution_v1.34" xfId="543" xr:uid="{00000000-0005-0000-0000-0000470A0000}"/>
    <cellStyle name="d_yield_LP Chart_LANCE_Model_v0.6.DCF.MASTER.Name_Val_1_Book_Lecture_Notes_v3.06" xfId="544" xr:uid="{00000000-0005-0000-0000-0000480A0000}"/>
    <cellStyle name="d_yield_LP Chart_THEsumPage (2)" xfId="545" xr:uid="{00000000-0005-0000-0000-0000490A0000}"/>
    <cellStyle name="d_yield_LP Chart_THEsumPage (2)_LANCE_Model_v0.6.DCF.MASTER.Name" xfId="546" xr:uid="{00000000-0005-0000-0000-00004A0A0000}"/>
    <cellStyle name="d_yield_LP Chart_THEsumPage (2)_LANCE_Model_v0.6.DCF.MASTER.Name_DCF &amp; Raios to CLX Tootsie_v1.33.xls" xfId="547" xr:uid="{00000000-0005-0000-0000-00004B0A0000}"/>
    <cellStyle name="d_yield_LP Chart_THEsumPage (2)_LANCE_Model_v0.6.DCF.MASTER.Name_Tootsie_TWO_DAY_TTS_Solution_v1.34" xfId="548" xr:uid="{00000000-0005-0000-0000-00004C0A0000}"/>
    <cellStyle name="d_yield_LP Chart_THEsumPage (2)_LANCE_Model_v0.6.DCF.MASTER.Name_Val_1_Book_Lecture_Notes_v3.06" xfId="549" xr:uid="{00000000-0005-0000-0000-00004D0A0000}"/>
    <cellStyle name="d_yield_LP Chart_THEsumPage (2)_Val_1_Book_Lecture_Notes_v3.06" xfId="550" xr:uid="{00000000-0005-0000-0000-00004E0A0000}"/>
    <cellStyle name="d_yield_LP Chart_Val_1_Book_Lecture_Notes_v3.06" xfId="551" xr:uid="{00000000-0005-0000-0000-00004F0A0000}"/>
    <cellStyle name="d_yield_Merg Cons" xfId="552" xr:uid="{00000000-0005-0000-0000-0000500A0000}"/>
    <cellStyle name="d_yield_Merg Cons_1 FM_101_Examples_v7.31McIntire" xfId="553" xr:uid="{00000000-0005-0000-0000-0000510A0000}"/>
    <cellStyle name="d_yield_Merg Cons_1 FM_101_Examples_v7.31McIntire_1 FM_101_Examples_TWO-Day_v7.31" xfId="554" xr:uid="{00000000-0005-0000-0000-0000520A0000}"/>
    <cellStyle name="d_yield_Merg Cons_CompSheet" xfId="555" xr:uid="{00000000-0005-0000-0000-0000530A0000}"/>
    <cellStyle name="d_yield_Merg Cons_CompSheet_1 FM_101_Examples_v7.31McIntire" xfId="556" xr:uid="{00000000-0005-0000-0000-0000540A0000}"/>
    <cellStyle name="d_yield_Merg Cons_CompSheet_1 FM_101_Examples_v7.31McIntire_1 FM_101_Examples_TWO-Day_v7.31" xfId="557" xr:uid="{00000000-0005-0000-0000-0000550A0000}"/>
    <cellStyle name="d_yield_Merg Cons_CompSheet_Val_1_Book_Lecture_Notes_v3.06" xfId="558" xr:uid="{00000000-0005-0000-0000-0000560A0000}"/>
    <cellStyle name="d_yield_Merg Cons_THEsumPage (2)" xfId="559" xr:uid="{00000000-0005-0000-0000-0000570A0000}"/>
    <cellStyle name="d_yield_Merg Cons_THEsumPage (2)_1 FM_101_Examples_v7.31McIntire" xfId="560" xr:uid="{00000000-0005-0000-0000-0000580A0000}"/>
    <cellStyle name="d_yield_Merg Cons_THEsumPage (2)_1 FM_101_Examples_v7.31McIntire_1 FM_101_Examples_TWO-Day_v7.31" xfId="561" xr:uid="{00000000-0005-0000-0000-0000590A0000}"/>
    <cellStyle name="d_yield_Merg Cons_THEsumPage (2)_Val_1_Book_Lecture_Notes_v3.06" xfId="562" xr:uid="{00000000-0005-0000-0000-00005A0A0000}"/>
    <cellStyle name="d_yield_Merg Cons_Val_1_Book_Lecture_Notes_v3.06" xfId="563" xr:uid="{00000000-0005-0000-0000-00005B0A0000}"/>
    <cellStyle name="d_yield_PowerValuation.xls Chart 21" xfId="564" xr:uid="{00000000-0005-0000-0000-00005C0A0000}"/>
    <cellStyle name="d_yield_PowerValuation.xls Chart 21_LANCE_Model_v0.6.DCF.MASTER.Name" xfId="565" xr:uid="{00000000-0005-0000-0000-00005D0A0000}"/>
    <cellStyle name="d_yield_PowerValuation.xls Chart 21_LANCE_Model_v0.6.DCF.MASTER.Name_DCF &amp; Raios to CLX Tootsie_v1.33.xls" xfId="566" xr:uid="{00000000-0005-0000-0000-00005E0A0000}"/>
    <cellStyle name="d_yield_PowerValuation.xls Chart 21_LANCE_Model_v0.6.DCF.MASTER.Name_Tootsie_TWO_DAY_TTS_Solution_v1.34" xfId="567" xr:uid="{00000000-0005-0000-0000-00005F0A0000}"/>
    <cellStyle name="d_yield_PowerValuation.xls Chart 21_LANCE_Model_v0.6.DCF.MASTER.Name_Val_1_Book_Lecture_Notes_v3.06" xfId="568" xr:uid="{00000000-0005-0000-0000-0000600A0000}"/>
    <cellStyle name="d_yield_PowerValuation.xls Chart 21_Val_1_Book_Lecture_Notes_v3.06" xfId="569" xr:uid="{00000000-0005-0000-0000-0000610A0000}"/>
    <cellStyle name="d_yield_PowerValuation.xls Chart 28" xfId="570" xr:uid="{00000000-0005-0000-0000-0000620A0000}"/>
    <cellStyle name="d_yield_PowerValuation.xls Chart 28_LANCE_Model_v0.6.DCF.MASTER.Name" xfId="571" xr:uid="{00000000-0005-0000-0000-0000630A0000}"/>
    <cellStyle name="d_yield_PowerValuation.xls Chart 28_LANCE_Model_v0.6.DCF.MASTER.Name_DCF &amp; Raios to CLX Tootsie_v1.33.xls" xfId="572" xr:uid="{00000000-0005-0000-0000-0000640A0000}"/>
    <cellStyle name="d_yield_PowerValuation.xls Chart 28_LANCE_Model_v0.6.DCF.MASTER.Name_Tootsie_TWO_DAY_TTS_Solution_v1.34" xfId="573" xr:uid="{00000000-0005-0000-0000-0000650A0000}"/>
    <cellStyle name="d_yield_PowerValuation.xls Chart 28_LANCE_Model_v0.6.DCF.MASTER.Name_Val_1_Book_Lecture_Notes_v3.06" xfId="574" xr:uid="{00000000-0005-0000-0000-0000660A0000}"/>
    <cellStyle name="d_yield_PowerValuation.xls Chart 28_Val_1_Book_Lecture_Notes_v3.06" xfId="575" xr:uid="{00000000-0005-0000-0000-0000670A0000}"/>
    <cellStyle name="d_yield_Proj10" xfId="576" xr:uid="{00000000-0005-0000-0000-0000680A0000}"/>
    <cellStyle name="d_yield_Proj10_1 FM_101_Examples_v7.31McIntire" xfId="577" xr:uid="{00000000-0005-0000-0000-0000690A0000}"/>
    <cellStyle name="d_yield_Proj10_1 FM_101_Examples_v7.31McIntire_1 FM_101_Examples_TWO-Day_v7.31" xfId="578" xr:uid="{00000000-0005-0000-0000-00006A0A0000}"/>
    <cellStyle name="d_yield_Proj10_AVP" xfId="579" xr:uid="{00000000-0005-0000-0000-00006B0A0000}"/>
    <cellStyle name="d_yield_Proj10_AVP_1 FM_101_Examples_v7.31McIntire" xfId="580" xr:uid="{00000000-0005-0000-0000-00006C0A0000}"/>
    <cellStyle name="d_yield_Proj10_AVP_1 FM_101_Examples_v7.31McIntire_1 FM_101_Examples_TWO-Day_v7.31" xfId="581" xr:uid="{00000000-0005-0000-0000-00006D0A0000}"/>
    <cellStyle name="d_yield_Proj10_AVP_Graphic Depiction - NO DEV" xfId="582" xr:uid="{00000000-0005-0000-0000-00006E0A0000}"/>
    <cellStyle name="d_yield_Proj10_AVP_Graphic Depiction - NO DEV_1 FM_101_Examples_v7.31McIntire" xfId="583" xr:uid="{00000000-0005-0000-0000-00006F0A0000}"/>
    <cellStyle name="d_yield_Proj10_AVP_Graphic Depiction - NO DEV_1 FM_101_Examples_v7.31McIntire_1 FM_101_Examples_TWO-Day_v7.31" xfId="584" xr:uid="{00000000-0005-0000-0000-0000700A0000}"/>
    <cellStyle name="d_yield_Proj10_AVP_Graphic Depiction - NO DEV_Val_1_Book_Lecture_Notes_v3.06" xfId="585" xr:uid="{00000000-0005-0000-0000-0000710A0000}"/>
    <cellStyle name="d_yield_Proj10_AVP_THEsumPage (2)" xfId="586" xr:uid="{00000000-0005-0000-0000-0000720A0000}"/>
    <cellStyle name="d_yield_Proj10_AVP_THEsumPage (2)_1 FM_101_Examples_v7.31McIntire" xfId="587" xr:uid="{00000000-0005-0000-0000-0000730A0000}"/>
    <cellStyle name="d_yield_Proj10_AVP_THEsumPage (2)_1 FM_101_Examples_v7.31McIntire_1 FM_101_Examples_TWO-Day_v7.31" xfId="588" xr:uid="{00000000-0005-0000-0000-0000740A0000}"/>
    <cellStyle name="d_yield_Proj10_AVP_THEsumPage (2)_Val_1_Book_Lecture_Notes_v3.06" xfId="589" xr:uid="{00000000-0005-0000-0000-0000750A0000}"/>
    <cellStyle name="d_yield_Proj10_AVP_Val_1_Book_Lecture_Notes_v3.06" xfId="590" xr:uid="{00000000-0005-0000-0000-0000760A0000}"/>
    <cellStyle name="d_yield_Proj10_CompSheet" xfId="591" xr:uid="{00000000-0005-0000-0000-0000770A0000}"/>
    <cellStyle name="d_yield_Proj10_CompSheet_LANCE_Model_v0.6.DCF.MASTER.Name" xfId="592" xr:uid="{00000000-0005-0000-0000-0000780A0000}"/>
    <cellStyle name="d_yield_Proj10_CompSheet_LANCE_Model_v0.6.DCF.MASTER.Name_DCF &amp; Raios to CLX Tootsie_v1.33.xls" xfId="593" xr:uid="{00000000-0005-0000-0000-0000790A0000}"/>
    <cellStyle name="d_yield_Proj10_CompSheet_LANCE_Model_v0.6.DCF.MASTER.Name_Tootsie_TWO_DAY_TTS_Solution_v1.34" xfId="594" xr:uid="{00000000-0005-0000-0000-00007A0A0000}"/>
    <cellStyle name="d_yield_Proj10_CompSheet_LANCE_Model_v0.6.DCF.MASTER.Name_Val_1_Book_Lecture_Notes_v3.06" xfId="595" xr:uid="{00000000-0005-0000-0000-00007B0A0000}"/>
    <cellStyle name="d_yield_Proj10_CompSheet_Val_1_Book_Lecture_Notes_v3.06" xfId="596" xr:uid="{00000000-0005-0000-0000-00007C0A0000}"/>
    <cellStyle name="d_yield_Proj10_Disc Analysis" xfId="597" xr:uid="{00000000-0005-0000-0000-00007D0A0000}"/>
    <cellStyle name="d_yield_Proj10_Disc Analysis_1 FM_101_Examples_v7.31McIntire" xfId="598" xr:uid="{00000000-0005-0000-0000-00007E0A0000}"/>
    <cellStyle name="d_yield_Proj10_Disc Analysis_1 FM_101_Examples_v7.31McIntire_1 FM_101_Examples_TWO-Day_v7.31" xfId="599" xr:uid="{00000000-0005-0000-0000-00007F0A0000}"/>
    <cellStyle name="d_yield_Proj10_Disc Analysis_CompSheet" xfId="600" xr:uid="{00000000-0005-0000-0000-0000800A0000}"/>
    <cellStyle name="d_yield_Proj10_Disc Analysis_CompSheet_1 FM_101_Examples_v7.31McIntire" xfId="601" xr:uid="{00000000-0005-0000-0000-0000810A0000}"/>
    <cellStyle name="d_yield_Proj10_Disc Analysis_CompSheet_1 FM_101_Examples_v7.31McIntire_1 FM_101_Examples_TWO-Day_v7.31" xfId="602" xr:uid="{00000000-0005-0000-0000-0000820A0000}"/>
    <cellStyle name="d_yield_Proj10_Disc Analysis_CompSheet_Val_1_Book_Lecture_Notes_v3.06" xfId="603" xr:uid="{00000000-0005-0000-0000-0000830A0000}"/>
    <cellStyle name="d_yield_Proj10_Disc Analysis_THEsumPage (2)" xfId="604" xr:uid="{00000000-0005-0000-0000-0000840A0000}"/>
    <cellStyle name="d_yield_Proj10_Disc Analysis_THEsumPage (2)_1 FM_101_Examples_v7.31McIntire" xfId="605" xr:uid="{00000000-0005-0000-0000-0000850A0000}"/>
    <cellStyle name="d_yield_Proj10_Disc Analysis_THEsumPage (2)_1 FM_101_Examples_v7.31McIntire_1 FM_101_Examples_TWO-Day_v7.31" xfId="606" xr:uid="{00000000-0005-0000-0000-0000860A0000}"/>
    <cellStyle name="d_yield_Proj10_Disc Analysis_THEsumPage (2)_Val_1_Book_Lecture_Notes_v3.06" xfId="607" xr:uid="{00000000-0005-0000-0000-0000870A0000}"/>
    <cellStyle name="d_yield_Proj10_Disc Analysis_Val_1_Book_Lecture_Notes_v3.06" xfId="608" xr:uid="{00000000-0005-0000-0000-0000880A0000}"/>
    <cellStyle name="d_yield_Proj10_Fairness Opinion Valuation 4-23a.xls Chart 1" xfId="609" xr:uid="{00000000-0005-0000-0000-0000890A0000}"/>
    <cellStyle name="d_yield_Proj10_Fairness Opinion Valuation 4-23a.xls Chart 1_LANCE_Model_v0.6.DCF.MASTER.Name" xfId="610" xr:uid="{00000000-0005-0000-0000-00008A0A0000}"/>
    <cellStyle name="d_yield_Proj10_Fairness Opinion Valuation 4-23a.xls Chart 1_LANCE_Model_v0.6.DCF.MASTER.Name_DCF &amp; Raios to CLX Tootsie_v1.33.xls" xfId="611" xr:uid="{00000000-0005-0000-0000-00008B0A0000}"/>
    <cellStyle name="d_yield_Proj10_Fairness Opinion Valuation 4-23a.xls Chart 1_LANCE_Model_v0.6.DCF.MASTER.Name_Tootsie_TWO_DAY_TTS_Solution_v1.34" xfId="612" xr:uid="{00000000-0005-0000-0000-00008C0A0000}"/>
    <cellStyle name="d_yield_Proj10_Fairness Opinion Valuation 4-23a.xls Chart 1_LANCE_Model_v0.6.DCF.MASTER.Name_Val_1_Book_Lecture_Notes_v3.06" xfId="613" xr:uid="{00000000-0005-0000-0000-00008D0A0000}"/>
    <cellStyle name="d_yield_Proj10_Fairness Opinion Valuation 4-23a.xls Chart 1_Val_1_Book_Lecture_Notes_v3.06" xfId="614" xr:uid="{00000000-0005-0000-0000-00008E0A0000}"/>
    <cellStyle name="d_yield_Proj10_LP Chart" xfId="615" xr:uid="{00000000-0005-0000-0000-00008F0A0000}"/>
    <cellStyle name="d_yield_Proj10_LP Chart_LANCE_Model_v0.6.DCF.MASTER.Name" xfId="616" xr:uid="{00000000-0005-0000-0000-0000900A0000}"/>
    <cellStyle name="d_yield_Proj10_LP Chart_LANCE_Model_v0.6.DCF.MASTER.Name_DCF &amp; Raios to CLX Tootsie_v1.33.xls" xfId="617" xr:uid="{00000000-0005-0000-0000-0000910A0000}"/>
    <cellStyle name="d_yield_Proj10_LP Chart_LANCE_Model_v0.6.DCF.MASTER.Name_Tootsie_TWO_DAY_TTS_Solution_v1.34" xfId="618" xr:uid="{00000000-0005-0000-0000-0000920A0000}"/>
    <cellStyle name="d_yield_Proj10_LP Chart_LANCE_Model_v0.6.DCF.MASTER.Name_Val_1_Book_Lecture_Notes_v3.06" xfId="619" xr:uid="{00000000-0005-0000-0000-0000930A0000}"/>
    <cellStyle name="d_yield_Proj10_LP Chart_THEsumPage (2)" xfId="620" xr:uid="{00000000-0005-0000-0000-0000940A0000}"/>
    <cellStyle name="d_yield_Proj10_LP Chart_THEsumPage (2)_LANCE_Model_v0.6.DCF.MASTER.Name" xfId="621" xr:uid="{00000000-0005-0000-0000-0000950A0000}"/>
    <cellStyle name="d_yield_Proj10_LP Chart_THEsumPage (2)_LANCE_Model_v0.6.DCF.MASTER.Name_DCF &amp; Raios to CLX Tootsie_v1.33.xls" xfId="622" xr:uid="{00000000-0005-0000-0000-0000960A0000}"/>
    <cellStyle name="d_yield_Proj10_LP Chart_THEsumPage (2)_LANCE_Model_v0.6.DCF.MASTER.Name_Tootsie_TWO_DAY_TTS_Solution_v1.34" xfId="623" xr:uid="{00000000-0005-0000-0000-0000970A0000}"/>
    <cellStyle name="d_yield_Proj10_LP Chart_THEsumPage (2)_LANCE_Model_v0.6.DCF.MASTER.Name_Val_1_Book_Lecture_Notes_v3.06" xfId="624" xr:uid="{00000000-0005-0000-0000-0000980A0000}"/>
    <cellStyle name="d_yield_Proj10_LP Chart_THEsumPage (2)_Val_1_Book_Lecture_Notes_v3.06" xfId="625" xr:uid="{00000000-0005-0000-0000-0000990A0000}"/>
    <cellStyle name="d_yield_Proj10_LP Chart_Val_1_Book_Lecture_Notes_v3.06" xfId="626" xr:uid="{00000000-0005-0000-0000-00009A0A0000}"/>
    <cellStyle name="d_yield_Proj10_Merg Cons" xfId="627" xr:uid="{00000000-0005-0000-0000-00009B0A0000}"/>
    <cellStyle name="d_yield_Proj10_Merg Cons_1 FM_101_Examples_v7.31McIntire" xfId="628" xr:uid="{00000000-0005-0000-0000-00009C0A0000}"/>
    <cellStyle name="d_yield_Proj10_Merg Cons_1 FM_101_Examples_v7.31McIntire_1 FM_101_Examples_TWO-Day_v7.31" xfId="629" xr:uid="{00000000-0005-0000-0000-00009D0A0000}"/>
    <cellStyle name="d_yield_Proj10_Merg Cons_CompSheet" xfId="630" xr:uid="{00000000-0005-0000-0000-00009E0A0000}"/>
    <cellStyle name="d_yield_Proj10_Merg Cons_CompSheet_1 FM_101_Examples_v7.31McIntire" xfId="631" xr:uid="{00000000-0005-0000-0000-00009F0A0000}"/>
    <cellStyle name="d_yield_Proj10_Merg Cons_CompSheet_1 FM_101_Examples_v7.31McIntire_1 FM_101_Examples_TWO-Day_v7.31" xfId="632" xr:uid="{00000000-0005-0000-0000-0000A00A0000}"/>
    <cellStyle name="d_yield_Proj10_Merg Cons_CompSheet_Val_1_Book_Lecture_Notes_v3.06" xfId="633" xr:uid="{00000000-0005-0000-0000-0000A10A0000}"/>
    <cellStyle name="d_yield_Proj10_Merg Cons_THEsumPage (2)" xfId="634" xr:uid="{00000000-0005-0000-0000-0000A20A0000}"/>
    <cellStyle name="d_yield_Proj10_Merg Cons_THEsumPage (2)_1 FM_101_Examples_v7.31McIntire" xfId="635" xr:uid="{00000000-0005-0000-0000-0000A30A0000}"/>
    <cellStyle name="d_yield_Proj10_Merg Cons_THEsumPage (2)_1 FM_101_Examples_v7.31McIntire_1 FM_101_Examples_TWO-Day_v7.31" xfId="636" xr:uid="{00000000-0005-0000-0000-0000A40A0000}"/>
    <cellStyle name="d_yield_Proj10_Merg Cons_THEsumPage (2)_Val_1_Book_Lecture_Notes_v3.06" xfId="637" xr:uid="{00000000-0005-0000-0000-0000A50A0000}"/>
    <cellStyle name="d_yield_Proj10_Merg Cons_Val_1_Book_Lecture_Notes_v3.06" xfId="638" xr:uid="{00000000-0005-0000-0000-0000A60A0000}"/>
    <cellStyle name="d_yield_Proj10_PowerValuation.xls Chart 21" xfId="639" xr:uid="{00000000-0005-0000-0000-0000A70A0000}"/>
    <cellStyle name="d_yield_Proj10_PowerValuation.xls Chart 21_LANCE_Model_v0.6.DCF.MASTER.Name" xfId="640" xr:uid="{00000000-0005-0000-0000-0000A80A0000}"/>
    <cellStyle name="d_yield_Proj10_PowerValuation.xls Chart 21_LANCE_Model_v0.6.DCF.MASTER.Name_DCF &amp; Raios to CLX Tootsie_v1.33.xls" xfId="641" xr:uid="{00000000-0005-0000-0000-0000A90A0000}"/>
    <cellStyle name="d_yield_Proj10_PowerValuation.xls Chart 21_LANCE_Model_v0.6.DCF.MASTER.Name_Tootsie_TWO_DAY_TTS_Solution_v1.34" xfId="642" xr:uid="{00000000-0005-0000-0000-0000AA0A0000}"/>
    <cellStyle name="d_yield_Proj10_PowerValuation.xls Chart 21_LANCE_Model_v0.6.DCF.MASTER.Name_Val_1_Book_Lecture_Notes_v3.06" xfId="643" xr:uid="{00000000-0005-0000-0000-0000AB0A0000}"/>
    <cellStyle name="d_yield_Proj10_PowerValuation.xls Chart 21_Val_1_Book_Lecture_Notes_v3.06" xfId="644" xr:uid="{00000000-0005-0000-0000-0000AC0A0000}"/>
    <cellStyle name="d_yield_Proj10_PowerValuation.xls Chart 28" xfId="645" xr:uid="{00000000-0005-0000-0000-0000AD0A0000}"/>
    <cellStyle name="d_yield_Proj10_PowerValuation.xls Chart 28_LANCE_Model_v0.6.DCF.MASTER.Name" xfId="646" xr:uid="{00000000-0005-0000-0000-0000AE0A0000}"/>
    <cellStyle name="d_yield_Proj10_PowerValuation.xls Chart 28_LANCE_Model_v0.6.DCF.MASTER.Name_DCF &amp; Raios to CLX Tootsie_v1.33.xls" xfId="647" xr:uid="{00000000-0005-0000-0000-0000AF0A0000}"/>
    <cellStyle name="d_yield_Proj10_PowerValuation.xls Chart 28_LANCE_Model_v0.6.DCF.MASTER.Name_Tootsie_TWO_DAY_TTS_Solution_v1.34" xfId="648" xr:uid="{00000000-0005-0000-0000-0000B00A0000}"/>
    <cellStyle name="d_yield_Proj10_PowerValuation.xls Chart 28_LANCE_Model_v0.6.DCF.MASTER.Name_Val_1_Book_Lecture_Notes_v3.06" xfId="649" xr:uid="{00000000-0005-0000-0000-0000B10A0000}"/>
    <cellStyle name="d_yield_Proj10_PowerValuation.xls Chart 28_Val_1_Book_Lecture_Notes_v3.06" xfId="650" xr:uid="{00000000-0005-0000-0000-0000B20A0000}"/>
    <cellStyle name="d_yield_Proj10_Sensitivity" xfId="651" xr:uid="{00000000-0005-0000-0000-0000B30A0000}"/>
    <cellStyle name="d_yield_Proj10_Sensitivity_1 FM_101_Examples_v7.31McIntire" xfId="652" xr:uid="{00000000-0005-0000-0000-0000B40A0000}"/>
    <cellStyle name="d_yield_Proj10_Sensitivity_1 FM_101_Examples_v7.31McIntire_1 FM_101_Examples_TWO-Day_v7.31" xfId="653" xr:uid="{00000000-0005-0000-0000-0000B50A0000}"/>
    <cellStyle name="d_yield_Proj10_Sensitivity_CompSheet" xfId="654" xr:uid="{00000000-0005-0000-0000-0000B60A0000}"/>
    <cellStyle name="d_yield_Proj10_Sensitivity_CompSheet_1 FM_101_Examples_v7.31McIntire" xfId="655" xr:uid="{00000000-0005-0000-0000-0000B70A0000}"/>
    <cellStyle name="d_yield_Proj10_Sensitivity_CompSheet_1 FM_101_Examples_v7.31McIntire_1 FM_101_Examples_TWO-Day_v7.31" xfId="656" xr:uid="{00000000-0005-0000-0000-0000B80A0000}"/>
    <cellStyle name="d_yield_Proj10_Sensitivity_CompSheet_Val_1_Book_Lecture_Notes_v3.06" xfId="657" xr:uid="{00000000-0005-0000-0000-0000B90A0000}"/>
    <cellStyle name="d_yield_Proj10_Sensitivity_THEsumPage (2)" xfId="658" xr:uid="{00000000-0005-0000-0000-0000BA0A0000}"/>
    <cellStyle name="d_yield_Proj10_Sensitivity_THEsumPage (2)_1 FM_101_Examples_v7.31McIntire" xfId="659" xr:uid="{00000000-0005-0000-0000-0000BB0A0000}"/>
    <cellStyle name="d_yield_Proj10_Sensitivity_THEsumPage (2)_1 FM_101_Examples_v7.31McIntire_1 FM_101_Examples_TWO-Day_v7.31" xfId="660" xr:uid="{00000000-0005-0000-0000-0000BC0A0000}"/>
    <cellStyle name="d_yield_Proj10_Sensitivity_THEsumPage (2)_Val_1_Book_Lecture_Notes_v3.06" xfId="661" xr:uid="{00000000-0005-0000-0000-0000BD0A0000}"/>
    <cellStyle name="d_yield_Proj10_Sensitivity_Val_1_Book_Lecture_Notes_v3.06" xfId="662" xr:uid="{00000000-0005-0000-0000-0000BE0A0000}"/>
    <cellStyle name="d_yield_Proj10_show-hold" xfId="663" xr:uid="{00000000-0005-0000-0000-0000BF0A0000}"/>
    <cellStyle name="d_yield_Proj10_show-hold_1 FM_101_Examples_v7.31McIntire" xfId="664" xr:uid="{00000000-0005-0000-0000-0000C00A0000}"/>
    <cellStyle name="d_yield_Proj10_show-hold_1 FM_101_Examples_v7.31McIntire_1 FM_101_Examples_TWO-Day_v7.31" xfId="665" xr:uid="{00000000-0005-0000-0000-0000C10A0000}"/>
    <cellStyle name="d_yield_Proj10_show-hold_Graphic Depiction - NO DEV" xfId="666" xr:uid="{00000000-0005-0000-0000-0000C20A0000}"/>
    <cellStyle name="d_yield_Proj10_show-hold_Graphic Depiction - NO DEV_1 FM_101_Examples_v7.31McIntire" xfId="667" xr:uid="{00000000-0005-0000-0000-0000C30A0000}"/>
    <cellStyle name="d_yield_Proj10_show-hold_Graphic Depiction - NO DEV_1 FM_101_Examples_v7.31McIntire_1 FM_101_Examples_TWO-Day_v7.31" xfId="668" xr:uid="{00000000-0005-0000-0000-0000C40A0000}"/>
    <cellStyle name="d_yield_Proj10_show-hold_Graphic Depiction - NO DEV_Val_1_Book_Lecture_Notes_v3.06" xfId="669" xr:uid="{00000000-0005-0000-0000-0000C50A0000}"/>
    <cellStyle name="d_yield_Proj10_show-hold_THEsumPage (2)" xfId="670" xr:uid="{00000000-0005-0000-0000-0000C60A0000}"/>
    <cellStyle name="d_yield_Proj10_show-hold_THEsumPage (2)_1 FM_101_Examples_v7.31McIntire" xfId="671" xr:uid="{00000000-0005-0000-0000-0000C70A0000}"/>
    <cellStyle name="d_yield_Proj10_show-hold_THEsumPage (2)_1 FM_101_Examples_v7.31McIntire_1 FM_101_Examples_TWO-Day_v7.31" xfId="672" xr:uid="{00000000-0005-0000-0000-0000C80A0000}"/>
    <cellStyle name="d_yield_Proj10_show-hold_THEsumPage (2)_Val_1_Book_Lecture_Notes_v3.06" xfId="673" xr:uid="{00000000-0005-0000-0000-0000C90A0000}"/>
    <cellStyle name="d_yield_Proj10_show-hold_Val_1_Book_Lecture_Notes_v3.06" xfId="674" xr:uid="{00000000-0005-0000-0000-0000CA0A0000}"/>
    <cellStyle name="d_yield_Proj10_THEsumPage (2)" xfId="675" xr:uid="{00000000-0005-0000-0000-0000CB0A0000}"/>
    <cellStyle name="d_yield_Proj10_THEsumPage (2)_LANCE_Model_v0.6.DCF.MASTER.Name" xfId="676" xr:uid="{00000000-0005-0000-0000-0000CC0A0000}"/>
    <cellStyle name="d_yield_Proj10_THEsumPage (2)_LANCE_Model_v0.6.DCF.MASTER.Name_DCF &amp; Raios to CLX Tootsie_v1.33.xls" xfId="677" xr:uid="{00000000-0005-0000-0000-0000CD0A0000}"/>
    <cellStyle name="d_yield_Proj10_THEsumPage (2)_LANCE_Model_v0.6.DCF.MASTER.Name_Tootsie_TWO_DAY_TTS_Solution_v1.34" xfId="678" xr:uid="{00000000-0005-0000-0000-0000CE0A0000}"/>
    <cellStyle name="d_yield_Proj10_THEsumPage (2)_LANCE_Model_v0.6.DCF.MASTER.Name_Val_1_Book_Lecture_Notes_v3.06" xfId="679" xr:uid="{00000000-0005-0000-0000-0000CF0A0000}"/>
    <cellStyle name="d_yield_Proj10_THEsumPage (2)_Val_1_Book_Lecture_Notes_v3.06" xfId="680" xr:uid="{00000000-0005-0000-0000-0000D00A0000}"/>
    <cellStyle name="d_yield_Proj10_Val_1_Book_Lecture_Notes_v3.06" xfId="681" xr:uid="{00000000-0005-0000-0000-0000D10A0000}"/>
    <cellStyle name="d_yield_Proj10_Valuation summaries" xfId="682" xr:uid="{00000000-0005-0000-0000-0000D20A0000}"/>
    <cellStyle name="d_yield_Proj10_Valuation summaries_LANCE_Model_v0.6.DCF.MASTER.Name" xfId="683" xr:uid="{00000000-0005-0000-0000-0000D30A0000}"/>
    <cellStyle name="d_yield_Proj10_Valuation summaries_LANCE_Model_v0.6.DCF.MASTER.Name_DCF &amp; Raios to CLX Tootsie_v1.33.xls" xfId="684" xr:uid="{00000000-0005-0000-0000-0000D40A0000}"/>
    <cellStyle name="d_yield_Proj10_Valuation summaries_LANCE_Model_v0.6.DCF.MASTER.Name_Tootsie_TWO_DAY_TTS_Solution_v1.34" xfId="685" xr:uid="{00000000-0005-0000-0000-0000D50A0000}"/>
    <cellStyle name="d_yield_Proj10_Valuation summaries_LANCE_Model_v0.6.DCF.MASTER.Name_Val_1_Book_Lecture_Notes_v3.06" xfId="686" xr:uid="{00000000-0005-0000-0000-0000D60A0000}"/>
    <cellStyle name="d_yield_Proj10_Valuation summaries_Val_1_Book_Lecture_Notes_v3.06" xfId="687" xr:uid="{00000000-0005-0000-0000-0000D70A0000}"/>
    <cellStyle name="d_yield_Proj10_WACC-CableCar" xfId="688" xr:uid="{00000000-0005-0000-0000-0000D80A0000}"/>
    <cellStyle name="d_yield_Proj10_WACC-CableCar_LANCE_Model_v0.6.DCF.MASTER.Name" xfId="689" xr:uid="{00000000-0005-0000-0000-0000D90A0000}"/>
    <cellStyle name="d_yield_Proj10_WACC-CableCar_LANCE_Model_v0.6.DCF.MASTER.Name_DCF &amp; Raios to CLX Tootsie_v1.33.xls" xfId="690" xr:uid="{00000000-0005-0000-0000-0000DA0A0000}"/>
    <cellStyle name="d_yield_Proj10_WACC-CableCar_LANCE_Model_v0.6.DCF.MASTER.Name_Tootsie_TWO_DAY_TTS_Solution_v1.34" xfId="691" xr:uid="{00000000-0005-0000-0000-0000DB0A0000}"/>
    <cellStyle name="d_yield_Proj10_WACC-CableCar_LANCE_Model_v0.6.DCF.MASTER.Name_Val_1_Book_Lecture_Notes_v3.06" xfId="692" xr:uid="{00000000-0005-0000-0000-0000DC0A0000}"/>
    <cellStyle name="d_yield_Proj10_WACC-CableCar_THEsumPage (2)" xfId="693" xr:uid="{00000000-0005-0000-0000-0000DD0A0000}"/>
    <cellStyle name="d_yield_Proj10_WACC-CableCar_THEsumPage (2)_LANCE_Model_v0.6.DCF.MASTER.Name" xfId="694" xr:uid="{00000000-0005-0000-0000-0000DE0A0000}"/>
    <cellStyle name="d_yield_Proj10_WACC-CableCar_THEsumPage (2)_LANCE_Model_v0.6.DCF.MASTER.Name_DCF &amp; Raios to CLX Tootsie_v1.33.xls" xfId="695" xr:uid="{00000000-0005-0000-0000-0000DF0A0000}"/>
    <cellStyle name="d_yield_Proj10_WACC-CableCar_THEsumPage (2)_LANCE_Model_v0.6.DCF.MASTER.Name_Tootsie_TWO_DAY_TTS_Solution_v1.34" xfId="696" xr:uid="{00000000-0005-0000-0000-0000E00A0000}"/>
    <cellStyle name="d_yield_Proj10_WACC-CableCar_THEsumPage (2)_LANCE_Model_v0.6.DCF.MASTER.Name_Val_1_Book_Lecture_Notes_v3.06" xfId="697" xr:uid="{00000000-0005-0000-0000-0000E10A0000}"/>
    <cellStyle name="d_yield_Proj10_WACC-CableCar_THEsumPage (2)_Val_1_Book_Lecture_Notes_v3.06" xfId="698" xr:uid="{00000000-0005-0000-0000-0000E20A0000}"/>
    <cellStyle name="d_yield_Proj10_WACC-CableCar_Val_1_Book_Lecture_Notes_v3.06" xfId="699" xr:uid="{00000000-0005-0000-0000-0000E30A0000}"/>
    <cellStyle name="d_yield_Proj10_WACC-RAD (2)" xfId="700" xr:uid="{00000000-0005-0000-0000-0000E40A0000}"/>
    <cellStyle name="d_yield_Proj10_WACC-RAD (2)_LANCE_Model_v0.6.DCF.MASTER.Name" xfId="701" xr:uid="{00000000-0005-0000-0000-0000E50A0000}"/>
    <cellStyle name="d_yield_Proj10_WACC-RAD (2)_LANCE_Model_v0.6.DCF.MASTER.Name_DCF &amp; Raios to CLX Tootsie_v1.33.xls" xfId="702" xr:uid="{00000000-0005-0000-0000-0000E60A0000}"/>
    <cellStyle name="d_yield_Proj10_WACC-RAD (2)_LANCE_Model_v0.6.DCF.MASTER.Name_Tootsie_TWO_DAY_TTS_Solution_v1.34" xfId="703" xr:uid="{00000000-0005-0000-0000-0000E70A0000}"/>
    <cellStyle name="d_yield_Proj10_WACC-RAD (2)_LANCE_Model_v0.6.DCF.MASTER.Name_Val_1_Book_Lecture_Notes_v3.06" xfId="704" xr:uid="{00000000-0005-0000-0000-0000E80A0000}"/>
    <cellStyle name="d_yield_Proj10_WACC-RAD (2)_THEsumPage (2)" xfId="705" xr:uid="{00000000-0005-0000-0000-0000E90A0000}"/>
    <cellStyle name="d_yield_Proj10_WACC-RAD (2)_THEsumPage (2)_LANCE_Model_v0.6.DCF.MASTER.Name" xfId="706" xr:uid="{00000000-0005-0000-0000-0000EA0A0000}"/>
    <cellStyle name="d_yield_Proj10_WACC-RAD (2)_THEsumPage (2)_LANCE_Model_v0.6.DCF.MASTER.Name_DCF &amp; Raios to CLX Tootsie_v1.33.xls" xfId="707" xr:uid="{00000000-0005-0000-0000-0000EB0A0000}"/>
    <cellStyle name="d_yield_Proj10_WACC-RAD (2)_THEsumPage (2)_LANCE_Model_v0.6.DCF.MASTER.Name_Tootsie_TWO_DAY_TTS_Solution_v1.34" xfId="708" xr:uid="{00000000-0005-0000-0000-0000EC0A0000}"/>
    <cellStyle name="d_yield_Proj10_WACC-RAD (2)_THEsumPage (2)_LANCE_Model_v0.6.DCF.MASTER.Name_Val_1_Book_Lecture_Notes_v3.06" xfId="709" xr:uid="{00000000-0005-0000-0000-0000ED0A0000}"/>
    <cellStyle name="d_yield_Proj10_WACC-RAD (2)_THEsumPage (2)_Val_1_Book_Lecture_Notes_v3.06" xfId="710" xr:uid="{00000000-0005-0000-0000-0000EE0A0000}"/>
    <cellStyle name="d_yield_Proj10_WACC-RAD (2)_Val_1_Book_Lecture_Notes_v3.06" xfId="711" xr:uid="{00000000-0005-0000-0000-0000EF0A0000}"/>
    <cellStyle name="d_yield_Sensitivity" xfId="712" xr:uid="{00000000-0005-0000-0000-0000F00A0000}"/>
    <cellStyle name="d_yield_Sensitivity_1 FM_101_Examples_v7.31McIntire" xfId="713" xr:uid="{00000000-0005-0000-0000-0000F10A0000}"/>
    <cellStyle name="d_yield_Sensitivity_1 FM_101_Examples_v7.31McIntire_1 FM_101_Examples_TWO-Day_v7.31" xfId="714" xr:uid="{00000000-0005-0000-0000-0000F20A0000}"/>
    <cellStyle name="d_yield_Sensitivity_CompSheet" xfId="715" xr:uid="{00000000-0005-0000-0000-0000F30A0000}"/>
    <cellStyle name="d_yield_Sensitivity_CompSheet_1 FM_101_Examples_v7.31McIntire" xfId="716" xr:uid="{00000000-0005-0000-0000-0000F40A0000}"/>
    <cellStyle name="d_yield_Sensitivity_CompSheet_1 FM_101_Examples_v7.31McIntire_1 FM_101_Examples_TWO-Day_v7.31" xfId="717" xr:uid="{00000000-0005-0000-0000-0000F50A0000}"/>
    <cellStyle name="d_yield_Sensitivity_CompSheet_Val_1_Book_Lecture_Notes_v3.06" xfId="718" xr:uid="{00000000-0005-0000-0000-0000F60A0000}"/>
    <cellStyle name="d_yield_Sensitivity_THEsumPage (2)" xfId="719" xr:uid="{00000000-0005-0000-0000-0000F70A0000}"/>
    <cellStyle name="d_yield_Sensitivity_THEsumPage (2)_1 FM_101_Examples_v7.31McIntire" xfId="720" xr:uid="{00000000-0005-0000-0000-0000F80A0000}"/>
    <cellStyle name="d_yield_Sensitivity_THEsumPage (2)_1 FM_101_Examples_v7.31McIntire_1 FM_101_Examples_TWO-Day_v7.31" xfId="721" xr:uid="{00000000-0005-0000-0000-0000F90A0000}"/>
    <cellStyle name="d_yield_Sensitivity_THEsumPage (2)_Val_1_Book_Lecture_Notes_v3.06" xfId="722" xr:uid="{00000000-0005-0000-0000-0000FA0A0000}"/>
    <cellStyle name="d_yield_Sensitivity_Val_1_Book_Lecture_Notes_v3.06" xfId="723" xr:uid="{00000000-0005-0000-0000-0000FB0A0000}"/>
    <cellStyle name="d_yield_show-hold" xfId="724" xr:uid="{00000000-0005-0000-0000-0000FC0A0000}"/>
    <cellStyle name="d_yield_show-hold_1 FM_101_Examples_v7.31McIntire" xfId="725" xr:uid="{00000000-0005-0000-0000-0000FD0A0000}"/>
    <cellStyle name="d_yield_show-hold_1 FM_101_Examples_v7.31McIntire_1 FM_101_Examples_TWO-Day_v7.31" xfId="726" xr:uid="{00000000-0005-0000-0000-0000FE0A0000}"/>
    <cellStyle name="d_yield_show-hold_CompSheet" xfId="727" xr:uid="{00000000-0005-0000-0000-0000FF0A0000}"/>
    <cellStyle name="d_yield_show-hold_CompSheet_1 FM_101_Examples_v7.31McIntire" xfId="728" xr:uid="{00000000-0005-0000-0000-0000000B0000}"/>
    <cellStyle name="d_yield_show-hold_CompSheet_1 FM_101_Examples_v7.31McIntire_1 FM_101_Examples_TWO-Day_v7.31" xfId="729" xr:uid="{00000000-0005-0000-0000-0000010B0000}"/>
    <cellStyle name="d_yield_show-hold_CompSheet_Val_1_Book_Lecture_Notes_v3.06" xfId="730" xr:uid="{00000000-0005-0000-0000-0000020B0000}"/>
    <cellStyle name="d_yield_show-hold_THEsumPage (2)" xfId="731" xr:uid="{00000000-0005-0000-0000-0000030B0000}"/>
    <cellStyle name="d_yield_show-hold_THEsumPage (2)_1 FM_101_Examples_v7.31McIntire" xfId="732" xr:uid="{00000000-0005-0000-0000-0000040B0000}"/>
    <cellStyle name="d_yield_show-hold_THEsumPage (2)_1 FM_101_Examples_v7.31McIntire_1 FM_101_Examples_TWO-Day_v7.31" xfId="733" xr:uid="{00000000-0005-0000-0000-0000050B0000}"/>
    <cellStyle name="d_yield_show-hold_THEsumPage (2)_Val_1_Book_Lecture_Notes_v3.06" xfId="734" xr:uid="{00000000-0005-0000-0000-0000060B0000}"/>
    <cellStyle name="d_yield_show-hold_Val_1_Book_Lecture_Notes_v3.06" xfId="735" xr:uid="{00000000-0005-0000-0000-0000070B0000}"/>
    <cellStyle name="d_yield_THEsumPage (2)" xfId="736" xr:uid="{00000000-0005-0000-0000-0000080B0000}"/>
    <cellStyle name="d_yield_THEsumPage (2)_LANCE_Model_v0.6.DCF.MASTER.Name" xfId="737" xr:uid="{00000000-0005-0000-0000-0000090B0000}"/>
    <cellStyle name="d_yield_THEsumPage (2)_LANCE_Model_v0.6.DCF.MASTER.Name_DCF &amp; Raios to CLX Tootsie_v1.33.xls" xfId="738" xr:uid="{00000000-0005-0000-0000-00000A0B0000}"/>
    <cellStyle name="d_yield_THEsumPage (2)_LANCE_Model_v0.6.DCF.MASTER.Name_Tootsie_TWO_DAY_TTS_Solution_v1.34" xfId="739" xr:uid="{00000000-0005-0000-0000-00000B0B0000}"/>
    <cellStyle name="d_yield_THEsumPage (2)_LANCE_Model_v0.6.DCF.MASTER.Name_Val_1_Book_Lecture_Notes_v3.06" xfId="740" xr:uid="{00000000-0005-0000-0000-00000C0B0000}"/>
    <cellStyle name="d_yield_THEsumPage (2)_Val_1_Book_Lecture_Notes_v3.06" xfId="741" xr:uid="{00000000-0005-0000-0000-00000D0B0000}"/>
    <cellStyle name="d_yield_Val_1_Book_Lecture_Notes_v3.06" xfId="742" xr:uid="{00000000-0005-0000-0000-00000E0B0000}"/>
    <cellStyle name="d_yield_Valuation summaries" xfId="743" xr:uid="{00000000-0005-0000-0000-00000F0B0000}"/>
    <cellStyle name="d_yield_Valuation summaries_LANCE_Model_v0.6.DCF.MASTER.Name" xfId="744" xr:uid="{00000000-0005-0000-0000-0000100B0000}"/>
    <cellStyle name="d_yield_Valuation summaries_LANCE_Model_v0.6.DCF.MASTER.Name_DCF &amp; Raios to CLX Tootsie_v1.33.xls" xfId="745" xr:uid="{00000000-0005-0000-0000-0000110B0000}"/>
    <cellStyle name="d_yield_Valuation summaries_LANCE_Model_v0.6.DCF.MASTER.Name_Tootsie_TWO_DAY_TTS_Solution_v1.34" xfId="746" xr:uid="{00000000-0005-0000-0000-0000120B0000}"/>
    <cellStyle name="d_yield_Valuation summaries_LANCE_Model_v0.6.DCF.MASTER.Name_Val_1_Book_Lecture_Notes_v3.06" xfId="747" xr:uid="{00000000-0005-0000-0000-0000130B0000}"/>
    <cellStyle name="d_yield_Valuation summaries_Val_1_Book_Lecture_Notes_v3.06" xfId="748" xr:uid="{00000000-0005-0000-0000-0000140B0000}"/>
    <cellStyle name="d_yield_WACC-CableCar" xfId="749" xr:uid="{00000000-0005-0000-0000-0000150B0000}"/>
    <cellStyle name="d_yield_WACC-CableCar_LANCE_Model_v0.6.DCF.MASTER.Name" xfId="750" xr:uid="{00000000-0005-0000-0000-0000160B0000}"/>
    <cellStyle name="d_yield_WACC-CableCar_LANCE_Model_v0.6.DCF.MASTER.Name_DCF &amp; Raios to CLX Tootsie_v1.33.xls" xfId="751" xr:uid="{00000000-0005-0000-0000-0000170B0000}"/>
    <cellStyle name="d_yield_WACC-CableCar_LANCE_Model_v0.6.DCF.MASTER.Name_Tootsie_TWO_DAY_TTS_Solution_v1.34" xfId="752" xr:uid="{00000000-0005-0000-0000-0000180B0000}"/>
    <cellStyle name="d_yield_WACC-CableCar_LANCE_Model_v0.6.DCF.MASTER.Name_Val_1_Book_Lecture_Notes_v3.06" xfId="753" xr:uid="{00000000-0005-0000-0000-0000190B0000}"/>
    <cellStyle name="d_yield_WACC-CableCar_THEsumPage (2)" xfId="754" xr:uid="{00000000-0005-0000-0000-00001A0B0000}"/>
    <cellStyle name="d_yield_WACC-CableCar_THEsumPage (2)_LANCE_Model_v0.6.DCF.MASTER.Name" xfId="755" xr:uid="{00000000-0005-0000-0000-00001B0B0000}"/>
    <cellStyle name="d_yield_WACC-CableCar_THEsumPage (2)_LANCE_Model_v0.6.DCF.MASTER.Name_DCF &amp; Raios to CLX Tootsie_v1.33.xls" xfId="756" xr:uid="{00000000-0005-0000-0000-00001C0B0000}"/>
    <cellStyle name="d_yield_WACC-CableCar_THEsumPage (2)_LANCE_Model_v0.6.DCF.MASTER.Name_Tootsie_TWO_DAY_TTS_Solution_v1.34" xfId="757" xr:uid="{00000000-0005-0000-0000-00001D0B0000}"/>
    <cellStyle name="d_yield_WACC-CableCar_THEsumPage (2)_LANCE_Model_v0.6.DCF.MASTER.Name_Val_1_Book_Lecture_Notes_v3.06" xfId="758" xr:uid="{00000000-0005-0000-0000-00001E0B0000}"/>
    <cellStyle name="d_yield_WACC-CableCar_THEsumPage (2)_Val_1_Book_Lecture_Notes_v3.06" xfId="759" xr:uid="{00000000-0005-0000-0000-00001F0B0000}"/>
    <cellStyle name="d_yield_WACC-CableCar_Val_1_Book_Lecture_Notes_v3.06" xfId="760" xr:uid="{00000000-0005-0000-0000-0000200B0000}"/>
    <cellStyle name="d_yield_WACC-RAD (2)" xfId="761" xr:uid="{00000000-0005-0000-0000-0000210B0000}"/>
    <cellStyle name="d_yield_WACC-RAD (2)_LANCE_Model_v0.6.DCF.MASTER.Name" xfId="762" xr:uid="{00000000-0005-0000-0000-0000220B0000}"/>
    <cellStyle name="d_yield_WACC-RAD (2)_LANCE_Model_v0.6.DCF.MASTER.Name_DCF &amp; Raios to CLX Tootsie_v1.33.xls" xfId="763" xr:uid="{00000000-0005-0000-0000-0000230B0000}"/>
    <cellStyle name="d_yield_WACC-RAD (2)_LANCE_Model_v0.6.DCF.MASTER.Name_Tootsie_TWO_DAY_TTS_Solution_v1.34" xfId="764" xr:uid="{00000000-0005-0000-0000-0000240B0000}"/>
    <cellStyle name="d_yield_WACC-RAD (2)_LANCE_Model_v0.6.DCF.MASTER.Name_Val_1_Book_Lecture_Notes_v3.06" xfId="765" xr:uid="{00000000-0005-0000-0000-0000250B0000}"/>
    <cellStyle name="d_yield_WACC-RAD (2)_THEsumPage (2)" xfId="766" xr:uid="{00000000-0005-0000-0000-0000260B0000}"/>
    <cellStyle name="d_yield_WACC-RAD (2)_THEsumPage (2)_LANCE_Model_v0.6.DCF.MASTER.Name" xfId="767" xr:uid="{00000000-0005-0000-0000-0000270B0000}"/>
    <cellStyle name="d_yield_WACC-RAD (2)_THEsumPage (2)_LANCE_Model_v0.6.DCF.MASTER.Name_DCF &amp; Raios to CLX Tootsie_v1.33.xls" xfId="768" xr:uid="{00000000-0005-0000-0000-0000280B0000}"/>
    <cellStyle name="d_yield_WACC-RAD (2)_THEsumPage (2)_LANCE_Model_v0.6.DCF.MASTER.Name_Tootsie_TWO_DAY_TTS_Solution_v1.34" xfId="769" xr:uid="{00000000-0005-0000-0000-0000290B0000}"/>
    <cellStyle name="d_yield_WACC-RAD (2)_THEsumPage (2)_LANCE_Model_v0.6.DCF.MASTER.Name_Val_1_Book_Lecture_Notes_v3.06" xfId="770" xr:uid="{00000000-0005-0000-0000-00002A0B0000}"/>
    <cellStyle name="d_yield_WACC-RAD (2)_THEsumPage (2)_Val_1_Book_Lecture_Notes_v3.06" xfId="771" xr:uid="{00000000-0005-0000-0000-00002B0B0000}"/>
    <cellStyle name="d_yield_WACC-RAD (2)_Val_1_Book_Lecture_Notes_v3.06" xfId="772" xr:uid="{00000000-0005-0000-0000-00002C0B0000}"/>
    <cellStyle name="Dash" xfId="773" xr:uid="{00000000-0005-0000-0000-00002D0B0000}"/>
    <cellStyle name="Dash 2" xfId="1875" xr:uid="{00000000-0005-0000-0000-00002E0B0000}"/>
    <cellStyle name="data" xfId="774" xr:uid="{00000000-0005-0000-0000-00002F0B0000}"/>
    <cellStyle name="Date" xfId="775" xr:uid="{00000000-0005-0000-0000-0000300B0000}"/>
    <cellStyle name="Date 2" xfId="1876" xr:uid="{00000000-0005-0000-0000-0000310B0000}"/>
    <cellStyle name="Date, mmm-yy" xfId="1877" xr:uid="{00000000-0005-0000-0000-0000320B0000}"/>
    <cellStyle name="Date, mmm-yy 2" xfId="11085" xr:uid="{00000000-0005-0000-0000-0000330B0000}"/>
    <cellStyle name="Date, mmm-yy 3" xfId="11098" xr:uid="{00000000-0005-0000-0000-0000340B0000}"/>
    <cellStyle name="D-No Decimal" xfId="1878" xr:uid="{00000000-0005-0000-0000-0000350B0000}"/>
    <cellStyle name="dollar" xfId="776" xr:uid="{00000000-0005-0000-0000-0000360B0000}"/>
    <cellStyle name="dollar[0]" xfId="777" xr:uid="{00000000-0005-0000-0000-0000370B0000}"/>
    <cellStyle name="dollar_MBA_Val_101_CAD_2009_BACKUP_v1.0_Draft_10" xfId="778" xr:uid="{00000000-0005-0000-0000-0000380B0000}"/>
    <cellStyle name="Dollars" xfId="779" xr:uid="{00000000-0005-0000-0000-0000390B0000}"/>
    <cellStyle name="Dollars []" xfId="780" xr:uid="{00000000-0005-0000-0000-00003A0B0000}"/>
    <cellStyle name="Dollars_Annotated_Templates_Hershey-2006_0.2" xfId="781" xr:uid="{00000000-0005-0000-0000-00003B0B0000}"/>
    <cellStyle name="En miles" xfId="1879" xr:uid="{00000000-0005-0000-0000-00003C0B0000}"/>
    <cellStyle name="En millones" xfId="1880" xr:uid="{00000000-0005-0000-0000-00003D0B0000}"/>
    <cellStyle name="Encabezado 4" xfId="1881" xr:uid="{00000000-0005-0000-0000-00003E0B0000}"/>
    <cellStyle name="Ênfase1" xfId="1882" xr:uid="{00000000-0005-0000-0000-00003F0B0000}"/>
    <cellStyle name="Ênfase2" xfId="1883" xr:uid="{00000000-0005-0000-0000-0000400B0000}"/>
    <cellStyle name="Ênfase3" xfId="1884" xr:uid="{00000000-0005-0000-0000-0000410B0000}"/>
    <cellStyle name="Ênfase4" xfId="1885" xr:uid="{00000000-0005-0000-0000-0000420B0000}"/>
    <cellStyle name="Ênfase5" xfId="1886" xr:uid="{00000000-0005-0000-0000-0000430B0000}"/>
    <cellStyle name="Ênfase6" xfId="1887" xr:uid="{00000000-0005-0000-0000-0000440B0000}"/>
    <cellStyle name="Énfasis1" xfId="1888" xr:uid="{00000000-0005-0000-0000-0000450B0000}"/>
    <cellStyle name="Énfasis2" xfId="1889" xr:uid="{00000000-0005-0000-0000-0000460B0000}"/>
    <cellStyle name="Énfasis3" xfId="1890" xr:uid="{00000000-0005-0000-0000-0000470B0000}"/>
    <cellStyle name="Énfasis4" xfId="1891" xr:uid="{00000000-0005-0000-0000-0000480B0000}"/>
    <cellStyle name="Énfasis5" xfId="1892" xr:uid="{00000000-0005-0000-0000-0000490B0000}"/>
    <cellStyle name="Énfasis6" xfId="1893" xr:uid="{00000000-0005-0000-0000-00004A0B0000}"/>
    <cellStyle name="Entered" xfId="361" xr:uid="{00000000-0005-0000-0000-00004B0B0000}"/>
    <cellStyle name="EnteredGrowth" xfId="362" xr:uid="{00000000-0005-0000-0000-00004C0B0000}"/>
    <cellStyle name="Entrada" xfId="1894" xr:uid="{00000000-0005-0000-0000-00004D0B0000}"/>
    <cellStyle name="Entrada 2" xfId="11086" xr:uid="{00000000-0005-0000-0000-00004E0B0000}"/>
    <cellStyle name="eps" xfId="782" xr:uid="{00000000-0005-0000-0000-00004F0B0000}"/>
    <cellStyle name="eps$" xfId="783" xr:uid="{00000000-0005-0000-0000-0000500B0000}"/>
    <cellStyle name="eps$A" xfId="784" xr:uid="{00000000-0005-0000-0000-0000510B0000}"/>
    <cellStyle name="eps$E" xfId="785" xr:uid="{00000000-0005-0000-0000-0000520B0000}"/>
    <cellStyle name="eps_1 FM_101_Examples_v7.31McIntire" xfId="786" xr:uid="{00000000-0005-0000-0000-0000530B0000}"/>
    <cellStyle name="epsA" xfId="787" xr:uid="{00000000-0005-0000-0000-0000540B0000}"/>
    <cellStyle name="epsE" xfId="788" xr:uid="{00000000-0005-0000-0000-0000550B0000}"/>
    <cellStyle name="Euro" xfId="789" xr:uid="{00000000-0005-0000-0000-0000560B0000}"/>
    <cellStyle name="Euro-" xfId="790" xr:uid="{00000000-0005-0000-0000-0000570B0000}"/>
    <cellStyle name="Euro 2" xfId="1895" xr:uid="{00000000-0005-0000-0000-0000580B0000}"/>
    <cellStyle name="Euro 3" xfId="2118" xr:uid="{00000000-0005-0000-0000-0000590B0000}"/>
    <cellStyle name="Euro 4" xfId="11087" xr:uid="{00000000-0005-0000-0000-00005A0B0000}"/>
    <cellStyle name="Euro 5" xfId="11097" xr:uid="{00000000-0005-0000-0000-00005B0B0000}"/>
    <cellStyle name="Explanatory Text" xfId="1753" builtinId="53" customBuiltin="1"/>
    <cellStyle name="Explanatory Text 10" xfId="11255" xr:uid="{00000000-0005-0000-0000-00005D0B0000}"/>
    <cellStyle name="Explanatory Text 11" xfId="11284" xr:uid="{00000000-0005-0000-0000-00005E0B0000}"/>
    <cellStyle name="Explanatory Text 12" xfId="11316" xr:uid="{00000000-0005-0000-0000-00005F0B0000}"/>
    <cellStyle name="Explanatory Text 13" xfId="11438" xr:uid="{00000000-0005-0000-0000-0000600B0000}"/>
    <cellStyle name="Explanatory Text 14" xfId="11436" xr:uid="{00000000-0005-0000-0000-0000610B0000}"/>
    <cellStyle name="Explanatory Text 15" xfId="11479" xr:uid="{00000000-0005-0000-0000-0000620B0000}"/>
    <cellStyle name="Explanatory Text 16" xfId="11339" xr:uid="{00000000-0005-0000-0000-0000630B0000}"/>
    <cellStyle name="Explanatory Text 17" xfId="11473" xr:uid="{00000000-0005-0000-0000-0000640B0000}"/>
    <cellStyle name="Explanatory Text 18" xfId="11347" xr:uid="{00000000-0005-0000-0000-0000650B0000}"/>
    <cellStyle name="Explanatory Text 19" xfId="11467" xr:uid="{00000000-0005-0000-0000-0000660B0000}"/>
    <cellStyle name="Explanatory Text 2" xfId="57" xr:uid="{00000000-0005-0000-0000-0000670B0000}"/>
    <cellStyle name="Explanatory Text 20" xfId="11353" xr:uid="{00000000-0005-0000-0000-0000680B0000}"/>
    <cellStyle name="Explanatory Text 21" xfId="11335" xr:uid="{00000000-0005-0000-0000-0000690B0000}"/>
    <cellStyle name="Explanatory Text 22" xfId="11477" xr:uid="{00000000-0005-0000-0000-00006A0B0000}"/>
    <cellStyle name="Explanatory Text 23" xfId="11342" xr:uid="{00000000-0005-0000-0000-00006B0B0000}"/>
    <cellStyle name="Explanatory Text 24" xfId="11470" xr:uid="{00000000-0005-0000-0000-00006C0B0000}"/>
    <cellStyle name="Explanatory Text 25" xfId="11350" xr:uid="{00000000-0005-0000-0000-00006D0B0000}"/>
    <cellStyle name="Explanatory Text 26" xfId="11465" xr:uid="{00000000-0005-0000-0000-00006E0B0000}"/>
    <cellStyle name="Explanatory Text 27" xfId="11355" xr:uid="{00000000-0005-0000-0000-00006F0B0000}"/>
    <cellStyle name="Explanatory Text 28" xfId="11462" xr:uid="{00000000-0005-0000-0000-0000700B0000}"/>
    <cellStyle name="Explanatory Text 29" xfId="11358" xr:uid="{00000000-0005-0000-0000-0000710B0000}"/>
    <cellStyle name="Explanatory Text 3" xfId="791" xr:uid="{00000000-0005-0000-0000-0000720B0000}"/>
    <cellStyle name="Explanatory Text 3 2" xfId="11139" xr:uid="{00000000-0005-0000-0000-0000730B0000}"/>
    <cellStyle name="Explanatory Text 30" xfId="11460" xr:uid="{00000000-0005-0000-0000-0000740B0000}"/>
    <cellStyle name="Explanatory Text 31" xfId="11498" xr:uid="{00000000-0005-0000-0000-0000750B0000}"/>
    <cellStyle name="Explanatory Text 32" xfId="11513" xr:uid="{00000000-0005-0000-0000-0000760B0000}"/>
    <cellStyle name="Explanatory Text 33" xfId="11530" xr:uid="{00000000-0005-0000-0000-0000770B0000}"/>
    <cellStyle name="Explanatory Text 34" xfId="19650" xr:uid="{00000000-0005-0000-0000-0000780B0000}"/>
    <cellStyle name="Explanatory Text 35" xfId="19667" xr:uid="{00000000-0005-0000-0000-0000790B0000}"/>
    <cellStyle name="Explanatory Text 36" xfId="19670" xr:uid="{00000000-0005-0000-0000-00007A0B0000}"/>
    <cellStyle name="Explanatory Text 37" xfId="19700" xr:uid="{00000000-0005-0000-0000-00007B0B0000}"/>
    <cellStyle name="Explanatory Text 38" xfId="19712" xr:uid="{00000000-0005-0000-0000-00007C0B0000}"/>
    <cellStyle name="Explanatory Text 39" xfId="19728" xr:uid="{00000000-0005-0000-0000-00007D0B0000}"/>
    <cellStyle name="Explanatory Text 4" xfId="11155" xr:uid="{00000000-0005-0000-0000-00007E0B0000}"/>
    <cellStyle name="Explanatory Text 40" xfId="19704" xr:uid="{00000000-0005-0000-0000-00007F0B0000}"/>
    <cellStyle name="Explanatory Text 41" xfId="19750" xr:uid="{00000000-0005-0000-0000-0000800B0000}"/>
    <cellStyle name="Explanatory Text 42" xfId="19779" xr:uid="{00000000-0005-0000-0000-0000810B0000}"/>
    <cellStyle name="Explanatory Text 43" xfId="19798" xr:uid="{00000000-0005-0000-0000-0000820B0000}"/>
    <cellStyle name="Explanatory Text 44" xfId="19911" xr:uid="{00000000-0005-0000-0000-0000830B0000}"/>
    <cellStyle name="Explanatory Text 45" xfId="19909" xr:uid="{00000000-0005-0000-0000-0000840B0000}"/>
    <cellStyle name="Explanatory Text 46" xfId="19949" xr:uid="{00000000-0005-0000-0000-0000850B0000}"/>
    <cellStyle name="Explanatory Text 47" xfId="19816" xr:uid="{00000000-0005-0000-0000-0000860B0000}"/>
    <cellStyle name="Explanatory Text 48" xfId="19944" xr:uid="{00000000-0005-0000-0000-0000870B0000}"/>
    <cellStyle name="Explanatory Text 49" xfId="19823" xr:uid="{00000000-0005-0000-0000-0000880B0000}"/>
    <cellStyle name="Explanatory Text 5" xfId="11169" xr:uid="{00000000-0005-0000-0000-0000890B0000}"/>
    <cellStyle name="Explanatory Text 50" xfId="19938" xr:uid="{00000000-0005-0000-0000-00008A0B0000}"/>
    <cellStyle name="Explanatory Text 51" xfId="19829" xr:uid="{00000000-0005-0000-0000-00008B0B0000}"/>
    <cellStyle name="Explanatory Text 52" xfId="19813" xr:uid="{00000000-0005-0000-0000-00008C0B0000}"/>
    <cellStyle name="Explanatory Text 53" xfId="19947" xr:uid="{00000000-0005-0000-0000-00008D0B0000}"/>
    <cellStyle name="Explanatory Text 54" xfId="19819" xr:uid="{00000000-0005-0000-0000-00008E0B0000}"/>
    <cellStyle name="Explanatory Text 55" xfId="19941" xr:uid="{00000000-0005-0000-0000-00008F0B0000}"/>
    <cellStyle name="Explanatory Text 56" xfId="19826" xr:uid="{00000000-0005-0000-0000-0000900B0000}"/>
    <cellStyle name="Explanatory Text 57" xfId="19936" xr:uid="{00000000-0005-0000-0000-0000910B0000}"/>
    <cellStyle name="Explanatory Text 58" xfId="19831" xr:uid="{00000000-0005-0000-0000-0000920B0000}"/>
    <cellStyle name="Explanatory Text 59" xfId="19933" xr:uid="{00000000-0005-0000-0000-0000930B0000}"/>
    <cellStyle name="Explanatory Text 6" xfId="11200" xr:uid="{00000000-0005-0000-0000-0000940B0000}"/>
    <cellStyle name="Explanatory Text 60" xfId="19834" xr:uid="{00000000-0005-0000-0000-0000950B0000}"/>
    <cellStyle name="Explanatory Text 61" xfId="19931" xr:uid="{00000000-0005-0000-0000-0000960B0000}"/>
    <cellStyle name="Explanatory Text 62" xfId="19967" xr:uid="{00000000-0005-0000-0000-0000970B0000}"/>
    <cellStyle name="Explanatory Text 63" xfId="19982" xr:uid="{00000000-0005-0000-0000-0000980B0000}"/>
    <cellStyle name="Explanatory Text 64" xfId="19998" xr:uid="{00000000-0005-0000-0000-0000990B0000}"/>
    <cellStyle name="Explanatory Text 7" xfId="11217" xr:uid="{00000000-0005-0000-0000-00009A0B0000}"/>
    <cellStyle name="Explanatory Text 8" xfId="11233" xr:uid="{00000000-0005-0000-0000-00009B0B0000}"/>
    <cellStyle name="Explanatory Text 9" xfId="11208" xr:uid="{00000000-0005-0000-0000-00009C0B0000}"/>
    <cellStyle name="ExternalFormula" xfId="792" xr:uid="{00000000-0005-0000-0000-00009D0B0000}"/>
    <cellStyle name="F2" xfId="1896" xr:uid="{00000000-0005-0000-0000-00009E0B0000}"/>
    <cellStyle name="F3" xfId="1897" xr:uid="{00000000-0005-0000-0000-00009F0B0000}"/>
    <cellStyle name="F4" xfId="1898" xr:uid="{00000000-0005-0000-0000-0000A00B0000}"/>
    <cellStyle name="F5" xfId="1899" xr:uid="{00000000-0005-0000-0000-0000A10B0000}"/>
    <cellStyle name="F6" xfId="1900" xr:uid="{00000000-0005-0000-0000-0000A20B0000}"/>
    <cellStyle name="F7" xfId="1901" xr:uid="{00000000-0005-0000-0000-0000A30B0000}"/>
    <cellStyle name="F8" xfId="1902" xr:uid="{00000000-0005-0000-0000-0000A40B0000}"/>
    <cellStyle name="facha" xfId="1903" xr:uid="{00000000-0005-0000-0000-0000A50B0000}"/>
    <cellStyle name="Fit" xfId="793" xr:uid="{00000000-0005-0000-0000-0000A60B0000}"/>
    <cellStyle name="Fixed" xfId="1904" xr:uid="{00000000-0005-0000-0000-0000A70B0000}"/>
    <cellStyle name="FontanaPh#" xfId="172" xr:uid="{00000000-0005-0000-0000-0000A80B0000}"/>
    <cellStyle name="Fraction Change" xfId="1905" xr:uid="{00000000-0005-0000-0000-0000A90B0000}"/>
    <cellStyle name="Fractions" xfId="1906" xr:uid="{00000000-0005-0000-0000-0000AA0B0000}"/>
    <cellStyle name="fy_eps$" xfId="794" xr:uid="{00000000-0005-0000-0000-0000AB0B0000}"/>
    <cellStyle name="g_rate" xfId="795" xr:uid="{00000000-0005-0000-0000-0000AC0B0000}"/>
    <cellStyle name="g_rate_1 FM_101_Examples_v7.31McIntire" xfId="796" xr:uid="{00000000-0005-0000-0000-0000AD0B0000}"/>
    <cellStyle name="g_rate_1 FM_101_Examples_v7.31McIntire_1 FM_101_Examples_TWO-Day_v7.31" xfId="797" xr:uid="{00000000-0005-0000-0000-0000AE0B0000}"/>
    <cellStyle name="g_rate_AVP" xfId="798" xr:uid="{00000000-0005-0000-0000-0000AF0B0000}"/>
    <cellStyle name="g_rate_AVP_1 FM_101_Examples_v7.31McIntire" xfId="799" xr:uid="{00000000-0005-0000-0000-0000B00B0000}"/>
    <cellStyle name="g_rate_AVP_1 FM_101_Examples_v7.31McIntire_1 FM_101_Examples_TWO-Day_v7.31" xfId="800" xr:uid="{00000000-0005-0000-0000-0000B10B0000}"/>
    <cellStyle name="g_rate_AVP_Graphic Depiction - NO DEV" xfId="801" xr:uid="{00000000-0005-0000-0000-0000B20B0000}"/>
    <cellStyle name="g_rate_AVP_Graphic Depiction - NO DEV_1 FM_101_Examples_v7.31McIntire" xfId="802" xr:uid="{00000000-0005-0000-0000-0000B30B0000}"/>
    <cellStyle name="g_rate_AVP_Graphic Depiction - NO DEV_1 FM_101_Examples_v7.31McIntire_1 FM_101_Examples_TWO-Day_v7.31" xfId="803" xr:uid="{00000000-0005-0000-0000-0000B40B0000}"/>
    <cellStyle name="g_rate_AVP_Graphic Depiction - NO DEV_Val_1_Book_Lecture_Notes_v3.06" xfId="804" xr:uid="{00000000-0005-0000-0000-0000B50B0000}"/>
    <cellStyle name="g_rate_AVP_THEsumPage (2)" xfId="805" xr:uid="{00000000-0005-0000-0000-0000B60B0000}"/>
    <cellStyle name="g_rate_AVP_THEsumPage (2)_1 FM_101_Examples_v7.31McIntire" xfId="806" xr:uid="{00000000-0005-0000-0000-0000B70B0000}"/>
    <cellStyle name="g_rate_AVP_THEsumPage (2)_1 FM_101_Examples_v7.31McIntire_1 FM_101_Examples_TWO-Day_v7.31" xfId="807" xr:uid="{00000000-0005-0000-0000-0000B80B0000}"/>
    <cellStyle name="g_rate_AVP_THEsumPage (2)_Val_1_Book_Lecture_Notes_v3.06" xfId="808" xr:uid="{00000000-0005-0000-0000-0000B90B0000}"/>
    <cellStyle name="g_rate_AVP_Val_1_Book_Lecture_Notes_v3.06" xfId="809" xr:uid="{00000000-0005-0000-0000-0000BA0B0000}"/>
    <cellStyle name="g_rate_CompSheet" xfId="810" xr:uid="{00000000-0005-0000-0000-0000BB0B0000}"/>
    <cellStyle name="g_rate_CompSheet_LANCE_Model_v0.6.DCF.MASTER.Name" xfId="811" xr:uid="{00000000-0005-0000-0000-0000BC0B0000}"/>
    <cellStyle name="g_rate_CompSheet_LANCE_Model_v0.6.DCF.MASTER.Name_DCF &amp; Raios to CLX Tootsie_v1.33.xls" xfId="812" xr:uid="{00000000-0005-0000-0000-0000BD0B0000}"/>
    <cellStyle name="g_rate_CompSheet_LANCE_Model_v0.6.DCF.MASTER.Name_Tootsie_TWO_DAY_TTS_Solution_v1.34" xfId="813" xr:uid="{00000000-0005-0000-0000-0000BE0B0000}"/>
    <cellStyle name="g_rate_CompSheet_LANCE_Model_v0.6.DCF.MASTER.Name_Val_1_Book_Lecture_Notes_v3.06" xfId="814" xr:uid="{00000000-0005-0000-0000-0000BF0B0000}"/>
    <cellStyle name="g_rate_CompSheet_Val_1_Book_Lecture_Notes_v3.06" xfId="815" xr:uid="{00000000-0005-0000-0000-0000C00B0000}"/>
    <cellStyle name="g_rate_Disc Analysis" xfId="816" xr:uid="{00000000-0005-0000-0000-0000C10B0000}"/>
    <cellStyle name="g_rate_Disc Analysis_1 FM_101_Examples_v7.31McIntire" xfId="817" xr:uid="{00000000-0005-0000-0000-0000C20B0000}"/>
    <cellStyle name="g_rate_Disc Analysis_1 FM_101_Examples_v7.31McIntire_1 FM_101_Examples_TWO-Day_v7.31" xfId="818" xr:uid="{00000000-0005-0000-0000-0000C30B0000}"/>
    <cellStyle name="g_rate_Disc Analysis_CompSheet" xfId="819" xr:uid="{00000000-0005-0000-0000-0000C40B0000}"/>
    <cellStyle name="g_rate_Disc Analysis_CompSheet_1 FM_101_Examples_v7.31McIntire" xfId="820" xr:uid="{00000000-0005-0000-0000-0000C50B0000}"/>
    <cellStyle name="g_rate_Disc Analysis_CompSheet_1 FM_101_Examples_v7.31McIntire_1 FM_101_Examples_TWO-Day_v7.31" xfId="821" xr:uid="{00000000-0005-0000-0000-0000C60B0000}"/>
    <cellStyle name="g_rate_Disc Analysis_CompSheet_Val_1_Book_Lecture_Notes_v3.06" xfId="822" xr:uid="{00000000-0005-0000-0000-0000C70B0000}"/>
    <cellStyle name="g_rate_Disc Analysis_THEsumPage (2)" xfId="823" xr:uid="{00000000-0005-0000-0000-0000C80B0000}"/>
    <cellStyle name="g_rate_Disc Analysis_THEsumPage (2)_1 FM_101_Examples_v7.31McIntire" xfId="824" xr:uid="{00000000-0005-0000-0000-0000C90B0000}"/>
    <cellStyle name="g_rate_Disc Analysis_THEsumPage (2)_1 FM_101_Examples_v7.31McIntire_1 FM_101_Examples_TWO-Day_v7.31" xfId="825" xr:uid="{00000000-0005-0000-0000-0000CA0B0000}"/>
    <cellStyle name="g_rate_Disc Analysis_THEsumPage (2)_Val_1_Book_Lecture_Notes_v3.06" xfId="826" xr:uid="{00000000-0005-0000-0000-0000CB0B0000}"/>
    <cellStyle name="g_rate_Disc Analysis_Val_1_Book_Lecture_Notes_v3.06" xfId="827" xr:uid="{00000000-0005-0000-0000-0000CC0B0000}"/>
    <cellStyle name="g_rate_Fairness Opinion Valuation 4-23a.xls Chart 1" xfId="828" xr:uid="{00000000-0005-0000-0000-0000CD0B0000}"/>
    <cellStyle name="g_rate_Fairness Opinion Valuation 4-23a.xls Chart 1_LANCE_Model_v0.6.DCF.MASTER.Name" xfId="829" xr:uid="{00000000-0005-0000-0000-0000CE0B0000}"/>
    <cellStyle name="g_rate_Fairness Opinion Valuation 4-23a.xls Chart 1_LANCE_Model_v0.6.DCF.MASTER.Name_DCF &amp; Raios to CLX Tootsie_v1.33.xls" xfId="830" xr:uid="{00000000-0005-0000-0000-0000CF0B0000}"/>
    <cellStyle name="g_rate_Fairness Opinion Valuation 4-23a.xls Chart 1_LANCE_Model_v0.6.DCF.MASTER.Name_Tootsie_TWO_DAY_TTS_Solution_v1.34" xfId="831" xr:uid="{00000000-0005-0000-0000-0000D00B0000}"/>
    <cellStyle name="g_rate_Fairness Opinion Valuation 4-23a.xls Chart 1_LANCE_Model_v0.6.DCF.MASTER.Name_Val_1_Book_Lecture_Notes_v3.06" xfId="832" xr:uid="{00000000-0005-0000-0000-0000D10B0000}"/>
    <cellStyle name="g_rate_Fairness Opinion Valuation 4-23a.xls Chart 1_Val_1_Book_Lecture_Notes_v3.06" xfId="833" xr:uid="{00000000-0005-0000-0000-0000D20B0000}"/>
    <cellStyle name="g_rate_LP Chart" xfId="834" xr:uid="{00000000-0005-0000-0000-0000D30B0000}"/>
    <cellStyle name="g_rate_LP Chart_THEsumPage (2)" xfId="835" xr:uid="{00000000-0005-0000-0000-0000D40B0000}"/>
    <cellStyle name="g_rate_LP Chart_THEsumPage (2)_Val_1_Book_Lecture_Notes_v3.06" xfId="836" xr:uid="{00000000-0005-0000-0000-0000D50B0000}"/>
    <cellStyle name="g_rate_LP Chart_Val_1_Book_Lecture_Notes_v3.06" xfId="837" xr:uid="{00000000-0005-0000-0000-0000D60B0000}"/>
    <cellStyle name="g_rate_Merg Cons" xfId="838" xr:uid="{00000000-0005-0000-0000-0000D70B0000}"/>
    <cellStyle name="g_rate_Merg Cons_1 FM_101_Examples_v7.31McIntire" xfId="839" xr:uid="{00000000-0005-0000-0000-0000D80B0000}"/>
    <cellStyle name="g_rate_Merg Cons_1 FM_101_Examples_v7.31McIntire_1 FM_101_Examples_TWO-Day_v7.31" xfId="840" xr:uid="{00000000-0005-0000-0000-0000D90B0000}"/>
    <cellStyle name="g_rate_Merg Cons_CompSheet" xfId="841" xr:uid="{00000000-0005-0000-0000-0000DA0B0000}"/>
    <cellStyle name="g_rate_Merg Cons_CompSheet_1 FM_101_Examples_v7.31McIntire" xfId="842" xr:uid="{00000000-0005-0000-0000-0000DB0B0000}"/>
    <cellStyle name="g_rate_Merg Cons_CompSheet_1 FM_101_Examples_v7.31McIntire_1 FM_101_Examples_TWO-Day_v7.31" xfId="843" xr:uid="{00000000-0005-0000-0000-0000DC0B0000}"/>
    <cellStyle name="g_rate_Merg Cons_CompSheet_Val_1_Book_Lecture_Notes_v3.06" xfId="844" xr:uid="{00000000-0005-0000-0000-0000DD0B0000}"/>
    <cellStyle name="g_rate_Merg Cons_THEsumPage (2)" xfId="845" xr:uid="{00000000-0005-0000-0000-0000DE0B0000}"/>
    <cellStyle name="g_rate_Merg Cons_THEsumPage (2)_1 FM_101_Examples_v7.31McIntire" xfId="846" xr:uid="{00000000-0005-0000-0000-0000DF0B0000}"/>
    <cellStyle name="g_rate_Merg Cons_THEsumPage (2)_1 FM_101_Examples_v7.31McIntire_1 FM_101_Examples_TWO-Day_v7.31" xfId="847" xr:uid="{00000000-0005-0000-0000-0000E00B0000}"/>
    <cellStyle name="g_rate_Merg Cons_THEsumPage (2)_Val_1_Book_Lecture_Notes_v3.06" xfId="848" xr:uid="{00000000-0005-0000-0000-0000E10B0000}"/>
    <cellStyle name="g_rate_Merg Cons_Val_1_Book_Lecture_Notes_v3.06" xfId="849" xr:uid="{00000000-0005-0000-0000-0000E20B0000}"/>
    <cellStyle name="g_rate_PowerValuation.xls Chart 21" xfId="850" xr:uid="{00000000-0005-0000-0000-0000E30B0000}"/>
    <cellStyle name="g_rate_PowerValuation.xls Chart 21_LANCE_Model_v0.6.DCF.MASTER.Name" xfId="851" xr:uid="{00000000-0005-0000-0000-0000E40B0000}"/>
    <cellStyle name="g_rate_PowerValuation.xls Chart 21_LANCE_Model_v0.6.DCF.MASTER.Name_DCF &amp; Raios to CLX Tootsie_v1.33.xls" xfId="852" xr:uid="{00000000-0005-0000-0000-0000E50B0000}"/>
    <cellStyle name="g_rate_PowerValuation.xls Chart 21_LANCE_Model_v0.6.DCF.MASTER.Name_Tootsie_TWO_DAY_TTS_Solution_v1.34" xfId="853" xr:uid="{00000000-0005-0000-0000-0000E60B0000}"/>
    <cellStyle name="g_rate_PowerValuation.xls Chart 21_LANCE_Model_v0.6.DCF.MASTER.Name_Val_1_Book_Lecture_Notes_v3.06" xfId="854" xr:uid="{00000000-0005-0000-0000-0000E70B0000}"/>
    <cellStyle name="g_rate_PowerValuation.xls Chart 21_Val_1_Book_Lecture_Notes_v3.06" xfId="855" xr:uid="{00000000-0005-0000-0000-0000E80B0000}"/>
    <cellStyle name="g_rate_PowerValuation.xls Chart 28" xfId="856" xr:uid="{00000000-0005-0000-0000-0000E90B0000}"/>
    <cellStyle name="g_rate_PowerValuation.xls Chart 28_LANCE_Model_v0.6.DCF.MASTER.Name" xfId="857" xr:uid="{00000000-0005-0000-0000-0000EA0B0000}"/>
    <cellStyle name="g_rate_PowerValuation.xls Chart 28_LANCE_Model_v0.6.DCF.MASTER.Name_DCF &amp; Raios to CLX Tootsie_v1.33.xls" xfId="858" xr:uid="{00000000-0005-0000-0000-0000EB0B0000}"/>
    <cellStyle name="g_rate_PowerValuation.xls Chart 28_LANCE_Model_v0.6.DCF.MASTER.Name_Tootsie_TWO_DAY_TTS_Solution_v1.34" xfId="859" xr:uid="{00000000-0005-0000-0000-0000EC0B0000}"/>
    <cellStyle name="g_rate_PowerValuation.xls Chart 28_LANCE_Model_v0.6.DCF.MASTER.Name_Val_1_Book_Lecture_Notes_v3.06" xfId="860" xr:uid="{00000000-0005-0000-0000-0000ED0B0000}"/>
    <cellStyle name="g_rate_PowerValuation.xls Chart 28_Val_1_Book_Lecture_Notes_v3.06" xfId="861" xr:uid="{00000000-0005-0000-0000-0000EE0B0000}"/>
    <cellStyle name="g_rate_Proj10" xfId="862" xr:uid="{00000000-0005-0000-0000-0000EF0B0000}"/>
    <cellStyle name="g_rate_Proj10_1 FM_101_Examples_v7.31McIntire" xfId="863" xr:uid="{00000000-0005-0000-0000-0000F00B0000}"/>
    <cellStyle name="g_rate_Proj10_1 FM_101_Examples_v7.31McIntire_1 FM_101_Examples_TWO-Day_v7.31" xfId="864" xr:uid="{00000000-0005-0000-0000-0000F10B0000}"/>
    <cellStyle name="g_rate_Proj10_AVP" xfId="865" xr:uid="{00000000-0005-0000-0000-0000F20B0000}"/>
    <cellStyle name="g_rate_Proj10_AVP_1 FM_101_Examples_v7.31McIntire" xfId="866" xr:uid="{00000000-0005-0000-0000-0000F30B0000}"/>
    <cellStyle name="g_rate_Proj10_AVP_1 FM_101_Examples_v7.31McIntire_1 FM_101_Examples_TWO-Day_v7.31" xfId="867" xr:uid="{00000000-0005-0000-0000-0000F40B0000}"/>
    <cellStyle name="g_rate_Proj10_AVP_Graphic Depiction - NO DEV" xfId="868" xr:uid="{00000000-0005-0000-0000-0000F50B0000}"/>
    <cellStyle name="g_rate_Proj10_AVP_Graphic Depiction - NO DEV_1 FM_101_Examples_v7.31McIntire" xfId="869" xr:uid="{00000000-0005-0000-0000-0000F60B0000}"/>
    <cellStyle name="g_rate_Proj10_AVP_Graphic Depiction - NO DEV_1 FM_101_Examples_v7.31McIntire_1 FM_101_Examples_TWO-Day_v7.31" xfId="870" xr:uid="{00000000-0005-0000-0000-0000F70B0000}"/>
    <cellStyle name="g_rate_Proj10_AVP_Graphic Depiction - NO DEV_Val_1_Book_Lecture_Notes_v3.06" xfId="871" xr:uid="{00000000-0005-0000-0000-0000F80B0000}"/>
    <cellStyle name="g_rate_Proj10_AVP_THEsumPage (2)" xfId="872" xr:uid="{00000000-0005-0000-0000-0000F90B0000}"/>
    <cellStyle name="g_rate_Proj10_AVP_THEsumPage (2)_1 FM_101_Examples_v7.31McIntire" xfId="873" xr:uid="{00000000-0005-0000-0000-0000FA0B0000}"/>
    <cellStyle name="g_rate_Proj10_AVP_THEsumPage (2)_1 FM_101_Examples_v7.31McIntire_1 FM_101_Examples_TWO-Day_v7.31" xfId="874" xr:uid="{00000000-0005-0000-0000-0000FB0B0000}"/>
    <cellStyle name="g_rate_Proj10_AVP_THEsumPage (2)_Val_1_Book_Lecture_Notes_v3.06" xfId="875" xr:uid="{00000000-0005-0000-0000-0000FC0B0000}"/>
    <cellStyle name="g_rate_Proj10_AVP_Val_1_Book_Lecture_Notes_v3.06" xfId="876" xr:uid="{00000000-0005-0000-0000-0000FD0B0000}"/>
    <cellStyle name="g_rate_Proj10_CompSheet" xfId="877" xr:uid="{00000000-0005-0000-0000-0000FE0B0000}"/>
    <cellStyle name="g_rate_Proj10_CompSheet_LANCE_Model_v0.6.DCF.MASTER.Name" xfId="878" xr:uid="{00000000-0005-0000-0000-0000FF0B0000}"/>
    <cellStyle name="g_rate_Proj10_CompSheet_LANCE_Model_v0.6.DCF.MASTER.Name_DCF &amp; Raios to CLX Tootsie_v1.33.xls" xfId="879" xr:uid="{00000000-0005-0000-0000-0000000C0000}"/>
    <cellStyle name="g_rate_Proj10_CompSheet_LANCE_Model_v0.6.DCF.MASTER.Name_Tootsie_TWO_DAY_TTS_Solution_v1.34" xfId="880" xr:uid="{00000000-0005-0000-0000-0000010C0000}"/>
    <cellStyle name="g_rate_Proj10_CompSheet_LANCE_Model_v0.6.DCF.MASTER.Name_Val_1_Book_Lecture_Notes_v3.06" xfId="881" xr:uid="{00000000-0005-0000-0000-0000020C0000}"/>
    <cellStyle name="g_rate_Proj10_CompSheet_Val_1_Book_Lecture_Notes_v3.06" xfId="882" xr:uid="{00000000-0005-0000-0000-0000030C0000}"/>
    <cellStyle name="g_rate_Proj10_Disc Analysis" xfId="883" xr:uid="{00000000-0005-0000-0000-0000040C0000}"/>
    <cellStyle name="g_rate_Proj10_Disc Analysis_1 FM_101_Examples_v7.31McIntire" xfId="884" xr:uid="{00000000-0005-0000-0000-0000050C0000}"/>
    <cellStyle name="g_rate_Proj10_Disc Analysis_1 FM_101_Examples_v7.31McIntire_1 FM_101_Examples_TWO-Day_v7.31" xfId="885" xr:uid="{00000000-0005-0000-0000-0000060C0000}"/>
    <cellStyle name="g_rate_Proj10_Disc Analysis_CompSheet" xfId="886" xr:uid="{00000000-0005-0000-0000-0000070C0000}"/>
    <cellStyle name="g_rate_Proj10_Disc Analysis_CompSheet_1 FM_101_Examples_v7.31McIntire" xfId="887" xr:uid="{00000000-0005-0000-0000-0000080C0000}"/>
    <cellStyle name="g_rate_Proj10_Disc Analysis_CompSheet_1 FM_101_Examples_v7.31McIntire_1 FM_101_Examples_TWO-Day_v7.31" xfId="888" xr:uid="{00000000-0005-0000-0000-0000090C0000}"/>
    <cellStyle name="g_rate_Proj10_Disc Analysis_CompSheet_Val_1_Book_Lecture_Notes_v3.06" xfId="889" xr:uid="{00000000-0005-0000-0000-00000A0C0000}"/>
    <cellStyle name="g_rate_Proj10_Disc Analysis_THEsumPage (2)" xfId="890" xr:uid="{00000000-0005-0000-0000-00000B0C0000}"/>
    <cellStyle name="g_rate_Proj10_Disc Analysis_THEsumPage (2)_1 FM_101_Examples_v7.31McIntire" xfId="891" xr:uid="{00000000-0005-0000-0000-00000C0C0000}"/>
    <cellStyle name="g_rate_Proj10_Disc Analysis_THEsumPage (2)_1 FM_101_Examples_v7.31McIntire_1 FM_101_Examples_TWO-Day_v7.31" xfId="892" xr:uid="{00000000-0005-0000-0000-00000D0C0000}"/>
    <cellStyle name="g_rate_Proj10_Disc Analysis_THEsumPage (2)_Val_1_Book_Lecture_Notes_v3.06" xfId="893" xr:uid="{00000000-0005-0000-0000-00000E0C0000}"/>
    <cellStyle name="g_rate_Proj10_Disc Analysis_Val_1_Book_Lecture_Notes_v3.06" xfId="894" xr:uid="{00000000-0005-0000-0000-00000F0C0000}"/>
    <cellStyle name="g_rate_Proj10_Fairness Opinion Valuation 4-23a.xls Chart 1" xfId="895" xr:uid="{00000000-0005-0000-0000-0000100C0000}"/>
    <cellStyle name="g_rate_Proj10_Fairness Opinion Valuation 4-23a.xls Chart 1_LANCE_Model_v0.6.DCF.MASTER.Name" xfId="896" xr:uid="{00000000-0005-0000-0000-0000110C0000}"/>
    <cellStyle name="g_rate_Proj10_Fairness Opinion Valuation 4-23a.xls Chart 1_LANCE_Model_v0.6.DCF.MASTER.Name_DCF &amp; Raios to CLX Tootsie_v1.33.xls" xfId="897" xr:uid="{00000000-0005-0000-0000-0000120C0000}"/>
    <cellStyle name="g_rate_Proj10_Fairness Opinion Valuation 4-23a.xls Chart 1_LANCE_Model_v0.6.DCF.MASTER.Name_Tootsie_TWO_DAY_TTS_Solution_v1.34" xfId="898" xr:uid="{00000000-0005-0000-0000-0000130C0000}"/>
    <cellStyle name="g_rate_Proj10_Fairness Opinion Valuation 4-23a.xls Chart 1_LANCE_Model_v0.6.DCF.MASTER.Name_Val_1_Book_Lecture_Notes_v3.06" xfId="899" xr:uid="{00000000-0005-0000-0000-0000140C0000}"/>
    <cellStyle name="g_rate_Proj10_Fairness Opinion Valuation 4-23a.xls Chart 1_Val_1_Book_Lecture_Notes_v3.06" xfId="900" xr:uid="{00000000-0005-0000-0000-0000150C0000}"/>
    <cellStyle name="g_rate_Proj10_LP Chart" xfId="901" xr:uid="{00000000-0005-0000-0000-0000160C0000}"/>
    <cellStyle name="g_rate_Proj10_LP Chart_THEsumPage (2)" xfId="902" xr:uid="{00000000-0005-0000-0000-0000170C0000}"/>
    <cellStyle name="g_rate_Proj10_LP Chart_THEsumPage (2)_Val_1_Book_Lecture_Notes_v3.06" xfId="903" xr:uid="{00000000-0005-0000-0000-0000180C0000}"/>
    <cellStyle name="g_rate_Proj10_LP Chart_Val_1_Book_Lecture_Notes_v3.06" xfId="904" xr:uid="{00000000-0005-0000-0000-0000190C0000}"/>
    <cellStyle name="g_rate_Proj10_Merg Cons" xfId="905" xr:uid="{00000000-0005-0000-0000-00001A0C0000}"/>
    <cellStyle name="g_rate_Proj10_Merg Cons_1 FM_101_Examples_v7.31McIntire" xfId="906" xr:uid="{00000000-0005-0000-0000-00001B0C0000}"/>
    <cellStyle name="g_rate_Proj10_Merg Cons_1 FM_101_Examples_v7.31McIntire_1 FM_101_Examples_TWO-Day_v7.31" xfId="907" xr:uid="{00000000-0005-0000-0000-00001C0C0000}"/>
    <cellStyle name="g_rate_Proj10_Merg Cons_CompSheet" xfId="908" xr:uid="{00000000-0005-0000-0000-00001D0C0000}"/>
    <cellStyle name="g_rate_Proj10_Merg Cons_CompSheet_1 FM_101_Examples_v7.31McIntire" xfId="909" xr:uid="{00000000-0005-0000-0000-00001E0C0000}"/>
    <cellStyle name="g_rate_Proj10_Merg Cons_CompSheet_1 FM_101_Examples_v7.31McIntire_1 FM_101_Examples_TWO-Day_v7.31" xfId="910" xr:uid="{00000000-0005-0000-0000-00001F0C0000}"/>
    <cellStyle name="g_rate_Proj10_Merg Cons_CompSheet_Val_1_Book_Lecture_Notes_v3.06" xfId="911" xr:uid="{00000000-0005-0000-0000-0000200C0000}"/>
    <cellStyle name="g_rate_Proj10_Merg Cons_THEsumPage (2)" xfId="912" xr:uid="{00000000-0005-0000-0000-0000210C0000}"/>
    <cellStyle name="g_rate_Proj10_Merg Cons_THEsumPage (2)_1 FM_101_Examples_v7.31McIntire" xfId="913" xr:uid="{00000000-0005-0000-0000-0000220C0000}"/>
    <cellStyle name="g_rate_Proj10_Merg Cons_THEsumPage (2)_1 FM_101_Examples_v7.31McIntire_1 FM_101_Examples_TWO-Day_v7.31" xfId="914" xr:uid="{00000000-0005-0000-0000-0000230C0000}"/>
    <cellStyle name="g_rate_Proj10_Merg Cons_THEsumPage (2)_Val_1_Book_Lecture_Notes_v3.06" xfId="915" xr:uid="{00000000-0005-0000-0000-0000240C0000}"/>
    <cellStyle name="g_rate_Proj10_Merg Cons_Val_1_Book_Lecture_Notes_v3.06" xfId="916" xr:uid="{00000000-0005-0000-0000-0000250C0000}"/>
    <cellStyle name="g_rate_Proj10_PowerValuation.xls Chart 21" xfId="917" xr:uid="{00000000-0005-0000-0000-0000260C0000}"/>
    <cellStyle name="g_rate_Proj10_PowerValuation.xls Chart 21_LANCE_Model_v0.6.DCF.MASTER.Name" xfId="918" xr:uid="{00000000-0005-0000-0000-0000270C0000}"/>
    <cellStyle name="g_rate_Proj10_PowerValuation.xls Chart 21_LANCE_Model_v0.6.DCF.MASTER.Name_DCF &amp; Raios to CLX Tootsie_v1.33.xls" xfId="919" xr:uid="{00000000-0005-0000-0000-0000280C0000}"/>
    <cellStyle name="g_rate_Proj10_PowerValuation.xls Chart 21_LANCE_Model_v0.6.DCF.MASTER.Name_Tootsie_TWO_DAY_TTS_Solution_v1.34" xfId="920" xr:uid="{00000000-0005-0000-0000-0000290C0000}"/>
    <cellStyle name="g_rate_Proj10_PowerValuation.xls Chart 21_LANCE_Model_v0.6.DCF.MASTER.Name_Val_1_Book_Lecture_Notes_v3.06" xfId="921" xr:uid="{00000000-0005-0000-0000-00002A0C0000}"/>
    <cellStyle name="g_rate_Proj10_PowerValuation.xls Chart 21_Val_1_Book_Lecture_Notes_v3.06" xfId="922" xr:uid="{00000000-0005-0000-0000-00002B0C0000}"/>
    <cellStyle name="g_rate_Proj10_PowerValuation.xls Chart 28" xfId="923" xr:uid="{00000000-0005-0000-0000-00002C0C0000}"/>
    <cellStyle name="g_rate_Proj10_PowerValuation.xls Chart 28_LANCE_Model_v0.6.DCF.MASTER.Name" xfId="924" xr:uid="{00000000-0005-0000-0000-00002D0C0000}"/>
    <cellStyle name="g_rate_Proj10_PowerValuation.xls Chart 28_LANCE_Model_v0.6.DCF.MASTER.Name_DCF &amp; Raios to CLX Tootsie_v1.33.xls" xfId="925" xr:uid="{00000000-0005-0000-0000-00002E0C0000}"/>
    <cellStyle name="g_rate_Proj10_PowerValuation.xls Chart 28_LANCE_Model_v0.6.DCF.MASTER.Name_Tootsie_TWO_DAY_TTS_Solution_v1.34" xfId="926" xr:uid="{00000000-0005-0000-0000-00002F0C0000}"/>
    <cellStyle name="g_rate_Proj10_PowerValuation.xls Chart 28_LANCE_Model_v0.6.DCF.MASTER.Name_Val_1_Book_Lecture_Notes_v3.06" xfId="927" xr:uid="{00000000-0005-0000-0000-0000300C0000}"/>
    <cellStyle name="g_rate_Proj10_PowerValuation.xls Chart 28_Val_1_Book_Lecture_Notes_v3.06" xfId="928" xr:uid="{00000000-0005-0000-0000-0000310C0000}"/>
    <cellStyle name="g_rate_Proj10_Sensitivity" xfId="929" xr:uid="{00000000-0005-0000-0000-0000320C0000}"/>
    <cellStyle name="g_rate_Proj10_Sensitivity_1 FM_101_Examples_v7.31McIntire" xfId="930" xr:uid="{00000000-0005-0000-0000-0000330C0000}"/>
    <cellStyle name="g_rate_Proj10_Sensitivity_1 FM_101_Examples_v7.31McIntire_1 FM_101_Examples_TWO-Day_v7.31" xfId="931" xr:uid="{00000000-0005-0000-0000-0000340C0000}"/>
    <cellStyle name="g_rate_Proj10_Sensitivity_CompSheet" xfId="932" xr:uid="{00000000-0005-0000-0000-0000350C0000}"/>
    <cellStyle name="g_rate_Proj10_Sensitivity_CompSheet_1 FM_101_Examples_v7.31McIntire" xfId="933" xr:uid="{00000000-0005-0000-0000-0000360C0000}"/>
    <cellStyle name="g_rate_Proj10_Sensitivity_CompSheet_1 FM_101_Examples_v7.31McIntire_1 FM_101_Examples_TWO-Day_v7.31" xfId="934" xr:uid="{00000000-0005-0000-0000-0000370C0000}"/>
    <cellStyle name="g_rate_Proj10_Sensitivity_CompSheet_Val_1_Book_Lecture_Notes_v3.06" xfId="935" xr:uid="{00000000-0005-0000-0000-0000380C0000}"/>
    <cellStyle name="g_rate_Proj10_Sensitivity_THEsumPage (2)" xfId="936" xr:uid="{00000000-0005-0000-0000-0000390C0000}"/>
    <cellStyle name="g_rate_Proj10_Sensitivity_THEsumPage (2)_1 FM_101_Examples_v7.31McIntire" xfId="937" xr:uid="{00000000-0005-0000-0000-00003A0C0000}"/>
    <cellStyle name="g_rate_Proj10_Sensitivity_THEsumPage (2)_1 FM_101_Examples_v7.31McIntire_1 FM_101_Examples_TWO-Day_v7.31" xfId="938" xr:uid="{00000000-0005-0000-0000-00003B0C0000}"/>
    <cellStyle name="g_rate_Proj10_Sensitivity_THEsumPage (2)_Val_1_Book_Lecture_Notes_v3.06" xfId="939" xr:uid="{00000000-0005-0000-0000-00003C0C0000}"/>
    <cellStyle name="g_rate_Proj10_Sensitivity_Val_1_Book_Lecture_Notes_v3.06" xfId="940" xr:uid="{00000000-0005-0000-0000-00003D0C0000}"/>
    <cellStyle name="g_rate_Proj10_show-hold" xfId="941" xr:uid="{00000000-0005-0000-0000-00003E0C0000}"/>
    <cellStyle name="g_rate_Proj10_show-hold_1 FM_101_Examples_v7.31McIntire" xfId="942" xr:uid="{00000000-0005-0000-0000-00003F0C0000}"/>
    <cellStyle name="g_rate_Proj10_show-hold_1 FM_101_Examples_v7.31McIntire_1 FM_101_Examples_TWO-Day_v7.31" xfId="943" xr:uid="{00000000-0005-0000-0000-0000400C0000}"/>
    <cellStyle name="g_rate_Proj10_show-hold_Graphic Depiction - NO DEV" xfId="944" xr:uid="{00000000-0005-0000-0000-0000410C0000}"/>
    <cellStyle name="g_rate_Proj10_show-hold_Graphic Depiction - NO DEV_1 FM_101_Examples_v7.31McIntire" xfId="945" xr:uid="{00000000-0005-0000-0000-0000420C0000}"/>
    <cellStyle name="g_rate_Proj10_show-hold_Graphic Depiction - NO DEV_1 FM_101_Examples_v7.31McIntire_1 FM_101_Examples_TWO-Day_v7.31" xfId="946" xr:uid="{00000000-0005-0000-0000-0000430C0000}"/>
    <cellStyle name="g_rate_Proj10_show-hold_Graphic Depiction - NO DEV_Val_1_Book_Lecture_Notes_v3.06" xfId="947" xr:uid="{00000000-0005-0000-0000-0000440C0000}"/>
    <cellStyle name="g_rate_Proj10_show-hold_THEsumPage (2)" xfId="948" xr:uid="{00000000-0005-0000-0000-0000450C0000}"/>
    <cellStyle name="g_rate_Proj10_show-hold_THEsumPage (2)_1 FM_101_Examples_v7.31McIntire" xfId="949" xr:uid="{00000000-0005-0000-0000-0000460C0000}"/>
    <cellStyle name="g_rate_Proj10_show-hold_THEsumPage (2)_1 FM_101_Examples_v7.31McIntire_1 FM_101_Examples_TWO-Day_v7.31" xfId="950" xr:uid="{00000000-0005-0000-0000-0000470C0000}"/>
    <cellStyle name="g_rate_Proj10_show-hold_THEsumPage (2)_Val_1_Book_Lecture_Notes_v3.06" xfId="951" xr:uid="{00000000-0005-0000-0000-0000480C0000}"/>
    <cellStyle name="g_rate_Proj10_show-hold_Val_1_Book_Lecture_Notes_v3.06" xfId="952" xr:uid="{00000000-0005-0000-0000-0000490C0000}"/>
    <cellStyle name="g_rate_Proj10_THEsumPage (2)" xfId="953" xr:uid="{00000000-0005-0000-0000-00004A0C0000}"/>
    <cellStyle name="g_rate_Proj10_THEsumPage (2)_LANCE_Model_v0.6.DCF.MASTER.Name" xfId="954" xr:uid="{00000000-0005-0000-0000-00004B0C0000}"/>
    <cellStyle name="g_rate_Proj10_THEsumPage (2)_LANCE_Model_v0.6.DCF.MASTER.Name_DCF &amp; Raios to CLX Tootsie_v1.33.xls" xfId="955" xr:uid="{00000000-0005-0000-0000-00004C0C0000}"/>
    <cellStyle name="g_rate_Proj10_THEsumPage (2)_LANCE_Model_v0.6.DCF.MASTER.Name_Tootsie_TWO_DAY_TTS_Solution_v1.34" xfId="956" xr:uid="{00000000-0005-0000-0000-00004D0C0000}"/>
    <cellStyle name="g_rate_Proj10_THEsumPage (2)_LANCE_Model_v0.6.DCF.MASTER.Name_Val_1_Book_Lecture_Notes_v3.06" xfId="957" xr:uid="{00000000-0005-0000-0000-00004E0C0000}"/>
    <cellStyle name="g_rate_Proj10_THEsumPage (2)_Val_1_Book_Lecture_Notes_v3.06" xfId="958" xr:uid="{00000000-0005-0000-0000-00004F0C0000}"/>
    <cellStyle name="g_rate_Proj10_Val_1_Book_Lecture_Notes_v3.06" xfId="959" xr:uid="{00000000-0005-0000-0000-0000500C0000}"/>
    <cellStyle name="g_rate_Proj10_Valuation summaries" xfId="960" xr:uid="{00000000-0005-0000-0000-0000510C0000}"/>
    <cellStyle name="g_rate_Proj10_Valuation summaries_LANCE_Model_v0.6.DCF.MASTER.Name" xfId="961" xr:uid="{00000000-0005-0000-0000-0000520C0000}"/>
    <cellStyle name="g_rate_Proj10_Valuation summaries_LANCE_Model_v0.6.DCF.MASTER.Name_DCF &amp; Raios to CLX Tootsie_v1.33.xls" xfId="962" xr:uid="{00000000-0005-0000-0000-0000530C0000}"/>
    <cellStyle name="g_rate_Proj10_Valuation summaries_LANCE_Model_v0.6.DCF.MASTER.Name_Tootsie_TWO_DAY_TTS_Solution_v1.34" xfId="963" xr:uid="{00000000-0005-0000-0000-0000540C0000}"/>
    <cellStyle name="g_rate_Proj10_Valuation summaries_LANCE_Model_v0.6.DCF.MASTER.Name_Val_1_Book_Lecture_Notes_v3.06" xfId="964" xr:uid="{00000000-0005-0000-0000-0000550C0000}"/>
    <cellStyle name="g_rate_Proj10_Valuation summaries_Val_1_Book_Lecture_Notes_v3.06" xfId="965" xr:uid="{00000000-0005-0000-0000-0000560C0000}"/>
    <cellStyle name="g_rate_Proj10_WACC-CableCar" xfId="966" xr:uid="{00000000-0005-0000-0000-0000570C0000}"/>
    <cellStyle name="g_rate_Proj10_WACC-CableCar_LANCE_Model_v0.6.DCF.MASTER.Name" xfId="967" xr:uid="{00000000-0005-0000-0000-0000580C0000}"/>
    <cellStyle name="g_rate_Proj10_WACC-CableCar_LANCE_Model_v0.6.DCF.MASTER.Name_DCF &amp; Raios to CLX Tootsie_v1.33.xls" xfId="968" xr:uid="{00000000-0005-0000-0000-0000590C0000}"/>
    <cellStyle name="g_rate_Proj10_WACC-CableCar_LANCE_Model_v0.6.DCF.MASTER.Name_Tootsie_TWO_DAY_TTS_Solution_v1.34" xfId="969" xr:uid="{00000000-0005-0000-0000-00005A0C0000}"/>
    <cellStyle name="g_rate_Proj10_WACC-CableCar_LANCE_Model_v0.6.DCF.MASTER.Name_Val_1_Book_Lecture_Notes_v3.06" xfId="970" xr:uid="{00000000-0005-0000-0000-00005B0C0000}"/>
    <cellStyle name="g_rate_Proj10_WACC-CableCar_THEsumPage (2)" xfId="971" xr:uid="{00000000-0005-0000-0000-00005C0C0000}"/>
    <cellStyle name="g_rate_Proj10_WACC-CableCar_THEsumPage (2)_LANCE_Model_v0.6.DCF.MASTER.Name" xfId="972" xr:uid="{00000000-0005-0000-0000-00005D0C0000}"/>
    <cellStyle name="g_rate_Proj10_WACC-CableCar_THEsumPage (2)_LANCE_Model_v0.6.DCF.MASTER.Name_DCF &amp; Raios to CLX Tootsie_v1.33.xls" xfId="973" xr:uid="{00000000-0005-0000-0000-00005E0C0000}"/>
    <cellStyle name="g_rate_Proj10_WACC-CableCar_THEsumPage (2)_LANCE_Model_v0.6.DCF.MASTER.Name_Tootsie_TWO_DAY_TTS_Solution_v1.34" xfId="974" xr:uid="{00000000-0005-0000-0000-00005F0C0000}"/>
    <cellStyle name="g_rate_Proj10_WACC-CableCar_THEsumPage (2)_LANCE_Model_v0.6.DCF.MASTER.Name_Val_1_Book_Lecture_Notes_v3.06" xfId="975" xr:uid="{00000000-0005-0000-0000-0000600C0000}"/>
    <cellStyle name="g_rate_Proj10_WACC-CableCar_THEsumPage (2)_Val_1_Book_Lecture_Notes_v3.06" xfId="976" xr:uid="{00000000-0005-0000-0000-0000610C0000}"/>
    <cellStyle name="g_rate_Proj10_WACC-CableCar_Val_1_Book_Lecture_Notes_v3.06" xfId="977" xr:uid="{00000000-0005-0000-0000-0000620C0000}"/>
    <cellStyle name="g_rate_Proj10_WACC-RAD (2)" xfId="978" xr:uid="{00000000-0005-0000-0000-0000630C0000}"/>
    <cellStyle name="g_rate_Proj10_WACC-RAD (2)_THEsumPage (2)" xfId="979" xr:uid="{00000000-0005-0000-0000-0000640C0000}"/>
    <cellStyle name="g_rate_Proj10_WACC-RAD (2)_THEsumPage (2)_Val_1_Book_Lecture_Notes_v3.06" xfId="980" xr:uid="{00000000-0005-0000-0000-0000650C0000}"/>
    <cellStyle name="g_rate_Proj10_WACC-RAD (2)_Val_1_Book_Lecture_Notes_v3.06" xfId="981" xr:uid="{00000000-0005-0000-0000-0000660C0000}"/>
    <cellStyle name="g_rate_Sensitivity" xfId="982" xr:uid="{00000000-0005-0000-0000-0000670C0000}"/>
    <cellStyle name="g_rate_Sensitivity_1 FM_101_Examples_v7.31McIntire" xfId="983" xr:uid="{00000000-0005-0000-0000-0000680C0000}"/>
    <cellStyle name="g_rate_Sensitivity_1 FM_101_Examples_v7.31McIntire_1 FM_101_Examples_TWO-Day_v7.31" xfId="984" xr:uid="{00000000-0005-0000-0000-0000690C0000}"/>
    <cellStyle name="g_rate_Sensitivity_CompSheet" xfId="985" xr:uid="{00000000-0005-0000-0000-00006A0C0000}"/>
    <cellStyle name="g_rate_Sensitivity_CompSheet_1 FM_101_Examples_v7.31McIntire" xfId="986" xr:uid="{00000000-0005-0000-0000-00006B0C0000}"/>
    <cellStyle name="g_rate_Sensitivity_CompSheet_1 FM_101_Examples_v7.31McIntire_1 FM_101_Examples_TWO-Day_v7.31" xfId="987" xr:uid="{00000000-0005-0000-0000-00006C0C0000}"/>
    <cellStyle name="g_rate_Sensitivity_CompSheet_Val_1_Book_Lecture_Notes_v3.06" xfId="988" xr:uid="{00000000-0005-0000-0000-00006D0C0000}"/>
    <cellStyle name="g_rate_Sensitivity_THEsumPage (2)" xfId="989" xr:uid="{00000000-0005-0000-0000-00006E0C0000}"/>
    <cellStyle name="g_rate_Sensitivity_THEsumPage (2)_1 FM_101_Examples_v7.31McIntire" xfId="990" xr:uid="{00000000-0005-0000-0000-00006F0C0000}"/>
    <cellStyle name="g_rate_Sensitivity_THEsumPage (2)_1 FM_101_Examples_v7.31McIntire_1 FM_101_Examples_TWO-Day_v7.31" xfId="991" xr:uid="{00000000-0005-0000-0000-0000700C0000}"/>
    <cellStyle name="g_rate_Sensitivity_THEsumPage (2)_Val_1_Book_Lecture_Notes_v3.06" xfId="992" xr:uid="{00000000-0005-0000-0000-0000710C0000}"/>
    <cellStyle name="g_rate_Sensitivity_Val_1_Book_Lecture_Notes_v3.06" xfId="993" xr:uid="{00000000-0005-0000-0000-0000720C0000}"/>
    <cellStyle name="g_rate_show-hold" xfId="994" xr:uid="{00000000-0005-0000-0000-0000730C0000}"/>
    <cellStyle name="g_rate_show-hold_1 FM_101_Examples_v7.31McIntire" xfId="995" xr:uid="{00000000-0005-0000-0000-0000740C0000}"/>
    <cellStyle name="g_rate_show-hold_1 FM_101_Examples_v7.31McIntire_1 FM_101_Examples_TWO-Day_v7.31" xfId="996" xr:uid="{00000000-0005-0000-0000-0000750C0000}"/>
    <cellStyle name="g_rate_show-hold_CompSheet" xfId="997" xr:uid="{00000000-0005-0000-0000-0000760C0000}"/>
    <cellStyle name="g_rate_show-hold_CompSheet_1 FM_101_Examples_v7.31McIntire" xfId="998" xr:uid="{00000000-0005-0000-0000-0000770C0000}"/>
    <cellStyle name="g_rate_show-hold_CompSheet_1 FM_101_Examples_v7.31McIntire_1 FM_101_Examples_TWO-Day_v7.31" xfId="999" xr:uid="{00000000-0005-0000-0000-0000780C0000}"/>
    <cellStyle name="g_rate_show-hold_CompSheet_Val_1_Book_Lecture_Notes_v3.06" xfId="1000" xr:uid="{00000000-0005-0000-0000-0000790C0000}"/>
    <cellStyle name="g_rate_show-hold_THEsumPage (2)" xfId="1001" xr:uid="{00000000-0005-0000-0000-00007A0C0000}"/>
    <cellStyle name="g_rate_show-hold_THEsumPage (2)_1 FM_101_Examples_v7.31McIntire" xfId="1002" xr:uid="{00000000-0005-0000-0000-00007B0C0000}"/>
    <cellStyle name="g_rate_show-hold_THEsumPage (2)_1 FM_101_Examples_v7.31McIntire_1 FM_101_Examples_TWO-Day_v7.31" xfId="1003" xr:uid="{00000000-0005-0000-0000-00007C0C0000}"/>
    <cellStyle name="g_rate_show-hold_THEsumPage (2)_Val_1_Book_Lecture_Notes_v3.06" xfId="1004" xr:uid="{00000000-0005-0000-0000-00007D0C0000}"/>
    <cellStyle name="g_rate_show-hold_Val_1_Book_Lecture_Notes_v3.06" xfId="1005" xr:uid="{00000000-0005-0000-0000-00007E0C0000}"/>
    <cellStyle name="g_rate_THEsumPage (2)" xfId="1006" xr:uid="{00000000-0005-0000-0000-00007F0C0000}"/>
    <cellStyle name="g_rate_THEsumPage (2)_LANCE_Model_v0.6.DCF.MASTER.Name" xfId="1007" xr:uid="{00000000-0005-0000-0000-0000800C0000}"/>
    <cellStyle name="g_rate_THEsumPage (2)_LANCE_Model_v0.6.DCF.MASTER.Name_DCF &amp; Raios to CLX Tootsie_v1.33.xls" xfId="1008" xr:uid="{00000000-0005-0000-0000-0000810C0000}"/>
    <cellStyle name="g_rate_THEsumPage (2)_LANCE_Model_v0.6.DCF.MASTER.Name_Tootsie_TWO_DAY_TTS_Solution_v1.34" xfId="1009" xr:uid="{00000000-0005-0000-0000-0000820C0000}"/>
    <cellStyle name="g_rate_THEsumPage (2)_LANCE_Model_v0.6.DCF.MASTER.Name_Val_1_Book_Lecture_Notes_v3.06" xfId="1010" xr:uid="{00000000-0005-0000-0000-0000830C0000}"/>
    <cellStyle name="g_rate_THEsumPage (2)_Val_1_Book_Lecture_Notes_v3.06" xfId="1011" xr:uid="{00000000-0005-0000-0000-0000840C0000}"/>
    <cellStyle name="g_rate_Val_1_Book_Lecture_Notes_v3.06" xfId="1012" xr:uid="{00000000-0005-0000-0000-0000850C0000}"/>
    <cellStyle name="g_rate_Valuation summaries" xfId="1013" xr:uid="{00000000-0005-0000-0000-0000860C0000}"/>
    <cellStyle name="g_rate_Valuation summaries_LANCE_Model_v0.6.DCF.MASTER.Name" xfId="1014" xr:uid="{00000000-0005-0000-0000-0000870C0000}"/>
    <cellStyle name="g_rate_Valuation summaries_LANCE_Model_v0.6.DCF.MASTER.Name_DCF &amp; Raios to CLX Tootsie_v1.33.xls" xfId="1015" xr:uid="{00000000-0005-0000-0000-0000880C0000}"/>
    <cellStyle name="g_rate_Valuation summaries_LANCE_Model_v0.6.DCF.MASTER.Name_Tootsie_TWO_DAY_TTS_Solution_v1.34" xfId="1016" xr:uid="{00000000-0005-0000-0000-0000890C0000}"/>
    <cellStyle name="g_rate_Valuation summaries_LANCE_Model_v0.6.DCF.MASTER.Name_Val_1_Book_Lecture_Notes_v3.06" xfId="1017" xr:uid="{00000000-0005-0000-0000-00008A0C0000}"/>
    <cellStyle name="g_rate_Valuation summaries_Val_1_Book_Lecture_Notes_v3.06" xfId="1018" xr:uid="{00000000-0005-0000-0000-00008B0C0000}"/>
    <cellStyle name="g_rate_WACC-CableCar" xfId="1019" xr:uid="{00000000-0005-0000-0000-00008C0C0000}"/>
    <cellStyle name="g_rate_WACC-CableCar_LANCE_Model_v0.6.DCF.MASTER.Name" xfId="1020" xr:uid="{00000000-0005-0000-0000-00008D0C0000}"/>
    <cellStyle name="g_rate_WACC-CableCar_LANCE_Model_v0.6.DCF.MASTER.Name_DCF &amp; Raios to CLX Tootsie_v1.33.xls" xfId="1021" xr:uid="{00000000-0005-0000-0000-00008E0C0000}"/>
    <cellStyle name="g_rate_WACC-CableCar_LANCE_Model_v0.6.DCF.MASTER.Name_Tootsie_TWO_DAY_TTS_Solution_v1.34" xfId="1022" xr:uid="{00000000-0005-0000-0000-00008F0C0000}"/>
    <cellStyle name="g_rate_WACC-CableCar_LANCE_Model_v0.6.DCF.MASTER.Name_Val_1_Book_Lecture_Notes_v3.06" xfId="1023" xr:uid="{00000000-0005-0000-0000-0000900C0000}"/>
    <cellStyle name="g_rate_WACC-CableCar_THEsumPage (2)" xfId="1024" xr:uid="{00000000-0005-0000-0000-0000910C0000}"/>
    <cellStyle name="g_rate_WACC-CableCar_THEsumPage (2)_LANCE_Model_v0.6.DCF.MASTER.Name" xfId="1025" xr:uid="{00000000-0005-0000-0000-0000920C0000}"/>
    <cellStyle name="g_rate_WACC-CableCar_THEsumPage (2)_LANCE_Model_v0.6.DCF.MASTER.Name_DCF &amp; Raios to CLX Tootsie_v1.33.xls" xfId="1026" xr:uid="{00000000-0005-0000-0000-0000930C0000}"/>
    <cellStyle name="g_rate_WACC-CableCar_THEsumPage (2)_LANCE_Model_v0.6.DCF.MASTER.Name_Tootsie_TWO_DAY_TTS_Solution_v1.34" xfId="1027" xr:uid="{00000000-0005-0000-0000-0000940C0000}"/>
    <cellStyle name="g_rate_WACC-CableCar_THEsumPage (2)_LANCE_Model_v0.6.DCF.MASTER.Name_Val_1_Book_Lecture_Notes_v3.06" xfId="1028" xr:uid="{00000000-0005-0000-0000-0000950C0000}"/>
    <cellStyle name="g_rate_WACC-CableCar_THEsumPage (2)_Val_1_Book_Lecture_Notes_v3.06" xfId="1029" xr:uid="{00000000-0005-0000-0000-0000960C0000}"/>
    <cellStyle name="g_rate_WACC-CableCar_Val_1_Book_Lecture_Notes_v3.06" xfId="1030" xr:uid="{00000000-0005-0000-0000-0000970C0000}"/>
    <cellStyle name="g_rate_WACC-RAD (2)" xfId="1031" xr:uid="{00000000-0005-0000-0000-0000980C0000}"/>
    <cellStyle name="g_rate_WACC-RAD (2)_THEsumPage (2)" xfId="1032" xr:uid="{00000000-0005-0000-0000-0000990C0000}"/>
    <cellStyle name="g_rate_WACC-RAD (2)_THEsumPage (2)_Val_1_Book_Lecture_Notes_v3.06" xfId="1033" xr:uid="{00000000-0005-0000-0000-00009A0C0000}"/>
    <cellStyle name="g_rate_WACC-RAD (2)_Val_1_Book_Lecture_Notes_v3.06" xfId="1034" xr:uid="{00000000-0005-0000-0000-00009B0C0000}"/>
    <cellStyle name="Good" xfId="1743" builtinId="26" customBuiltin="1"/>
    <cellStyle name="Good 10" xfId="11265" xr:uid="{00000000-0005-0000-0000-00009D0C0000}"/>
    <cellStyle name="Good 11" xfId="11274" xr:uid="{00000000-0005-0000-0000-00009E0C0000}"/>
    <cellStyle name="Good 12" xfId="11306" xr:uid="{00000000-0005-0000-0000-00009F0C0000}"/>
    <cellStyle name="Good 13" xfId="11449" xr:uid="{00000000-0005-0000-0000-0000A00C0000}"/>
    <cellStyle name="Good 14" xfId="11455" xr:uid="{00000000-0005-0000-0000-0000A10C0000}"/>
    <cellStyle name="Good 15" xfId="11489" xr:uid="{00000000-0005-0000-0000-0000A20C0000}"/>
    <cellStyle name="Good 16" xfId="11506" xr:uid="{00000000-0005-0000-0000-0000A30C0000}"/>
    <cellStyle name="Good 17" xfId="11521" xr:uid="{00000000-0005-0000-0000-0000A40C0000}"/>
    <cellStyle name="Good 18" xfId="11538" xr:uid="{00000000-0005-0000-0000-0000A50C0000}"/>
    <cellStyle name="Good 19" xfId="11554" xr:uid="{00000000-0005-0000-0000-0000A60C0000}"/>
    <cellStyle name="Good 2" xfId="58" xr:uid="{00000000-0005-0000-0000-0000A70C0000}"/>
    <cellStyle name="Good 20" xfId="11570" xr:uid="{00000000-0005-0000-0000-0000A80C0000}"/>
    <cellStyle name="Good 21" xfId="11586" xr:uid="{00000000-0005-0000-0000-0000A90C0000}"/>
    <cellStyle name="Good 22" xfId="11602" xr:uid="{00000000-0005-0000-0000-0000AA0C0000}"/>
    <cellStyle name="Good 23" xfId="11617" xr:uid="{00000000-0005-0000-0000-0000AB0C0000}"/>
    <cellStyle name="Good 24" xfId="11634" xr:uid="{00000000-0005-0000-0000-0000AC0C0000}"/>
    <cellStyle name="Good 25" xfId="11649" xr:uid="{00000000-0005-0000-0000-0000AD0C0000}"/>
    <cellStyle name="Good 26" xfId="11665" xr:uid="{00000000-0005-0000-0000-0000AE0C0000}"/>
    <cellStyle name="Good 27" xfId="11679" xr:uid="{00000000-0005-0000-0000-0000AF0C0000}"/>
    <cellStyle name="Good 28" xfId="11694" xr:uid="{00000000-0005-0000-0000-0000B00C0000}"/>
    <cellStyle name="Good 29" xfId="11709" xr:uid="{00000000-0005-0000-0000-0000B10C0000}"/>
    <cellStyle name="Good 3" xfId="1035" xr:uid="{00000000-0005-0000-0000-0000B20C0000}"/>
    <cellStyle name="Good 3 2" xfId="11129" xr:uid="{00000000-0005-0000-0000-0000B30C0000}"/>
    <cellStyle name="Good 30" xfId="11724" xr:uid="{00000000-0005-0000-0000-0000B40C0000}"/>
    <cellStyle name="Good 31" xfId="11739" xr:uid="{00000000-0005-0000-0000-0000B50C0000}"/>
    <cellStyle name="Good 32" xfId="11754" xr:uid="{00000000-0005-0000-0000-0000B60C0000}"/>
    <cellStyle name="Good 33" xfId="11771" xr:uid="{00000000-0005-0000-0000-0000B70C0000}"/>
    <cellStyle name="Good 34" xfId="19640" xr:uid="{00000000-0005-0000-0000-0000B80C0000}"/>
    <cellStyle name="Good 35" xfId="19657" xr:uid="{00000000-0005-0000-0000-0000B90C0000}"/>
    <cellStyle name="Good 36" xfId="19680" xr:uid="{00000000-0005-0000-0000-0000BA0C0000}"/>
    <cellStyle name="Good 37" xfId="19690" xr:uid="{00000000-0005-0000-0000-0000BB0C0000}"/>
    <cellStyle name="Good 38" xfId="19722" xr:uid="{00000000-0005-0000-0000-0000BC0C0000}"/>
    <cellStyle name="Good 39" xfId="19738" xr:uid="{00000000-0005-0000-0000-0000BD0C0000}"/>
    <cellStyle name="Good 4" xfId="11145" xr:uid="{00000000-0005-0000-0000-0000BE0C0000}"/>
    <cellStyle name="Good 40" xfId="19744" xr:uid="{00000000-0005-0000-0000-0000BF0C0000}"/>
    <cellStyle name="Good 41" xfId="19760" xr:uid="{00000000-0005-0000-0000-0000C00C0000}"/>
    <cellStyle name="Good 42" xfId="19769" xr:uid="{00000000-0005-0000-0000-0000C10C0000}"/>
    <cellStyle name="Good 43" xfId="19788" xr:uid="{00000000-0005-0000-0000-0000C20C0000}"/>
    <cellStyle name="Good 44" xfId="19921" xr:uid="{00000000-0005-0000-0000-0000C30C0000}"/>
    <cellStyle name="Good 45" xfId="19927" xr:uid="{00000000-0005-0000-0000-0000C40C0000}"/>
    <cellStyle name="Good 46" xfId="19959" xr:uid="{00000000-0005-0000-0000-0000C50C0000}"/>
    <cellStyle name="Good 47" xfId="19975" xr:uid="{00000000-0005-0000-0000-0000C60C0000}"/>
    <cellStyle name="Good 48" xfId="19990" xr:uid="{00000000-0005-0000-0000-0000C70C0000}"/>
    <cellStyle name="Good 49" xfId="20006" xr:uid="{00000000-0005-0000-0000-0000C80C0000}"/>
    <cellStyle name="Good 5" xfId="11180" xr:uid="{00000000-0005-0000-0000-0000C90C0000}"/>
    <cellStyle name="Good 50" xfId="20021" xr:uid="{00000000-0005-0000-0000-0000CA0C0000}"/>
    <cellStyle name="Good 51" xfId="20037" xr:uid="{00000000-0005-0000-0000-0000CB0C0000}"/>
    <cellStyle name="Good 52" xfId="20052" xr:uid="{00000000-0005-0000-0000-0000CC0C0000}"/>
    <cellStyle name="Good 53" xfId="20067" xr:uid="{00000000-0005-0000-0000-0000CD0C0000}"/>
    <cellStyle name="Good 54" xfId="20081" xr:uid="{00000000-0005-0000-0000-0000CE0C0000}"/>
    <cellStyle name="Good 55" xfId="20097" xr:uid="{00000000-0005-0000-0000-0000CF0C0000}"/>
    <cellStyle name="Good 56" xfId="20111" xr:uid="{00000000-0005-0000-0000-0000D00C0000}"/>
    <cellStyle name="Good 57" xfId="20126" xr:uid="{00000000-0005-0000-0000-0000D10C0000}"/>
    <cellStyle name="Good 58" xfId="20139" xr:uid="{00000000-0005-0000-0000-0000D20C0000}"/>
    <cellStyle name="Good 59" xfId="20153" xr:uid="{00000000-0005-0000-0000-0000D30C0000}"/>
    <cellStyle name="Good 6" xfId="11190" xr:uid="{00000000-0005-0000-0000-0000D40C0000}"/>
    <cellStyle name="Good 60" xfId="20168" xr:uid="{00000000-0005-0000-0000-0000D50C0000}"/>
    <cellStyle name="Good 61" xfId="20183" xr:uid="{00000000-0005-0000-0000-0000D60C0000}"/>
    <cellStyle name="Good 62" xfId="20199" xr:uid="{00000000-0005-0000-0000-0000D70C0000}"/>
    <cellStyle name="Good 63" xfId="20214" xr:uid="{00000000-0005-0000-0000-0000D80C0000}"/>
    <cellStyle name="Good 64" xfId="20231" xr:uid="{00000000-0005-0000-0000-0000D90C0000}"/>
    <cellStyle name="Good 7" xfId="11227" xr:uid="{00000000-0005-0000-0000-0000DA0C0000}"/>
    <cellStyle name="Good 8" xfId="11243" xr:uid="{00000000-0005-0000-0000-0000DB0C0000}"/>
    <cellStyle name="Good 9" xfId="11249" xr:uid="{00000000-0005-0000-0000-0000DC0C0000}"/>
    <cellStyle name="Grey" xfId="1907" xr:uid="{00000000-0005-0000-0000-0000DD0C0000}"/>
    <cellStyle name="Growth Rates/Margins" xfId="1908" xr:uid="{00000000-0005-0000-0000-0000DE0C0000}"/>
    <cellStyle name="Header1" xfId="173" xr:uid="{00000000-0005-0000-0000-0000DF0C0000}"/>
    <cellStyle name="Header1 2" xfId="10406" xr:uid="{00000000-0005-0000-0000-0000E00C0000}"/>
    <cellStyle name="Header1 3" xfId="11107" xr:uid="{00000000-0005-0000-0000-0000E10C0000}"/>
    <cellStyle name="Header2" xfId="174" xr:uid="{00000000-0005-0000-0000-0000E20C0000}"/>
    <cellStyle name="Header2 2" xfId="1590" xr:uid="{00000000-0005-0000-0000-0000E30C0000}"/>
    <cellStyle name="Header2 2 2" xfId="1633" xr:uid="{00000000-0005-0000-0000-0000E40C0000}"/>
    <cellStyle name="Header2 2 3" xfId="1652" xr:uid="{00000000-0005-0000-0000-0000E50C0000}"/>
    <cellStyle name="Header2 2 4" xfId="19566" xr:uid="{00000000-0005-0000-0000-0000E60C0000}"/>
    <cellStyle name="Header2 3" xfId="10407" xr:uid="{00000000-0005-0000-0000-0000E70C0000}"/>
    <cellStyle name="headers" xfId="1036" xr:uid="{00000000-0005-0000-0000-0000E80C0000}"/>
    <cellStyle name="Heading" xfId="1037" xr:uid="{00000000-0005-0000-0000-0000E90C0000}"/>
    <cellStyle name="Heading 1" xfId="1739" builtinId="16" customBuiltin="1"/>
    <cellStyle name="Heading 1 10" xfId="11269" xr:uid="{00000000-0005-0000-0000-0000EB0C0000}"/>
    <cellStyle name="Heading 1 11" xfId="11270" xr:uid="{00000000-0005-0000-0000-0000EC0C0000}"/>
    <cellStyle name="Heading 1 12" xfId="11302" xr:uid="{00000000-0005-0000-0000-0000ED0C0000}"/>
    <cellStyle name="Heading 1 13" xfId="11453" xr:uid="{00000000-0005-0000-0000-0000EE0C0000}"/>
    <cellStyle name="Heading 1 14" xfId="11319" xr:uid="{00000000-0005-0000-0000-0000EF0C0000}"/>
    <cellStyle name="Heading 1 15" xfId="11493" xr:uid="{00000000-0005-0000-0000-0000F00C0000}"/>
    <cellStyle name="Heading 1 16" xfId="11510" xr:uid="{00000000-0005-0000-0000-0000F10C0000}"/>
    <cellStyle name="Heading 1 17" xfId="11525" xr:uid="{00000000-0005-0000-0000-0000F20C0000}"/>
    <cellStyle name="Heading 1 18" xfId="11542" xr:uid="{00000000-0005-0000-0000-0000F30C0000}"/>
    <cellStyle name="Heading 1 19" xfId="11558" xr:uid="{00000000-0005-0000-0000-0000F40C0000}"/>
    <cellStyle name="Heading 1 2" xfId="59" xr:uid="{00000000-0005-0000-0000-0000F50C0000}"/>
    <cellStyle name="Heading 1 2 2" xfId="175" xr:uid="{00000000-0005-0000-0000-0000F60C0000}"/>
    <cellStyle name="Heading 1 20" xfId="11574" xr:uid="{00000000-0005-0000-0000-0000F70C0000}"/>
    <cellStyle name="Heading 1 21" xfId="11590" xr:uid="{00000000-0005-0000-0000-0000F80C0000}"/>
    <cellStyle name="Heading 1 22" xfId="11606" xr:uid="{00000000-0005-0000-0000-0000F90C0000}"/>
    <cellStyle name="Heading 1 23" xfId="11621" xr:uid="{00000000-0005-0000-0000-0000FA0C0000}"/>
    <cellStyle name="Heading 1 24" xfId="11638" xr:uid="{00000000-0005-0000-0000-0000FB0C0000}"/>
    <cellStyle name="Heading 1 25" xfId="11653" xr:uid="{00000000-0005-0000-0000-0000FC0C0000}"/>
    <cellStyle name="Heading 1 26" xfId="11669" xr:uid="{00000000-0005-0000-0000-0000FD0C0000}"/>
    <cellStyle name="Heading 1 27" xfId="11683" xr:uid="{00000000-0005-0000-0000-0000FE0C0000}"/>
    <cellStyle name="Heading 1 28" xfId="11698" xr:uid="{00000000-0005-0000-0000-0000FF0C0000}"/>
    <cellStyle name="Heading 1 29" xfId="11713" xr:uid="{00000000-0005-0000-0000-0000000D0000}"/>
    <cellStyle name="Heading 1 3" xfId="1038" xr:uid="{00000000-0005-0000-0000-0000010D0000}"/>
    <cellStyle name="Heading 1 3 2" xfId="11125" xr:uid="{00000000-0005-0000-0000-0000020D0000}"/>
    <cellStyle name="Heading 1 30" xfId="11728" xr:uid="{00000000-0005-0000-0000-0000030D0000}"/>
    <cellStyle name="Heading 1 31" xfId="11743" xr:uid="{00000000-0005-0000-0000-0000040D0000}"/>
    <cellStyle name="Heading 1 32" xfId="11758" xr:uid="{00000000-0005-0000-0000-0000050D0000}"/>
    <cellStyle name="Heading 1 33" xfId="11775" xr:uid="{00000000-0005-0000-0000-0000060D0000}"/>
    <cellStyle name="Heading 1 34" xfId="19636" xr:uid="{00000000-0005-0000-0000-0000070D0000}"/>
    <cellStyle name="Heading 1 35" xfId="19653" xr:uid="{00000000-0005-0000-0000-0000080D0000}"/>
    <cellStyle name="Heading 1 36" xfId="19684" xr:uid="{00000000-0005-0000-0000-0000090D0000}"/>
    <cellStyle name="Heading 1 37" xfId="19686" xr:uid="{00000000-0005-0000-0000-00000A0D0000}"/>
    <cellStyle name="Heading 1 38" xfId="19726" xr:uid="{00000000-0005-0000-0000-00000B0D0000}"/>
    <cellStyle name="Heading 1 39" xfId="19742" xr:uid="{00000000-0005-0000-0000-00000C0D0000}"/>
    <cellStyle name="Heading 1 4" xfId="11141" xr:uid="{00000000-0005-0000-0000-00000D0D0000}"/>
    <cellStyle name="Heading 1 40" xfId="19748" xr:uid="{00000000-0005-0000-0000-00000E0D0000}"/>
    <cellStyle name="Heading 1 41" xfId="19764" xr:uid="{00000000-0005-0000-0000-00000F0D0000}"/>
    <cellStyle name="Heading 1 42" xfId="19765" xr:uid="{00000000-0005-0000-0000-0000100D0000}"/>
    <cellStyle name="Heading 1 43" xfId="19784" xr:uid="{00000000-0005-0000-0000-0000110D0000}"/>
    <cellStyle name="Heading 1 44" xfId="19925" xr:uid="{00000000-0005-0000-0000-0000120D0000}"/>
    <cellStyle name="Heading 1 45" xfId="19801" xr:uid="{00000000-0005-0000-0000-0000130D0000}"/>
    <cellStyle name="Heading 1 46" xfId="19963" xr:uid="{00000000-0005-0000-0000-0000140D0000}"/>
    <cellStyle name="Heading 1 47" xfId="19979" xr:uid="{00000000-0005-0000-0000-0000150D0000}"/>
    <cellStyle name="Heading 1 48" xfId="19994" xr:uid="{00000000-0005-0000-0000-0000160D0000}"/>
    <cellStyle name="Heading 1 49" xfId="20010" xr:uid="{00000000-0005-0000-0000-0000170D0000}"/>
    <cellStyle name="Heading 1 5" xfId="11184" xr:uid="{00000000-0005-0000-0000-0000180D0000}"/>
    <cellStyle name="Heading 1 50" xfId="20025" xr:uid="{00000000-0005-0000-0000-0000190D0000}"/>
    <cellStyle name="Heading 1 51" xfId="20041" xr:uid="{00000000-0005-0000-0000-00001A0D0000}"/>
    <cellStyle name="Heading 1 52" xfId="20056" xr:uid="{00000000-0005-0000-0000-00001B0D0000}"/>
    <cellStyle name="Heading 1 53" xfId="20071" xr:uid="{00000000-0005-0000-0000-00001C0D0000}"/>
    <cellStyle name="Heading 1 54" xfId="20085" xr:uid="{00000000-0005-0000-0000-00001D0D0000}"/>
    <cellStyle name="Heading 1 55" xfId="20101" xr:uid="{00000000-0005-0000-0000-00001E0D0000}"/>
    <cellStyle name="Heading 1 56" xfId="20115" xr:uid="{00000000-0005-0000-0000-00001F0D0000}"/>
    <cellStyle name="Heading 1 57" xfId="20130" xr:uid="{00000000-0005-0000-0000-0000200D0000}"/>
    <cellStyle name="Heading 1 58" xfId="20143" xr:uid="{00000000-0005-0000-0000-0000210D0000}"/>
    <cellStyle name="Heading 1 59" xfId="20157" xr:uid="{00000000-0005-0000-0000-0000220D0000}"/>
    <cellStyle name="Heading 1 6" xfId="11186" xr:uid="{00000000-0005-0000-0000-0000230D0000}"/>
    <cellStyle name="Heading 1 60" xfId="20172" xr:uid="{00000000-0005-0000-0000-0000240D0000}"/>
    <cellStyle name="Heading 1 61" xfId="20187" xr:uid="{00000000-0005-0000-0000-0000250D0000}"/>
    <cellStyle name="Heading 1 62" xfId="20203" xr:uid="{00000000-0005-0000-0000-0000260D0000}"/>
    <cellStyle name="Heading 1 63" xfId="20218" xr:uid="{00000000-0005-0000-0000-0000270D0000}"/>
    <cellStyle name="Heading 1 64" xfId="20235" xr:uid="{00000000-0005-0000-0000-0000280D0000}"/>
    <cellStyle name="Heading 1 7" xfId="11231" xr:uid="{00000000-0005-0000-0000-0000290D0000}"/>
    <cellStyle name="Heading 1 8" xfId="11247" xr:uid="{00000000-0005-0000-0000-00002A0D0000}"/>
    <cellStyle name="Heading 1 9" xfId="11253" xr:uid="{00000000-0005-0000-0000-00002B0D0000}"/>
    <cellStyle name="Heading 2" xfId="1740" builtinId="17" customBuiltin="1"/>
    <cellStyle name="Heading 2 10" xfId="11268" xr:uid="{00000000-0005-0000-0000-00002D0D0000}"/>
    <cellStyle name="Heading 2 11" xfId="11271" xr:uid="{00000000-0005-0000-0000-00002E0D0000}"/>
    <cellStyle name="Heading 2 12" xfId="11303" xr:uid="{00000000-0005-0000-0000-00002F0D0000}"/>
    <cellStyle name="Heading 2 13" xfId="11452" xr:uid="{00000000-0005-0000-0000-0000300D0000}"/>
    <cellStyle name="Heading 2 14" xfId="11324" xr:uid="{00000000-0005-0000-0000-0000310D0000}"/>
    <cellStyle name="Heading 2 15" xfId="11492" xr:uid="{00000000-0005-0000-0000-0000320D0000}"/>
    <cellStyle name="Heading 2 16" xfId="11509" xr:uid="{00000000-0005-0000-0000-0000330D0000}"/>
    <cellStyle name="Heading 2 17" xfId="11524" xr:uid="{00000000-0005-0000-0000-0000340D0000}"/>
    <cellStyle name="Heading 2 18" xfId="11541" xr:uid="{00000000-0005-0000-0000-0000350D0000}"/>
    <cellStyle name="Heading 2 19" xfId="11557" xr:uid="{00000000-0005-0000-0000-0000360D0000}"/>
    <cellStyle name="Heading 2 2" xfId="60" xr:uid="{00000000-0005-0000-0000-0000370D0000}"/>
    <cellStyle name="Heading 2 2 2" xfId="176" xr:uid="{00000000-0005-0000-0000-0000380D0000}"/>
    <cellStyle name="Heading 2 20" xfId="11573" xr:uid="{00000000-0005-0000-0000-0000390D0000}"/>
    <cellStyle name="Heading 2 21" xfId="11589" xr:uid="{00000000-0005-0000-0000-00003A0D0000}"/>
    <cellStyle name="Heading 2 22" xfId="11605" xr:uid="{00000000-0005-0000-0000-00003B0D0000}"/>
    <cellStyle name="Heading 2 23" xfId="11620" xr:uid="{00000000-0005-0000-0000-00003C0D0000}"/>
    <cellStyle name="Heading 2 24" xfId="11637" xr:uid="{00000000-0005-0000-0000-00003D0D0000}"/>
    <cellStyle name="Heading 2 25" xfId="11652" xr:uid="{00000000-0005-0000-0000-00003E0D0000}"/>
    <cellStyle name="Heading 2 26" xfId="11668" xr:uid="{00000000-0005-0000-0000-00003F0D0000}"/>
    <cellStyle name="Heading 2 27" xfId="11682" xr:uid="{00000000-0005-0000-0000-0000400D0000}"/>
    <cellStyle name="Heading 2 28" xfId="11697" xr:uid="{00000000-0005-0000-0000-0000410D0000}"/>
    <cellStyle name="Heading 2 29" xfId="11712" xr:uid="{00000000-0005-0000-0000-0000420D0000}"/>
    <cellStyle name="Heading 2 3" xfId="1039" xr:uid="{00000000-0005-0000-0000-0000430D0000}"/>
    <cellStyle name="Heading 2 3 2" xfId="11126" xr:uid="{00000000-0005-0000-0000-0000440D0000}"/>
    <cellStyle name="Heading 2 30" xfId="11727" xr:uid="{00000000-0005-0000-0000-0000450D0000}"/>
    <cellStyle name="Heading 2 31" xfId="11742" xr:uid="{00000000-0005-0000-0000-0000460D0000}"/>
    <cellStyle name="Heading 2 32" xfId="11757" xr:uid="{00000000-0005-0000-0000-0000470D0000}"/>
    <cellStyle name="Heading 2 33" xfId="11774" xr:uid="{00000000-0005-0000-0000-0000480D0000}"/>
    <cellStyle name="Heading 2 34" xfId="19637" xr:uid="{00000000-0005-0000-0000-0000490D0000}"/>
    <cellStyle name="Heading 2 35" xfId="19654" xr:uid="{00000000-0005-0000-0000-00004A0D0000}"/>
    <cellStyle name="Heading 2 36" xfId="19683" xr:uid="{00000000-0005-0000-0000-00004B0D0000}"/>
    <cellStyle name="Heading 2 37" xfId="19687" xr:uid="{00000000-0005-0000-0000-00004C0D0000}"/>
    <cellStyle name="Heading 2 38" xfId="19725" xr:uid="{00000000-0005-0000-0000-00004D0D0000}"/>
    <cellStyle name="Heading 2 39" xfId="19741" xr:uid="{00000000-0005-0000-0000-00004E0D0000}"/>
    <cellStyle name="Heading 2 4" xfId="11142" xr:uid="{00000000-0005-0000-0000-00004F0D0000}"/>
    <cellStyle name="Heading 2 40" xfId="19747" xr:uid="{00000000-0005-0000-0000-0000500D0000}"/>
    <cellStyle name="Heading 2 41" xfId="19763" xr:uid="{00000000-0005-0000-0000-0000510D0000}"/>
    <cellStyle name="Heading 2 42" xfId="19766" xr:uid="{00000000-0005-0000-0000-0000520D0000}"/>
    <cellStyle name="Heading 2 43" xfId="19785" xr:uid="{00000000-0005-0000-0000-0000530D0000}"/>
    <cellStyle name="Heading 2 44" xfId="19924" xr:uid="{00000000-0005-0000-0000-0000540D0000}"/>
    <cellStyle name="Heading 2 45" xfId="19802" xr:uid="{00000000-0005-0000-0000-0000550D0000}"/>
    <cellStyle name="Heading 2 46" xfId="19962" xr:uid="{00000000-0005-0000-0000-0000560D0000}"/>
    <cellStyle name="Heading 2 47" xfId="19978" xr:uid="{00000000-0005-0000-0000-0000570D0000}"/>
    <cellStyle name="Heading 2 48" xfId="19993" xr:uid="{00000000-0005-0000-0000-0000580D0000}"/>
    <cellStyle name="Heading 2 49" xfId="20009" xr:uid="{00000000-0005-0000-0000-0000590D0000}"/>
    <cellStyle name="Heading 2 5" xfId="11183" xr:uid="{00000000-0005-0000-0000-00005A0D0000}"/>
    <cellStyle name="Heading 2 50" xfId="20024" xr:uid="{00000000-0005-0000-0000-00005B0D0000}"/>
    <cellStyle name="Heading 2 51" xfId="20040" xr:uid="{00000000-0005-0000-0000-00005C0D0000}"/>
    <cellStyle name="Heading 2 52" xfId="20055" xr:uid="{00000000-0005-0000-0000-00005D0D0000}"/>
    <cellStyle name="Heading 2 53" xfId="20070" xr:uid="{00000000-0005-0000-0000-00005E0D0000}"/>
    <cellStyle name="Heading 2 54" xfId="20084" xr:uid="{00000000-0005-0000-0000-00005F0D0000}"/>
    <cellStyle name="Heading 2 55" xfId="20100" xr:uid="{00000000-0005-0000-0000-0000600D0000}"/>
    <cellStyle name="Heading 2 56" xfId="20114" xr:uid="{00000000-0005-0000-0000-0000610D0000}"/>
    <cellStyle name="Heading 2 57" xfId="20129" xr:uid="{00000000-0005-0000-0000-0000620D0000}"/>
    <cellStyle name="Heading 2 58" xfId="20142" xr:uid="{00000000-0005-0000-0000-0000630D0000}"/>
    <cellStyle name="Heading 2 59" xfId="20156" xr:uid="{00000000-0005-0000-0000-0000640D0000}"/>
    <cellStyle name="Heading 2 6" xfId="11187" xr:uid="{00000000-0005-0000-0000-0000650D0000}"/>
    <cellStyle name="Heading 2 60" xfId="20171" xr:uid="{00000000-0005-0000-0000-0000660D0000}"/>
    <cellStyle name="Heading 2 61" xfId="20186" xr:uid="{00000000-0005-0000-0000-0000670D0000}"/>
    <cellStyle name="Heading 2 62" xfId="20202" xr:uid="{00000000-0005-0000-0000-0000680D0000}"/>
    <cellStyle name="Heading 2 63" xfId="20217" xr:uid="{00000000-0005-0000-0000-0000690D0000}"/>
    <cellStyle name="Heading 2 64" xfId="20234" xr:uid="{00000000-0005-0000-0000-00006A0D0000}"/>
    <cellStyle name="Heading 2 7" xfId="11230" xr:uid="{00000000-0005-0000-0000-00006B0D0000}"/>
    <cellStyle name="Heading 2 8" xfId="11246" xr:uid="{00000000-0005-0000-0000-00006C0D0000}"/>
    <cellStyle name="Heading 2 9" xfId="11252" xr:uid="{00000000-0005-0000-0000-00006D0D0000}"/>
    <cellStyle name="Heading 3" xfId="1741" builtinId="18" customBuiltin="1"/>
    <cellStyle name="Heading 3 10" xfId="11267" xr:uid="{00000000-0005-0000-0000-00006F0D0000}"/>
    <cellStyle name="Heading 3 11" xfId="11272" xr:uid="{00000000-0005-0000-0000-0000700D0000}"/>
    <cellStyle name="Heading 3 12" xfId="11304" xr:uid="{00000000-0005-0000-0000-0000710D0000}"/>
    <cellStyle name="Heading 3 13" xfId="11451" xr:uid="{00000000-0005-0000-0000-0000720D0000}"/>
    <cellStyle name="Heading 3 14" xfId="11434" xr:uid="{00000000-0005-0000-0000-0000730D0000}"/>
    <cellStyle name="Heading 3 15" xfId="11491" xr:uid="{00000000-0005-0000-0000-0000740D0000}"/>
    <cellStyle name="Heading 3 16" xfId="11508" xr:uid="{00000000-0005-0000-0000-0000750D0000}"/>
    <cellStyle name="Heading 3 17" xfId="11523" xr:uid="{00000000-0005-0000-0000-0000760D0000}"/>
    <cellStyle name="Heading 3 18" xfId="11540" xr:uid="{00000000-0005-0000-0000-0000770D0000}"/>
    <cellStyle name="Heading 3 19" xfId="11556" xr:uid="{00000000-0005-0000-0000-0000780D0000}"/>
    <cellStyle name="Heading 3 2" xfId="61" xr:uid="{00000000-0005-0000-0000-0000790D0000}"/>
    <cellStyle name="Heading 3 2 2" xfId="177" xr:uid="{00000000-0005-0000-0000-00007A0D0000}"/>
    <cellStyle name="Heading 3 20" xfId="11572" xr:uid="{00000000-0005-0000-0000-00007B0D0000}"/>
    <cellStyle name="Heading 3 21" xfId="11588" xr:uid="{00000000-0005-0000-0000-00007C0D0000}"/>
    <cellStyle name="Heading 3 22" xfId="11604" xr:uid="{00000000-0005-0000-0000-00007D0D0000}"/>
    <cellStyle name="Heading 3 23" xfId="11619" xr:uid="{00000000-0005-0000-0000-00007E0D0000}"/>
    <cellStyle name="Heading 3 24" xfId="11636" xr:uid="{00000000-0005-0000-0000-00007F0D0000}"/>
    <cellStyle name="Heading 3 25" xfId="11651" xr:uid="{00000000-0005-0000-0000-0000800D0000}"/>
    <cellStyle name="Heading 3 26" xfId="11667" xr:uid="{00000000-0005-0000-0000-0000810D0000}"/>
    <cellStyle name="Heading 3 27" xfId="11681" xr:uid="{00000000-0005-0000-0000-0000820D0000}"/>
    <cellStyle name="Heading 3 28" xfId="11696" xr:uid="{00000000-0005-0000-0000-0000830D0000}"/>
    <cellStyle name="Heading 3 29" xfId="11711" xr:uid="{00000000-0005-0000-0000-0000840D0000}"/>
    <cellStyle name="Heading 3 3" xfId="1040" xr:uid="{00000000-0005-0000-0000-0000850D0000}"/>
    <cellStyle name="Heading 3 3 2" xfId="11127" xr:uid="{00000000-0005-0000-0000-0000860D0000}"/>
    <cellStyle name="Heading 3 30" xfId="11726" xr:uid="{00000000-0005-0000-0000-0000870D0000}"/>
    <cellStyle name="Heading 3 31" xfId="11741" xr:uid="{00000000-0005-0000-0000-0000880D0000}"/>
    <cellStyle name="Heading 3 32" xfId="11756" xr:uid="{00000000-0005-0000-0000-0000890D0000}"/>
    <cellStyle name="Heading 3 33" xfId="11773" xr:uid="{00000000-0005-0000-0000-00008A0D0000}"/>
    <cellStyle name="Heading 3 34" xfId="19638" xr:uid="{00000000-0005-0000-0000-00008B0D0000}"/>
    <cellStyle name="Heading 3 35" xfId="19655" xr:uid="{00000000-0005-0000-0000-00008C0D0000}"/>
    <cellStyle name="Heading 3 36" xfId="19682" xr:uid="{00000000-0005-0000-0000-00008D0D0000}"/>
    <cellStyle name="Heading 3 37" xfId="19688" xr:uid="{00000000-0005-0000-0000-00008E0D0000}"/>
    <cellStyle name="Heading 3 38" xfId="19724" xr:uid="{00000000-0005-0000-0000-00008F0D0000}"/>
    <cellStyle name="Heading 3 39" xfId="19740" xr:uid="{00000000-0005-0000-0000-0000900D0000}"/>
    <cellStyle name="Heading 3 4" xfId="11143" xr:uid="{00000000-0005-0000-0000-0000910D0000}"/>
    <cellStyle name="Heading 3 40" xfId="19746" xr:uid="{00000000-0005-0000-0000-0000920D0000}"/>
    <cellStyle name="Heading 3 41" xfId="19762" xr:uid="{00000000-0005-0000-0000-0000930D0000}"/>
    <cellStyle name="Heading 3 42" xfId="19767" xr:uid="{00000000-0005-0000-0000-0000940D0000}"/>
    <cellStyle name="Heading 3 43" xfId="19786" xr:uid="{00000000-0005-0000-0000-0000950D0000}"/>
    <cellStyle name="Heading 3 44" xfId="19923" xr:uid="{00000000-0005-0000-0000-0000960D0000}"/>
    <cellStyle name="Heading 3 45" xfId="19907" xr:uid="{00000000-0005-0000-0000-0000970D0000}"/>
    <cellStyle name="Heading 3 46" xfId="19961" xr:uid="{00000000-0005-0000-0000-0000980D0000}"/>
    <cellStyle name="Heading 3 47" xfId="19977" xr:uid="{00000000-0005-0000-0000-0000990D0000}"/>
    <cellStyle name="Heading 3 48" xfId="19992" xr:uid="{00000000-0005-0000-0000-00009A0D0000}"/>
    <cellStyle name="Heading 3 49" xfId="20008" xr:uid="{00000000-0005-0000-0000-00009B0D0000}"/>
    <cellStyle name="Heading 3 5" xfId="11182" xr:uid="{00000000-0005-0000-0000-00009C0D0000}"/>
    <cellStyle name="Heading 3 50" xfId="20023" xr:uid="{00000000-0005-0000-0000-00009D0D0000}"/>
    <cellStyle name="Heading 3 51" xfId="20039" xr:uid="{00000000-0005-0000-0000-00009E0D0000}"/>
    <cellStyle name="Heading 3 52" xfId="20054" xr:uid="{00000000-0005-0000-0000-00009F0D0000}"/>
    <cellStyle name="Heading 3 53" xfId="20069" xr:uid="{00000000-0005-0000-0000-0000A00D0000}"/>
    <cellStyle name="Heading 3 54" xfId="20083" xr:uid="{00000000-0005-0000-0000-0000A10D0000}"/>
    <cellStyle name="Heading 3 55" xfId="20099" xr:uid="{00000000-0005-0000-0000-0000A20D0000}"/>
    <cellStyle name="Heading 3 56" xfId="20113" xr:uid="{00000000-0005-0000-0000-0000A30D0000}"/>
    <cellStyle name="Heading 3 57" xfId="20128" xr:uid="{00000000-0005-0000-0000-0000A40D0000}"/>
    <cellStyle name="Heading 3 58" xfId="20141" xr:uid="{00000000-0005-0000-0000-0000A50D0000}"/>
    <cellStyle name="Heading 3 59" xfId="20155" xr:uid="{00000000-0005-0000-0000-0000A60D0000}"/>
    <cellStyle name="Heading 3 6" xfId="11188" xr:uid="{00000000-0005-0000-0000-0000A70D0000}"/>
    <cellStyle name="Heading 3 60" xfId="20170" xr:uid="{00000000-0005-0000-0000-0000A80D0000}"/>
    <cellStyle name="Heading 3 61" xfId="20185" xr:uid="{00000000-0005-0000-0000-0000A90D0000}"/>
    <cellStyle name="Heading 3 62" xfId="20201" xr:uid="{00000000-0005-0000-0000-0000AA0D0000}"/>
    <cellStyle name="Heading 3 63" xfId="20216" xr:uid="{00000000-0005-0000-0000-0000AB0D0000}"/>
    <cellStyle name="Heading 3 64" xfId="20233" xr:uid="{00000000-0005-0000-0000-0000AC0D0000}"/>
    <cellStyle name="Heading 3 7" xfId="11229" xr:uid="{00000000-0005-0000-0000-0000AD0D0000}"/>
    <cellStyle name="Heading 3 8" xfId="11245" xr:uid="{00000000-0005-0000-0000-0000AE0D0000}"/>
    <cellStyle name="Heading 3 9" xfId="11251" xr:uid="{00000000-0005-0000-0000-0000AF0D0000}"/>
    <cellStyle name="Heading 4" xfId="1742" builtinId="19" customBuiltin="1"/>
    <cellStyle name="Heading 4 10" xfId="11266" xr:uid="{00000000-0005-0000-0000-0000B10D0000}"/>
    <cellStyle name="Heading 4 11" xfId="11273" xr:uid="{00000000-0005-0000-0000-0000B20D0000}"/>
    <cellStyle name="Heading 4 12" xfId="11305" xr:uid="{00000000-0005-0000-0000-0000B30D0000}"/>
    <cellStyle name="Heading 4 13" xfId="11450" xr:uid="{00000000-0005-0000-0000-0000B40D0000}"/>
    <cellStyle name="Heading 4 14" xfId="11325" xr:uid="{00000000-0005-0000-0000-0000B50D0000}"/>
    <cellStyle name="Heading 4 15" xfId="11490" xr:uid="{00000000-0005-0000-0000-0000B60D0000}"/>
    <cellStyle name="Heading 4 16" xfId="11507" xr:uid="{00000000-0005-0000-0000-0000B70D0000}"/>
    <cellStyle name="Heading 4 17" xfId="11522" xr:uid="{00000000-0005-0000-0000-0000B80D0000}"/>
    <cellStyle name="Heading 4 18" xfId="11539" xr:uid="{00000000-0005-0000-0000-0000B90D0000}"/>
    <cellStyle name="Heading 4 19" xfId="11555" xr:uid="{00000000-0005-0000-0000-0000BA0D0000}"/>
    <cellStyle name="Heading 4 2" xfId="62" xr:uid="{00000000-0005-0000-0000-0000BB0D0000}"/>
    <cellStyle name="Heading 4 2 2" xfId="178" xr:uid="{00000000-0005-0000-0000-0000BC0D0000}"/>
    <cellStyle name="Heading 4 20" xfId="11571" xr:uid="{00000000-0005-0000-0000-0000BD0D0000}"/>
    <cellStyle name="Heading 4 21" xfId="11587" xr:uid="{00000000-0005-0000-0000-0000BE0D0000}"/>
    <cellStyle name="Heading 4 22" xfId="11603" xr:uid="{00000000-0005-0000-0000-0000BF0D0000}"/>
    <cellStyle name="Heading 4 23" xfId="11618" xr:uid="{00000000-0005-0000-0000-0000C00D0000}"/>
    <cellStyle name="Heading 4 24" xfId="11635" xr:uid="{00000000-0005-0000-0000-0000C10D0000}"/>
    <cellStyle name="Heading 4 25" xfId="11650" xr:uid="{00000000-0005-0000-0000-0000C20D0000}"/>
    <cellStyle name="Heading 4 26" xfId="11666" xr:uid="{00000000-0005-0000-0000-0000C30D0000}"/>
    <cellStyle name="Heading 4 27" xfId="11680" xr:uid="{00000000-0005-0000-0000-0000C40D0000}"/>
    <cellStyle name="Heading 4 28" xfId="11695" xr:uid="{00000000-0005-0000-0000-0000C50D0000}"/>
    <cellStyle name="Heading 4 29" xfId="11710" xr:uid="{00000000-0005-0000-0000-0000C60D0000}"/>
    <cellStyle name="Heading 4 3" xfId="1041" xr:uid="{00000000-0005-0000-0000-0000C70D0000}"/>
    <cellStyle name="Heading 4 3 2" xfId="11128" xr:uid="{00000000-0005-0000-0000-0000C80D0000}"/>
    <cellStyle name="Heading 4 30" xfId="11725" xr:uid="{00000000-0005-0000-0000-0000C90D0000}"/>
    <cellStyle name="Heading 4 31" xfId="11740" xr:uid="{00000000-0005-0000-0000-0000CA0D0000}"/>
    <cellStyle name="Heading 4 32" xfId="11755" xr:uid="{00000000-0005-0000-0000-0000CB0D0000}"/>
    <cellStyle name="Heading 4 33" xfId="11772" xr:uid="{00000000-0005-0000-0000-0000CC0D0000}"/>
    <cellStyle name="Heading 4 34" xfId="19639" xr:uid="{00000000-0005-0000-0000-0000CD0D0000}"/>
    <cellStyle name="Heading 4 35" xfId="19656" xr:uid="{00000000-0005-0000-0000-0000CE0D0000}"/>
    <cellStyle name="Heading 4 36" xfId="19681" xr:uid="{00000000-0005-0000-0000-0000CF0D0000}"/>
    <cellStyle name="Heading 4 37" xfId="19689" xr:uid="{00000000-0005-0000-0000-0000D00D0000}"/>
    <cellStyle name="Heading 4 38" xfId="19723" xr:uid="{00000000-0005-0000-0000-0000D10D0000}"/>
    <cellStyle name="Heading 4 39" xfId="19739" xr:uid="{00000000-0005-0000-0000-0000D20D0000}"/>
    <cellStyle name="Heading 4 4" xfId="11144" xr:uid="{00000000-0005-0000-0000-0000D30D0000}"/>
    <cellStyle name="Heading 4 40" xfId="19745" xr:uid="{00000000-0005-0000-0000-0000D40D0000}"/>
    <cellStyle name="Heading 4 41" xfId="19761" xr:uid="{00000000-0005-0000-0000-0000D50D0000}"/>
    <cellStyle name="Heading 4 42" xfId="19768" xr:uid="{00000000-0005-0000-0000-0000D60D0000}"/>
    <cellStyle name="Heading 4 43" xfId="19787" xr:uid="{00000000-0005-0000-0000-0000D70D0000}"/>
    <cellStyle name="Heading 4 44" xfId="19922" xr:uid="{00000000-0005-0000-0000-0000D80D0000}"/>
    <cellStyle name="Heading 4 45" xfId="19803" xr:uid="{00000000-0005-0000-0000-0000D90D0000}"/>
    <cellStyle name="Heading 4 46" xfId="19960" xr:uid="{00000000-0005-0000-0000-0000DA0D0000}"/>
    <cellStyle name="Heading 4 47" xfId="19976" xr:uid="{00000000-0005-0000-0000-0000DB0D0000}"/>
    <cellStyle name="Heading 4 48" xfId="19991" xr:uid="{00000000-0005-0000-0000-0000DC0D0000}"/>
    <cellStyle name="Heading 4 49" xfId="20007" xr:uid="{00000000-0005-0000-0000-0000DD0D0000}"/>
    <cellStyle name="Heading 4 5" xfId="11181" xr:uid="{00000000-0005-0000-0000-0000DE0D0000}"/>
    <cellStyle name="Heading 4 50" xfId="20022" xr:uid="{00000000-0005-0000-0000-0000DF0D0000}"/>
    <cellStyle name="Heading 4 51" xfId="20038" xr:uid="{00000000-0005-0000-0000-0000E00D0000}"/>
    <cellStyle name="Heading 4 52" xfId="20053" xr:uid="{00000000-0005-0000-0000-0000E10D0000}"/>
    <cellStyle name="Heading 4 53" xfId="20068" xr:uid="{00000000-0005-0000-0000-0000E20D0000}"/>
    <cellStyle name="Heading 4 54" xfId="20082" xr:uid="{00000000-0005-0000-0000-0000E30D0000}"/>
    <cellStyle name="Heading 4 55" xfId="20098" xr:uid="{00000000-0005-0000-0000-0000E40D0000}"/>
    <cellStyle name="Heading 4 56" xfId="20112" xr:uid="{00000000-0005-0000-0000-0000E50D0000}"/>
    <cellStyle name="Heading 4 57" xfId="20127" xr:uid="{00000000-0005-0000-0000-0000E60D0000}"/>
    <cellStyle name="Heading 4 58" xfId="20140" xr:uid="{00000000-0005-0000-0000-0000E70D0000}"/>
    <cellStyle name="Heading 4 59" xfId="20154" xr:uid="{00000000-0005-0000-0000-0000E80D0000}"/>
    <cellStyle name="Heading 4 6" xfId="11189" xr:uid="{00000000-0005-0000-0000-0000E90D0000}"/>
    <cellStyle name="Heading 4 60" xfId="20169" xr:uid="{00000000-0005-0000-0000-0000EA0D0000}"/>
    <cellStyle name="Heading 4 61" xfId="20184" xr:uid="{00000000-0005-0000-0000-0000EB0D0000}"/>
    <cellStyle name="Heading 4 62" xfId="20200" xr:uid="{00000000-0005-0000-0000-0000EC0D0000}"/>
    <cellStyle name="Heading 4 63" xfId="20215" xr:uid="{00000000-0005-0000-0000-0000ED0D0000}"/>
    <cellStyle name="Heading 4 64" xfId="20232" xr:uid="{00000000-0005-0000-0000-0000EE0D0000}"/>
    <cellStyle name="Heading 4 7" xfId="11228" xr:uid="{00000000-0005-0000-0000-0000EF0D0000}"/>
    <cellStyle name="Heading 4 8" xfId="11244" xr:uid="{00000000-0005-0000-0000-0000F00D0000}"/>
    <cellStyle name="Heading 4 9" xfId="11250" xr:uid="{00000000-0005-0000-0000-0000F10D0000}"/>
    <cellStyle name="Heading No Underline" xfId="2096" xr:uid="{00000000-0005-0000-0000-0000F20D0000}"/>
    <cellStyle name="Heading No Underline 2" xfId="36190" xr:uid="{00000000-0005-0000-0000-0000F30D0000}"/>
    <cellStyle name="Heading With Underline" xfId="2127" xr:uid="{00000000-0005-0000-0000-0000F40D0000}"/>
    <cellStyle name="Heading With Underline 2" xfId="36191" xr:uid="{00000000-0005-0000-0000-0000F50D0000}"/>
    <cellStyle name="Hipervínculo" xfId="1909" xr:uid="{00000000-0005-0000-0000-0000F60D0000}"/>
    <cellStyle name="HNU" xfId="2005" xr:uid="{00000000-0005-0000-0000-0000F70D0000}"/>
    <cellStyle name="Hyperlink 2" xfId="363" xr:uid="{00000000-0005-0000-0000-0000F80D0000}"/>
    <cellStyle name="Hyperlink 2 2" xfId="6609" xr:uid="{00000000-0005-0000-0000-0000F90D0000}"/>
    <cellStyle name="Hyperlink 2 3" xfId="2442" xr:uid="{00000000-0005-0000-0000-0000FA0D0000}"/>
    <cellStyle name="Hyperlink 2 4" xfId="1910" xr:uid="{00000000-0005-0000-0000-0000FB0D0000}"/>
    <cellStyle name="Hyperlink 3" xfId="6610" hidden="1" xr:uid="{00000000-0005-0000-0000-0000FC0D0000}"/>
    <cellStyle name="Hyperlink 3" xfId="10907" hidden="1" xr:uid="{00000000-0005-0000-0000-0000FD0D0000}"/>
    <cellStyle name="Hyperlink 3" xfId="10920" hidden="1" xr:uid="{00000000-0005-0000-0000-0000FE0D0000}"/>
    <cellStyle name="Hyperlink 3" xfId="10897" hidden="1" xr:uid="{00000000-0005-0000-0000-0000FF0D0000}"/>
    <cellStyle name="Hyperlink 3" xfId="10924" hidden="1" xr:uid="{00000000-0005-0000-0000-0000000E0000}"/>
    <cellStyle name="Hyperlink 3" xfId="10891" hidden="1" xr:uid="{00000000-0005-0000-0000-0000010E0000}"/>
    <cellStyle name="Hyperlink 3" xfId="10930" hidden="1" xr:uid="{00000000-0005-0000-0000-0000020E0000}"/>
    <cellStyle name="Hyperlink 3" xfId="10912" hidden="1" xr:uid="{00000000-0005-0000-0000-0000030E0000}"/>
    <cellStyle name="Hyperlink 3" xfId="10934" hidden="1" xr:uid="{00000000-0005-0000-0000-0000040E0000}"/>
    <cellStyle name="Hyperlink 3" xfId="10914" hidden="1" xr:uid="{00000000-0005-0000-0000-0000050E0000}"/>
    <cellStyle name="Hyperlink 3" xfId="10941" hidden="1" xr:uid="{00000000-0005-0000-0000-0000060E0000}"/>
    <cellStyle name="Hyperlink 3" xfId="11054" hidden="1" xr:uid="{00000000-0005-0000-0000-0000070E0000}"/>
    <cellStyle name="Hyperlink 3" xfId="11060" hidden="1" xr:uid="{00000000-0005-0000-0000-0000080E0000}"/>
    <cellStyle name="Hyperlink 3" xfId="11053" hidden="1" xr:uid="{00000000-0005-0000-0000-0000090E0000}"/>
    <cellStyle name="Hyperlink 3" xfId="11064" hidden="1" xr:uid="{00000000-0005-0000-0000-00000A0E0000}"/>
    <cellStyle name="Hyperlink 3" xfId="11052" hidden="1" xr:uid="{00000000-0005-0000-0000-00000B0E0000}"/>
    <cellStyle name="Hyperlink 3" xfId="11068" hidden="1" xr:uid="{00000000-0005-0000-0000-00000C0E0000}"/>
    <cellStyle name="Hyperlink 3" xfId="11058" hidden="1" xr:uid="{00000000-0005-0000-0000-00000D0E0000}"/>
    <cellStyle name="Hyperlink 3" xfId="11072" hidden="1" xr:uid="{00000000-0005-0000-0000-00000E0E0000}"/>
    <cellStyle name="Hyperlink 3" xfId="11059" hidden="1" xr:uid="{00000000-0005-0000-0000-00000F0E0000}"/>
    <cellStyle name="Hyperlink 3" xfId="11076" xr:uid="{00000000-0005-0000-0000-0000100E0000}"/>
    <cellStyle name="Hyperlink 4" xfId="10908" hidden="1" xr:uid="{00000000-0005-0000-0000-0000110E0000}"/>
    <cellStyle name="Hyperlink 4" xfId="10921" hidden="1" xr:uid="{00000000-0005-0000-0000-0000120E0000}"/>
    <cellStyle name="Hyperlink 4" xfId="10926" hidden="1" xr:uid="{00000000-0005-0000-0000-0000130E0000}"/>
    <cellStyle name="Hyperlink 4" xfId="10931" hidden="1" xr:uid="{00000000-0005-0000-0000-0000140E0000}"/>
    <cellStyle name="Hyperlink 4" xfId="10935" hidden="1" xr:uid="{00000000-0005-0000-0000-0000150E0000}"/>
    <cellStyle name="Hyperlink 4" xfId="11055" hidden="1" xr:uid="{00000000-0005-0000-0000-0000160E0000}"/>
    <cellStyle name="Hyperlink 4" xfId="11061" hidden="1" xr:uid="{00000000-0005-0000-0000-0000170E0000}"/>
    <cellStyle name="Hyperlink 4" xfId="11065" hidden="1" xr:uid="{00000000-0005-0000-0000-0000180E0000}"/>
    <cellStyle name="Hyperlink 4" xfId="11069" hidden="1" xr:uid="{00000000-0005-0000-0000-0000190E0000}"/>
    <cellStyle name="Hyperlink 4" xfId="11073" hidden="1" xr:uid="{00000000-0005-0000-0000-00001A0E0000}"/>
    <cellStyle name="Hyperlink 4" xfId="28095" xr:uid="{00000000-0005-0000-0000-00001B0E0000}"/>
    <cellStyle name="Hyperlink 5" xfId="10909" hidden="1" xr:uid="{00000000-0005-0000-0000-00001C0E0000}"/>
    <cellStyle name="Hyperlink 5" xfId="10922" hidden="1" xr:uid="{00000000-0005-0000-0000-00001D0E0000}"/>
    <cellStyle name="Hyperlink 5" xfId="10927" hidden="1" xr:uid="{00000000-0005-0000-0000-00001E0E0000}"/>
    <cellStyle name="Hyperlink 5" xfId="10932" hidden="1" xr:uid="{00000000-0005-0000-0000-00001F0E0000}"/>
    <cellStyle name="Hyperlink 5" xfId="10936" hidden="1" xr:uid="{00000000-0005-0000-0000-0000200E0000}"/>
    <cellStyle name="Hyperlink 5" xfId="11056" hidden="1" xr:uid="{00000000-0005-0000-0000-0000210E0000}"/>
    <cellStyle name="Hyperlink 5" xfId="11062" hidden="1" xr:uid="{00000000-0005-0000-0000-0000220E0000}"/>
    <cellStyle name="Hyperlink 5" xfId="11066" hidden="1" xr:uid="{00000000-0005-0000-0000-0000230E0000}"/>
    <cellStyle name="Hyperlink 5" xfId="11070" hidden="1" xr:uid="{00000000-0005-0000-0000-0000240E0000}"/>
    <cellStyle name="Hyperlink 5" xfId="11074" hidden="1" xr:uid="{00000000-0005-0000-0000-0000250E0000}"/>
    <cellStyle name="Hyperlink 6" xfId="10910" hidden="1" xr:uid="{00000000-0005-0000-0000-0000260E0000}"/>
    <cellStyle name="Hyperlink 6" xfId="10923" hidden="1" xr:uid="{00000000-0005-0000-0000-0000270E0000}"/>
    <cellStyle name="Hyperlink 6" xfId="10929" hidden="1" xr:uid="{00000000-0005-0000-0000-0000280E0000}"/>
    <cellStyle name="Hyperlink 6" xfId="10933" hidden="1" xr:uid="{00000000-0005-0000-0000-0000290E0000}"/>
    <cellStyle name="Hyperlink 6" xfId="10937" hidden="1" xr:uid="{00000000-0005-0000-0000-00002A0E0000}"/>
    <cellStyle name="Hyperlink 6" xfId="11057" hidden="1" xr:uid="{00000000-0005-0000-0000-00002B0E0000}"/>
    <cellStyle name="Hyperlink 6" xfId="11063" hidden="1" xr:uid="{00000000-0005-0000-0000-00002C0E0000}"/>
    <cellStyle name="Hyperlink 6" xfId="11067" hidden="1" xr:uid="{00000000-0005-0000-0000-00002D0E0000}"/>
    <cellStyle name="Hyperlink 6" xfId="11071" hidden="1" xr:uid="{00000000-0005-0000-0000-00002E0E0000}"/>
    <cellStyle name="Hyperlink 6" xfId="11075" hidden="1" xr:uid="{00000000-0005-0000-0000-00002F0E0000}"/>
    <cellStyle name="Hyperlink seguido" xfId="1911" xr:uid="{00000000-0005-0000-0000-0000300E0000}"/>
    <cellStyle name="IDG&quot;5&quot;" xfId="179" xr:uid="{00000000-0005-0000-0000-0000310E0000}"/>
    <cellStyle name="IDG&quot;5&quot; 2" xfId="10408" xr:uid="{00000000-0005-0000-0000-0000320E0000}"/>
    <cellStyle name="IDG&quot;5&quot; 3" xfId="11108" xr:uid="{00000000-0005-0000-0000-0000330E0000}"/>
    <cellStyle name="IDG&quot;8&quot;" xfId="180" xr:uid="{00000000-0005-0000-0000-0000340E0000}"/>
    <cellStyle name="IDG&quot;8&quot; 2" xfId="10409" xr:uid="{00000000-0005-0000-0000-0000350E0000}"/>
    <cellStyle name="IDG&quot;8&quot; 3" xfId="11109" xr:uid="{00000000-0005-0000-0000-0000360E0000}"/>
    <cellStyle name="imput" xfId="1042" xr:uid="{00000000-0005-0000-0000-0000370E0000}"/>
    <cellStyle name="Incorrecto" xfId="1912" xr:uid="{00000000-0005-0000-0000-0000380E0000}"/>
    <cellStyle name="Incorreto" xfId="1913" xr:uid="{00000000-0005-0000-0000-0000390E0000}"/>
    <cellStyle name="Information%" xfId="364" xr:uid="{00000000-0005-0000-0000-00003A0E0000}"/>
    <cellStyle name="Input" xfId="1746" builtinId="20" customBuiltin="1"/>
    <cellStyle name="Input [yellow]" xfId="1914" xr:uid="{00000000-0005-0000-0000-00003C0E0000}"/>
    <cellStyle name="Input 10" xfId="11262" xr:uid="{00000000-0005-0000-0000-00003D0E0000}"/>
    <cellStyle name="Input 11" xfId="11277" xr:uid="{00000000-0005-0000-0000-00003E0E0000}"/>
    <cellStyle name="Input 12" xfId="11309" xr:uid="{00000000-0005-0000-0000-00003F0E0000}"/>
    <cellStyle name="Input 13" xfId="11445" xr:uid="{00000000-0005-0000-0000-0000400E0000}"/>
    <cellStyle name="Input 14" xfId="11328" xr:uid="{00000000-0005-0000-0000-0000410E0000}"/>
    <cellStyle name="Input 15" xfId="11486" xr:uid="{00000000-0005-0000-0000-0000420E0000}"/>
    <cellStyle name="Input 16" xfId="11503" xr:uid="{00000000-0005-0000-0000-0000430E0000}"/>
    <cellStyle name="Input 17" xfId="11518" xr:uid="{00000000-0005-0000-0000-0000440E0000}"/>
    <cellStyle name="Input 18" xfId="11535" xr:uid="{00000000-0005-0000-0000-0000450E0000}"/>
    <cellStyle name="Input 19" xfId="11551" xr:uid="{00000000-0005-0000-0000-0000460E0000}"/>
    <cellStyle name="Input 2" xfId="63" xr:uid="{00000000-0005-0000-0000-0000470E0000}"/>
    <cellStyle name="Input 2 2" xfId="181" xr:uid="{00000000-0005-0000-0000-0000480E0000}"/>
    <cellStyle name="Input 2 2 2" xfId="1591" xr:uid="{00000000-0005-0000-0000-0000490E0000}"/>
    <cellStyle name="Input 2 2 2 2" xfId="1634" xr:uid="{00000000-0005-0000-0000-00004A0E0000}"/>
    <cellStyle name="Input 2 2 2 3" xfId="1653" xr:uid="{00000000-0005-0000-0000-00004B0E0000}"/>
    <cellStyle name="Input 2 2 3" xfId="1613" xr:uid="{00000000-0005-0000-0000-00004C0E0000}"/>
    <cellStyle name="Input 2 2 4" xfId="11114" xr:uid="{00000000-0005-0000-0000-00004D0E0000}"/>
    <cellStyle name="Input 2 3" xfId="1585" xr:uid="{00000000-0005-0000-0000-00004E0E0000}"/>
    <cellStyle name="Input 2 3 2" xfId="1628" xr:uid="{00000000-0005-0000-0000-00004F0E0000}"/>
    <cellStyle name="Input 2 3 3" xfId="1647" xr:uid="{00000000-0005-0000-0000-0000500E0000}"/>
    <cellStyle name="Input 2 4" xfId="1608" xr:uid="{00000000-0005-0000-0000-0000510E0000}"/>
    <cellStyle name="Input 2 5" xfId="11113" xr:uid="{00000000-0005-0000-0000-0000520E0000}"/>
    <cellStyle name="Input 20" xfId="11567" xr:uid="{00000000-0005-0000-0000-0000530E0000}"/>
    <cellStyle name="Input 21" xfId="11583" xr:uid="{00000000-0005-0000-0000-0000540E0000}"/>
    <cellStyle name="Input 22" xfId="11599" xr:uid="{00000000-0005-0000-0000-0000550E0000}"/>
    <cellStyle name="Input 23" xfId="11614" xr:uid="{00000000-0005-0000-0000-0000560E0000}"/>
    <cellStyle name="Input 24" xfId="11631" xr:uid="{00000000-0005-0000-0000-0000570E0000}"/>
    <cellStyle name="Input 25" xfId="11646" xr:uid="{00000000-0005-0000-0000-0000580E0000}"/>
    <cellStyle name="Input 26" xfId="11662" xr:uid="{00000000-0005-0000-0000-0000590E0000}"/>
    <cellStyle name="Input 27" xfId="11676" xr:uid="{00000000-0005-0000-0000-00005A0E0000}"/>
    <cellStyle name="Input 28" xfId="11691" xr:uid="{00000000-0005-0000-0000-00005B0E0000}"/>
    <cellStyle name="Input 29" xfId="11706" xr:uid="{00000000-0005-0000-0000-00005C0E0000}"/>
    <cellStyle name="Input 3" xfId="1043" xr:uid="{00000000-0005-0000-0000-00005D0E0000}"/>
    <cellStyle name="Input 3 2" xfId="1598" xr:uid="{00000000-0005-0000-0000-00005E0E0000}"/>
    <cellStyle name="Input 3 2 2" xfId="1640" xr:uid="{00000000-0005-0000-0000-00005F0E0000}"/>
    <cellStyle name="Input 3 2 3" xfId="1659" xr:uid="{00000000-0005-0000-0000-0000600E0000}"/>
    <cellStyle name="Input 3 3" xfId="1623" xr:uid="{00000000-0005-0000-0000-0000610E0000}"/>
    <cellStyle name="Input 3 4" xfId="1622" xr:uid="{00000000-0005-0000-0000-0000620E0000}"/>
    <cellStyle name="Input 3 5" xfId="11132" xr:uid="{00000000-0005-0000-0000-0000630E0000}"/>
    <cellStyle name="Input 30" xfId="11721" xr:uid="{00000000-0005-0000-0000-0000640E0000}"/>
    <cellStyle name="Input 31" xfId="11736" xr:uid="{00000000-0005-0000-0000-0000650E0000}"/>
    <cellStyle name="Input 32" xfId="11751" xr:uid="{00000000-0005-0000-0000-0000660E0000}"/>
    <cellStyle name="Input 33" xfId="11768" xr:uid="{00000000-0005-0000-0000-0000670E0000}"/>
    <cellStyle name="Input 34" xfId="19643" xr:uid="{00000000-0005-0000-0000-0000680E0000}"/>
    <cellStyle name="Input 35" xfId="19660" xr:uid="{00000000-0005-0000-0000-0000690E0000}"/>
    <cellStyle name="Input 36" xfId="19677" xr:uid="{00000000-0005-0000-0000-00006A0E0000}"/>
    <cellStyle name="Input 37" xfId="19693" xr:uid="{00000000-0005-0000-0000-00006B0E0000}"/>
    <cellStyle name="Input 38" xfId="19719" xr:uid="{00000000-0005-0000-0000-00006C0E0000}"/>
    <cellStyle name="Input 39" xfId="19735" xr:uid="{00000000-0005-0000-0000-00006D0E0000}"/>
    <cellStyle name="Input 4" xfId="11148" xr:uid="{00000000-0005-0000-0000-00006E0E0000}"/>
    <cellStyle name="Input 40" xfId="19709" xr:uid="{00000000-0005-0000-0000-00006F0E0000}"/>
    <cellStyle name="Input 41" xfId="19757" xr:uid="{00000000-0005-0000-0000-0000700E0000}"/>
    <cellStyle name="Input 42" xfId="19772" xr:uid="{00000000-0005-0000-0000-0000710E0000}"/>
    <cellStyle name="Input 43" xfId="19791" xr:uid="{00000000-0005-0000-0000-0000720E0000}"/>
    <cellStyle name="Input 44" xfId="19918" xr:uid="{00000000-0005-0000-0000-0000730E0000}"/>
    <cellStyle name="Input 45" xfId="19806" xr:uid="{00000000-0005-0000-0000-0000740E0000}"/>
    <cellStyle name="Input 46" xfId="19956" xr:uid="{00000000-0005-0000-0000-0000750E0000}"/>
    <cellStyle name="Input 47" xfId="19972" xr:uid="{00000000-0005-0000-0000-0000760E0000}"/>
    <cellStyle name="Input 48" xfId="19987" xr:uid="{00000000-0005-0000-0000-0000770E0000}"/>
    <cellStyle name="Input 49" xfId="20003" xr:uid="{00000000-0005-0000-0000-0000780E0000}"/>
    <cellStyle name="Input 5" xfId="11176" xr:uid="{00000000-0005-0000-0000-0000790E0000}"/>
    <cellStyle name="Input 50" xfId="20018" xr:uid="{00000000-0005-0000-0000-00007A0E0000}"/>
    <cellStyle name="Input 51" xfId="20034" xr:uid="{00000000-0005-0000-0000-00007B0E0000}"/>
    <cellStyle name="Input 52" xfId="20049" xr:uid="{00000000-0005-0000-0000-00007C0E0000}"/>
    <cellStyle name="Input 53" xfId="20064" xr:uid="{00000000-0005-0000-0000-00007D0E0000}"/>
    <cellStyle name="Input 54" xfId="20078" xr:uid="{00000000-0005-0000-0000-00007E0E0000}"/>
    <cellStyle name="Input 55" xfId="20094" xr:uid="{00000000-0005-0000-0000-00007F0E0000}"/>
    <cellStyle name="Input 56" xfId="20108" xr:uid="{00000000-0005-0000-0000-0000800E0000}"/>
    <cellStyle name="Input 57" xfId="20123" xr:uid="{00000000-0005-0000-0000-0000810E0000}"/>
    <cellStyle name="Input 58" xfId="20136" xr:uid="{00000000-0005-0000-0000-0000820E0000}"/>
    <cellStyle name="Input 59" xfId="20150" xr:uid="{00000000-0005-0000-0000-0000830E0000}"/>
    <cellStyle name="Input 6" xfId="11193" xr:uid="{00000000-0005-0000-0000-0000840E0000}"/>
    <cellStyle name="Input 60" xfId="20165" xr:uid="{00000000-0005-0000-0000-0000850E0000}"/>
    <cellStyle name="Input 61" xfId="20180" xr:uid="{00000000-0005-0000-0000-0000860E0000}"/>
    <cellStyle name="Input 62" xfId="20196" xr:uid="{00000000-0005-0000-0000-0000870E0000}"/>
    <cellStyle name="Input 63" xfId="20211" xr:uid="{00000000-0005-0000-0000-0000880E0000}"/>
    <cellStyle name="Input 64" xfId="20228" xr:uid="{00000000-0005-0000-0000-0000890E0000}"/>
    <cellStyle name="Input 7" xfId="11224" xr:uid="{00000000-0005-0000-0000-00008A0E0000}"/>
    <cellStyle name="Input 8" xfId="11240" xr:uid="{00000000-0005-0000-0000-00008B0E0000}"/>
    <cellStyle name="Input 9" xfId="11213" xr:uid="{00000000-0005-0000-0000-00008C0E0000}"/>
    <cellStyle name="Input Box" xfId="1915" xr:uid="{00000000-0005-0000-0000-00008D0E0000}"/>
    <cellStyle name="InputBlueFont" xfId="1044" xr:uid="{00000000-0005-0000-0000-00008E0E0000}"/>
    <cellStyle name="Integer" xfId="1916" xr:uid="{00000000-0005-0000-0000-00008F0E0000}"/>
    <cellStyle name="Invisible" xfId="365" xr:uid="{00000000-0005-0000-0000-0000900E0000}"/>
    <cellStyle name="Invisible 2" xfId="366" xr:uid="{00000000-0005-0000-0000-0000910E0000}"/>
    <cellStyle name="Invisible 3" xfId="1045" xr:uid="{00000000-0005-0000-0000-0000920E0000}"/>
    <cellStyle name="Italic" xfId="1917" xr:uid="{00000000-0005-0000-0000-0000930E0000}"/>
    <cellStyle name="Item" xfId="1918" xr:uid="{00000000-0005-0000-0000-0000940E0000}"/>
    <cellStyle name="ItemTypeClass" xfId="1919" xr:uid="{00000000-0005-0000-0000-0000950E0000}"/>
    <cellStyle name="ItemTypeClass 2" xfId="11088" xr:uid="{00000000-0005-0000-0000-0000960E0000}"/>
    <cellStyle name="jo[" xfId="1920" xr:uid="{00000000-0005-0000-0000-0000970E0000}"/>
    <cellStyle name="Line" xfId="1046" xr:uid="{00000000-0005-0000-0000-0000980E0000}"/>
    <cellStyle name="Linked Cell" xfId="1749" builtinId="24" customBuiltin="1"/>
    <cellStyle name="Linked Cell 10" xfId="11259" xr:uid="{00000000-0005-0000-0000-00009A0E0000}"/>
    <cellStyle name="Linked Cell 11" xfId="11280" xr:uid="{00000000-0005-0000-0000-00009B0E0000}"/>
    <cellStyle name="Linked Cell 12" xfId="11312" xr:uid="{00000000-0005-0000-0000-00009C0E0000}"/>
    <cellStyle name="Linked Cell 13" xfId="11442" xr:uid="{00000000-0005-0000-0000-00009D0E0000}"/>
    <cellStyle name="Linked Cell 14" xfId="11331" xr:uid="{00000000-0005-0000-0000-00009E0E0000}"/>
    <cellStyle name="Linked Cell 15" xfId="11483" xr:uid="{00000000-0005-0000-0000-00009F0E0000}"/>
    <cellStyle name="Linked Cell 16" xfId="11500" xr:uid="{00000000-0005-0000-0000-0000A00E0000}"/>
    <cellStyle name="Linked Cell 17" xfId="11515" xr:uid="{00000000-0005-0000-0000-0000A10E0000}"/>
    <cellStyle name="Linked Cell 18" xfId="11532" xr:uid="{00000000-0005-0000-0000-0000A20E0000}"/>
    <cellStyle name="Linked Cell 19" xfId="11548" xr:uid="{00000000-0005-0000-0000-0000A30E0000}"/>
    <cellStyle name="Linked Cell 2" xfId="64" xr:uid="{00000000-0005-0000-0000-0000A40E0000}"/>
    <cellStyle name="Linked Cell 2 2" xfId="182" xr:uid="{00000000-0005-0000-0000-0000A50E0000}"/>
    <cellStyle name="Linked Cell 20" xfId="11564" xr:uid="{00000000-0005-0000-0000-0000A60E0000}"/>
    <cellStyle name="Linked Cell 21" xfId="11580" xr:uid="{00000000-0005-0000-0000-0000A70E0000}"/>
    <cellStyle name="Linked Cell 22" xfId="11596" xr:uid="{00000000-0005-0000-0000-0000A80E0000}"/>
    <cellStyle name="Linked Cell 23" xfId="11611" xr:uid="{00000000-0005-0000-0000-0000A90E0000}"/>
    <cellStyle name="Linked Cell 24" xfId="11628" xr:uid="{00000000-0005-0000-0000-0000AA0E0000}"/>
    <cellStyle name="Linked Cell 25" xfId="11643" xr:uid="{00000000-0005-0000-0000-0000AB0E0000}"/>
    <cellStyle name="Linked Cell 26" xfId="11659" xr:uid="{00000000-0005-0000-0000-0000AC0E0000}"/>
    <cellStyle name="Linked Cell 27" xfId="11673" xr:uid="{00000000-0005-0000-0000-0000AD0E0000}"/>
    <cellStyle name="Linked Cell 28" xfId="11688" xr:uid="{00000000-0005-0000-0000-0000AE0E0000}"/>
    <cellStyle name="Linked Cell 29" xfId="11703" xr:uid="{00000000-0005-0000-0000-0000AF0E0000}"/>
    <cellStyle name="Linked Cell 3" xfId="1047" xr:uid="{00000000-0005-0000-0000-0000B00E0000}"/>
    <cellStyle name="Linked Cell 3 2" xfId="11135" xr:uid="{00000000-0005-0000-0000-0000B10E0000}"/>
    <cellStyle name="Linked Cell 30" xfId="11718" xr:uid="{00000000-0005-0000-0000-0000B20E0000}"/>
    <cellStyle name="Linked Cell 31" xfId="11733" xr:uid="{00000000-0005-0000-0000-0000B30E0000}"/>
    <cellStyle name="Linked Cell 32" xfId="11748" xr:uid="{00000000-0005-0000-0000-0000B40E0000}"/>
    <cellStyle name="Linked Cell 33" xfId="11765" xr:uid="{00000000-0005-0000-0000-0000B50E0000}"/>
    <cellStyle name="Linked Cell 34" xfId="19646" xr:uid="{00000000-0005-0000-0000-0000B60E0000}"/>
    <cellStyle name="Linked Cell 35" xfId="19663" xr:uid="{00000000-0005-0000-0000-0000B70E0000}"/>
    <cellStyle name="Linked Cell 36" xfId="19674" xr:uid="{00000000-0005-0000-0000-0000B80E0000}"/>
    <cellStyle name="Linked Cell 37" xfId="19696" xr:uid="{00000000-0005-0000-0000-0000B90E0000}"/>
    <cellStyle name="Linked Cell 38" xfId="19716" xr:uid="{00000000-0005-0000-0000-0000BA0E0000}"/>
    <cellStyle name="Linked Cell 39" xfId="19732" xr:uid="{00000000-0005-0000-0000-0000BB0E0000}"/>
    <cellStyle name="Linked Cell 4" xfId="11151" xr:uid="{00000000-0005-0000-0000-0000BC0E0000}"/>
    <cellStyle name="Linked Cell 40" xfId="19685" xr:uid="{00000000-0005-0000-0000-0000BD0E0000}"/>
    <cellStyle name="Linked Cell 41" xfId="19754" xr:uid="{00000000-0005-0000-0000-0000BE0E0000}"/>
    <cellStyle name="Linked Cell 42" xfId="19775" xr:uid="{00000000-0005-0000-0000-0000BF0E0000}"/>
    <cellStyle name="Linked Cell 43" xfId="19794" xr:uid="{00000000-0005-0000-0000-0000C00E0000}"/>
    <cellStyle name="Linked Cell 44" xfId="19915" xr:uid="{00000000-0005-0000-0000-0000C10E0000}"/>
    <cellStyle name="Linked Cell 45" xfId="19809" xr:uid="{00000000-0005-0000-0000-0000C20E0000}"/>
    <cellStyle name="Linked Cell 46" xfId="19953" xr:uid="{00000000-0005-0000-0000-0000C30E0000}"/>
    <cellStyle name="Linked Cell 47" xfId="19969" xr:uid="{00000000-0005-0000-0000-0000C40E0000}"/>
    <cellStyle name="Linked Cell 48" xfId="19984" xr:uid="{00000000-0005-0000-0000-0000C50E0000}"/>
    <cellStyle name="Linked Cell 49" xfId="20000" xr:uid="{00000000-0005-0000-0000-0000C60E0000}"/>
    <cellStyle name="Linked Cell 5" xfId="11173" xr:uid="{00000000-0005-0000-0000-0000C70E0000}"/>
    <cellStyle name="Linked Cell 50" xfId="20015" xr:uid="{00000000-0005-0000-0000-0000C80E0000}"/>
    <cellStyle name="Linked Cell 51" xfId="20031" xr:uid="{00000000-0005-0000-0000-0000C90E0000}"/>
    <cellStyle name="Linked Cell 52" xfId="20046" xr:uid="{00000000-0005-0000-0000-0000CA0E0000}"/>
    <cellStyle name="Linked Cell 53" xfId="20061" xr:uid="{00000000-0005-0000-0000-0000CB0E0000}"/>
    <cellStyle name="Linked Cell 54" xfId="20075" xr:uid="{00000000-0005-0000-0000-0000CC0E0000}"/>
    <cellStyle name="Linked Cell 55" xfId="20091" xr:uid="{00000000-0005-0000-0000-0000CD0E0000}"/>
    <cellStyle name="Linked Cell 56" xfId="20105" xr:uid="{00000000-0005-0000-0000-0000CE0E0000}"/>
    <cellStyle name="Linked Cell 57" xfId="20120" xr:uid="{00000000-0005-0000-0000-0000CF0E0000}"/>
    <cellStyle name="Linked Cell 58" xfId="20133" xr:uid="{00000000-0005-0000-0000-0000D00E0000}"/>
    <cellStyle name="Linked Cell 59" xfId="20147" xr:uid="{00000000-0005-0000-0000-0000D10E0000}"/>
    <cellStyle name="Linked Cell 6" xfId="11196" xr:uid="{00000000-0005-0000-0000-0000D20E0000}"/>
    <cellStyle name="Linked Cell 60" xfId="20162" xr:uid="{00000000-0005-0000-0000-0000D30E0000}"/>
    <cellStyle name="Linked Cell 61" xfId="20177" xr:uid="{00000000-0005-0000-0000-0000D40E0000}"/>
    <cellStyle name="Linked Cell 62" xfId="20193" xr:uid="{00000000-0005-0000-0000-0000D50E0000}"/>
    <cellStyle name="Linked Cell 63" xfId="20208" xr:uid="{00000000-0005-0000-0000-0000D60E0000}"/>
    <cellStyle name="Linked Cell 64" xfId="20225" xr:uid="{00000000-0005-0000-0000-0000D70E0000}"/>
    <cellStyle name="Linked Cell 7" xfId="11221" xr:uid="{00000000-0005-0000-0000-0000D80E0000}"/>
    <cellStyle name="Linked Cell 8" xfId="11237" xr:uid="{00000000-0005-0000-0000-0000D90E0000}"/>
    <cellStyle name="Linked Cell 9" xfId="11185" xr:uid="{00000000-0005-0000-0000-0000DA0E0000}"/>
    <cellStyle name="locked" xfId="1048" xr:uid="{00000000-0005-0000-0000-0000DB0E0000}"/>
    <cellStyle name="m" xfId="1049" xr:uid="{00000000-0005-0000-0000-0000DC0E0000}"/>
    <cellStyle name="m$" xfId="1050" xr:uid="{00000000-0005-0000-0000-0000DD0E0000}"/>
    <cellStyle name="m&amp;a" xfId="1051" xr:uid="{00000000-0005-0000-0000-0000DE0E0000}"/>
    <cellStyle name="M/D" xfId="183" xr:uid="{00000000-0005-0000-0000-0000DF0E0000}"/>
    <cellStyle name="M/D 2" xfId="184" xr:uid="{00000000-0005-0000-0000-0000E00E0000}"/>
    <cellStyle name="M/D 2 2" xfId="185" xr:uid="{00000000-0005-0000-0000-0000E10E0000}"/>
    <cellStyle name="M/D 3" xfId="186" xr:uid="{00000000-0005-0000-0000-0000E20E0000}"/>
    <cellStyle name="m_AVP" xfId="1052" xr:uid="{00000000-0005-0000-0000-0000E30E0000}"/>
    <cellStyle name="m_AVP_LANCE_Model_v0.6.DCF.MASTER.Name" xfId="1053" xr:uid="{00000000-0005-0000-0000-0000E40E0000}"/>
    <cellStyle name="m_AVP_LANCE_Model_v0.6.DCF.MASTER.Name_DCF &amp; Raios to CLX Tootsie_v1.33.xls" xfId="1054" xr:uid="{00000000-0005-0000-0000-0000E50E0000}"/>
    <cellStyle name="m_AVP_LANCE_Model_v0.6.DCF.MASTER.Name_Tootsie_TWO_DAY_TTS_Solution_v1.34" xfId="1055" xr:uid="{00000000-0005-0000-0000-0000E60E0000}"/>
    <cellStyle name="m_AVP_LANCE_Model_v0.6.DCF.MASTER.Name_Val_1_Book_Lecture_Notes_v3.06" xfId="1056" xr:uid="{00000000-0005-0000-0000-0000E70E0000}"/>
    <cellStyle name="m_Disc Analysis" xfId="1057" xr:uid="{00000000-0005-0000-0000-0000E80E0000}"/>
    <cellStyle name="m_Disc Analysis_LANCE_Model_v0.6.DCF.MASTER.Name" xfId="1058" xr:uid="{00000000-0005-0000-0000-0000E90E0000}"/>
    <cellStyle name="m_Disc Analysis_LANCE_Model_v0.6.DCF.MASTER.Name_DCF &amp; Raios to CLX Tootsie_v1.33.xls" xfId="1059" xr:uid="{00000000-0005-0000-0000-0000EA0E0000}"/>
    <cellStyle name="m_Disc Analysis_LANCE_Model_v0.6.DCF.MASTER.Name_Tootsie_TWO_DAY_TTS_Solution_v1.34" xfId="1060" xr:uid="{00000000-0005-0000-0000-0000EB0E0000}"/>
    <cellStyle name="m_Disc Analysis_LANCE_Model_v0.6.DCF.MASTER.Name_Val_1_Book_Lecture_Notes_v3.06" xfId="1061" xr:uid="{00000000-0005-0000-0000-0000EC0E0000}"/>
    <cellStyle name="m_LANCE_Model_v0.6.DCF.MASTER.Name" xfId="1062" xr:uid="{00000000-0005-0000-0000-0000ED0E0000}"/>
    <cellStyle name="m_LANCE_Model_v0.6.DCF.MASTER.Name_DCF &amp; Raios to CLX Tootsie_v1.33.xls" xfId="1063" xr:uid="{00000000-0005-0000-0000-0000EE0E0000}"/>
    <cellStyle name="m_LANCE_Model_v0.6.DCF.MASTER.Name_Tootsie_TWO_DAY_TTS_Solution_v1.34" xfId="1064" xr:uid="{00000000-0005-0000-0000-0000EF0E0000}"/>
    <cellStyle name="m_LANCE_Model_v0.6.DCF.MASTER.Name_Val_1_Book_Lecture_Notes_v3.06" xfId="1065" xr:uid="{00000000-0005-0000-0000-0000F00E0000}"/>
    <cellStyle name="m_LP Chart" xfId="1066" xr:uid="{00000000-0005-0000-0000-0000F10E0000}"/>
    <cellStyle name="m_LP Chart_LANCE_Model_v0.6.DCF.MASTER.Name" xfId="1067" xr:uid="{00000000-0005-0000-0000-0000F20E0000}"/>
    <cellStyle name="m_LP Chart_LANCE_Model_v0.6.DCF.MASTER.Name_DCF &amp; Raios to CLX Tootsie_v1.33.xls" xfId="1068" xr:uid="{00000000-0005-0000-0000-0000F30E0000}"/>
    <cellStyle name="m_LP Chart_LANCE_Model_v0.6.DCF.MASTER.Name_Tootsie_TWO_DAY_TTS_Solution_v1.34" xfId="1069" xr:uid="{00000000-0005-0000-0000-0000F40E0000}"/>
    <cellStyle name="m_LP Chart_LANCE_Model_v0.6.DCF.MASTER.Name_Val_1_Book_Lecture_Notes_v3.06" xfId="1070" xr:uid="{00000000-0005-0000-0000-0000F50E0000}"/>
    <cellStyle name="m_Merg Cons" xfId="1071" xr:uid="{00000000-0005-0000-0000-0000F60E0000}"/>
    <cellStyle name="m_Merg Cons_LANCE_Model_v0.6.DCF.MASTER.Name" xfId="1072" xr:uid="{00000000-0005-0000-0000-0000F70E0000}"/>
    <cellStyle name="m_Merg Cons_LANCE_Model_v0.6.DCF.MASTER.Name_DCF &amp; Raios to CLX Tootsie_v1.33.xls" xfId="1073" xr:uid="{00000000-0005-0000-0000-0000F80E0000}"/>
    <cellStyle name="m_Merg Cons_LANCE_Model_v0.6.DCF.MASTER.Name_Tootsie_TWO_DAY_TTS_Solution_v1.34" xfId="1074" xr:uid="{00000000-0005-0000-0000-0000F90E0000}"/>
    <cellStyle name="m_Merg Cons_LANCE_Model_v0.6.DCF.MASTER.Name_Val_1_Book_Lecture_Notes_v3.06" xfId="1075" xr:uid="{00000000-0005-0000-0000-0000FA0E0000}"/>
    <cellStyle name="m_Proj10" xfId="1076" xr:uid="{00000000-0005-0000-0000-0000FB0E0000}"/>
    <cellStyle name="m_Proj10_AVP" xfId="1077" xr:uid="{00000000-0005-0000-0000-0000FC0E0000}"/>
    <cellStyle name="m_Proj10_AVP_LANCE_Model_v0.6.DCF.MASTER.Name" xfId="1078" xr:uid="{00000000-0005-0000-0000-0000FD0E0000}"/>
    <cellStyle name="m_Proj10_AVP_LANCE_Model_v0.6.DCF.MASTER.Name_DCF &amp; Raios to CLX Tootsie_v1.33.xls" xfId="1079" xr:uid="{00000000-0005-0000-0000-0000FE0E0000}"/>
    <cellStyle name="m_Proj10_AVP_LANCE_Model_v0.6.DCF.MASTER.Name_Tootsie_TWO_DAY_TTS_Solution_v1.34" xfId="1080" xr:uid="{00000000-0005-0000-0000-0000FF0E0000}"/>
    <cellStyle name="m_Proj10_AVP_LANCE_Model_v0.6.DCF.MASTER.Name_Val_1_Book_Lecture_Notes_v3.06" xfId="1081" xr:uid="{00000000-0005-0000-0000-0000000F0000}"/>
    <cellStyle name="m_Proj10_Disc Analysis" xfId="1082" xr:uid="{00000000-0005-0000-0000-0000010F0000}"/>
    <cellStyle name="m_Proj10_Disc Analysis_LANCE_Model_v0.6.DCF.MASTER.Name" xfId="1083" xr:uid="{00000000-0005-0000-0000-0000020F0000}"/>
    <cellStyle name="m_Proj10_Disc Analysis_LANCE_Model_v0.6.DCF.MASTER.Name_DCF &amp; Raios to CLX Tootsie_v1.33.xls" xfId="1084" xr:uid="{00000000-0005-0000-0000-0000030F0000}"/>
    <cellStyle name="m_Proj10_Disc Analysis_LANCE_Model_v0.6.DCF.MASTER.Name_Tootsie_TWO_DAY_TTS_Solution_v1.34" xfId="1085" xr:uid="{00000000-0005-0000-0000-0000040F0000}"/>
    <cellStyle name="m_Proj10_Disc Analysis_LANCE_Model_v0.6.DCF.MASTER.Name_Val_1_Book_Lecture_Notes_v3.06" xfId="1086" xr:uid="{00000000-0005-0000-0000-0000050F0000}"/>
    <cellStyle name="m_Proj10_LANCE_Model_v0.6.DCF.MASTER.Name" xfId="1087" xr:uid="{00000000-0005-0000-0000-0000060F0000}"/>
    <cellStyle name="m_Proj10_LANCE_Model_v0.6.DCF.MASTER.Name_DCF &amp; Raios to CLX Tootsie_v1.33.xls" xfId="1088" xr:uid="{00000000-0005-0000-0000-0000070F0000}"/>
    <cellStyle name="m_Proj10_LANCE_Model_v0.6.DCF.MASTER.Name_Tootsie_TWO_DAY_TTS_Solution_v1.34" xfId="1089" xr:uid="{00000000-0005-0000-0000-0000080F0000}"/>
    <cellStyle name="m_Proj10_LANCE_Model_v0.6.DCF.MASTER.Name_Val_1_Book_Lecture_Notes_v3.06" xfId="1090" xr:uid="{00000000-0005-0000-0000-0000090F0000}"/>
    <cellStyle name="m_Proj10_LP Chart" xfId="1091" xr:uid="{00000000-0005-0000-0000-00000A0F0000}"/>
    <cellStyle name="m_Proj10_LP Chart_LANCE_Model_v0.6.DCF.MASTER.Name" xfId="1092" xr:uid="{00000000-0005-0000-0000-00000B0F0000}"/>
    <cellStyle name="m_Proj10_LP Chart_LANCE_Model_v0.6.DCF.MASTER.Name_DCF &amp; Raios to CLX Tootsie_v1.33.xls" xfId="1093" xr:uid="{00000000-0005-0000-0000-00000C0F0000}"/>
    <cellStyle name="m_Proj10_LP Chart_LANCE_Model_v0.6.DCF.MASTER.Name_Tootsie_TWO_DAY_TTS_Solution_v1.34" xfId="1094" xr:uid="{00000000-0005-0000-0000-00000D0F0000}"/>
    <cellStyle name="m_Proj10_LP Chart_LANCE_Model_v0.6.DCF.MASTER.Name_Val_1_Book_Lecture_Notes_v3.06" xfId="1095" xr:uid="{00000000-0005-0000-0000-00000E0F0000}"/>
    <cellStyle name="m_Proj10_Merg Cons" xfId="1096" xr:uid="{00000000-0005-0000-0000-00000F0F0000}"/>
    <cellStyle name="m_Proj10_Merg Cons_LANCE_Model_v0.6.DCF.MASTER.Name" xfId="1097" xr:uid="{00000000-0005-0000-0000-0000100F0000}"/>
    <cellStyle name="m_Proj10_Merg Cons_LANCE_Model_v0.6.DCF.MASTER.Name_DCF &amp; Raios to CLX Tootsie_v1.33.xls" xfId="1098" xr:uid="{00000000-0005-0000-0000-0000110F0000}"/>
    <cellStyle name="m_Proj10_Merg Cons_LANCE_Model_v0.6.DCF.MASTER.Name_Tootsie_TWO_DAY_TTS_Solution_v1.34" xfId="1099" xr:uid="{00000000-0005-0000-0000-0000120F0000}"/>
    <cellStyle name="m_Proj10_Merg Cons_LANCE_Model_v0.6.DCF.MASTER.Name_Val_1_Book_Lecture_Notes_v3.06" xfId="1100" xr:uid="{00000000-0005-0000-0000-0000130F0000}"/>
    <cellStyle name="m_Proj10_Sensitivity" xfId="1101" xr:uid="{00000000-0005-0000-0000-0000140F0000}"/>
    <cellStyle name="m_Proj10_Sensitivity_LANCE_Model_v0.6.DCF.MASTER.Name" xfId="1102" xr:uid="{00000000-0005-0000-0000-0000150F0000}"/>
    <cellStyle name="m_Proj10_Sensitivity_LANCE_Model_v0.6.DCF.MASTER.Name_DCF &amp; Raios to CLX Tootsie_v1.33.xls" xfId="1103" xr:uid="{00000000-0005-0000-0000-0000160F0000}"/>
    <cellStyle name="m_Proj10_Sensitivity_LANCE_Model_v0.6.DCF.MASTER.Name_Tootsie_TWO_DAY_TTS_Solution_v1.34" xfId="1104" xr:uid="{00000000-0005-0000-0000-0000170F0000}"/>
    <cellStyle name="m_Proj10_Sensitivity_LANCE_Model_v0.6.DCF.MASTER.Name_Val_1_Book_Lecture_Notes_v3.06" xfId="1105" xr:uid="{00000000-0005-0000-0000-0000180F0000}"/>
    <cellStyle name="m_Proj10_show-hold" xfId="1106" xr:uid="{00000000-0005-0000-0000-0000190F0000}"/>
    <cellStyle name="m_Proj10_show-hold_LANCE_Model_v0.6.DCF.MASTER.Name" xfId="1107" xr:uid="{00000000-0005-0000-0000-00001A0F0000}"/>
    <cellStyle name="m_Proj10_show-hold_LANCE_Model_v0.6.DCF.MASTER.Name_DCF &amp; Raios to CLX Tootsie_v1.33.xls" xfId="1108" xr:uid="{00000000-0005-0000-0000-00001B0F0000}"/>
    <cellStyle name="m_Proj10_show-hold_LANCE_Model_v0.6.DCF.MASTER.Name_Tootsie_TWO_DAY_TTS_Solution_v1.34" xfId="1109" xr:uid="{00000000-0005-0000-0000-00001C0F0000}"/>
    <cellStyle name="m_Proj10_show-hold_LANCE_Model_v0.6.DCF.MASTER.Name_Val_1_Book_Lecture_Notes_v3.06" xfId="1110" xr:uid="{00000000-0005-0000-0000-00001D0F0000}"/>
    <cellStyle name="m_Proj10_WACC-CableCar" xfId="1111" xr:uid="{00000000-0005-0000-0000-00001E0F0000}"/>
    <cellStyle name="m_Proj10_WACC-CableCar_LANCE_Model_v0.6.DCF.MASTER.Name" xfId="1112" xr:uid="{00000000-0005-0000-0000-00001F0F0000}"/>
    <cellStyle name="m_Proj10_WACC-CableCar_LANCE_Model_v0.6.DCF.MASTER.Name_DCF &amp; Raios to CLX Tootsie_v1.33.xls" xfId="1113" xr:uid="{00000000-0005-0000-0000-0000200F0000}"/>
    <cellStyle name="m_Proj10_WACC-CableCar_LANCE_Model_v0.6.DCF.MASTER.Name_Tootsie_TWO_DAY_TTS_Solution_v1.34" xfId="1114" xr:uid="{00000000-0005-0000-0000-0000210F0000}"/>
    <cellStyle name="m_Proj10_WACC-RAD (2)" xfId="1115" xr:uid="{00000000-0005-0000-0000-0000220F0000}"/>
    <cellStyle name="m_Proj10_WACC-RAD (2)_LANCE_Model_v0.6.DCF.MASTER.Name" xfId="1116" xr:uid="{00000000-0005-0000-0000-0000230F0000}"/>
    <cellStyle name="m_Proj10_WACC-RAD (2)_LANCE_Model_v0.6.DCF.MASTER.Name_DCF &amp; Raios to CLX Tootsie_v1.33.xls" xfId="1117" xr:uid="{00000000-0005-0000-0000-0000240F0000}"/>
    <cellStyle name="m_Proj10_WACC-RAD (2)_LANCE_Model_v0.6.DCF.MASTER.Name_Tootsie_TWO_DAY_TTS_Solution_v1.34" xfId="1118" xr:uid="{00000000-0005-0000-0000-0000250F0000}"/>
    <cellStyle name="m_Proj10_WACC-RAD (2)_LANCE_Model_v0.6.DCF.MASTER.Name_Val_1_Book_Lecture_Notes_v3.06" xfId="1119" xr:uid="{00000000-0005-0000-0000-0000260F0000}"/>
    <cellStyle name="m_Sensitivity" xfId="1120" xr:uid="{00000000-0005-0000-0000-0000270F0000}"/>
    <cellStyle name="m_Sensitivity_LANCE_Model_v0.6.DCF.MASTER.Name" xfId="1121" xr:uid="{00000000-0005-0000-0000-0000280F0000}"/>
    <cellStyle name="m_Sensitivity_LANCE_Model_v0.6.DCF.MASTER.Name_DCF &amp; Raios to CLX Tootsie_v1.33.xls" xfId="1122" xr:uid="{00000000-0005-0000-0000-0000290F0000}"/>
    <cellStyle name="m_Sensitivity_LANCE_Model_v0.6.DCF.MASTER.Name_Tootsie_TWO_DAY_TTS_Solution_v1.34" xfId="1123" xr:uid="{00000000-0005-0000-0000-00002A0F0000}"/>
    <cellStyle name="m_Sensitivity_LANCE_Model_v0.6.DCF.MASTER.Name_Val_1_Book_Lecture_Notes_v3.06" xfId="1124" xr:uid="{00000000-0005-0000-0000-00002B0F0000}"/>
    <cellStyle name="m_show-hold" xfId="1125" xr:uid="{00000000-0005-0000-0000-00002C0F0000}"/>
    <cellStyle name="m_show-hold_LANCE_Model_v0.6.DCF.MASTER.Name" xfId="1126" xr:uid="{00000000-0005-0000-0000-00002D0F0000}"/>
    <cellStyle name="m_show-hold_LANCE_Model_v0.6.DCF.MASTER.Name_DCF &amp; Raios to CLX Tootsie_v1.33.xls" xfId="1127" xr:uid="{00000000-0005-0000-0000-00002E0F0000}"/>
    <cellStyle name="m_show-hold_LANCE_Model_v0.6.DCF.MASTER.Name_Tootsie_TWO_DAY_TTS_Solution_v1.34" xfId="1128" xr:uid="{00000000-0005-0000-0000-00002F0F0000}"/>
    <cellStyle name="m_show-hold_LANCE_Model_v0.6.DCF.MASTER.Name_Val_1_Book_Lecture_Notes_v3.06" xfId="1129" xr:uid="{00000000-0005-0000-0000-0000300F0000}"/>
    <cellStyle name="m_WACC-CableCar" xfId="1130" xr:uid="{00000000-0005-0000-0000-0000310F0000}"/>
    <cellStyle name="m_WACC-CableCar_LANCE_Model_v0.6.DCF.MASTER.Name" xfId="1131" xr:uid="{00000000-0005-0000-0000-0000320F0000}"/>
    <cellStyle name="m_WACC-CableCar_LANCE_Model_v0.6.DCF.MASTER.Name_DCF &amp; Raios to CLX Tootsie_v1.33.xls" xfId="1132" xr:uid="{00000000-0005-0000-0000-0000330F0000}"/>
    <cellStyle name="m_WACC-CableCar_LANCE_Model_v0.6.DCF.MASTER.Name_Tootsie_TWO_DAY_TTS_Solution_v1.34" xfId="1133" xr:uid="{00000000-0005-0000-0000-0000340F0000}"/>
    <cellStyle name="m_WACC-RAD (2)" xfId="1134" xr:uid="{00000000-0005-0000-0000-0000350F0000}"/>
    <cellStyle name="m_WACC-RAD (2)_LANCE_Model_v0.6.DCF.MASTER.Name" xfId="1135" xr:uid="{00000000-0005-0000-0000-0000360F0000}"/>
    <cellStyle name="m_WACC-RAD (2)_LANCE_Model_v0.6.DCF.MASTER.Name_DCF &amp; Raios to CLX Tootsie_v1.33.xls" xfId="1136" xr:uid="{00000000-0005-0000-0000-0000370F0000}"/>
    <cellStyle name="m_WACC-RAD (2)_LANCE_Model_v0.6.DCF.MASTER.Name_Tootsie_TWO_DAY_TTS_Solution_v1.34" xfId="1137" xr:uid="{00000000-0005-0000-0000-0000380F0000}"/>
    <cellStyle name="m_WACC-RAD (2)_LANCE_Model_v0.6.DCF.MASTER.Name_Val_1_Book_Lecture_Notes_v3.06" xfId="1138" xr:uid="{00000000-0005-0000-0000-0000390F0000}"/>
    <cellStyle name="Map Labels" xfId="1139" xr:uid="{00000000-0005-0000-0000-00003A0F0000}"/>
    <cellStyle name="Map Legend" xfId="1140" xr:uid="{00000000-0005-0000-0000-00003B0F0000}"/>
    <cellStyle name="Merrill" xfId="1141" xr:uid="{00000000-0005-0000-0000-00003C0F0000}"/>
    <cellStyle name="Millares [0]_19 02 01" xfId="1921" xr:uid="{00000000-0005-0000-0000-00003D0F0000}"/>
    <cellStyle name="Millares [2]" xfId="1922" xr:uid="{00000000-0005-0000-0000-00003E0F0000}"/>
    <cellStyle name="Millares_19 02 01" xfId="1923" xr:uid="{00000000-0005-0000-0000-00003F0F0000}"/>
    <cellStyle name="Mix" xfId="1142" xr:uid="{00000000-0005-0000-0000-0000400F0000}"/>
    <cellStyle name="mm" xfId="1143" xr:uid="{00000000-0005-0000-0000-0000410F0000}"/>
    <cellStyle name="MM/DD" xfId="187" xr:uid="{00000000-0005-0000-0000-0000420F0000}"/>
    <cellStyle name="MM/DD 2" xfId="188" xr:uid="{00000000-0005-0000-0000-0000430F0000}"/>
    <cellStyle name="MM/DD 2 2" xfId="189" xr:uid="{00000000-0005-0000-0000-0000440F0000}"/>
    <cellStyle name="MM/DD 3" xfId="190" xr:uid="{00000000-0005-0000-0000-0000450F0000}"/>
    <cellStyle name="mm/dd/yy" xfId="1924" xr:uid="{00000000-0005-0000-0000-0000460F0000}"/>
    <cellStyle name="mm/dd/yy 2" xfId="1982" xr:uid="{00000000-0005-0000-0000-0000470F0000}"/>
    <cellStyle name="mm/dd/yy 2 2" xfId="11165" xr:uid="{00000000-0005-0000-0000-0000480F0000}"/>
    <cellStyle name="mm/dd/yy 3" xfId="2053" xr:uid="{00000000-0005-0000-0000-0000490F0000}"/>
    <cellStyle name="mm/dd/yy 3 2" xfId="11413" xr:uid="{00000000-0005-0000-0000-00004A0F0000}"/>
    <cellStyle name="MM/YY" xfId="191" xr:uid="{00000000-0005-0000-0000-00004B0F0000}"/>
    <cellStyle name="MM/YY 2" xfId="192" xr:uid="{00000000-0005-0000-0000-00004C0F0000}"/>
    <cellStyle name="MM/YY 2 2" xfId="193" xr:uid="{00000000-0005-0000-0000-00004D0F0000}"/>
    <cellStyle name="MM/YY 3" xfId="194" xr:uid="{00000000-0005-0000-0000-00004E0F0000}"/>
    <cellStyle name="MMM 'YY" xfId="195" xr:uid="{00000000-0005-0000-0000-00004F0F0000}"/>
    <cellStyle name="MMM 'YY 2" xfId="196" xr:uid="{00000000-0005-0000-0000-0000500F0000}"/>
    <cellStyle name="MMM 'YY 2 2" xfId="197" xr:uid="{00000000-0005-0000-0000-0000510F0000}"/>
    <cellStyle name="MMM 'YY 3" xfId="198" xr:uid="{00000000-0005-0000-0000-0000520F0000}"/>
    <cellStyle name="Moeda [0]_alocação por fontes" xfId="1925" xr:uid="{00000000-0005-0000-0000-0000530F0000}"/>
    <cellStyle name="Moeda_alocação por fontes" xfId="1926" xr:uid="{00000000-0005-0000-0000-0000540F0000}"/>
    <cellStyle name="Moneda [0]_19 02 01" xfId="1927" xr:uid="{00000000-0005-0000-0000-0000550F0000}"/>
    <cellStyle name="Moneda_19 02 01" xfId="1928" xr:uid="{00000000-0005-0000-0000-0000560F0000}"/>
    <cellStyle name="mult" xfId="1144" xr:uid="{00000000-0005-0000-0000-0000570F0000}"/>
    <cellStyle name="Multiple" xfId="1145" xr:uid="{00000000-0005-0000-0000-0000580F0000}"/>
    <cellStyle name="Multiple []" xfId="1146" xr:uid="{00000000-0005-0000-0000-0000590F0000}"/>
    <cellStyle name="Multiple [0]" xfId="1147" xr:uid="{00000000-0005-0000-0000-00005A0F0000}"/>
    <cellStyle name="Multiple [0] []" xfId="1148" xr:uid="{00000000-0005-0000-0000-00005B0F0000}"/>
    <cellStyle name="Multiple [0]_LANCE_Model_v0.6.DCF.MASTER.Name" xfId="1149" xr:uid="{00000000-0005-0000-0000-00005C0F0000}"/>
    <cellStyle name="Multiple [1]" xfId="1150" xr:uid="{00000000-0005-0000-0000-00005D0F0000}"/>
    <cellStyle name="Multiple [1] []" xfId="1151" xr:uid="{00000000-0005-0000-0000-00005E0F0000}"/>
    <cellStyle name="Multiple [1]_LANCE_Model_v0.6.DCF.MASTER.Name" xfId="1152" xr:uid="{00000000-0005-0000-0000-00005F0F0000}"/>
    <cellStyle name="Multiple_CapitalSum" xfId="1153" xr:uid="{00000000-0005-0000-0000-0000600F0000}"/>
    <cellStyle name="M-W" xfId="199" xr:uid="{00000000-0005-0000-0000-0000610F0000}"/>
    <cellStyle name="M-W 2" xfId="10410" xr:uid="{00000000-0005-0000-0000-0000620F0000}"/>
    <cellStyle name="M-W 3" xfId="11110" xr:uid="{00000000-0005-0000-0000-0000630F0000}"/>
    <cellStyle name="Neutra" xfId="1929" xr:uid="{00000000-0005-0000-0000-0000640F0000}"/>
    <cellStyle name="Neutral" xfId="1745" builtinId="28" customBuiltin="1"/>
    <cellStyle name="Neutral 10" xfId="11263" xr:uid="{00000000-0005-0000-0000-0000660F0000}"/>
    <cellStyle name="Neutral 11" xfId="11276" xr:uid="{00000000-0005-0000-0000-0000670F0000}"/>
    <cellStyle name="Neutral 12" xfId="11308" xr:uid="{00000000-0005-0000-0000-0000680F0000}"/>
    <cellStyle name="Neutral 13" xfId="11446" xr:uid="{00000000-0005-0000-0000-0000690F0000}"/>
    <cellStyle name="Neutral 14" xfId="11327" xr:uid="{00000000-0005-0000-0000-00006A0F0000}"/>
    <cellStyle name="Neutral 15" xfId="11487" xr:uid="{00000000-0005-0000-0000-00006B0F0000}"/>
    <cellStyle name="Neutral 16" xfId="11504" xr:uid="{00000000-0005-0000-0000-00006C0F0000}"/>
    <cellStyle name="Neutral 17" xfId="11519" xr:uid="{00000000-0005-0000-0000-00006D0F0000}"/>
    <cellStyle name="Neutral 18" xfId="11536" xr:uid="{00000000-0005-0000-0000-00006E0F0000}"/>
    <cellStyle name="Neutral 19" xfId="11552" xr:uid="{00000000-0005-0000-0000-00006F0F0000}"/>
    <cellStyle name="Neutral 2" xfId="65" xr:uid="{00000000-0005-0000-0000-0000700F0000}"/>
    <cellStyle name="Neutral 2 2" xfId="200" xr:uid="{00000000-0005-0000-0000-0000710F0000}"/>
    <cellStyle name="Neutral 20" xfId="11568" xr:uid="{00000000-0005-0000-0000-0000720F0000}"/>
    <cellStyle name="Neutral 21" xfId="11584" xr:uid="{00000000-0005-0000-0000-0000730F0000}"/>
    <cellStyle name="Neutral 22" xfId="11600" xr:uid="{00000000-0005-0000-0000-0000740F0000}"/>
    <cellStyle name="Neutral 23" xfId="11615" xr:uid="{00000000-0005-0000-0000-0000750F0000}"/>
    <cellStyle name="Neutral 24" xfId="11632" xr:uid="{00000000-0005-0000-0000-0000760F0000}"/>
    <cellStyle name="Neutral 25" xfId="11647" xr:uid="{00000000-0005-0000-0000-0000770F0000}"/>
    <cellStyle name="Neutral 26" xfId="11663" xr:uid="{00000000-0005-0000-0000-0000780F0000}"/>
    <cellStyle name="Neutral 27" xfId="11677" xr:uid="{00000000-0005-0000-0000-0000790F0000}"/>
    <cellStyle name="Neutral 28" xfId="11692" xr:uid="{00000000-0005-0000-0000-00007A0F0000}"/>
    <cellStyle name="Neutral 29" xfId="11707" xr:uid="{00000000-0005-0000-0000-00007B0F0000}"/>
    <cellStyle name="Neutral 3" xfId="1154" xr:uid="{00000000-0005-0000-0000-00007C0F0000}"/>
    <cellStyle name="Neutral 3 2" xfId="11131" xr:uid="{00000000-0005-0000-0000-00007D0F0000}"/>
    <cellStyle name="Neutral 30" xfId="11722" xr:uid="{00000000-0005-0000-0000-00007E0F0000}"/>
    <cellStyle name="Neutral 31" xfId="11737" xr:uid="{00000000-0005-0000-0000-00007F0F0000}"/>
    <cellStyle name="Neutral 32" xfId="11752" xr:uid="{00000000-0005-0000-0000-0000800F0000}"/>
    <cellStyle name="Neutral 33" xfId="11769" xr:uid="{00000000-0005-0000-0000-0000810F0000}"/>
    <cellStyle name="Neutral 34" xfId="19642" xr:uid="{00000000-0005-0000-0000-0000820F0000}"/>
    <cellStyle name="Neutral 35" xfId="19659" xr:uid="{00000000-0005-0000-0000-0000830F0000}"/>
    <cellStyle name="Neutral 36" xfId="19678" xr:uid="{00000000-0005-0000-0000-0000840F0000}"/>
    <cellStyle name="Neutral 37" xfId="19692" xr:uid="{00000000-0005-0000-0000-0000850F0000}"/>
    <cellStyle name="Neutral 38" xfId="19720" xr:uid="{00000000-0005-0000-0000-0000860F0000}"/>
    <cellStyle name="Neutral 39" xfId="19736" xr:uid="{00000000-0005-0000-0000-0000870F0000}"/>
    <cellStyle name="Neutral 4" xfId="11147" xr:uid="{00000000-0005-0000-0000-0000880F0000}"/>
    <cellStyle name="Neutral 40" xfId="19710" xr:uid="{00000000-0005-0000-0000-0000890F0000}"/>
    <cellStyle name="Neutral 41" xfId="19758" xr:uid="{00000000-0005-0000-0000-00008A0F0000}"/>
    <cellStyle name="Neutral 42" xfId="19771" xr:uid="{00000000-0005-0000-0000-00008B0F0000}"/>
    <cellStyle name="Neutral 43" xfId="19790" xr:uid="{00000000-0005-0000-0000-00008C0F0000}"/>
    <cellStyle name="Neutral 44" xfId="19919" xr:uid="{00000000-0005-0000-0000-00008D0F0000}"/>
    <cellStyle name="Neutral 45" xfId="19805" xr:uid="{00000000-0005-0000-0000-00008E0F0000}"/>
    <cellStyle name="Neutral 46" xfId="19957" xr:uid="{00000000-0005-0000-0000-00008F0F0000}"/>
    <cellStyle name="Neutral 47" xfId="19973" xr:uid="{00000000-0005-0000-0000-0000900F0000}"/>
    <cellStyle name="Neutral 48" xfId="19988" xr:uid="{00000000-0005-0000-0000-0000910F0000}"/>
    <cellStyle name="Neutral 49" xfId="20004" xr:uid="{00000000-0005-0000-0000-0000920F0000}"/>
    <cellStyle name="Neutral 5" xfId="11177" xr:uid="{00000000-0005-0000-0000-0000930F0000}"/>
    <cellStyle name="Neutral 50" xfId="20019" xr:uid="{00000000-0005-0000-0000-0000940F0000}"/>
    <cellStyle name="Neutral 51" xfId="20035" xr:uid="{00000000-0005-0000-0000-0000950F0000}"/>
    <cellStyle name="Neutral 52" xfId="20050" xr:uid="{00000000-0005-0000-0000-0000960F0000}"/>
    <cellStyle name="Neutral 53" xfId="20065" xr:uid="{00000000-0005-0000-0000-0000970F0000}"/>
    <cellStyle name="Neutral 54" xfId="20079" xr:uid="{00000000-0005-0000-0000-0000980F0000}"/>
    <cellStyle name="Neutral 55" xfId="20095" xr:uid="{00000000-0005-0000-0000-0000990F0000}"/>
    <cellStyle name="Neutral 56" xfId="20109" xr:uid="{00000000-0005-0000-0000-00009A0F0000}"/>
    <cellStyle name="Neutral 57" xfId="20124" xr:uid="{00000000-0005-0000-0000-00009B0F0000}"/>
    <cellStyle name="Neutral 58" xfId="20137" xr:uid="{00000000-0005-0000-0000-00009C0F0000}"/>
    <cellStyle name="Neutral 59" xfId="20151" xr:uid="{00000000-0005-0000-0000-00009D0F0000}"/>
    <cellStyle name="Neutral 6" xfId="11192" xr:uid="{00000000-0005-0000-0000-00009E0F0000}"/>
    <cellStyle name="Neutral 60" xfId="20166" xr:uid="{00000000-0005-0000-0000-00009F0F0000}"/>
    <cellStyle name="Neutral 61" xfId="20181" xr:uid="{00000000-0005-0000-0000-0000A00F0000}"/>
    <cellStyle name="Neutral 62" xfId="20197" xr:uid="{00000000-0005-0000-0000-0000A10F0000}"/>
    <cellStyle name="Neutral 63" xfId="20212" xr:uid="{00000000-0005-0000-0000-0000A20F0000}"/>
    <cellStyle name="Neutral 64" xfId="20229" xr:uid="{00000000-0005-0000-0000-0000A30F0000}"/>
    <cellStyle name="Neutral 7" xfId="11225" xr:uid="{00000000-0005-0000-0000-0000A40F0000}"/>
    <cellStyle name="Neutral 8" xfId="11241" xr:uid="{00000000-0005-0000-0000-0000A50F0000}"/>
    <cellStyle name="Neutral 9" xfId="11215" xr:uid="{00000000-0005-0000-0000-0000A60F0000}"/>
    <cellStyle name="NewColumnHeaderNormal" xfId="367" xr:uid="{00000000-0005-0000-0000-0000A70F0000}"/>
    <cellStyle name="NewColumnHeaderNormal 2" xfId="1155" xr:uid="{00000000-0005-0000-0000-0000A80F0000}"/>
    <cellStyle name="NewSectionHeaderNormal" xfId="368" xr:uid="{00000000-0005-0000-0000-0000A90F0000}"/>
    <cellStyle name="NewSectionHeaderNormal 2" xfId="369" xr:uid="{00000000-0005-0000-0000-0000AA0F0000}"/>
    <cellStyle name="NewSectionHeaderNormal 3" xfId="1156" xr:uid="{00000000-0005-0000-0000-0000AB0F0000}"/>
    <cellStyle name="NewTitleNormal" xfId="370" xr:uid="{00000000-0005-0000-0000-0000AC0F0000}"/>
    <cellStyle name="NewTitleNormal 2" xfId="1157" xr:uid="{00000000-0005-0000-0000-0000AD0F0000}"/>
    <cellStyle name="No-definido" xfId="1930" xr:uid="{00000000-0005-0000-0000-0000AE0F0000}"/>
    <cellStyle name="Normal" xfId="0" builtinId="0"/>
    <cellStyle name="Normal - Style1" xfId="1158" xr:uid="{00000000-0005-0000-0000-0000B00F0000}"/>
    <cellStyle name="Normal - Style1 2" xfId="1931" xr:uid="{00000000-0005-0000-0000-0000B10F0000}"/>
    <cellStyle name="Normal 10" xfId="201" xr:uid="{00000000-0005-0000-0000-0000B20F0000}"/>
    <cellStyle name="Normal 10 10" xfId="11969" xr:uid="{00000000-0005-0000-0000-0000B30F0000}"/>
    <cellStyle name="Normal 10 10 2" xfId="28491" xr:uid="{00000000-0005-0000-0000-0000B40F0000}"/>
    <cellStyle name="Normal 10 10 3" xfId="6719" xr:uid="{00000000-0005-0000-0000-0000B50F0000}"/>
    <cellStyle name="Normal 10 10 3 2" xfId="15901" xr:uid="{00000000-0005-0000-0000-0000B60F0000}"/>
    <cellStyle name="Normal 10 10 3 2 2" xfId="32475" xr:uid="{00000000-0005-0000-0000-0000B70F0000}"/>
    <cellStyle name="Normal 10 10 3 3" xfId="24428" xr:uid="{00000000-0005-0000-0000-0000B80F0000}"/>
    <cellStyle name="Normal 10 11" xfId="20448" xr:uid="{00000000-0005-0000-0000-0000B90F0000}"/>
    <cellStyle name="Normal 10 2" xfId="202" xr:uid="{00000000-0005-0000-0000-0000BA0F0000}"/>
    <cellStyle name="Normal 10 2 2" xfId="203" xr:uid="{00000000-0005-0000-0000-0000BB0F0000}"/>
    <cellStyle name="Normal 10 2 2 2" xfId="2443" xr:uid="{00000000-0005-0000-0000-0000BC0F0000}"/>
    <cellStyle name="Normal 10 2 3" xfId="371" xr:uid="{00000000-0005-0000-0000-0000BD0F0000}"/>
    <cellStyle name="Normal 10 2 3 2" xfId="28492" xr:uid="{00000000-0005-0000-0000-0000BE0F0000}"/>
    <cellStyle name="Normal 10 2 4" xfId="1715" xr:uid="{00000000-0005-0000-0000-0000BF0F0000}"/>
    <cellStyle name="Normal 10 2 4 2" xfId="20449" xr:uid="{00000000-0005-0000-0000-0000C00F0000}"/>
    <cellStyle name="Normal 10 2 5" xfId="1672" xr:uid="{00000000-0005-0000-0000-0000C10F0000}"/>
    <cellStyle name="Normal 10 3" xfId="204" xr:uid="{00000000-0005-0000-0000-0000C20F0000}"/>
    <cellStyle name="Normal 10 3 2" xfId="2445" xr:uid="{00000000-0005-0000-0000-0000C30F0000}"/>
    <cellStyle name="Normal 10 3 2 2" xfId="2446" xr:uid="{00000000-0005-0000-0000-0000C40F0000}"/>
    <cellStyle name="Normal 10 3 2 2 2" xfId="2447" xr:uid="{00000000-0005-0000-0000-0000C50F0000}"/>
    <cellStyle name="Normal 10 3 2 2 2 2" xfId="6720" xr:uid="{00000000-0005-0000-0000-0000C60F0000}"/>
    <cellStyle name="Normal 10 3 2 2 2 2 2" xfId="15902" xr:uid="{00000000-0005-0000-0000-0000C70F0000}"/>
    <cellStyle name="Normal 10 3 2 2 2 2 2 2" xfId="32476" xr:uid="{00000000-0005-0000-0000-0000C80F0000}"/>
    <cellStyle name="Normal 10 3 2 2 2 2 3" xfId="24429" xr:uid="{00000000-0005-0000-0000-0000C90F0000}"/>
    <cellStyle name="Normal 10 3 2 2 2 3" xfId="11972" xr:uid="{00000000-0005-0000-0000-0000CA0F0000}"/>
    <cellStyle name="Normal 10 3 2 2 2 3 2" xfId="28495" xr:uid="{00000000-0005-0000-0000-0000CB0F0000}"/>
    <cellStyle name="Normal 10 3 2 2 2 4" xfId="20452" xr:uid="{00000000-0005-0000-0000-0000CC0F0000}"/>
    <cellStyle name="Normal 10 3 2 2 3" xfId="2448" xr:uid="{00000000-0005-0000-0000-0000CD0F0000}"/>
    <cellStyle name="Normal 10 3 2 2 3 2" xfId="11973" xr:uid="{00000000-0005-0000-0000-0000CE0F0000}"/>
    <cellStyle name="Normal 10 3 2 2 3 2 2" xfId="28496" xr:uid="{00000000-0005-0000-0000-0000CF0F0000}"/>
    <cellStyle name="Normal 10 3 2 2 3 3" xfId="20453" xr:uid="{00000000-0005-0000-0000-0000D00F0000}"/>
    <cellStyle name="Normal 10 3 2 2 4" xfId="11971" xr:uid="{00000000-0005-0000-0000-0000D10F0000}"/>
    <cellStyle name="Normal 10 3 2 2 4 2" xfId="28494" xr:uid="{00000000-0005-0000-0000-0000D20F0000}"/>
    <cellStyle name="Normal 10 3 2 2 5" xfId="20451" xr:uid="{00000000-0005-0000-0000-0000D30F0000}"/>
    <cellStyle name="Normal 10 3 2 3" xfId="2449" xr:uid="{00000000-0005-0000-0000-0000D40F0000}"/>
    <cellStyle name="Normal 10 3 2 3 2" xfId="6721" xr:uid="{00000000-0005-0000-0000-0000D50F0000}"/>
    <cellStyle name="Normal 10 3 2 3 2 2" xfId="15903" xr:uid="{00000000-0005-0000-0000-0000D60F0000}"/>
    <cellStyle name="Normal 10 3 2 3 2 2 2" xfId="32477" xr:uid="{00000000-0005-0000-0000-0000D70F0000}"/>
    <cellStyle name="Normal 10 3 2 3 2 3" xfId="24430" xr:uid="{00000000-0005-0000-0000-0000D80F0000}"/>
    <cellStyle name="Normal 10 3 2 3 3" xfId="11974" xr:uid="{00000000-0005-0000-0000-0000D90F0000}"/>
    <cellStyle name="Normal 10 3 2 3 3 2" xfId="28497" xr:uid="{00000000-0005-0000-0000-0000DA0F0000}"/>
    <cellStyle name="Normal 10 3 2 3 4" xfId="20454" xr:uid="{00000000-0005-0000-0000-0000DB0F0000}"/>
    <cellStyle name="Normal 10 3 2 4" xfId="6722" xr:uid="{00000000-0005-0000-0000-0000DC0F0000}"/>
    <cellStyle name="Normal 10 3 2 4 2" xfId="15904" xr:uid="{00000000-0005-0000-0000-0000DD0F0000}"/>
    <cellStyle name="Normal 10 3 2 4 2 2" xfId="32478" xr:uid="{00000000-0005-0000-0000-0000DE0F0000}"/>
    <cellStyle name="Normal 10 3 2 4 3" xfId="24431" xr:uid="{00000000-0005-0000-0000-0000DF0F0000}"/>
    <cellStyle name="Normal 10 3 2 5" xfId="11970" xr:uid="{00000000-0005-0000-0000-0000E00F0000}"/>
    <cellStyle name="Normal 10 3 2 5 2" xfId="28493" xr:uid="{00000000-0005-0000-0000-0000E10F0000}"/>
    <cellStyle name="Normal 10 3 2 6" xfId="20450" xr:uid="{00000000-0005-0000-0000-0000E20F0000}"/>
    <cellStyle name="Normal 10 3 3" xfId="2450" xr:uid="{00000000-0005-0000-0000-0000E30F0000}"/>
    <cellStyle name="Normal 10 3 3 2" xfId="2451" xr:uid="{00000000-0005-0000-0000-0000E40F0000}"/>
    <cellStyle name="Normal 10 3 3 2 2" xfId="6723" xr:uid="{00000000-0005-0000-0000-0000E50F0000}"/>
    <cellStyle name="Normal 10 3 3 2 2 2" xfId="15905" xr:uid="{00000000-0005-0000-0000-0000E60F0000}"/>
    <cellStyle name="Normal 10 3 3 2 2 2 2" xfId="32479" xr:uid="{00000000-0005-0000-0000-0000E70F0000}"/>
    <cellStyle name="Normal 10 3 3 2 2 3" xfId="24432" xr:uid="{00000000-0005-0000-0000-0000E80F0000}"/>
    <cellStyle name="Normal 10 3 3 2 3" xfId="11976" xr:uid="{00000000-0005-0000-0000-0000E90F0000}"/>
    <cellStyle name="Normal 10 3 3 2 3 2" xfId="28499" xr:uid="{00000000-0005-0000-0000-0000EA0F0000}"/>
    <cellStyle name="Normal 10 3 3 2 4" xfId="20456" xr:uid="{00000000-0005-0000-0000-0000EB0F0000}"/>
    <cellStyle name="Normal 10 3 3 3" xfId="6724" xr:uid="{00000000-0005-0000-0000-0000EC0F0000}"/>
    <cellStyle name="Normal 10 3 3 3 2" xfId="15906" xr:uid="{00000000-0005-0000-0000-0000ED0F0000}"/>
    <cellStyle name="Normal 10 3 3 3 2 2" xfId="32480" xr:uid="{00000000-0005-0000-0000-0000EE0F0000}"/>
    <cellStyle name="Normal 10 3 3 3 3" xfId="24433" xr:uid="{00000000-0005-0000-0000-0000EF0F0000}"/>
    <cellStyle name="Normal 10 3 3 4" xfId="11975" xr:uid="{00000000-0005-0000-0000-0000F00F0000}"/>
    <cellStyle name="Normal 10 3 3 4 2" xfId="28498" xr:uid="{00000000-0005-0000-0000-0000F10F0000}"/>
    <cellStyle name="Normal 10 3 3 5" xfId="20455" xr:uid="{00000000-0005-0000-0000-0000F20F0000}"/>
    <cellStyle name="Normal 10 3 4" xfId="2452" xr:uid="{00000000-0005-0000-0000-0000F30F0000}"/>
    <cellStyle name="Normal 10 3 4 2" xfId="6725" xr:uid="{00000000-0005-0000-0000-0000F40F0000}"/>
    <cellStyle name="Normal 10 3 4 2 2" xfId="15907" xr:uid="{00000000-0005-0000-0000-0000F50F0000}"/>
    <cellStyle name="Normal 10 3 4 2 2 2" xfId="32481" xr:uid="{00000000-0005-0000-0000-0000F60F0000}"/>
    <cellStyle name="Normal 10 3 4 2 3" xfId="24434" xr:uid="{00000000-0005-0000-0000-0000F70F0000}"/>
    <cellStyle name="Normal 10 3 4 3" xfId="11977" xr:uid="{00000000-0005-0000-0000-0000F80F0000}"/>
    <cellStyle name="Normal 10 3 4 3 2" xfId="28500" xr:uid="{00000000-0005-0000-0000-0000F90F0000}"/>
    <cellStyle name="Normal 10 3 4 4" xfId="20457" xr:uid="{00000000-0005-0000-0000-0000FA0F0000}"/>
    <cellStyle name="Normal 10 3 5" xfId="2453" xr:uid="{00000000-0005-0000-0000-0000FB0F0000}"/>
    <cellStyle name="Normal 10 3 5 2" xfId="11978" xr:uid="{00000000-0005-0000-0000-0000FC0F0000}"/>
    <cellStyle name="Normal 10 3 5 2 2" xfId="28501" xr:uid="{00000000-0005-0000-0000-0000FD0F0000}"/>
    <cellStyle name="Normal 10 3 5 3" xfId="20458" xr:uid="{00000000-0005-0000-0000-0000FE0F0000}"/>
    <cellStyle name="Normal 10 3 6" xfId="2444" xr:uid="{00000000-0005-0000-0000-0000FF0F0000}"/>
    <cellStyle name="Normal 10 4" xfId="372" xr:uid="{00000000-0005-0000-0000-000000100000}"/>
    <cellStyle name="Normal 10 4 2" xfId="2454" xr:uid="{00000000-0005-0000-0000-000001100000}"/>
    <cellStyle name="Normal 10 4 2 2" xfId="2455" xr:uid="{00000000-0005-0000-0000-000002100000}"/>
    <cellStyle name="Normal 10 4 2 2 2" xfId="2456" xr:uid="{00000000-0005-0000-0000-000003100000}"/>
    <cellStyle name="Normal 10 4 2 2 2 2" xfId="6726" xr:uid="{00000000-0005-0000-0000-000004100000}"/>
    <cellStyle name="Normal 10 4 2 2 2 2 2" xfId="15908" xr:uid="{00000000-0005-0000-0000-000005100000}"/>
    <cellStyle name="Normal 10 4 2 2 2 2 2 2" xfId="32482" xr:uid="{00000000-0005-0000-0000-000006100000}"/>
    <cellStyle name="Normal 10 4 2 2 2 2 3" xfId="24435" xr:uid="{00000000-0005-0000-0000-000007100000}"/>
    <cellStyle name="Normal 10 4 2 2 2 3" xfId="11982" xr:uid="{00000000-0005-0000-0000-000008100000}"/>
    <cellStyle name="Normal 10 4 2 2 2 3 2" xfId="28505" xr:uid="{00000000-0005-0000-0000-000009100000}"/>
    <cellStyle name="Normal 10 4 2 2 2 4" xfId="20462" xr:uid="{00000000-0005-0000-0000-00000A100000}"/>
    <cellStyle name="Normal 10 4 2 2 3" xfId="6727" xr:uid="{00000000-0005-0000-0000-00000B100000}"/>
    <cellStyle name="Normal 10 4 2 2 3 2" xfId="15909" xr:uid="{00000000-0005-0000-0000-00000C100000}"/>
    <cellStyle name="Normal 10 4 2 2 3 2 2" xfId="32483" xr:uid="{00000000-0005-0000-0000-00000D100000}"/>
    <cellStyle name="Normal 10 4 2 2 3 3" xfId="24436" xr:uid="{00000000-0005-0000-0000-00000E100000}"/>
    <cellStyle name="Normal 10 4 2 2 4" xfId="11981" xr:uid="{00000000-0005-0000-0000-00000F100000}"/>
    <cellStyle name="Normal 10 4 2 2 4 2" xfId="28504" xr:uid="{00000000-0005-0000-0000-000010100000}"/>
    <cellStyle name="Normal 10 4 2 2 5" xfId="20461" xr:uid="{00000000-0005-0000-0000-000011100000}"/>
    <cellStyle name="Normal 10 4 2 3" xfId="2457" xr:uid="{00000000-0005-0000-0000-000012100000}"/>
    <cellStyle name="Normal 10 4 2 3 2" xfId="6728" xr:uid="{00000000-0005-0000-0000-000013100000}"/>
    <cellStyle name="Normal 10 4 2 3 2 2" xfId="15910" xr:uid="{00000000-0005-0000-0000-000014100000}"/>
    <cellStyle name="Normal 10 4 2 3 2 2 2" xfId="32484" xr:uid="{00000000-0005-0000-0000-000015100000}"/>
    <cellStyle name="Normal 10 4 2 3 2 3" xfId="24437" xr:uid="{00000000-0005-0000-0000-000016100000}"/>
    <cellStyle name="Normal 10 4 2 3 3" xfId="11983" xr:uid="{00000000-0005-0000-0000-000017100000}"/>
    <cellStyle name="Normal 10 4 2 3 3 2" xfId="28506" xr:uid="{00000000-0005-0000-0000-000018100000}"/>
    <cellStyle name="Normal 10 4 2 3 4" xfId="20463" xr:uid="{00000000-0005-0000-0000-000019100000}"/>
    <cellStyle name="Normal 10 4 2 4" xfId="6729" xr:uid="{00000000-0005-0000-0000-00001A100000}"/>
    <cellStyle name="Normal 10 4 2 4 2" xfId="15911" xr:uid="{00000000-0005-0000-0000-00001B100000}"/>
    <cellStyle name="Normal 10 4 2 4 2 2" xfId="32485" xr:uid="{00000000-0005-0000-0000-00001C100000}"/>
    <cellStyle name="Normal 10 4 2 4 3" xfId="24438" xr:uid="{00000000-0005-0000-0000-00001D100000}"/>
    <cellStyle name="Normal 10 4 2 5" xfId="11980" xr:uid="{00000000-0005-0000-0000-00001E100000}"/>
    <cellStyle name="Normal 10 4 2 5 2" xfId="28503" xr:uid="{00000000-0005-0000-0000-00001F100000}"/>
    <cellStyle name="Normal 10 4 2 6" xfId="20460" xr:uid="{00000000-0005-0000-0000-000020100000}"/>
    <cellStyle name="Normal 10 4 3" xfId="2458" xr:uid="{00000000-0005-0000-0000-000021100000}"/>
    <cellStyle name="Normal 10 4 3 2" xfId="2459" xr:uid="{00000000-0005-0000-0000-000022100000}"/>
    <cellStyle name="Normal 10 4 3 2 2" xfId="6730" xr:uid="{00000000-0005-0000-0000-000023100000}"/>
    <cellStyle name="Normal 10 4 3 2 2 2" xfId="15912" xr:uid="{00000000-0005-0000-0000-000024100000}"/>
    <cellStyle name="Normal 10 4 3 2 2 2 2" xfId="32486" xr:uid="{00000000-0005-0000-0000-000025100000}"/>
    <cellStyle name="Normal 10 4 3 2 2 3" xfId="24439" xr:uid="{00000000-0005-0000-0000-000026100000}"/>
    <cellStyle name="Normal 10 4 3 2 3" xfId="11985" xr:uid="{00000000-0005-0000-0000-000027100000}"/>
    <cellStyle name="Normal 10 4 3 2 3 2" xfId="28508" xr:uid="{00000000-0005-0000-0000-000028100000}"/>
    <cellStyle name="Normal 10 4 3 2 4" xfId="20465" xr:uid="{00000000-0005-0000-0000-000029100000}"/>
    <cellStyle name="Normal 10 4 3 3" xfId="6731" xr:uid="{00000000-0005-0000-0000-00002A100000}"/>
    <cellStyle name="Normal 10 4 3 3 2" xfId="15913" xr:uid="{00000000-0005-0000-0000-00002B100000}"/>
    <cellStyle name="Normal 10 4 3 3 2 2" xfId="32487" xr:uid="{00000000-0005-0000-0000-00002C100000}"/>
    <cellStyle name="Normal 10 4 3 3 3" xfId="24440" xr:uid="{00000000-0005-0000-0000-00002D100000}"/>
    <cellStyle name="Normal 10 4 3 4" xfId="11984" xr:uid="{00000000-0005-0000-0000-00002E100000}"/>
    <cellStyle name="Normal 10 4 3 4 2" xfId="28507" xr:uid="{00000000-0005-0000-0000-00002F100000}"/>
    <cellStyle name="Normal 10 4 3 5" xfId="20464" xr:uid="{00000000-0005-0000-0000-000030100000}"/>
    <cellStyle name="Normal 10 4 4" xfId="2460" xr:uid="{00000000-0005-0000-0000-000031100000}"/>
    <cellStyle name="Normal 10 4 4 2" xfId="6732" xr:uid="{00000000-0005-0000-0000-000032100000}"/>
    <cellStyle name="Normal 10 4 4 2 2" xfId="15914" xr:uid="{00000000-0005-0000-0000-000033100000}"/>
    <cellStyle name="Normal 10 4 4 2 2 2" xfId="32488" xr:uid="{00000000-0005-0000-0000-000034100000}"/>
    <cellStyle name="Normal 10 4 4 2 3" xfId="24441" xr:uid="{00000000-0005-0000-0000-000035100000}"/>
    <cellStyle name="Normal 10 4 4 3" xfId="11986" xr:uid="{00000000-0005-0000-0000-000036100000}"/>
    <cellStyle name="Normal 10 4 4 3 2" xfId="28509" xr:uid="{00000000-0005-0000-0000-000037100000}"/>
    <cellStyle name="Normal 10 4 4 4" xfId="20466" xr:uid="{00000000-0005-0000-0000-000038100000}"/>
    <cellStyle name="Normal 10 4 5" xfId="6733" xr:uid="{00000000-0005-0000-0000-000039100000}"/>
    <cellStyle name="Normal 10 4 5 2" xfId="15915" xr:uid="{00000000-0005-0000-0000-00003A100000}"/>
    <cellStyle name="Normal 10 4 5 2 2" xfId="32489" xr:uid="{00000000-0005-0000-0000-00003B100000}"/>
    <cellStyle name="Normal 10 4 5 3" xfId="24442" xr:uid="{00000000-0005-0000-0000-00003C100000}"/>
    <cellStyle name="Normal 10 4 6" xfId="11979" xr:uid="{00000000-0005-0000-0000-00003D100000}"/>
    <cellStyle name="Normal 10 4 6 2" xfId="28502" xr:uid="{00000000-0005-0000-0000-00003E100000}"/>
    <cellStyle name="Normal 10 4 7" xfId="20459" xr:uid="{00000000-0005-0000-0000-00003F100000}"/>
    <cellStyle name="Normal 10 5" xfId="1684" xr:uid="{00000000-0005-0000-0000-000040100000}"/>
    <cellStyle name="Normal 10 5 2" xfId="2462" xr:uid="{00000000-0005-0000-0000-000041100000}"/>
    <cellStyle name="Normal 10 5 2 2" xfId="2463" xr:uid="{00000000-0005-0000-0000-000042100000}"/>
    <cellStyle name="Normal 10 5 2 2 2" xfId="2464" xr:uid="{00000000-0005-0000-0000-000043100000}"/>
    <cellStyle name="Normal 10 5 2 2 2 2" xfId="6734" xr:uid="{00000000-0005-0000-0000-000044100000}"/>
    <cellStyle name="Normal 10 5 2 2 2 2 2" xfId="15916" xr:uid="{00000000-0005-0000-0000-000045100000}"/>
    <cellStyle name="Normal 10 5 2 2 2 2 2 2" xfId="32490" xr:uid="{00000000-0005-0000-0000-000046100000}"/>
    <cellStyle name="Normal 10 5 2 2 2 2 3" xfId="24443" xr:uid="{00000000-0005-0000-0000-000047100000}"/>
    <cellStyle name="Normal 10 5 2 2 2 3" xfId="11989" xr:uid="{00000000-0005-0000-0000-000048100000}"/>
    <cellStyle name="Normal 10 5 2 2 2 3 2" xfId="28513" xr:uid="{00000000-0005-0000-0000-000049100000}"/>
    <cellStyle name="Normal 10 5 2 2 2 4" xfId="20470" xr:uid="{00000000-0005-0000-0000-00004A100000}"/>
    <cellStyle name="Normal 10 5 2 2 3" xfId="6735" xr:uid="{00000000-0005-0000-0000-00004B100000}"/>
    <cellStyle name="Normal 10 5 2 2 3 2" xfId="15917" xr:uid="{00000000-0005-0000-0000-00004C100000}"/>
    <cellStyle name="Normal 10 5 2 2 3 2 2" xfId="32491" xr:uid="{00000000-0005-0000-0000-00004D100000}"/>
    <cellStyle name="Normal 10 5 2 2 3 3" xfId="24444" xr:uid="{00000000-0005-0000-0000-00004E100000}"/>
    <cellStyle name="Normal 10 5 2 2 4" xfId="11988" xr:uid="{00000000-0005-0000-0000-00004F100000}"/>
    <cellStyle name="Normal 10 5 2 2 4 2" xfId="28512" xr:uid="{00000000-0005-0000-0000-000050100000}"/>
    <cellStyle name="Normal 10 5 2 2 5" xfId="20469" xr:uid="{00000000-0005-0000-0000-000051100000}"/>
    <cellStyle name="Normal 10 5 2 3" xfId="2465" xr:uid="{00000000-0005-0000-0000-000052100000}"/>
    <cellStyle name="Normal 10 5 2 3 2" xfId="6736" xr:uid="{00000000-0005-0000-0000-000053100000}"/>
    <cellStyle name="Normal 10 5 2 3 2 2" xfId="15918" xr:uid="{00000000-0005-0000-0000-000054100000}"/>
    <cellStyle name="Normal 10 5 2 3 2 2 2" xfId="32492" xr:uid="{00000000-0005-0000-0000-000055100000}"/>
    <cellStyle name="Normal 10 5 2 3 2 3" xfId="24445" xr:uid="{00000000-0005-0000-0000-000056100000}"/>
    <cellStyle name="Normal 10 5 2 3 3" xfId="11990" xr:uid="{00000000-0005-0000-0000-000057100000}"/>
    <cellStyle name="Normal 10 5 2 3 3 2" xfId="28514" xr:uid="{00000000-0005-0000-0000-000058100000}"/>
    <cellStyle name="Normal 10 5 2 3 4" xfId="20471" xr:uid="{00000000-0005-0000-0000-000059100000}"/>
    <cellStyle name="Normal 10 5 2 4" xfId="6737" xr:uid="{00000000-0005-0000-0000-00005A100000}"/>
    <cellStyle name="Normal 10 5 2 4 2" xfId="15919" xr:uid="{00000000-0005-0000-0000-00005B100000}"/>
    <cellStyle name="Normal 10 5 2 4 2 2" xfId="32493" xr:uid="{00000000-0005-0000-0000-00005C100000}"/>
    <cellStyle name="Normal 10 5 2 4 3" xfId="24446" xr:uid="{00000000-0005-0000-0000-00005D100000}"/>
    <cellStyle name="Normal 10 5 2 5" xfId="11987" xr:uid="{00000000-0005-0000-0000-00005E100000}"/>
    <cellStyle name="Normal 10 5 2 5 2" xfId="28511" xr:uid="{00000000-0005-0000-0000-00005F100000}"/>
    <cellStyle name="Normal 10 5 2 6" xfId="20468" xr:uid="{00000000-0005-0000-0000-000060100000}"/>
    <cellStyle name="Normal 10 5 3" xfId="2466" xr:uid="{00000000-0005-0000-0000-000061100000}"/>
    <cellStyle name="Normal 10 5 3 2" xfId="2467" xr:uid="{00000000-0005-0000-0000-000062100000}"/>
    <cellStyle name="Normal 10 5 3 2 2" xfId="6738" xr:uid="{00000000-0005-0000-0000-000063100000}"/>
    <cellStyle name="Normal 10 5 3 2 2 2" xfId="15920" xr:uid="{00000000-0005-0000-0000-000064100000}"/>
    <cellStyle name="Normal 10 5 3 2 2 2 2" xfId="32494" xr:uid="{00000000-0005-0000-0000-000065100000}"/>
    <cellStyle name="Normal 10 5 3 2 2 3" xfId="24447" xr:uid="{00000000-0005-0000-0000-000066100000}"/>
    <cellStyle name="Normal 10 5 3 2 3" xfId="11992" xr:uid="{00000000-0005-0000-0000-000067100000}"/>
    <cellStyle name="Normal 10 5 3 2 3 2" xfId="28516" xr:uid="{00000000-0005-0000-0000-000068100000}"/>
    <cellStyle name="Normal 10 5 3 2 4" xfId="20473" xr:uid="{00000000-0005-0000-0000-000069100000}"/>
    <cellStyle name="Normal 10 5 3 3" xfId="6739" xr:uid="{00000000-0005-0000-0000-00006A100000}"/>
    <cellStyle name="Normal 10 5 3 3 2" xfId="15921" xr:uid="{00000000-0005-0000-0000-00006B100000}"/>
    <cellStyle name="Normal 10 5 3 3 2 2" xfId="32495" xr:uid="{00000000-0005-0000-0000-00006C100000}"/>
    <cellStyle name="Normal 10 5 3 3 3" xfId="24448" xr:uid="{00000000-0005-0000-0000-00006D100000}"/>
    <cellStyle name="Normal 10 5 3 4" xfId="11991" xr:uid="{00000000-0005-0000-0000-00006E100000}"/>
    <cellStyle name="Normal 10 5 3 4 2" xfId="28515" xr:uid="{00000000-0005-0000-0000-00006F100000}"/>
    <cellStyle name="Normal 10 5 3 5" xfId="20472" xr:uid="{00000000-0005-0000-0000-000070100000}"/>
    <cellStyle name="Normal 10 5 4" xfId="2468" xr:uid="{00000000-0005-0000-0000-000071100000}"/>
    <cellStyle name="Normal 10 5 4 2" xfId="6740" xr:uid="{00000000-0005-0000-0000-000072100000}"/>
    <cellStyle name="Normal 10 5 4 2 2" xfId="15922" xr:uid="{00000000-0005-0000-0000-000073100000}"/>
    <cellStyle name="Normal 10 5 4 2 2 2" xfId="32496" xr:uid="{00000000-0005-0000-0000-000074100000}"/>
    <cellStyle name="Normal 10 5 4 2 3" xfId="24449" xr:uid="{00000000-0005-0000-0000-000075100000}"/>
    <cellStyle name="Normal 10 5 4 3" xfId="11993" xr:uid="{00000000-0005-0000-0000-000076100000}"/>
    <cellStyle name="Normal 10 5 4 3 2" xfId="28517" xr:uid="{00000000-0005-0000-0000-000077100000}"/>
    <cellStyle name="Normal 10 5 4 4" xfId="20474" xr:uid="{00000000-0005-0000-0000-000078100000}"/>
    <cellStyle name="Normal 10 5 5" xfId="6741" xr:uid="{00000000-0005-0000-0000-000079100000}"/>
    <cellStyle name="Normal 10 5 5 2" xfId="15923" xr:uid="{00000000-0005-0000-0000-00007A100000}"/>
    <cellStyle name="Normal 10 5 5 2 2" xfId="32497" xr:uid="{00000000-0005-0000-0000-00007B100000}"/>
    <cellStyle name="Normal 10 5 5 3" xfId="24450" xr:uid="{00000000-0005-0000-0000-00007C100000}"/>
    <cellStyle name="Normal 10 5 6" xfId="2461" xr:uid="{00000000-0005-0000-0000-00007D100000}"/>
    <cellStyle name="Normal 10 5 6 2" xfId="28510" xr:uid="{00000000-0005-0000-0000-00007E100000}"/>
    <cellStyle name="Normal 10 5 7" xfId="20467" xr:uid="{00000000-0005-0000-0000-00007F100000}"/>
    <cellStyle name="Normal 10 6" xfId="2469" xr:uid="{00000000-0005-0000-0000-000080100000}"/>
    <cellStyle name="Normal 10 6 2" xfId="2470" xr:uid="{00000000-0005-0000-0000-000081100000}"/>
    <cellStyle name="Normal 10 6 2 2" xfId="2471" xr:uid="{00000000-0005-0000-0000-000082100000}"/>
    <cellStyle name="Normal 10 6 2 2 2" xfId="6742" xr:uid="{00000000-0005-0000-0000-000083100000}"/>
    <cellStyle name="Normal 10 6 2 2 2 2" xfId="15924" xr:uid="{00000000-0005-0000-0000-000084100000}"/>
    <cellStyle name="Normal 10 6 2 2 2 2 2" xfId="32498" xr:uid="{00000000-0005-0000-0000-000085100000}"/>
    <cellStyle name="Normal 10 6 2 2 2 3" xfId="24451" xr:uid="{00000000-0005-0000-0000-000086100000}"/>
    <cellStyle name="Normal 10 6 2 2 3" xfId="11996" xr:uid="{00000000-0005-0000-0000-000087100000}"/>
    <cellStyle name="Normal 10 6 2 2 3 2" xfId="28520" xr:uid="{00000000-0005-0000-0000-000088100000}"/>
    <cellStyle name="Normal 10 6 2 2 4" xfId="20477" xr:uid="{00000000-0005-0000-0000-000089100000}"/>
    <cellStyle name="Normal 10 6 2 3" xfId="6743" xr:uid="{00000000-0005-0000-0000-00008A100000}"/>
    <cellStyle name="Normal 10 6 2 3 2" xfId="15925" xr:uid="{00000000-0005-0000-0000-00008B100000}"/>
    <cellStyle name="Normal 10 6 2 3 2 2" xfId="32499" xr:uid="{00000000-0005-0000-0000-00008C100000}"/>
    <cellStyle name="Normal 10 6 2 3 3" xfId="24452" xr:uid="{00000000-0005-0000-0000-00008D100000}"/>
    <cellStyle name="Normal 10 6 2 4" xfId="11995" xr:uid="{00000000-0005-0000-0000-00008E100000}"/>
    <cellStyle name="Normal 10 6 2 4 2" xfId="28519" xr:uid="{00000000-0005-0000-0000-00008F100000}"/>
    <cellStyle name="Normal 10 6 2 5" xfId="20476" xr:uid="{00000000-0005-0000-0000-000090100000}"/>
    <cellStyle name="Normal 10 6 3" xfId="2472" xr:uid="{00000000-0005-0000-0000-000091100000}"/>
    <cellStyle name="Normal 10 6 3 2" xfId="6744" xr:uid="{00000000-0005-0000-0000-000092100000}"/>
    <cellStyle name="Normal 10 6 3 2 2" xfId="15926" xr:uid="{00000000-0005-0000-0000-000093100000}"/>
    <cellStyle name="Normal 10 6 3 2 2 2" xfId="32500" xr:uid="{00000000-0005-0000-0000-000094100000}"/>
    <cellStyle name="Normal 10 6 3 2 3" xfId="24453" xr:uid="{00000000-0005-0000-0000-000095100000}"/>
    <cellStyle name="Normal 10 6 3 3" xfId="11997" xr:uid="{00000000-0005-0000-0000-000096100000}"/>
    <cellStyle name="Normal 10 6 3 3 2" xfId="28521" xr:uid="{00000000-0005-0000-0000-000097100000}"/>
    <cellStyle name="Normal 10 6 3 4" xfId="20478" xr:uid="{00000000-0005-0000-0000-000098100000}"/>
    <cellStyle name="Normal 10 6 4" xfId="6745" xr:uid="{00000000-0005-0000-0000-000099100000}"/>
    <cellStyle name="Normal 10 6 4 2" xfId="15927" xr:uid="{00000000-0005-0000-0000-00009A100000}"/>
    <cellStyle name="Normal 10 6 4 2 2" xfId="32501" xr:uid="{00000000-0005-0000-0000-00009B100000}"/>
    <cellStyle name="Normal 10 6 4 3" xfId="24454" xr:uid="{00000000-0005-0000-0000-00009C100000}"/>
    <cellStyle name="Normal 10 6 5" xfId="11994" xr:uid="{00000000-0005-0000-0000-00009D100000}"/>
    <cellStyle name="Normal 10 6 5 2" xfId="28518" xr:uid="{00000000-0005-0000-0000-00009E100000}"/>
    <cellStyle name="Normal 10 6 6" xfId="20475" xr:uid="{00000000-0005-0000-0000-00009F100000}"/>
    <cellStyle name="Normal 10 7" xfId="2473" xr:uid="{00000000-0005-0000-0000-0000A0100000}"/>
    <cellStyle name="Normal 10 7 2" xfId="2474" xr:uid="{00000000-0005-0000-0000-0000A1100000}"/>
    <cellStyle name="Normal 10 7 2 2" xfId="6746" xr:uid="{00000000-0005-0000-0000-0000A2100000}"/>
    <cellStyle name="Normal 10 7 2 2 2" xfId="15928" xr:uid="{00000000-0005-0000-0000-0000A3100000}"/>
    <cellStyle name="Normal 10 7 2 2 2 2" xfId="32502" xr:uid="{00000000-0005-0000-0000-0000A4100000}"/>
    <cellStyle name="Normal 10 7 2 2 3" xfId="24455" xr:uid="{00000000-0005-0000-0000-0000A5100000}"/>
    <cellStyle name="Normal 10 7 2 3" xfId="11999" xr:uid="{00000000-0005-0000-0000-0000A6100000}"/>
    <cellStyle name="Normal 10 7 2 3 2" xfId="28523" xr:uid="{00000000-0005-0000-0000-0000A7100000}"/>
    <cellStyle name="Normal 10 7 2 4" xfId="20480" xr:uid="{00000000-0005-0000-0000-0000A8100000}"/>
    <cellStyle name="Normal 10 7 3" xfId="6747" xr:uid="{00000000-0005-0000-0000-0000A9100000}"/>
    <cellStyle name="Normal 10 7 3 2" xfId="15929" xr:uid="{00000000-0005-0000-0000-0000AA100000}"/>
    <cellStyle name="Normal 10 7 3 2 2" xfId="32503" xr:uid="{00000000-0005-0000-0000-0000AB100000}"/>
    <cellStyle name="Normal 10 7 3 3" xfId="24456" xr:uid="{00000000-0005-0000-0000-0000AC100000}"/>
    <cellStyle name="Normal 10 7 4" xfId="11998" xr:uid="{00000000-0005-0000-0000-0000AD100000}"/>
    <cellStyle name="Normal 10 7 4 2" xfId="28522" xr:uid="{00000000-0005-0000-0000-0000AE100000}"/>
    <cellStyle name="Normal 10 7 5" xfId="20479" xr:uid="{00000000-0005-0000-0000-0000AF100000}"/>
    <cellStyle name="Normal 10 8" xfId="2475" xr:uid="{00000000-0005-0000-0000-0000B0100000}"/>
    <cellStyle name="Normal 10 8 2" xfId="6748" xr:uid="{00000000-0005-0000-0000-0000B1100000}"/>
    <cellStyle name="Normal 10 8 2 2" xfId="15930" xr:uid="{00000000-0005-0000-0000-0000B2100000}"/>
    <cellStyle name="Normal 10 8 2 2 2" xfId="32504" xr:uid="{00000000-0005-0000-0000-0000B3100000}"/>
    <cellStyle name="Normal 10 8 2 3" xfId="24457" xr:uid="{00000000-0005-0000-0000-0000B4100000}"/>
    <cellStyle name="Normal 10 8 3" xfId="12000" xr:uid="{00000000-0005-0000-0000-0000B5100000}"/>
    <cellStyle name="Normal 10 8 3 2" xfId="28524" xr:uid="{00000000-0005-0000-0000-0000B6100000}"/>
    <cellStyle name="Normal 10 8 4" xfId="20481" xr:uid="{00000000-0005-0000-0000-0000B7100000}"/>
    <cellStyle name="Normal 10 9" xfId="6749" xr:uid="{00000000-0005-0000-0000-0000B8100000}"/>
    <cellStyle name="Normal 10 9 2" xfId="15931" xr:uid="{00000000-0005-0000-0000-0000B9100000}"/>
    <cellStyle name="Normal 10 9 2 2" xfId="32505" xr:uid="{00000000-0005-0000-0000-0000BA100000}"/>
    <cellStyle name="Normal 10 9 3" xfId="24458" xr:uid="{00000000-0005-0000-0000-0000BB100000}"/>
    <cellStyle name="Normal 100" xfId="2476" xr:uid="{00000000-0005-0000-0000-0000BC100000}"/>
    <cellStyle name="Normal 100 10" xfId="12001" xr:uid="{00000000-0005-0000-0000-0000BD100000}"/>
    <cellStyle name="Normal 100 10 2" xfId="28525" xr:uid="{00000000-0005-0000-0000-0000BE100000}"/>
    <cellStyle name="Normal 100 11" xfId="20482" xr:uid="{00000000-0005-0000-0000-0000BF100000}"/>
    <cellStyle name="Normal 100 2" xfId="2477" xr:uid="{00000000-0005-0000-0000-0000C0100000}"/>
    <cellStyle name="Normal 100 2 2" xfId="2478" xr:uid="{00000000-0005-0000-0000-0000C1100000}"/>
    <cellStyle name="Normal 100 2 3" xfId="12002" xr:uid="{00000000-0005-0000-0000-0000C2100000}"/>
    <cellStyle name="Normal 100 2 3 2" xfId="28526" xr:uid="{00000000-0005-0000-0000-0000C3100000}"/>
    <cellStyle name="Normal 100 2 4" xfId="20483" xr:uid="{00000000-0005-0000-0000-0000C4100000}"/>
    <cellStyle name="Normal 100 3" xfId="2479" xr:uid="{00000000-0005-0000-0000-0000C5100000}"/>
    <cellStyle name="Normal 100 3 2" xfId="2480" xr:uid="{00000000-0005-0000-0000-0000C6100000}"/>
    <cellStyle name="Normal 100 3 2 2" xfId="2481" xr:uid="{00000000-0005-0000-0000-0000C7100000}"/>
    <cellStyle name="Normal 100 3 2 2 2" xfId="2482" xr:uid="{00000000-0005-0000-0000-0000C8100000}"/>
    <cellStyle name="Normal 100 3 2 2 2 2" xfId="6750" xr:uid="{00000000-0005-0000-0000-0000C9100000}"/>
    <cellStyle name="Normal 100 3 2 2 2 2 2" xfId="15932" xr:uid="{00000000-0005-0000-0000-0000CA100000}"/>
    <cellStyle name="Normal 100 3 2 2 2 2 2 2" xfId="32506" xr:uid="{00000000-0005-0000-0000-0000CB100000}"/>
    <cellStyle name="Normal 100 3 2 2 2 2 3" xfId="24459" xr:uid="{00000000-0005-0000-0000-0000CC100000}"/>
    <cellStyle name="Normal 100 3 2 2 2 3" xfId="12005" xr:uid="{00000000-0005-0000-0000-0000CD100000}"/>
    <cellStyle name="Normal 100 3 2 2 2 3 2" xfId="28529" xr:uid="{00000000-0005-0000-0000-0000CE100000}"/>
    <cellStyle name="Normal 100 3 2 2 2 4" xfId="20486" xr:uid="{00000000-0005-0000-0000-0000CF100000}"/>
    <cellStyle name="Normal 100 3 2 2 3" xfId="6751" xr:uid="{00000000-0005-0000-0000-0000D0100000}"/>
    <cellStyle name="Normal 100 3 2 2 3 2" xfId="15933" xr:uid="{00000000-0005-0000-0000-0000D1100000}"/>
    <cellStyle name="Normal 100 3 2 2 3 2 2" xfId="32507" xr:uid="{00000000-0005-0000-0000-0000D2100000}"/>
    <cellStyle name="Normal 100 3 2 2 3 3" xfId="24460" xr:uid="{00000000-0005-0000-0000-0000D3100000}"/>
    <cellStyle name="Normal 100 3 2 2 4" xfId="12004" xr:uid="{00000000-0005-0000-0000-0000D4100000}"/>
    <cellStyle name="Normal 100 3 2 2 4 2" xfId="28528" xr:uid="{00000000-0005-0000-0000-0000D5100000}"/>
    <cellStyle name="Normal 100 3 2 2 5" xfId="20485" xr:uid="{00000000-0005-0000-0000-0000D6100000}"/>
    <cellStyle name="Normal 100 3 2 3" xfId="2483" xr:uid="{00000000-0005-0000-0000-0000D7100000}"/>
    <cellStyle name="Normal 100 3 2 3 2" xfId="6752" xr:uid="{00000000-0005-0000-0000-0000D8100000}"/>
    <cellStyle name="Normal 100 3 2 3 2 2" xfId="15934" xr:uid="{00000000-0005-0000-0000-0000D9100000}"/>
    <cellStyle name="Normal 100 3 2 3 2 2 2" xfId="32508" xr:uid="{00000000-0005-0000-0000-0000DA100000}"/>
    <cellStyle name="Normal 100 3 2 3 2 3" xfId="24461" xr:uid="{00000000-0005-0000-0000-0000DB100000}"/>
    <cellStyle name="Normal 100 3 2 3 3" xfId="12006" xr:uid="{00000000-0005-0000-0000-0000DC100000}"/>
    <cellStyle name="Normal 100 3 2 3 3 2" xfId="28530" xr:uid="{00000000-0005-0000-0000-0000DD100000}"/>
    <cellStyle name="Normal 100 3 2 3 4" xfId="20487" xr:uid="{00000000-0005-0000-0000-0000DE100000}"/>
    <cellStyle name="Normal 100 3 2 4" xfId="6753" xr:uid="{00000000-0005-0000-0000-0000DF100000}"/>
    <cellStyle name="Normal 100 3 2 4 2" xfId="15935" xr:uid="{00000000-0005-0000-0000-0000E0100000}"/>
    <cellStyle name="Normal 100 3 2 4 2 2" xfId="32509" xr:uid="{00000000-0005-0000-0000-0000E1100000}"/>
    <cellStyle name="Normal 100 3 2 4 3" xfId="24462" xr:uid="{00000000-0005-0000-0000-0000E2100000}"/>
    <cellStyle name="Normal 100 3 2 5" xfId="12003" xr:uid="{00000000-0005-0000-0000-0000E3100000}"/>
    <cellStyle name="Normal 100 3 2 5 2" xfId="28527" xr:uid="{00000000-0005-0000-0000-0000E4100000}"/>
    <cellStyle name="Normal 100 3 2 6" xfId="20484" xr:uid="{00000000-0005-0000-0000-0000E5100000}"/>
    <cellStyle name="Normal 100 3 3" xfId="2484" xr:uid="{00000000-0005-0000-0000-0000E6100000}"/>
    <cellStyle name="Normal 100 3 3 2" xfId="2485" xr:uid="{00000000-0005-0000-0000-0000E7100000}"/>
    <cellStyle name="Normal 100 3 3 2 2" xfId="6754" xr:uid="{00000000-0005-0000-0000-0000E8100000}"/>
    <cellStyle name="Normal 100 3 3 2 2 2" xfId="15936" xr:uid="{00000000-0005-0000-0000-0000E9100000}"/>
    <cellStyle name="Normal 100 3 3 2 2 2 2" xfId="32510" xr:uid="{00000000-0005-0000-0000-0000EA100000}"/>
    <cellStyle name="Normal 100 3 3 2 2 3" xfId="24463" xr:uid="{00000000-0005-0000-0000-0000EB100000}"/>
    <cellStyle name="Normal 100 3 3 2 3" xfId="12008" xr:uid="{00000000-0005-0000-0000-0000EC100000}"/>
    <cellStyle name="Normal 100 3 3 2 3 2" xfId="28532" xr:uid="{00000000-0005-0000-0000-0000ED100000}"/>
    <cellStyle name="Normal 100 3 3 2 4" xfId="20489" xr:uid="{00000000-0005-0000-0000-0000EE100000}"/>
    <cellStyle name="Normal 100 3 3 3" xfId="6755" xr:uid="{00000000-0005-0000-0000-0000EF100000}"/>
    <cellStyle name="Normal 100 3 3 3 2" xfId="15937" xr:uid="{00000000-0005-0000-0000-0000F0100000}"/>
    <cellStyle name="Normal 100 3 3 3 2 2" xfId="32511" xr:uid="{00000000-0005-0000-0000-0000F1100000}"/>
    <cellStyle name="Normal 100 3 3 3 3" xfId="24464" xr:uid="{00000000-0005-0000-0000-0000F2100000}"/>
    <cellStyle name="Normal 100 3 3 4" xfId="12007" xr:uid="{00000000-0005-0000-0000-0000F3100000}"/>
    <cellStyle name="Normal 100 3 3 4 2" xfId="28531" xr:uid="{00000000-0005-0000-0000-0000F4100000}"/>
    <cellStyle name="Normal 100 3 3 5" xfId="20488" xr:uid="{00000000-0005-0000-0000-0000F5100000}"/>
    <cellStyle name="Normal 100 3 4" xfId="2486" xr:uid="{00000000-0005-0000-0000-0000F6100000}"/>
    <cellStyle name="Normal 100 3 4 2" xfId="6756" xr:uid="{00000000-0005-0000-0000-0000F7100000}"/>
    <cellStyle name="Normal 100 3 4 2 2" xfId="15938" xr:uid="{00000000-0005-0000-0000-0000F8100000}"/>
    <cellStyle name="Normal 100 3 4 2 2 2" xfId="32512" xr:uid="{00000000-0005-0000-0000-0000F9100000}"/>
    <cellStyle name="Normal 100 3 4 2 3" xfId="24465" xr:uid="{00000000-0005-0000-0000-0000FA100000}"/>
    <cellStyle name="Normal 100 3 4 3" xfId="12009" xr:uid="{00000000-0005-0000-0000-0000FB100000}"/>
    <cellStyle name="Normal 100 3 4 3 2" xfId="28533" xr:uid="{00000000-0005-0000-0000-0000FC100000}"/>
    <cellStyle name="Normal 100 3 4 4" xfId="20490" xr:uid="{00000000-0005-0000-0000-0000FD100000}"/>
    <cellStyle name="Normal 100 3 5" xfId="6757" xr:uid="{00000000-0005-0000-0000-0000FE100000}"/>
    <cellStyle name="Normal 100 3 5 2" xfId="15939" xr:uid="{00000000-0005-0000-0000-0000FF100000}"/>
    <cellStyle name="Normal 100 3 5 2 2" xfId="32513" xr:uid="{00000000-0005-0000-0000-000000110000}"/>
    <cellStyle name="Normal 100 3 5 3" xfId="24466" xr:uid="{00000000-0005-0000-0000-000001110000}"/>
    <cellStyle name="Normal 100 4" xfId="2487" xr:uid="{00000000-0005-0000-0000-000002110000}"/>
    <cellStyle name="Normal 100 4 2" xfId="2488" xr:uid="{00000000-0005-0000-0000-000003110000}"/>
    <cellStyle name="Normal 100 4 2 2" xfId="2489" xr:uid="{00000000-0005-0000-0000-000004110000}"/>
    <cellStyle name="Normal 100 4 2 2 2" xfId="2490" xr:uid="{00000000-0005-0000-0000-000005110000}"/>
    <cellStyle name="Normal 100 4 2 2 2 2" xfId="6758" xr:uid="{00000000-0005-0000-0000-000006110000}"/>
    <cellStyle name="Normal 100 4 2 2 2 2 2" xfId="15940" xr:uid="{00000000-0005-0000-0000-000007110000}"/>
    <cellStyle name="Normal 100 4 2 2 2 2 2 2" xfId="32514" xr:uid="{00000000-0005-0000-0000-000008110000}"/>
    <cellStyle name="Normal 100 4 2 2 2 2 3" xfId="24467" xr:uid="{00000000-0005-0000-0000-000009110000}"/>
    <cellStyle name="Normal 100 4 2 2 2 3" xfId="12013" xr:uid="{00000000-0005-0000-0000-00000A110000}"/>
    <cellStyle name="Normal 100 4 2 2 2 3 2" xfId="28537" xr:uid="{00000000-0005-0000-0000-00000B110000}"/>
    <cellStyle name="Normal 100 4 2 2 2 4" xfId="20494" xr:uid="{00000000-0005-0000-0000-00000C110000}"/>
    <cellStyle name="Normal 100 4 2 2 3" xfId="6759" xr:uid="{00000000-0005-0000-0000-00000D110000}"/>
    <cellStyle name="Normal 100 4 2 2 3 2" xfId="15941" xr:uid="{00000000-0005-0000-0000-00000E110000}"/>
    <cellStyle name="Normal 100 4 2 2 3 2 2" xfId="32515" xr:uid="{00000000-0005-0000-0000-00000F110000}"/>
    <cellStyle name="Normal 100 4 2 2 3 3" xfId="24468" xr:uid="{00000000-0005-0000-0000-000010110000}"/>
    <cellStyle name="Normal 100 4 2 2 4" xfId="12012" xr:uid="{00000000-0005-0000-0000-000011110000}"/>
    <cellStyle name="Normal 100 4 2 2 4 2" xfId="28536" xr:uid="{00000000-0005-0000-0000-000012110000}"/>
    <cellStyle name="Normal 100 4 2 2 5" xfId="20493" xr:uid="{00000000-0005-0000-0000-000013110000}"/>
    <cellStyle name="Normal 100 4 2 3" xfId="2491" xr:uid="{00000000-0005-0000-0000-000014110000}"/>
    <cellStyle name="Normal 100 4 2 3 2" xfId="6760" xr:uid="{00000000-0005-0000-0000-000015110000}"/>
    <cellStyle name="Normal 100 4 2 3 2 2" xfId="15942" xr:uid="{00000000-0005-0000-0000-000016110000}"/>
    <cellStyle name="Normal 100 4 2 3 2 2 2" xfId="32516" xr:uid="{00000000-0005-0000-0000-000017110000}"/>
    <cellStyle name="Normal 100 4 2 3 2 3" xfId="24469" xr:uid="{00000000-0005-0000-0000-000018110000}"/>
    <cellStyle name="Normal 100 4 2 3 3" xfId="12014" xr:uid="{00000000-0005-0000-0000-000019110000}"/>
    <cellStyle name="Normal 100 4 2 3 3 2" xfId="28538" xr:uid="{00000000-0005-0000-0000-00001A110000}"/>
    <cellStyle name="Normal 100 4 2 3 4" xfId="20495" xr:uid="{00000000-0005-0000-0000-00001B110000}"/>
    <cellStyle name="Normal 100 4 2 4" xfId="6761" xr:uid="{00000000-0005-0000-0000-00001C110000}"/>
    <cellStyle name="Normal 100 4 2 4 2" xfId="15943" xr:uid="{00000000-0005-0000-0000-00001D110000}"/>
    <cellStyle name="Normal 100 4 2 4 2 2" xfId="32517" xr:uid="{00000000-0005-0000-0000-00001E110000}"/>
    <cellStyle name="Normal 100 4 2 4 3" xfId="24470" xr:uid="{00000000-0005-0000-0000-00001F110000}"/>
    <cellStyle name="Normal 100 4 2 5" xfId="12011" xr:uid="{00000000-0005-0000-0000-000020110000}"/>
    <cellStyle name="Normal 100 4 2 5 2" xfId="28535" xr:uid="{00000000-0005-0000-0000-000021110000}"/>
    <cellStyle name="Normal 100 4 2 6" xfId="20492" xr:uid="{00000000-0005-0000-0000-000022110000}"/>
    <cellStyle name="Normal 100 4 3" xfId="2492" xr:uid="{00000000-0005-0000-0000-000023110000}"/>
    <cellStyle name="Normal 100 4 3 2" xfId="2493" xr:uid="{00000000-0005-0000-0000-000024110000}"/>
    <cellStyle name="Normal 100 4 3 2 2" xfId="6762" xr:uid="{00000000-0005-0000-0000-000025110000}"/>
    <cellStyle name="Normal 100 4 3 2 2 2" xfId="15944" xr:uid="{00000000-0005-0000-0000-000026110000}"/>
    <cellStyle name="Normal 100 4 3 2 2 2 2" xfId="32518" xr:uid="{00000000-0005-0000-0000-000027110000}"/>
    <cellStyle name="Normal 100 4 3 2 2 3" xfId="24471" xr:uid="{00000000-0005-0000-0000-000028110000}"/>
    <cellStyle name="Normal 100 4 3 2 3" xfId="12016" xr:uid="{00000000-0005-0000-0000-000029110000}"/>
    <cellStyle name="Normal 100 4 3 2 3 2" xfId="28540" xr:uid="{00000000-0005-0000-0000-00002A110000}"/>
    <cellStyle name="Normal 100 4 3 2 4" xfId="20497" xr:uid="{00000000-0005-0000-0000-00002B110000}"/>
    <cellStyle name="Normal 100 4 3 3" xfId="6763" xr:uid="{00000000-0005-0000-0000-00002C110000}"/>
    <cellStyle name="Normal 100 4 3 3 2" xfId="15945" xr:uid="{00000000-0005-0000-0000-00002D110000}"/>
    <cellStyle name="Normal 100 4 3 3 2 2" xfId="32519" xr:uid="{00000000-0005-0000-0000-00002E110000}"/>
    <cellStyle name="Normal 100 4 3 3 3" xfId="24472" xr:uid="{00000000-0005-0000-0000-00002F110000}"/>
    <cellStyle name="Normal 100 4 3 4" xfId="12015" xr:uid="{00000000-0005-0000-0000-000030110000}"/>
    <cellStyle name="Normal 100 4 3 4 2" xfId="28539" xr:uid="{00000000-0005-0000-0000-000031110000}"/>
    <cellStyle name="Normal 100 4 3 5" xfId="20496" xr:uid="{00000000-0005-0000-0000-000032110000}"/>
    <cellStyle name="Normal 100 4 4" xfId="2494" xr:uid="{00000000-0005-0000-0000-000033110000}"/>
    <cellStyle name="Normal 100 4 4 2" xfId="6764" xr:uid="{00000000-0005-0000-0000-000034110000}"/>
    <cellStyle name="Normal 100 4 4 2 2" xfId="15946" xr:uid="{00000000-0005-0000-0000-000035110000}"/>
    <cellStyle name="Normal 100 4 4 2 2 2" xfId="32520" xr:uid="{00000000-0005-0000-0000-000036110000}"/>
    <cellStyle name="Normal 100 4 4 2 3" xfId="24473" xr:uid="{00000000-0005-0000-0000-000037110000}"/>
    <cellStyle name="Normal 100 4 4 3" xfId="12017" xr:uid="{00000000-0005-0000-0000-000038110000}"/>
    <cellStyle name="Normal 100 4 4 3 2" xfId="28541" xr:uid="{00000000-0005-0000-0000-000039110000}"/>
    <cellStyle name="Normal 100 4 4 4" xfId="20498" xr:uid="{00000000-0005-0000-0000-00003A110000}"/>
    <cellStyle name="Normal 100 4 5" xfId="6765" xr:uid="{00000000-0005-0000-0000-00003B110000}"/>
    <cellStyle name="Normal 100 4 5 2" xfId="15947" xr:uid="{00000000-0005-0000-0000-00003C110000}"/>
    <cellStyle name="Normal 100 4 5 2 2" xfId="32521" xr:uid="{00000000-0005-0000-0000-00003D110000}"/>
    <cellStyle name="Normal 100 4 5 3" xfId="24474" xr:uid="{00000000-0005-0000-0000-00003E110000}"/>
    <cellStyle name="Normal 100 4 6" xfId="12010" xr:uid="{00000000-0005-0000-0000-00003F110000}"/>
    <cellStyle name="Normal 100 4 6 2" xfId="28534" xr:uid="{00000000-0005-0000-0000-000040110000}"/>
    <cellStyle name="Normal 100 4 7" xfId="20491" xr:uid="{00000000-0005-0000-0000-000041110000}"/>
    <cellStyle name="Normal 100 5" xfId="2495" xr:uid="{00000000-0005-0000-0000-000042110000}"/>
    <cellStyle name="Normal 100 5 2" xfId="2496" xr:uid="{00000000-0005-0000-0000-000043110000}"/>
    <cellStyle name="Normal 100 5 2 2" xfId="2497" xr:uid="{00000000-0005-0000-0000-000044110000}"/>
    <cellStyle name="Normal 100 5 2 2 2" xfId="2498" xr:uid="{00000000-0005-0000-0000-000045110000}"/>
    <cellStyle name="Normal 100 5 2 2 2 2" xfId="6766" xr:uid="{00000000-0005-0000-0000-000046110000}"/>
    <cellStyle name="Normal 100 5 2 2 2 2 2" xfId="15948" xr:uid="{00000000-0005-0000-0000-000047110000}"/>
    <cellStyle name="Normal 100 5 2 2 2 2 2 2" xfId="32522" xr:uid="{00000000-0005-0000-0000-000048110000}"/>
    <cellStyle name="Normal 100 5 2 2 2 2 3" xfId="24475" xr:uid="{00000000-0005-0000-0000-000049110000}"/>
    <cellStyle name="Normal 100 5 2 2 2 3" xfId="12021" xr:uid="{00000000-0005-0000-0000-00004A110000}"/>
    <cellStyle name="Normal 100 5 2 2 2 3 2" xfId="28545" xr:uid="{00000000-0005-0000-0000-00004B110000}"/>
    <cellStyle name="Normal 100 5 2 2 2 4" xfId="20502" xr:uid="{00000000-0005-0000-0000-00004C110000}"/>
    <cellStyle name="Normal 100 5 2 2 3" xfId="6767" xr:uid="{00000000-0005-0000-0000-00004D110000}"/>
    <cellStyle name="Normal 100 5 2 2 3 2" xfId="15949" xr:uid="{00000000-0005-0000-0000-00004E110000}"/>
    <cellStyle name="Normal 100 5 2 2 3 2 2" xfId="32523" xr:uid="{00000000-0005-0000-0000-00004F110000}"/>
    <cellStyle name="Normal 100 5 2 2 3 3" xfId="24476" xr:uid="{00000000-0005-0000-0000-000050110000}"/>
    <cellStyle name="Normal 100 5 2 2 4" xfId="12020" xr:uid="{00000000-0005-0000-0000-000051110000}"/>
    <cellStyle name="Normal 100 5 2 2 4 2" xfId="28544" xr:uid="{00000000-0005-0000-0000-000052110000}"/>
    <cellStyle name="Normal 100 5 2 2 5" xfId="20501" xr:uid="{00000000-0005-0000-0000-000053110000}"/>
    <cellStyle name="Normal 100 5 2 3" xfId="2499" xr:uid="{00000000-0005-0000-0000-000054110000}"/>
    <cellStyle name="Normal 100 5 2 3 2" xfId="6768" xr:uid="{00000000-0005-0000-0000-000055110000}"/>
    <cellStyle name="Normal 100 5 2 3 2 2" xfId="15950" xr:uid="{00000000-0005-0000-0000-000056110000}"/>
    <cellStyle name="Normal 100 5 2 3 2 2 2" xfId="32524" xr:uid="{00000000-0005-0000-0000-000057110000}"/>
    <cellStyle name="Normal 100 5 2 3 2 3" xfId="24477" xr:uid="{00000000-0005-0000-0000-000058110000}"/>
    <cellStyle name="Normal 100 5 2 3 3" xfId="12022" xr:uid="{00000000-0005-0000-0000-000059110000}"/>
    <cellStyle name="Normal 100 5 2 3 3 2" xfId="28546" xr:uid="{00000000-0005-0000-0000-00005A110000}"/>
    <cellStyle name="Normal 100 5 2 3 4" xfId="20503" xr:uid="{00000000-0005-0000-0000-00005B110000}"/>
    <cellStyle name="Normal 100 5 2 4" xfId="6769" xr:uid="{00000000-0005-0000-0000-00005C110000}"/>
    <cellStyle name="Normal 100 5 2 4 2" xfId="15951" xr:uid="{00000000-0005-0000-0000-00005D110000}"/>
    <cellStyle name="Normal 100 5 2 4 2 2" xfId="32525" xr:uid="{00000000-0005-0000-0000-00005E110000}"/>
    <cellStyle name="Normal 100 5 2 4 3" xfId="24478" xr:uid="{00000000-0005-0000-0000-00005F110000}"/>
    <cellStyle name="Normal 100 5 2 5" xfId="12019" xr:uid="{00000000-0005-0000-0000-000060110000}"/>
    <cellStyle name="Normal 100 5 2 5 2" xfId="28543" xr:uid="{00000000-0005-0000-0000-000061110000}"/>
    <cellStyle name="Normal 100 5 2 6" xfId="20500" xr:uid="{00000000-0005-0000-0000-000062110000}"/>
    <cellStyle name="Normal 100 5 3" xfId="2500" xr:uid="{00000000-0005-0000-0000-000063110000}"/>
    <cellStyle name="Normal 100 5 3 2" xfId="2501" xr:uid="{00000000-0005-0000-0000-000064110000}"/>
    <cellStyle name="Normal 100 5 3 2 2" xfId="6770" xr:uid="{00000000-0005-0000-0000-000065110000}"/>
    <cellStyle name="Normal 100 5 3 2 2 2" xfId="15952" xr:uid="{00000000-0005-0000-0000-000066110000}"/>
    <cellStyle name="Normal 100 5 3 2 2 2 2" xfId="32526" xr:uid="{00000000-0005-0000-0000-000067110000}"/>
    <cellStyle name="Normal 100 5 3 2 2 3" xfId="24479" xr:uid="{00000000-0005-0000-0000-000068110000}"/>
    <cellStyle name="Normal 100 5 3 2 3" xfId="12024" xr:uid="{00000000-0005-0000-0000-000069110000}"/>
    <cellStyle name="Normal 100 5 3 2 3 2" xfId="28548" xr:uid="{00000000-0005-0000-0000-00006A110000}"/>
    <cellStyle name="Normal 100 5 3 2 4" xfId="20505" xr:uid="{00000000-0005-0000-0000-00006B110000}"/>
    <cellStyle name="Normal 100 5 3 3" xfId="6771" xr:uid="{00000000-0005-0000-0000-00006C110000}"/>
    <cellStyle name="Normal 100 5 3 3 2" xfId="15953" xr:uid="{00000000-0005-0000-0000-00006D110000}"/>
    <cellStyle name="Normal 100 5 3 3 2 2" xfId="32527" xr:uid="{00000000-0005-0000-0000-00006E110000}"/>
    <cellStyle name="Normal 100 5 3 3 3" xfId="24480" xr:uid="{00000000-0005-0000-0000-00006F110000}"/>
    <cellStyle name="Normal 100 5 3 4" xfId="12023" xr:uid="{00000000-0005-0000-0000-000070110000}"/>
    <cellStyle name="Normal 100 5 3 4 2" xfId="28547" xr:uid="{00000000-0005-0000-0000-000071110000}"/>
    <cellStyle name="Normal 100 5 3 5" xfId="20504" xr:uid="{00000000-0005-0000-0000-000072110000}"/>
    <cellStyle name="Normal 100 5 4" xfId="2502" xr:uid="{00000000-0005-0000-0000-000073110000}"/>
    <cellStyle name="Normal 100 5 4 2" xfId="6772" xr:uid="{00000000-0005-0000-0000-000074110000}"/>
    <cellStyle name="Normal 100 5 4 2 2" xfId="15954" xr:uid="{00000000-0005-0000-0000-000075110000}"/>
    <cellStyle name="Normal 100 5 4 2 2 2" xfId="32528" xr:uid="{00000000-0005-0000-0000-000076110000}"/>
    <cellStyle name="Normal 100 5 4 2 3" xfId="24481" xr:uid="{00000000-0005-0000-0000-000077110000}"/>
    <cellStyle name="Normal 100 5 4 3" xfId="12025" xr:uid="{00000000-0005-0000-0000-000078110000}"/>
    <cellStyle name="Normal 100 5 4 3 2" xfId="28549" xr:uid="{00000000-0005-0000-0000-000079110000}"/>
    <cellStyle name="Normal 100 5 4 4" xfId="20506" xr:uid="{00000000-0005-0000-0000-00007A110000}"/>
    <cellStyle name="Normal 100 5 5" xfId="6773" xr:uid="{00000000-0005-0000-0000-00007B110000}"/>
    <cellStyle name="Normal 100 5 5 2" xfId="15955" xr:uid="{00000000-0005-0000-0000-00007C110000}"/>
    <cellStyle name="Normal 100 5 5 2 2" xfId="32529" xr:uid="{00000000-0005-0000-0000-00007D110000}"/>
    <cellStyle name="Normal 100 5 5 3" xfId="24482" xr:uid="{00000000-0005-0000-0000-00007E110000}"/>
    <cellStyle name="Normal 100 5 6" xfId="12018" xr:uid="{00000000-0005-0000-0000-00007F110000}"/>
    <cellStyle name="Normal 100 5 6 2" xfId="28542" xr:uid="{00000000-0005-0000-0000-000080110000}"/>
    <cellStyle name="Normal 100 5 7" xfId="20499" xr:uid="{00000000-0005-0000-0000-000081110000}"/>
    <cellStyle name="Normal 100 6" xfId="2503" xr:uid="{00000000-0005-0000-0000-000082110000}"/>
    <cellStyle name="Normal 100 6 2" xfId="2504" xr:uid="{00000000-0005-0000-0000-000083110000}"/>
    <cellStyle name="Normal 100 6 2 2" xfId="2505" xr:uid="{00000000-0005-0000-0000-000084110000}"/>
    <cellStyle name="Normal 100 6 2 2 2" xfId="6774" xr:uid="{00000000-0005-0000-0000-000085110000}"/>
    <cellStyle name="Normal 100 6 2 2 2 2" xfId="15956" xr:uid="{00000000-0005-0000-0000-000086110000}"/>
    <cellStyle name="Normal 100 6 2 2 2 2 2" xfId="32530" xr:uid="{00000000-0005-0000-0000-000087110000}"/>
    <cellStyle name="Normal 100 6 2 2 2 3" xfId="24483" xr:uid="{00000000-0005-0000-0000-000088110000}"/>
    <cellStyle name="Normal 100 6 2 2 3" xfId="12028" xr:uid="{00000000-0005-0000-0000-000089110000}"/>
    <cellStyle name="Normal 100 6 2 2 3 2" xfId="28552" xr:uid="{00000000-0005-0000-0000-00008A110000}"/>
    <cellStyle name="Normal 100 6 2 2 4" xfId="20509" xr:uid="{00000000-0005-0000-0000-00008B110000}"/>
    <cellStyle name="Normal 100 6 2 3" xfId="6775" xr:uid="{00000000-0005-0000-0000-00008C110000}"/>
    <cellStyle name="Normal 100 6 2 3 2" xfId="15957" xr:uid="{00000000-0005-0000-0000-00008D110000}"/>
    <cellStyle name="Normal 100 6 2 3 2 2" xfId="32531" xr:uid="{00000000-0005-0000-0000-00008E110000}"/>
    <cellStyle name="Normal 100 6 2 3 3" xfId="24484" xr:uid="{00000000-0005-0000-0000-00008F110000}"/>
    <cellStyle name="Normal 100 6 2 4" xfId="12027" xr:uid="{00000000-0005-0000-0000-000090110000}"/>
    <cellStyle name="Normal 100 6 2 4 2" xfId="28551" xr:uid="{00000000-0005-0000-0000-000091110000}"/>
    <cellStyle name="Normal 100 6 2 5" xfId="20508" xr:uid="{00000000-0005-0000-0000-000092110000}"/>
    <cellStyle name="Normal 100 6 3" xfId="2506" xr:uid="{00000000-0005-0000-0000-000093110000}"/>
    <cellStyle name="Normal 100 6 3 2" xfId="6776" xr:uid="{00000000-0005-0000-0000-000094110000}"/>
    <cellStyle name="Normal 100 6 3 2 2" xfId="15958" xr:uid="{00000000-0005-0000-0000-000095110000}"/>
    <cellStyle name="Normal 100 6 3 2 2 2" xfId="32532" xr:uid="{00000000-0005-0000-0000-000096110000}"/>
    <cellStyle name="Normal 100 6 3 2 3" xfId="24485" xr:uid="{00000000-0005-0000-0000-000097110000}"/>
    <cellStyle name="Normal 100 6 3 3" xfId="12029" xr:uid="{00000000-0005-0000-0000-000098110000}"/>
    <cellStyle name="Normal 100 6 3 3 2" xfId="28553" xr:uid="{00000000-0005-0000-0000-000099110000}"/>
    <cellStyle name="Normal 100 6 3 4" xfId="20510" xr:uid="{00000000-0005-0000-0000-00009A110000}"/>
    <cellStyle name="Normal 100 6 4" xfId="6777" xr:uid="{00000000-0005-0000-0000-00009B110000}"/>
    <cellStyle name="Normal 100 6 4 2" xfId="15959" xr:uid="{00000000-0005-0000-0000-00009C110000}"/>
    <cellStyle name="Normal 100 6 4 2 2" xfId="32533" xr:uid="{00000000-0005-0000-0000-00009D110000}"/>
    <cellStyle name="Normal 100 6 4 3" xfId="24486" xr:uid="{00000000-0005-0000-0000-00009E110000}"/>
    <cellStyle name="Normal 100 6 5" xfId="12026" xr:uid="{00000000-0005-0000-0000-00009F110000}"/>
    <cellStyle name="Normal 100 6 5 2" xfId="28550" xr:uid="{00000000-0005-0000-0000-0000A0110000}"/>
    <cellStyle name="Normal 100 6 6" xfId="20507" xr:uid="{00000000-0005-0000-0000-0000A1110000}"/>
    <cellStyle name="Normal 100 7" xfId="2507" xr:uid="{00000000-0005-0000-0000-0000A2110000}"/>
    <cellStyle name="Normal 100 7 2" xfId="2508" xr:uid="{00000000-0005-0000-0000-0000A3110000}"/>
    <cellStyle name="Normal 100 7 2 2" xfId="6778" xr:uid="{00000000-0005-0000-0000-0000A4110000}"/>
    <cellStyle name="Normal 100 7 2 2 2" xfId="15960" xr:uid="{00000000-0005-0000-0000-0000A5110000}"/>
    <cellStyle name="Normal 100 7 2 2 2 2" xfId="32534" xr:uid="{00000000-0005-0000-0000-0000A6110000}"/>
    <cellStyle name="Normal 100 7 2 2 3" xfId="24487" xr:uid="{00000000-0005-0000-0000-0000A7110000}"/>
    <cellStyle name="Normal 100 7 2 3" xfId="12031" xr:uid="{00000000-0005-0000-0000-0000A8110000}"/>
    <cellStyle name="Normal 100 7 2 3 2" xfId="28555" xr:uid="{00000000-0005-0000-0000-0000A9110000}"/>
    <cellStyle name="Normal 100 7 2 4" xfId="20512" xr:uid="{00000000-0005-0000-0000-0000AA110000}"/>
    <cellStyle name="Normal 100 7 3" xfId="6779" xr:uid="{00000000-0005-0000-0000-0000AB110000}"/>
    <cellStyle name="Normal 100 7 3 2" xfId="15961" xr:uid="{00000000-0005-0000-0000-0000AC110000}"/>
    <cellStyle name="Normal 100 7 3 2 2" xfId="32535" xr:uid="{00000000-0005-0000-0000-0000AD110000}"/>
    <cellStyle name="Normal 100 7 3 3" xfId="24488" xr:uid="{00000000-0005-0000-0000-0000AE110000}"/>
    <cellStyle name="Normal 100 7 4" xfId="12030" xr:uid="{00000000-0005-0000-0000-0000AF110000}"/>
    <cellStyle name="Normal 100 7 4 2" xfId="28554" xr:uid="{00000000-0005-0000-0000-0000B0110000}"/>
    <cellStyle name="Normal 100 7 5" xfId="20511" xr:uid="{00000000-0005-0000-0000-0000B1110000}"/>
    <cellStyle name="Normal 100 8" xfId="2509" xr:uid="{00000000-0005-0000-0000-0000B2110000}"/>
    <cellStyle name="Normal 100 8 2" xfId="6780" xr:uid="{00000000-0005-0000-0000-0000B3110000}"/>
    <cellStyle name="Normal 100 8 2 2" xfId="15962" xr:uid="{00000000-0005-0000-0000-0000B4110000}"/>
    <cellStyle name="Normal 100 8 2 2 2" xfId="32536" xr:uid="{00000000-0005-0000-0000-0000B5110000}"/>
    <cellStyle name="Normal 100 8 2 3" xfId="24489" xr:uid="{00000000-0005-0000-0000-0000B6110000}"/>
    <cellStyle name="Normal 100 8 3" xfId="12032" xr:uid="{00000000-0005-0000-0000-0000B7110000}"/>
    <cellStyle name="Normal 100 8 3 2" xfId="28556" xr:uid="{00000000-0005-0000-0000-0000B8110000}"/>
    <cellStyle name="Normal 100 8 4" xfId="20513" xr:uid="{00000000-0005-0000-0000-0000B9110000}"/>
    <cellStyle name="Normal 100 9" xfId="6781" xr:uid="{00000000-0005-0000-0000-0000BA110000}"/>
    <cellStyle name="Normal 100 9 2" xfId="15963" xr:uid="{00000000-0005-0000-0000-0000BB110000}"/>
    <cellStyle name="Normal 100 9 2 2" xfId="32537" xr:uid="{00000000-0005-0000-0000-0000BC110000}"/>
    <cellStyle name="Normal 100 9 3" xfId="24490" xr:uid="{00000000-0005-0000-0000-0000BD110000}"/>
    <cellStyle name="Normal 101" xfId="2510" xr:uid="{00000000-0005-0000-0000-0000BE110000}"/>
    <cellStyle name="Normal 101 10" xfId="12033" xr:uid="{00000000-0005-0000-0000-0000BF110000}"/>
    <cellStyle name="Normal 101 10 2" xfId="28557" xr:uid="{00000000-0005-0000-0000-0000C0110000}"/>
    <cellStyle name="Normal 101 11" xfId="20514" xr:uid="{00000000-0005-0000-0000-0000C1110000}"/>
    <cellStyle name="Normal 101 2" xfId="2511" xr:uid="{00000000-0005-0000-0000-0000C2110000}"/>
    <cellStyle name="Normal 101 2 2" xfId="2512" xr:uid="{00000000-0005-0000-0000-0000C3110000}"/>
    <cellStyle name="Normal 101 2 3" xfId="12034" xr:uid="{00000000-0005-0000-0000-0000C4110000}"/>
    <cellStyle name="Normal 101 2 3 2" xfId="28558" xr:uid="{00000000-0005-0000-0000-0000C5110000}"/>
    <cellStyle name="Normal 101 2 4" xfId="20515" xr:uid="{00000000-0005-0000-0000-0000C6110000}"/>
    <cellStyle name="Normal 101 3" xfId="2513" xr:uid="{00000000-0005-0000-0000-0000C7110000}"/>
    <cellStyle name="Normal 101 3 2" xfId="2514" xr:uid="{00000000-0005-0000-0000-0000C8110000}"/>
    <cellStyle name="Normal 101 3 2 2" xfId="2515" xr:uid="{00000000-0005-0000-0000-0000C9110000}"/>
    <cellStyle name="Normal 101 3 2 2 2" xfId="2516" xr:uid="{00000000-0005-0000-0000-0000CA110000}"/>
    <cellStyle name="Normal 101 3 2 2 2 2" xfId="6782" xr:uid="{00000000-0005-0000-0000-0000CB110000}"/>
    <cellStyle name="Normal 101 3 2 2 2 2 2" xfId="15964" xr:uid="{00000000-0005-0000-0000-0000CC110000}"/>
    <cellStyle name="Normal 101 3 2 2 2 2 2 2" xfId="32538" xr:uid="{00000000-0005-0000-0000-0000CD110000}"/>
    <cellStyle name="Normal 101 3 2 2 2 2 3" xfId="24491" xr:uid="{00000000-0005-0000-0000-0000CE110000}"/>
    <cellStyle name="Normal 101 3 2 2 2 3" xfId="12037" xr:uid="{00000000-0005-0000-0000-0000CF110000}"/>
    <cellStyle name="Normal 101 3 2 2 2 3 2" xfId="28561" xr:uid="{00000000-0005-0000-0000-0000D0110000}"/>
    <cellStyle name="Normal 101 3 2 2 2 4" xfId="20518" xr:uid="{00000000-0005-0000-0000-0000D1110000}"/>
    <cellStyle name="Normal 101 3 2 2 3" xfId="6783" xr:uid="{00000000-0005-0000-0000-0000D2110000}"/>
    <cellStyle name="Normal 101 3 2 2 3 2" xfId="15965" xr:uid="{00000000-0005-0000-0000-0000D3110000}"/>
    <cellStyle name="Normal 101 3 2 2 3 2 2" xfId="32539" xr:uid="{00000000-0005-0000-0000-0000D4110000}"/>
    <cellStyle name="Normal 101 3 2 2 3 3" xfId="24492" xr:uid="{00000000-0005-0000-0000-0000D5110000}"/>
    <cellStyle name="Normal 101 3 2 2 4" xfId="12036" xr:uid="{00000000-0005-0000-0000-0000D6110000}"/>
    <cellStyle name="Normal 101 3 2 2 4 2" xfId="28560" xr:uid="{00000000-0005-0000-0000-0000D7110000}"/>
    <cellStyle name="Normal 101 3 2 2 5" xfId="20517" xr:uid="{00000000-0005-0000-0000-0000D8110000}"/>
    <cellStyle name="Normal 101 3 2 3" xfId="2517" xr:uid="{00000000-0005-0000-0000-0000D9110000}"/>
    <cellStyle name="Normal 101 3 2 3 2" xfId="6784" xr:uid="{00000000-0005-0000-0000-0000DA110000}"/>
    <cellStyle name="Normal 101 3 2 3 2 2" xfId="15966" xr:uid="{00000000-0005-0000-0000-0000DB110000}"/>
    <cellStyle name="Normal 101 3 2 3 2 2 2" xfId="32540" xr:uid="{00000000-0005-0000-0000-0000DC110000}"/>
    <cellStyle name="Normal 101 3 2 3 2 3" xfId="24493" xr:uid="{00000000-0005-0000-0000-0000DD110000}"/>
    <cellStyle name="Normal 101 3 2 3 3" xfId="12038" xr:uid="{00000000-0005-0000-0000-0000DE110000}"/>
    <cellStyle name="Normal 101 3 2 3 3 2" xfId="28562" xr:uid="{00000000-0005-0000-0000-0000DF110000}"/>
    <cellStyle name="Normal 101 3 2 3 4" xfId="20519" xr:uid="{00000000-0005-0000-0000-0000E0110000}"/>
    <cellStyle name="Normal 101 3 2 4" xfId="6785" xr:uid="{00000000-0005-0000-0000-0000E1110000}"/>
    <cellStyle name="Normal 101 3 2 4 2" xfId="15967" xr:uid="{00000000-0005-0000-0000-0000E2110000}"/>
    <cellStyle name="Normal 101 3 2 4 2 2" xfId="32541" xr:uid="{00000000-0005-0000-0000-0000E3110000}"/>
    <cellStyle name="Normal 101 3 2 4 3" xfId="24494" xr:uid="{00000000-0005-0000-0000-0000E4110000}"/>
    <cellStyle name="Normal 101 3 2 5" xfId="12035" xr:uid="{00000000-0005-0000-0000-0000E5110000}"/>
    <cellStyle name="Normal 101 3 2 5 2" xfId="28559" xr:uid="{00000000-0005-0000-0000-0000E6110000}"/>
    <cellStyle name="Normal 101 3 2 6" xfId="20516" xr:uid="{00000000-0005-0000-0000-0000E7110000}"/>
    <cellStyle name="Normal 101 3 3" xfId="2518" xr:uid="{00000000-0005-0000-0000-0000E8110000}"/>
    <cellStyle name="Normal 101 3 3 2" xfId="2519" xr:uid="{00000000-0005-0000-0000-0000E9110000}"/>
    <cellStyle name="Normal 101 3 3 2 2" xfId="6786" xr:uid="{00000000-0005-0000-0000-0000EA110000}"/>
    <cellStyle name="Normal 101 3 3 2 2 2" xfId="15968" xr:uid="{00000000-0005-0000-0000-0000EB110000}"/>
    <cellStyle name="Normal 101 3 3 2 2 2 2" xfId="32542" xr:uid="{00000000-0005-0000-0000-0000EC110000}"/>
    <cellStyle name="Normal 101 3 3 2 2 3" xfId="24495" xr:uid="{00000000-0005-0000-0000-0000ED110000}"/>
    <cellStyle name="Normal 101 3 3 2 3" xfId="12040" xr:uid="{00000000-0005-0000-0000-0000EE110000}"/>
    <cellStyle name="Normal 101 3 3 2 3 2" xfId="28564" xr:uid="{00000000-0005-0000-0000-0000EF110000}"/>
    <cellStyle name="Normal 101 3 3 2 4" xfId="20521" xr:uid="{00000000-0005-0000-0000-0000F0110000}"/>
    <cellStyle name="Normal 101 3 3 3" xfId="6787" xr:uid="{00000000-0005-0000-0000-0000F1110000}"/>
    <cellStyle name="Normal 101 3 3 3 2" xfId="15969" xr:uid="{00000000-0005-0000-0000-0000F2110000}"/>
    <cellStyle name="Normal 101 3 3 3 2 2" xfId="32543" xr:uid="{00000000-0005-0000-0000-0000F3110000}"/>
    <cellStyle name="Normal 101 3 3 3 3" xfId="24496" xr:uid="{00000000-0005-0000-0000-0000F4110000}"/>
    <cellStyle name="Normal 101 3 3 4" xfId="12039" xr:uid="{00000000-0005-0000-0000-0000F5110000}"/>
    <cellStyle name="Normal 101 3 3 4 2" xfId="28563" xr:uid="{00000000-0005-0000-0000-0000F6110000}"/>
    <cellStyle name="Normal 101 3 3 5" xfId="20520" xr:uid="{00000000-0005-0000-0000-0000F7110000}"/>
    <cellStyle name="Normal 101 3 4" xfId="2520" xr:uid="{00000000-0005-0000-0000-0000F8110000}"/>
    <cellStyle name="Normal 101 3 4 2" xfId="6788" xr:uid="{00000000-0005-0000-0000-0000F9110000}"/>
    <cellStyle name="Normal 101 3 4 2 2" xfId="15970" xr:uid="{00000000-0005-0000-0000-0000FA110000}"/>
    <cellStyle name="Normal 101 3 4 2 2 2" xfId="32544" xr:uid="{00000000-0005-0000-0000-0000FB110000}"/>
    <cellStyle name="Normal 101 3 4 2 3" xfId="24497" xr:uid="{00000000-0005-0000-0000-0000FC110000}"/>
    <cellStyle name="Normal 101 3 4 3" xfId="12041" xr:uid="{00000000-0005-0000-0000-0000FD110000}"/>
    <cellStyle name="Normal 101 3 4 3 2" xfId="28565" xr:uid="{00000000-0005-0000-0000-0000FE110000}"/>
    <cellStyle name="Normal 101 3 4 4" xfId="20522" xr:uid="{00000000-0005-0000-0000-0000FF110000}"/>
    <cellStyle name="Normal 101 3 5" xfId="2521" xr:uid="{00000000-0005-0000-0000-000000120000}"/>
    <cellStyle name="Normal 101 3 5 2" xfId="12042" xr:uid="{00000000-0005-0000-0000-000001120000}"/>
    <cellStyle name="Normal 101 3 5 2 2" xfId="28566" xr:uid="{00000000-0005-0000-0000-000002120000}"/>
    <cellStyle name="Normal 101 3 5 3" xfId="20523" xr:uid="{00000000-0005-0000-0000-000003120000}"/>
    <cellStyle name="Normal 101 4" xfId="2522" xr:uid="{00000000-0005-0000-0000-000004120000}"/>
    <cellStyle name="Normal 101 4 2" xfId="2523" xr:uid="{00000000-0005-0000-0000-000005120000}"/>
    <cellStyle name="Normal 101 4 2 2" xfId="2524" xr:uid="{00000000-0005-0000-0000-000006120000}"/>
    <cellStyle name="Normal 101 4 2 2 2" xfId="2525" xr:uid="{00000000-0005-0000-0000-000007120000}"/>
    <cellStyle name="Normal 101 4 2 2 2 2" xfId="6789" xr:uid="{00000000-0005-0000-0000-000008120000}"/>
    <cellStyle name="Normal 101 4 2 2 2 2 2" xfId="15971" xr:uid="{00000000-0005-0000-0000-000009120000}"/>
    <cellStyle name="Normal 101 4 2 2 2 2 2 2" xfId="32545" xr:uid="{00000000-0005-0000-0000-00000A120000}"/>
    <cellStyle name="Normal 101 4 2 2 2 2 3" xfId="24498" xr:uid="{00000000-0005-0000-0000-00000B120000}"/>
    <cellStyle name="Normal 101 4 2 2 2 3" xfId="12046" xr:uid="{00000000-0005-0000-0000-00000C120000}"/>
    <cellStyle name="Normal 101 4 2 2 2 3 2" xfId="28570" xr:uid="{00000000-0005-0000-0000-00000D120000}"/>
    <cellStyle name="Normal 101 4 2 2 2 4" xfId="20527" xr:uid="{00000000-0005-0000-0000-00000E120000}"/>
    <cellStyle name="Normal 101 4 2 2 3" xfId="6790" xr:uid="{00000000-0005-0000-0000-00000F120000}"/>
    <cellStyle name="Normal 101 4 2 2 3 2" xfId="15972" xr:uid="{00000000-0005-0000-0000-000010120000}"/>
    <cellStyle name="Normal 101 4 2 2 3 2 2" xfId="32546" xr:uid="{00000000-0005-0000-0000-000011120000}"/>
    <cellStyle name="Normal 101 4 2 2 3 3" xfId="24499" xr:uid="{00000000-0005-0000-0000-000012120000}"/>
    <cellStyle name="Normal 101 4 2 2 4" xfId="12045" xr:uid="{00000000-0005-0000-0000-000013120000}"/>
    <cellStyle name="Normal 101 4 2 2 4 2" xfId="28569" xr:uid="{00000000-0005-0000-0000-000014120000}"/>
    <cellStyle name="Normal 101 4 2 2 5" xfId="20526" xr:uid="{00000000-0005-0000-0000-000015120000}"/>
    <cellStyle name="Normal 101 4 2 3" xfId="2526" xr:uid="{00000000-0005-0000-0000-000016120000}"/>
    <cellStyle name="Normal 101 4 2 3 2" xfId="6791" xr:uid="{00000000-0005-0000-0000-000017120000}"/>
    <cellStyle name="Normal 101 4 2 3 2 2" xfId="15973" xr:uid="{00000000-0005-0000-0000-000018120000}"/>
    <cellStyle name="Normal 101 4 2 3 2 2 2" xfId="32547" xr:uid="{00000000-0005-0000-0000-000019120000}"/>
    <cellStyle name="Normal 101 4 2 3 2 3" xfId="24500" xr:uid="{00000000-0005-0000-0000-00001A120000}"/>
    <cellStyle name="Normal 101 4 2 3 3" xfId="12047" xr:uid="{00000000-0005-0000-0000-00001B120000}"/>
    <cellStyle name="Normal 101 4 2 3 3 2" xfId="28571" xr:uid="{00000000-0005-0000-0000-00001C120000}"/>
    <cellStyle name="Normal 101 4 2 3 4" xfId="20528" xr:uid="{00000000-0005-0000-0000-00001D120000}"/>
    <cellStyle name="Normal 101 4 2 4" xfId="6792" xr:uid="{00000000-0005-0000-0000-00001E120000}"/>
    <cellStyle name="Normal 101 4 2 4 2" xfId="15974" xr:uid="{00000000-0005-0000-0000-00001F120000}"/>
    <cellStyle name="Normal 101 4 2 4 2 2" xfId="32548" xr:uid="{00000000-0005-0000-0000-000020120000}"/>
    <cellStyle name="Normal 101 4 2 4 3" xfId="24501" xr:uid="{00000000-0005-0000-0000-000021120000}"/>
    <cellStyle name="Normal 101 4 2 5" xfId="12044" xr:uid="{00000000-0005-0000-0000-000022120000}"/>
    <cellStyle name="Normal 101 4 2 5 2" xfId="28568" xr:uid="{00000000-0005-0000-0000-000023120000}"/>
    <cellStyle name="Normal 101 4 2 6" xfId="20525" xr:uid="{00000000-0005-0000-0000-000024120000}"/>
    <cellStyle name="Normal 101 4 3" xfId="2527" xr:uid="{00000000-0005-0000-0000-000025120000}"/>
    <cellStyle name="Normal 101 4 3 2" xfId="2528" xr:uid="{00000000-0005-0000-0000-000026120000}"/>
    <cellStyle name="Normal 101 4 3 2 2" xfId="6793" xr:uid="{00000000-0005-0000-0000-000027120000}"/>
    <cellStyle name="Normal 101 4 3 2 2 2" xfId="15975" xr:uid="{00000000-0005-0000-0000-000028120000}"/>
    <cellStyle name="Normal 101 4 3 2 2 2 2" xfId="32549" xr:uid="{00000000-0005-0000-0000-000029120000}"/>
    <cellStyle name="Normal 101 4 3 2 2 3" xfId="24502" xr:uid="{00000000-0005-0000-0000-00002A120000}"/>
    <cellStyle name="Normal 101 4 3 2 3" xfId="12049" xr:uid="{00000000-0005-0000-0000-00002B120000}"/>
    <cellStyle name="Normal 101 4 3 2 3 2" xfId="28573" xr:uid="{00000000-0005-0000-0000-00002C120000}"/>
    <cellStyle name="Normal 101 4 3 2 4" xfId="20530" xr:uid="{00000000-0005-0000-0000-00002D120000}"/>
    <cellStyle name="Normal 101 4 3 3" xfId="6794" xr:uid="{00000000-0005-0000-0000-00002E120000}"/>
    <cellStyle name="Normal 101 4 3 3 2" xfId="15976" xr:uid="{00000000-0005-0000-0000-00002F120000}"/>
    <cellStyle name="Normal 101 4 3 3 2 2" xfId="32550" xr:uid="{00000000-0005-0000-0000-000030120000}"/>
    <cellStyle name="Normal 101 4 3 3 3" xfId="24503" xr:uid="{00000000-0005-0000-0000-000031120000}"/>
    <cellStyle name="Normal 101 4 3 4" xfId="12048" xr:uid="{00000000-0005-0000-0000-000032120000}"/>
    <cellStyle name="Normal 101 4 3 4 2" xfId="28572" xr:uid="{00000000-0005-0000-0000-000033120000}"/>
    <cellStyle name="Normal 101 4 3 5" xfId="20529" xr:uid="{00000000-0005-0000-0000-000034120000}"/>
    <cellStyle name="Normal 101 4 4" xfId="2529" xr:uid="{00000000-0005-0000-0000-000035120000}"/>
    <cellStyle name="Normal 101 4 4 2" xfId="6795" xr:uid="{00000000-0005-0000-0000-000036120000}"/>
    <cellStyle name="Normal 101 4 4 2 2" xfId="15977" xr:uid="{00000000-0005-0000-0000-000037120000}"/>
    <cellStyle name="Normal 101 4 4 2 2 2" xfId="32551" xr:uid="{00000000-0005-0000-0000-000038120000}"/>
    <cellStyle name="Normal 101 4 4 2 3" xfId="24504" xr:uid="{00000000-0005-0000-0000-000039120000}"/>
    <cellStyle name="Normal 101 4 4 3" xfId="12050" xr:uid="{00000000-0005-0000-0000-00003A120000}"/>
    <cellStyle name="Normal 101 4 4 3 2" xfId="28574" xr:uid="{00000000-0005-0000-0000-00003B120000}"/>
    <cellStyle name="Normal 101 4 4 4" xfId="20531" xr:uid="{00000000-0005-0000-0000-00003C120000}"/>
    <cellStyle name="Normal 101 4 5" xfId="6796" xr:uid="{00000000-0005-0000-0000-00003D120000}"/>
    <cellStyle name="Normal 101 4 5 2" xfId="15978" xr:uid="{00000000-0005-0000-0000-00003E120000}"/>
    <cellStyle name="Normal 101 4 5 2 2" xfId="32552" xr:uid="{00000000-0005-0000-0000-00003F120000}"/>
    <cellStyle name="Normal 101 4 5 3" xfId="24505" xr:uid="{00000000-0005-0000-0000-000040120000}"/>
    <cellStyle name="Normal 101 4 6" xfId="12043" xr:uid="{00000000-0005-0000-0000-000041120000}"/>
    <cellStyle name="Normal 101 4 6 2" xfId="28567" xr:uid="{00000000-0005-0000-0000-000042120000}"/>
    <cellStyle name="Normal 101 4 7" xfId="20524" xr:uid="{00000000-0005-0000-0000-000043120000}"/>
    <cellStyle name="Normal 101 5" xfId="2530" xr:uid="{00000000-0005-0000-0000-000044120000}"/>
    <cellStyle name="Normal 101 5 2" xfId="2531" xr:uid="{00000000-0005-0000-0000-000045120000}"/>
    <cellStyle name="Normal 101 5 2 2" xfId="2532" xr:uid="{00000000-0005-0000-0000-000046120000}"/>
    <cellStyle name="Normal 101 5 2 2 2" xfId="2533" xr:uid="{00000000-0005-0000-0000-000047120000}"/>
    <cellStyle name="Normal 101 5 2 2 2 2" xfId="6797" xr:uid="{00000000-0005-0000-0000-000048120000}"/>
    <cellStyle name="Normal 101 5 2 2 2 2 2" xfId="15979" xr:uid="{00000000-0005-0000-0000-000049120000}"/>
    <cellStyle name="Normal 101 5 2 2 2 2 2 2" xfId="32553" xr:uid="{00000000-0005-0000-0000-00004A120000}"/>
    <cellStyle name="Normal 101 5 2 2 2 2 3" xfId="24506" xr:uid="{00000000-0005-0000-0000-00004B120000}"/>
    <cellStyle name="Normal 101 5 2 2 2 3" xfId="12054" xr:uid="{00000000-0005-0000-0000-00004C120000}"/>
    <cellStyle name="Normal 101 5 2 2 2 3 2" xfId="28578" xr:uid="{00000000-0005-0000-0000-00004D120000}"/>
    <cellStyle name="Normal 101 5 2 2 2 4" xfId="20535" xr:uid="{00000000-0005-0000-0000-00004E120000}"/>
    <cellStyle name="Normal 101 5 2 2 3" xfId="6798" xr:uid="{00000000-0005-0000-0000-00004F120000}"/>
    <cellStyle name="Normal 101 5 2 2 3 2" xfId="15980" xr:uid="{00000000-0005-0000-0000-000050120000}"/>
    <cellStyle name="Normal 101 5 2 2 3 2 2" xfId="32554" xr:uid="{00000000-0005-0000-0000-000051120000}"/>
    <cellStyle name="Normal 101 5 2 2 3 3" xfId="24507" xr:uid="{00000000-0005-0000-0000-000052120000}"/>
    <cellStyle name="Normal 101 5 2 2 4" xfId="12053" xr:uid="{00000000-0005-0000-0000-000053120000}"/>
    <cellStyle name="Normal 101 5 2 2 4 2" xfId="28577" xr:uid="{00000000-0005-0000-0000-000054120000}"/>
    <cellStyle name="Normal 101 5 2 2 5" xfId="20534" xr:uid="{00000000-0005-0000-0000-000055120000}"/>
    <cellStyle name="Normal 101 5 2 3" xfId="2534" xr:uid="{00000000-0005-0000-0000-000056120000}"/>
    <cellStyle name="Normal 101 5 2 3 2" xfId="6799" xr:uid="{00000000-0005-0000-0000-000057120000}"/>
    <cellStyle name="Normal 101 5 2 3 2 2" xfId="15981" xr:uid="{00000000-0005-0000-0000-000058120000}"/>
    <cellStyle name="Normal 101 5 2 3 2 2 2" xfId="32555" xr:uid="{00000000-0005-0000-0000-000059120000}"/>
    <cellStyle name="Normal 101 5 2 3 2 3" xfId="24508" xr:uid="{00000000-0005-0000-0000-00005A120000}"/>
    <cellStyle name="Normal 101 5 2 3 3" xfId="12055" xr:uid="{00000000-0005-0000-0000-00005B120000}"/>
    <cellStyle name="Normal 101 5 2 3 3 2" xfId="28579" xr:uid="{00000000-0005-0000-0000-00005C120000}"/>
    <cellStyle name="Normal 101 5 2 3 4" xfId="20536" xr:uid="{00000000-0005-0000-0000-00005D120000}"/>
    <cellStyle name="Normal 101 5 2 4" xfId="6800" xr:uid="{00000000-0005-0000-0000-00005E120000}"/>
    <cellStyle name="Normal 101 5 2 4 2" xfId="15982" xr:uid="{00000000-0005-0000-0000-00005F120000}"/>
    <cellStyle name="Normal 101 5 2 4 2 2" xfId="32556" xr:uid="{00000000-0005-0000-0000-000060120000}"/>
    <cellStyle name="Normal 101 5 2 4 3" xfId="24509" xr:uid="{00000000-0005-0000-0000-000061120000}"/>
    <cellStyle name="Normal 101 5 2 5" xfId="12052" xr:uid="{00000000-0005-0000-0000-000062120000}"/>
    <cellStyle name="Normal 101 5 2 5 2" xfId="28576" xr:uid="{00000000-0005-0000-0000-000063120000}"/>
    <cellStyle name="Normal 101 5 2 6" xfId="20533" xr:uid="{00000000-0005-0000-0000-000064120000}"/>
    <cellStyle name="Normal 101 5 3" xfId="2535" xr:uid="{00000000-0005-0000-0000-000065120000}"/>
    <cellStyle name="Normal 101 5 3 2" xfId="2536" xr:uid="{00000000-0005-0000-0000-000066120000}"/>
    <cellStyle name="Normal 101 5 3 2 2" xfId="6801" xr:uid="{00000000-0005-0000-0000-000067120000}"/>
    <cellStyle name="Normal 101 5 3 2 2 2" xfId="15983" xr:uid="{00000000-0005-0000-0000-000068120000}"/>
    <cellStyle name="Normal 101 5 3 2 2 2 2" xfId="32557" xr:uid="{00000000-0005-0000-0000-000069120000}"/>
    <cellStyle name="Normal 101 5 3 2 2 3" xfId="24510" xr:uid="{00000000-0005-0000-0000-00006A120000}"/>
    <cellStyle name="Normal 101 5 3 2 3" xfId="12057" xr:uid="{00000000-0005-0000-0000-00006B120000}"/>
    <cellStyle name="Normal 101 5 3 2 3 2" xfId="28581" xr:uid="{00000000-0005-0000-0000-00006C120000}"/>
    <cellStyle name="Normal 101 5 3 2 4" xfId="20538" xr:uid="{00000000-0005-0000-0000-00006D120000}"/>
    <cellStyle name="Normal 101 5 3 3" xfId="6802" xr:uid="{00000000-0005-0000-0000-00006E120000}"/>
    <cellStyle name="Normal 101 5 3 3 2" xfId="15984" xr:uid="{00000000-0005-0000-0000-00006F120000}"/>
    <cellStyle name="Normal 101 5 3 3 2 2" xfId="32558" xr:uid="{00000000-0005-0000-0000-000070120000}"/>
    <cellStyle name="Normal 101 5 3 3 3" xfId="24511" xr:uid="{00000000-0005-0000-0000-000071120000}"/>
    <cellStyle name="Normal 101 5 3 4" xfId="12056" xr:uid="{00000000-0005-0000-0000-000072120000}"/>
    <cellStyle name="Normal 101 5 3 4 2" xfId="28580" xr:uid="{00000000-0005-0000-0000-000073120000}"/>
    <cellStyle name="Normal 101 5 3 5" xfId="20537" xr:uid="{00000000-0005-0000-0000-000074120000}"/>
    <cellStyle name="Normal 101 5 4" xfId="2537" xr:uid="{00000000-0005-0000-0000-000075120000}"/>
    <cellStyle name="Normal 101 5 4 2" xfId="6803" xr:uid="{00000000-0005-0000-0000-000076120000}"/>
    <cellStyle name="Normal 101 5 4 2 2" xfId="15985" xr:uid="{00000000-0005-0000-0000-000077120000}"/>
    <cellStyle name="Normal 101 5 4 2 2 2" xfId="32559" xr:uid="{00000000-0005-0000-0000-000078120000}"/>
    <cellStyle name="Normal 101 5 4 2 3" xfId="24512" xr:uid="{00000000-0005-0000-0000-000079120000}"/>
    <cellStyle name="Normal 101 5 4 3" xfId="12058" xr:uid="{00000000-0005-0000-0000-00007A120000}"/>
    <cellStyle name="Normal 101 5 4 3 2" xfId="28582" xr:uid="{00000000-0005-0000-0000-00007B120000}"/>
    <cellStyle name="Normal 101 5 4 4" xfId="20539" xr:uid="{00000000-0005-0000-0000-00007C120000}"/>
    <cellStyle name="Normal 101 5 5" xfId="6804" xr:uid="{00000000-0005-0000-0000-00007D120000}"/>
    <cellStyle name="Normal 101 5 5 2" xfId="15986" xr:uid="{00000000-0005-0000-0000-00007E120000}"/>
    <cellStyle name="Normal 101 5 5 2 2" xfId="32560" xr:uid="{00000000-0005-0000-0000-00007F120000}"/>
    <cellStyle name="Normal 101 5 5 3" xfId="24513" xr:uid="{00000000-0005-0000-0000-000080120000}"/>
    <cellStyle name="Normal 101 5 6" xfId="12051" xr:uid="{00000000-0005-0000-0000-000081120000}"/>
    <cellStyle name="Normal 101 5 6 2" xfId="28575" xr:uid="{00000000-0005-0000-0000-000082120000}"/>
    <cellStyle name="Normal 101 5 7" xfId="20532" xr:uid="{00000000-0005-0000-0000-000083120000}"/>
    <cellStyle name="Normal 101 6" xfId="2538" xr:uid="{00000000-0005-0000-0000-000084120000}"/>
    <cellStyle name="Normal 101 6 2" xfId="2539" xr:uid="{00000000-0005-0000-0000-000085120000}"/>
    <cellStyle name="Normal 101 6 2 2" xfId="2540" xr:uid="{00000000-0005-0000-0000-000086120000}"/>
    <cellStyle name="Normal 101 6 2 2 2" xfId="6805" xr:uid="{00000000-0005-0000-0000-000087120000}"/>
    <cellStyle name="Normal 101 6 2 2 2 2" xfId="15987" xr:uid="{00000000-0005-0000-0000-000088120000}"/>
    <cellStyle name="Normal 101 6 2 2 2 2 2" xfId="32561" xr:uid="{00000000-0005-0000-0000-000089120000}"/>
    <cellStyle name="Normal 101 6 2 2 2 3" xfId="24514" xr:uid="{00000000-0005-0000-0000-00008A120000}"/>
    <cellStyle name="Normal 101 6 2 2 3" xfId="12061" xr:uid="{00000000-0005-0000-0000-00008B120000}"/>
    <cellStyle name="Normal 101 6 2 2 3 2" xfId="28585" xr:uid="{00000000-0005-0000-0000-00008C120000}"/>
    <cellStyle name="Normal 101 6 2 2 4" xfId="20542" xr:uid="{00000000-0005-0000-0000-00008D120000}"/>
    <cellStyle name="Normal 101 6 2 3" xfId="6806" xr:uid="{00000000-0005-0000-0000-00008E120000}"/>
    <cellStyle name="Normal 101 6 2 3 2" xfId="15988" xr:uid="{00000000-0005-0000-0000-00008F120000}"/>
    <cellStyle name="Normal 101 6 2 3 2 2" xfId="32562" xr:uid="{00000000-0005-0000-0000-000090120000}"/>
    <cellStyle name="Normal 101 6 2 3 3" xfId="24515" xr:uid="{00000000-0005-0000-0000-000091120000}"/>
    <cellStyle name="Normal 101 6 2 4" xfId="12060" xr:uid="{00000000-0005-0000-0000-000092120000}"/>
    <cellStyle name="Normal 101 6 2 4 2" xfId="28584" xr:uid="{00000000-0005-0000-0000-000093120000}"/>
    <cellStyle name="Normal 101 6 2 5" xfId="20541" xr:uid="{00000000-0005-0000-0000-000094120000}"/>
    <cellStyle name="Normal 101 6 3" xfId="2541" xr:uid="{00000000-0005-0000-0000-000095120000}"/>
    <cellStyle name="Normal 101 6 3 2" xfId="6807" xr:uid="{00000000-0005-0000-0000-000096120000}"/>
    <cellStyle name="Normal 101 6 3 2 2" xfId="15989" xr:uid="{00000000-0005-0000-0000-000097120000}"/>
    <cellStyle name="Normal 101 6 3 2 2 2" xfId="32563" xr:uid="{00000000-0005-0000-0000-000098120000}"/>
    <cellStyle name="Normal 101 6 3 2 3" xfId="24516" xr:uid="{00000000-0005-0000-0000-000099120000}"/>
    <cellStyle name="Normal 101 6 3 3" xfId="12062" xr:uid="{00000000-0005-0000-0000-00009A120000}"/>
    <cellStyle name="Normal 101 6 3 3 2" xfId="28586" xr:uid="{00000000-0005-0000-0000-00009B120000}"/>
    <cellStyle name="Normal 101 6 3 4" xfId="20543" xr:uid="{00000000-0005-0000-0000-00009C120000}"/>
    <cellStyle name="Normal 101 6 4" xfId="6808" xr:uid="{00000000-0005-0000-0000-00009D120000}"/>
    <cellStyle name="Normal 101 6 4 2" xfId="15990" xr:uid="{00000000-0005-0000-0000-00009E120000}"/>
    <cellStyle name="Normal 101 6 4 2 2" xfId="32564" xr:uid="{00000000-0005-0000-0000-00009F120000}"/>
    <cellStyle name="Normal 101 6 4 3" xfId="24517" xr:uid="{00000000-0005-0000-0000-0000A0120000}"/>
    <cellStyle name="Normal 101 6 5" xfId="12059" xr:uid="{00000000-0005-0000-0000-0000A1120000}"/>
    <cellStyle name="Normal 101 6 5 2" xfId="28583" xr:uid="{00000000-0005-0000-0000-0000A2120000}"/>
    <cellStyle name="Normal 101 6 6" xfId="20540" xr:uid="{00000000-0005-0000-0000-0000A3120000}"/>
    <cellStyle name="Normal 101 7" xfId="2542" xr:uid="{00000000-0005-0000-0000-0000A4120000}"/>
    <cellStyle name="Normal 101 7 2" xfId="2543" xr:uid="{00000000-0005-0000-0000-0000A5120000}"/>
    <cellStyle name="Normal 101 7 2 2" xfId="6809" xr:uid="{00000000-0005-0000-0000-0000A6120000}"/>
    <cellStyle name="Normal 101 7 2 2 2" xfId="15991" xr:uid="{00000000-0005-0000-0000-0000A7120000}"/>
    <cellStyle name="Normal 101 7 2 2 2 2" xfId="32565" xr:uid="{00000000-0005-0000-0000-0000A8120000}"/>
    <cellStyle name="Normal 101 7 2 2 3" xfId="24518" xr:uid="{00000000-0005-0000-0000-0000A9120000}"/>
    <cellStyle name="Normal 101 7 2 3" xfId="12064" xr:uid="{00000000-0005-0000-0000-0000AA120000}"/>
    <cellStyle name="Normal 101 7 2 3 2" xfId="28588" xr:uid="{00000000-0005-0000-0000-0000AB120000}"/>
    <cellStyle name="Normal 101 7 2 4" xfId="20545" xr:uid="{00000000-0005-0000-0000-0000AC120000}"/>
    <cellStyle name="Normal 101 7 3" xfId="6810" xr:uid="{00000000-0005-0000-0000-0000AD120000}"/>
    <cellStyle name="Normal 101 7 3 2" xfId="15992" xr:uid="{00000000-0005-0000-0000-0000AE120000}"/>
    <cellStyle name="Normal 101 7 3 2 2" xfId="32566" xr:uid="{00000000-0005-0000-0000-0000AF120000}"/>
    <cellStyle name="Normal 101 7 3 3" xfId="24519" xr:uid="{00000000-0005-0000-0000-0000B0120000}"/>
    <cellStyle name="Normal 101 7 4" xfId="12063" xr:uid="{00000000-0005-0000-0000-0000B1120000}"/>
    <cellStyle name="Normal 101 7 4 2" xfId="28587" xr:uid="{00000000-0005-0000-0000-0000B2120000}"/>
    <cellStyle name="Normal 101 7 5" xfId="20544" xr:uid="{00000000-0005-0000-0000-0000B3120000}"/>
    <cellStyle name="Normal 101 8" xfId="2544" xr:uid="{00000000-0005-0000-0000-0000B4120000}"/>
    <cellStyle name="Normal 101 8 2" xfId="6811" xr:uid="{00000000-0005-0000-0000-0000B5120000}"/>
    <cellStyle name="Normal 101 8 2 2" xfId="15993" xr:uid="{00000000-0005-0000-0000-0000B6120000}"/>
    <cellStyle name="Normal 101 8 2 2 2" xfId="32567" xr:uid="{00000000-0005-0000-0000-0000B7120000}"/>
    <cellStyle name="Normal 101 8 2 3" xfId="24520" xr:uid="{00000000-0005-0000-0000-0000B8120000}"/>
    <cellStyle name="Normal 101 8 3" xfId="12065" xr:uid="{00000000-0005-0000-0000-0000B9120000}"/>
    <cellStyle name="Normal 101 8 3 2" xfId="28589" xr:uid="{00000000-0005-0000-0000-0000BA120000}"/>
    <cellStyle name="Normal 101 8 4" xfId="20546" xr:uid="{00000000-0005-0000-0000-0000BB120000}"/>
    <cellStyle name="Normal 101 9" xfId="6812" xr:uid="{00000000-0005-0000-0000-0000BC120000}"/>
    <cellStyle name="Normal 101 9 2" xfId="15994" xr:uid="{00000000-0005-0000-0000-0000BD120000}"/>
    <cellStyle name="Normal 101 9 2 2" xfId="32568" xr:uid="{00000000-0005-0000-0000-0000BE120000}"/>
    <cellStyle name="Normal 101 9 3" xfId="24521" xr:uid="{00000000-0005-0000-0000-0000BF120000}"/>
    <cellStyle name="Normal 102" xfId="2545" xr:uid="{00000000-0005-0000-0000-0000C0120000}"/>
    <cellStyle name="Normal 102 10" xfId="12066" xr:uid="{00000000-0005-0000-0000-0000C1120000}"/>
    <cellStyle name="Normal 102 10 2" xfId="28590" xr:uid="{00000000-0005-0000-0000-0000C2120000}"/>
    <cellStyle name="Normal 102 11" xfId="20547" xr:uid="{00000000-0005-0000-0000-0000C3120000}"/>
    <cellStyle name="Normal 102 2" xfId="2546" xr:uid="{00000000-0005-0000-0000-0000C4120000}"/>
    <cellStyle name="Normal 102 2 2" xfId="2547" xr:uid="{00000000-0005-0000-0000-0000C5120000}"/>
    <cellStyle name="Normal 102 2 3" xfId="12067" xr:uid="{00000000-0005-0000-0000-0000C6120000}"/>
    <cellStyle name="Normal 102 2 3 2" xfId="28591" xr:uid="{00000000-0005-0000-0000-0000C7120000}"/>
    <cellStyle name="Normal 102 2 4" xfId="20548" xr:uid="{00000000-0005-0000-0000-0000C8120000}"/>
    <cellStyle name="Normal 102 3" xfId="2548" xr:uid="{00000000-0005-0000-0000-0000C9120000}"/>
    <cellStyle name="Normal 102 3 2" xfId="2549" xr:uid="{00000000-0005-0000-0000-0000CA120000}"/>
    <cellStyle name="Normal 102 3 2 2" xfId="2550" xr:uid="{00000000-0005-0000-0000-0000CB120000}"/>
    <cellStyle name="Normal 102 3 2 2 2" xfId="2551" xr:uid="{00000000-0005-0000-0000-0000CC120000}"/>
    <cellStyle name="Normal 102 3 2 2 2 2" xfId="6813" xr:uid="{00000000-0005-0000-0000-0000CD120000}"/>
    <cellStyle name="Normal 102 3 2 2 2 2 2" xfId="15995" xr:uid="{00000000-0005-0000-0000-0000CE120000}"/>
    <cellStyle name="Normal 102 3 2 2 2 2 2 2" xfId="32569" xr:uid="{00000000-0005-0000-0000-0000CF120000}"/>
    <cellStyle name="Normal 102 3 2 2 2 2 3" xfId="24522" xr:uid="{00000000-0005-0000-0000-0000D0120000}"/>
    <cellStyle name="Normal 102 3 2 2 2 3" xfId="12070" xr:uid="{00000000-0005-0000-0000-0000D1120000}"/>
    <cellStyle name="Normal 102 3 2 2 2 3 2" xfId="28594" xr:uid="{00000000-0005-0000-0000-0000D2120000}"/>
    <cellStyle name="Normal 102 3 2 2 2 4" xfId="20551" xr:uid="{00000000-0005-0000-0000-0000D3120000}"/>
    <cellStyle name="Normal 102 3 2 2 3" xfId="6814" xr:uid="{00000000-0005-0000-0000-0000D4120000}"/>
    <cellStyle name="Normal 102 3 2 2 3 2" xfId="15996" xr:uid="{00000000-0005-0000-0000-0000D5120000}"/>
    <cellStyle name="Normal 102 3 2 2 3 2 2" xfId="32570" xr:uid="{00000000-0005-0000-0000-0000D6120000}"/>
    <cellStyle name="Normal 102 3 2 2 3 3" xfId="24523" xr:uid="{00000000-0005-0000-0000-0000D7120000}"/>
    <cellStyle name="Normal 102 3 2 2 4" xfId="12069" xr:uid="{00000000-0005-0000-0000-0000D8120000}"/>
    <cellStyle name="Normal 102 3 2 2 4 2" xfId="28593" xr:uid="{00000000-0005-0000-0000-0000D9120000}"/>
    <cellStyle name="Normal 102 3 2 2 5" xfId="20550" xr:uid="{00000000-0005-0000-0000-0000DA120000}"/>
    <cellStyle name="Normal 102 3 2 3" xfId="2552" xr:uid="{00000000-0005-0000-0000-0000DB120000}"/>
    <cellStyle name="Normal 102 3 2 3 2" xfId="6815" xr:uid="{00000000-0005-0000-0000-0000DC120000}"/>
    <cellStyle name="Normal 102 3 2 3 2 2" xfId="15997" xr:uid="{00000000-0005-0000-0000-0000DD120000}"/>
    <cellStyle name="Normal 102 3 2 3 2 2 2" xfId="32571" xr:uid="{00000000-0005-0000-0000-0000DE120000}"/>
    <cellStyle name="Normal 102 3 2 3 2 3" xfId="24524" xr:uid="{00000000-0005-0000-0000-0000DF120000}"/>
    <cellStyle name="Normal 102 3 2 3 3" xfId="12071" xr:uid="{00000000-0005-0000-0000-0000E0120000}"/>
    <cellStyle name="Normal 102 3 2 3 3 2" xfId="28595" xr:uid="{00000000-0005-0000-0000-0000E1120000}"/>
    <cellStyle name="Normal 102 3 2 3 4" xfId="20552" xr:uid="{00000000-0005-0000-0000-0000E2120000}"/>
    <cellStyle name="Normal 102 3 2 4" xfId="6816" xr:uid="{00000000-0005-0000-0000-0000E3120000}"/>
    <cellStyle name="Normal 102 3 2 4 2" xfId="15998" xr:uid="{00000000-0005-0000-0000-0000E4120000}"/>
    <cellStyle name="Normal 102 3 2 4 2 2" xfId="32572" xr:uid="{00000000-0005-0000-0000-0000E5120000}"/>
    <cellStyle name="Normal 102 3 2 4 3" xfId="24525" xr:uid="{00000000-0005-0000-0000-0000E6120000}"/>
    <cellStyle name="Normal 102 3 2 5" xfId="12068" xr:uid="{00000000-0005-0000-0000-0000E7120000}"/>
    <cellStyle name="Normal 102 3 2 5 2" xfId="28592" xr:uid="{00000000-0005-0000-0000-0000E8120000}"/>
    <cellStyle name="Normal 102 3 2 6" xfId="20549" xr:uid="{00000000-0005-0000-0000-0000E9120000}"/>
    <cellStyle name="Normal 102 3 3" xfId="2553" xr:uid="{00000000-0005-0000-0000-0000EA120000}"/>
    <cellStyle name="Normal 102 3 3 2" xfId="2554" xr:uid="{00000000-0005-0000-0000-0000EB120000}"/>
    <cellStyle name="Normal 102 3 3 2 2" xfId="6817" xr:uid="{00000000-0005-0000-0000-0000EC120000}"/>
    <cellStyle name="Normal 102 3 3 2 2 2" xfId="15999" xr:uid="{00000000-0005-0000-0000-0000ED120000}"/>
    <cellStyle name="Normal 102 3 3 2 2 2 2" xfId="32573" xr:uid="{00000000-0005-0000-0000-0000EE120000}"/>
    <cellStyle name="Normal 102 3 3 2 2 3" xfId="24526" xr:uid="{00000000-0005-0000-0000-0000EF120000}"/>
    <cellStyle name="Normal 102 3 3 2 3" xfId="12073" xr:uid="{00000000-0005-0000-0000-0000F0120000}"/>
    <cellStyle name="Normal 102 3 3 2 3 2" xfId="28597" xr:uid="{00000000-0005-0000-0000-0000F1120000}"/>
    <cellStyle name="Normal 102 3 3 2 4" xfId="20554" xr:uid="{00000000-0005-0000-0000-0000F2120000}"/>
    <cellStyle name="Normal 102 3 3 3" xfId="6818" xr:uid="{00000000-0005-0000-0000-0000F3120000}"/>
    <cellStyle name="Normal 102 3 3 3 2" xfId="16000" xr:uid="{00000000-0005-0000-0000-0000F4120000}"/>
    <cellStyle name="Normal 102 3 3 3 2 2" xfId="32574" xr:uid="{00000000-0005-0000-0000-0000F5120000}"/>
    <cellStyle name="Normal 102 3 3 3 3" xfId="24527" xr:uid="{00000000-0005-0000-0000-0000F6120000}"/>
    <cellStyle name="Normal 102 3 3 4" xfId="12072" xr:uid="{00000000-0005-0000-0000-0000F7120000}"/>
    <cellStyle name="Normal 102 3 3 4 2" xfId="28596" xr:uid="{00000000-0005-0000-0000-0000F8120000}"/>
    <cellStyle name="Normal 102 3 3 5" xfId="20553" xr:uid="{00000000-0005-0000-0000-0000F9120000}"/>
    <cellStyle name="Normal 102 3 4" xfId="2555" xr:uid="{00000000-0005-0000-0000-0000FA120000}"/>
    <cellStyle name="Normal 102 3 4 2" xfId="6819" xr:uid="{00000000-0005-0000-0000-0000FB120000}"/>
    <cellStyle name="Normal 102 3 4 2 2" xfId="16001" xr:uid="{00000000-0005-0000-0000-0000FC120000}"/>
    <cellStyle name="Normal 102 3 4 2 2 2" xfId="32575" xr:uid="{00000000-0005-0000-0000-0000FD120000}"/>
    <cellStyle name="Normal 102 3 4 2 3" xfId="24528" xr:uid="{00000000-0005-0000-0000-0000FE120000}"/>
    <cellStyle name="Normal 102 3 4 3" xfId="12074" xr:uid="{00000000-0005-0000-0000-0000FF120000}"/>
    <cellStyle name="Normal 102 3 4 3 2" xfId="28598" xr:uid="{00000000-0005-0000-0000-000000130000}"/>
    <cellStyle name="Normal 102 3 4 4" xfId="20555" xr:uid="{00000000-0005-0000-0000-000001130000}"/>
    <cellStyle name="Normal 102 3 5" xfId="2556" xr:uid="{00000000-0005-0000-0000-000002130000}"/>
    <cellStyle name="Normal 102 3 5 2" xfId="12075" xr:uid="{00000000-0005-0000-0000-000003130000}"/>
    <cellStyle name="Normal 102 3 5 2 2" xfId="28599" xr:uid="{00000000-0005-0000-0000-000004130000}"/>
    <cellStyle name="Normal 102 3 5 3" xfId="20556" xr:uid="{00000000-0005-0000-0000-000005130000}"/>
    <cellStyle name="Normal 102 4" xfId="2557" xr:uid="{00000000-0005-0000-0000-000006130000}"/>
    <cellStyle name="Normal 102 4 2" xfId="2558" xr:uid="{00000000-0005-0000-0000-000007130000}"/>
    <cellStyle name="Normal 102 4 2 2" xfId="2559" xr:uid="{00000000-0005-0000-0000-000008130000}"/>
    <cellStyle name="Normal 102 4 2 2 2" xfId="2560" xr:uid="{00000000-0005-0000-0000-000009130000}"/>
    <cellStyle name="Normal 102 4 2 2 2 2" xfId="6820" xr:uid="{00000000-0005-0000-0000-00000A130000}"/>
    <cellStyle name="Normal 102 4 2 2 2 2 2" xfId="16002" xr:uid="{00000000-0005-0000-0000-00000B130000}"/>
    <cellStyle name="Normal 102 4 2 2 2 2 2 2" xfId="32576" xr:uid="{00000000-0005-0000-0000-00000C130000}"/>
    <cellStyle name="Normal 102 4 2 2 2 2 3" xfId="24529" xr:uid="{00000000-0005-0000-0000-00000D130000}"/>
    <cellStyle name="Normal 102 4 2 2 2 3" xfId="12079" xr:uid="{00000000-0005-0000-0000-00000E130000}"/>
    <cellStyle name="Normal 102 4 2 2 2 3 2" xfId="28603" xr:uid="{00000000-0005-0000-0000-00000F130000}"/>
    <cellStyle name="Normal 102 4 2 2 2 4" xfId="20560" xr:uid="{00000000-0005-0000-0000-000010130000}"/>
    <cellStyle name="Normal 102 4 2 2 3" xfId="6821" xr:uid="{00000000-0005-0000-0000-000011130000}"/>
    <cellStyle name="Normal 102 4 2 2 3 2" xfId="16003" xr:uid="{00000000-0005-0000-0000-000012130000}"/>
    <cellStyle name="Normal 102 4 2 2 3 2 2" xfId="32577" xr:uid="{00000000-0005-0000-0000-000013130000}"/>
    <cellStyle name="Normal 102 4 2 2 3 3" xfId="24530" xr:uid="{00000000-0005-0000-0000-000014130000}"/>
    <cellStyle name="Normal 102 4 2 2 4" xfId="12078" xr:uid="{00000000-0005-0000-0000-000015130000}"/>
    <cellStyle name="Normal 102 4 2 2 4 2" xfId="28602" xr:uid="{00000000-0005-0000-0000-000016130000}"/>
    <cellStyle name="Normal 102 4 2 2 5" xfId="20559" xr:uid="{00000000-0005-0000-0000-000017130000}"/>
    <cellStyle name="Normal 102 4 2 3" xfId="2561" xr:uid="{00000000-0005-0000-0000-000018130000}"/>
    <cellStyle name="Normal 102 4 2 3 2" xfId="6822" xr:uid="{00000000-0005-0000-0000-000019130000}"/>
    <cellStyle name="Normal 102 4 2 3 2 2" xfId="16004" xr:uid="{00000000-0005-0000-0000-00001A130000}"/>
    <cellStyle name="Normal 102 4 2 3 2 2 2" xfId="32578" xr:uid="{00000000-0005-0000-0000-00001B130000}"/>
    <cellStyle name="Normal 102 4 2 3 2 3" xfId="24531" xr:uid="{00000000-0005-0000-0000-00001C130000}"/>
    <cellStyle name="Normal 102 4 2 3 3" xfId="12080" xr:uid="{00000000-0005-0000-0000-00001D130000}"/>
    <cellStyle name="Normal 102 4 2 3 3 2" xfId="28604" xr:uid="{00000000-0005-0000-0000-00001E130000}"/>
    <cellStyle name="Normal 102 4 2 3 4" xfId="20561" xr:uid="{00000000-0005-0000-0000-00001F130000}"/>
    <cellStyle name="Normal 102 4 2 4" xfId="6823" xr:uid="{00000000-0005-0000-0000-000020130000}"/>
    <cellStyle name="Normal 102 4 2 4 2" xfId="16005" xr:uid="{00000000-0005-0000-0000-000021130000}"/>
    <cellStyle name="Normal 102 4 2 4 2 2" xfId="32579" xr:uid="{00000000-0005-0000-0000-000022130000}"/>
    <cellStyle name="Normal 102 4 2 4 3" xfId="24532" xr:uid="{00000000-0005-0000-0000-000023130000}"/>
    <cellStyle name="Normal 102 4 2 5" xfId="12077" xr:uid="{00000000-0005-0000-0000-000024130000}"/>
    <cellStyle name="Normal 102 4 2 5 2" xfId="28601" xr:uid="{00000000-0005-0000-0000-000025130000}"/>
    <cellStyle name="Normal 102 4 2 6" xfId="20558" xr:uid="{00000000-0005-0000-0000-000026130000}"/>
    <cellStyle name="Normal 102 4 3" xfId="2562" xr:uid="{00000000-0005-0000-0000-000027130000}"/>
    <cellStyle name="Normal 102 4 3 2" xfId="2563" xr:uid="{00000000-0005-0000-0000-000028130000}"/>
    <cellStyle name="Normal 102 4 3 2 2" xfId="6824" xr:uid="{00000000-0005-0000-0000-000029130000}"/>
    <cellStyle name="Normal 102 4 3 2 2 2" xfId="16006" xr:uid="{00000000-0005-0000-0000-00002A130000}"/>
    <cellStyle name="Normal 102 4 3 2 2 2 2" xfId="32580" xr:uid="{00000000-0005-0000-0000-00002B130000}"/>
    <cellStyle name="Normal 102 4 3 2 2 3" xfId="24533" xr:uid="{00000000-0005-0000-0000-00002C130000}"/>
    <cellStyle name="Normal 102 4 3 2 3" xfId="12082" xr:uid="{00000000-0005-0000-0000-00002D130000}"/>
    <cellStyle name="Normal 102 4 3 2 3 2" xfId="28606" xr:uid="{00000000-0005-0000-0000-00002E130000}"/>
    <cellStyle name="Normal 102 4 3 2 4" xfId="20563" xr:uid="{00000000-0005-0000-0000-00002F130000}"/>
    <cellStyle name="Normal 102 4 3 3" xfId="6825" xr:uid="{00000000-0005-0000-0000-000030130000}"/>
    <cellStyle name="Normal 102 4 3 3 2" xfId="16007" xr:uid="{00000000-0005-0000-0000-000031130000}"/>
    <cellStyle name="Normal 102 4 3 3 2 2" xfId="32581" xr:uid="{00000000-0005-0000-0000-000032130000}"/>
    <cellStyle name="Normal 102 4 3 3 3" xfId="24534" xr:uid="{00000000-0005-0000-0000-000033130000}"/>
    <cellStyle name="Normal 102 4 3 4" xfId="12081" xr:uid="{00000000-0005-0000-0000-000034130000}"/>
    <cellStyle name="Normal 102 4 3 4 2" xfId="28605" xr:uid="{00000000-0005-0000-0000-000035130000}"/>
    <cellStyle name="Normal 102 4 3 5" xfId="20562" xr:uid="{00000000-0005-0000-0000-000036130000}"/>
    <cellStyle name="Normal 102 4 4" xfId="2564" xr:uid="{00000000-0005-0000-0000-000037130000}"/>
    <cellStyle name="Normal 102 4 4 2" xfId="6826" xr:uid="{00000000-0005-0000-0000-000038130000}"/>
    <cellStyle name="Normal 102 4 4 2 2" xfId="16008" xr:uid="{00000000-0005-0000-0000-000039130000}"/>
    <cellStyle name="Normal 102 4 4 2 2 2" xfId="32582" xr:uid="{00000000-0005-0000-0000-00003A130000}"/>
    <cellStyle name="Normal 102 4 4 2 3" xfId="24535" xr:uid="{00000000-0005-0000-0000-00003B130000}"/>
    <cellStyle name="Normal 102 4 4 3" xfId="12083" xr:uid="{00000000-0005-0000-0000-00003C130000}"/>
    <cellStyle name="Normal 102 4 4 3 2" xfId="28607" xr:uid="{00000000-0005-0000-0000-00003D130000}"/>
    <cellStyle name="Normal 102 4 4 4" xfId="20564" xr:uid="{00000000-0005-0000-0000-00003E130000}"/>
    <cellStyle name="Normal 102 4 5" xfId="6827" xr:uid="{00000000-0005-0000-0000-00003F130000}"/>
    <cellStyle name="Normal 102 4 5 2" xfId="16009" xr:uid="{00000000-0005-0000-0000-000040130000}"/>
    <cellStyle name="Normal 102 4 5 2 2" xfId="32583" xr:uid="{00000000-0005-0000-0000-000041130000}"/>
    <cellStyle name="Normal 102 4 5 3" xfId="24536" xr:uid="{00000000-0005-0000-0000-000042130000}"/>
    <cellStyle name="Normal 102 4 6" xfId="12076" xr:uid="{00000000-0005-0000-0000-000043130000}"/>
    <cellStyle name="Normal 102 4 6 2" xfId="28600" xr:uid="{00000000-0005-0000-0000-000044130000}"/>
    <cellStyle name="Normal 102 4 7" xfId="20557" xr:uid="{00000000-0005-0000-0000-000045130000}"/>
    <cellStyle name="Normal 102 5" xfId="2565" xr:uid="{00000000-0005-0000-0000-000046130000}"/>
    <cellStyle name="Normal 102 5 2" xfId="2566" xr:uid="{00000000-0005-0000-0000-000047130000}"/>
    <cellStyle name="Normal 102 5 2 2" xfId="2567" xr:uid="{00000000-0005-0000-0000-000048130000}"/>
    <cellStyle name="Normal 102 5 2 2 2" xfId="2568" xr:uid="{00000000-0005-0000-0000-000049130000}"/>
    <cellStyle name="Normal 102 5 2 2 2 2" xfId="6828" xr:uid="{00000000-0005-0000-0000-00004A130000}"/>
    <cellStyle name="Normal 102 5 2 2 2 2 2" xfId="16010" xr:uid="{00000000-0005-0000-0000-00004B130000}"/>
    <cellStyle name="Normal 102 5 2 2 2 2 2 2" xfId="32584" xr:uid="{00000000-0005-0000-0000-00004C130000}"/>
    <cellStyle name="Normal 102 5 2 2 2 2 3" xfId="24537" xr:uid="{00000000-0005-0000-0000-00004D130000}"/>
    <cellStyle name="Normal 102 5 2 2 2 3" xfId="12087" xr:uid="{00000000-0005-0000-0000-00004E130000}"/>
    <cellStyle name="Normal 102 5 2 2 2 3 2" xfId="28611" xr:uid="{00000000-0005-0000-0000-00004F130000}"/>
    <cellStyle name="Normal 102 5 2 2 2 4" xfId="20568" xr:uid="{00000000-0005-0000-0000-000050130000}"/>
    <cellStyle name="Normal 102 5 2 2 3" xfId="6829" xr:uid="{00000000-0005-0000-0000-000051130000}"/>
    <cellStyle name="Normal 102 5 2 2 3 2" xfId="16011" xr:uid="{00000000-0005-0000-0000-000052130000}"/>
    <cellStyle name="Normal 102 5 2 2 3 2 2" xfId="32585" xr:uid="{00000000-0005-0000-0000-000053130000}"/>
    <cellStyle name="Normal 102 5 2 2 3 3" xfId="24538" xr:uid="{00000000-0005-0000-0000-000054130000}"/>
    <cellStyle name="Normal 102 5 2 2 4" xfId="12086" xr:uid="{00000000-0005-0000-0000-000055130000}"/>
    <cellStyle name="Normal 102 5 2 2 4 2" xfId="28610" xr:uid="{00000000-0005-0000-0000-000056130000}"/>
    <cellStyle name="Normal 102 5 2 2 5" xfId="20567" xr:uid="{00000000-0005-0000-0000-000057130000}"/>
    <cellStyle name="Normal 102 5 2 3" xfId="2569" xr:uid="{00000000-0005-0000-0000-000058130000}"/>
    <cellStyle name="Normal 102 5 2 3 2" xfId="6830" xr:uid="{00000000-0005-0000-0000-000059130000}"/>
    <cellStyle name="Normal 102 5 2 3 2 2" xfId="16012" xr:uid="{00000000-0005-0000-0000-00005A130000}"/>
    <cellStyle name="Normal 102 5 2 3 2 2 2" xfId="32586" xr:uid="{00000000-0005-0000-0000-00005B130000}"/>
    <cellStyle name="Normal 102 5 2 3 2 3" xfId="24539" xr:uid="{00000000-0005-0000-0000-00005C130000}"/>
    <cellStyle name="Normal 102 5 2 3 3" xfId="12088" xr:uid="{00000000-0005-0000-0000-00005D130000}"/>
    <cellStyle name="Normal 102 5 2 3 3 2" xfId="28612" xr:uid="{00000000-0005-0000-0000-00005E130000}"/>
    <cellStyle name="Normal 102 5 2 3 4" xfId="20569" xr:uid="{00000000-0005-0000-0000-00005F130000}"/>
    <cellStyle name="Normal 102 5 2 4" xfId="6831" xr:uid="{00000000-0005-0000-0000-000060130000}"/>
    <cellStyle name="Normal 102 5 2 4 2" xfId="16013" xr:uid="{00000000-0005-0000-0000-000061130000}"/>
    <cellStyle name="Normal 102 5 2 4 2 2" xfId="32587" xr:uid="{00000000-0005-0000-0000-000062130000}"/>
    <cellStyle name="Normal 102 5 2 4 3" xfId="24540" xr:uid="{00000000-0005-0000-0000-000063130000}"/>
    <cellStyle name="Normal 102 5 2 5" xfId="12085" xr:uid="{00000000-0005-0000-0000-000064130000}"/>
    <cellStyle name="Normal 102 5 2 5 2" xfId="28609" xr:uid="{00000000-0005-0000-0000-000065130000}"/>
    <cellStyle name="Normal 102 5 2 6" xfId="20566" xr:uid="{00000000-0005-0000-0000-000066130000}"/>
    <cellStyle name="Normal 102 5 3" xfId="2570" xr:uid="{00000000-0005-0000-0000-000067130000}"/>
    <cellStyle name="Normal 102 5 3 2" xfId="2571" xr:uid="{00000000-0005-0000-0000-000068130000}"/>
    <cellStyle name="Normal 102 5 3 2 2" xfId="6832" xr:uid="{00000000-0005-0000-0000-000069130000}"/>
    <cellStyle name="Normal 102 5 3 2 2 2" xfId="16014" xr:uid="{00000000-0005-0000-0000-00006A130000}"/>
    <cellStyle name="Normal 102 5 3 2 2 2 2" xfId="32588" xr:uid="{00000000-0005-0000-0000-00006B130000}"/>
    <cellStyle name="Normal 102 5 3 2 2 3" xfId="24541" xr:uid="{00000000-0005-0000-0000-00006C130000}"/>
    <cellStyle name="Normal 102 5 3 2 3" xfId="12090" xr:uid="{00000000-0005-0000-0000-00006D130000}"/>
    <cellStyle name="Normal 102 5 3 2 3 2" xfId="28614" xr:uid="{00000000-0005-0000-0000-00006E130000}"/>
    <cellStyle name="Normal 102 5 3 2 4" xfId="20571" xr:uid="{00000000-0005-0000-0000-00006F130000}"/>
    <cellStyle name="Normal 102 5 3 3" xfId="6833" xr:uid="{00000000-0005-0000-0000-000070130000}"/>
    <cellStyle name="Normal 102 5 3 3 2" xfId="16015" xr:uid="{00000000-0005-0000-0000-000071130000}"/>
    <cellStyle name="Normal 102 5 3 3 2 2" xfId="32589" xr:uid="{00000000-0005-0000-0000-000072130000}"/>
    <cellStyle name="Normal 102 5 3 3 3" xfId="24542" xr:uid="{00000000-0005-0000-0000-000073130000}"/>
    <cellStyle name="Normal 102 5 3 4" xfId="12089" xr:uid="{00000000-0005-0000-0000-000074130000}"/>
    <cellStyle name="Normal 102 5 3 4 2" xfId="28613" xr:uid="{00000000-0005-0000-0000-000075130000}"/>
    <cellStyle name="Normal 102 5 3 5" xfId="20570" xr:uid="{00000000-0005-0000-0000-000076130000}"/>
    <cellStyle name="Normal 102 5 4" xfId="2572" xr:uid="{00000000-0005-0000-0000-000077130000}"/>
    <cellStyle name="Normal 102 5 4 2" xfId="6834" xr:uid="{00000000-0005-0000-0000-000078130000}"/>
    <cellStyle name="Normal 102 5 4 2 2" xfId="16016" xr:uid="{00000000-0005-0000-0000-000079130000}"/>
    <cellStyle name="Normal 102 5 4 2 2 2" xfId="32590" xr:uid="{00000000-0005-0000-0000-00007A130000}"/>
    <cellStyle name="Normal 102 5 4 2 3" xfId="24543" xr:uid="{00000000-0005-0000-0000-00007B130000}"/>
    <cellStyle name="Normal 102 5 4 3" xfId="12091" xr:uid="{00000000-0005-0000-0000-00007C130000}"/>
    <cellStyle name="Normal 102 5 4 3 2" xfId="28615" xr:uid="{00000000-0005-0000-0000-00007D130000}"/>
    <cellStyle name="Normal 102 5 4 4" xfId="20572" xr:uid="{00000000-0005-0000-0000-00007E130000}"/>
    <cellStyle name="Normal 102 5 5" xfId="6835" xr:uid="{00000000-0005-0000-0000-00007F130000}"/>
    <cellStyle name="Normal 102 5 5 2" xfId="16017" xr:uid="{00000000-0005-0000-0000-000080130000}"/>
    <cellStyle name="Normal 102 5 5 2 2" xfId="32591" xr:uid="{00000000-0005-0000-0000-000081130000}"/>
    <cellStyle name="Normal 102 5 5 3" xfId="24544" xr:uid="{00000000-0005-0000-0000-000082130000}"/>
    <cellStyle name="Normal 102 5 6" xfId="12084" xr:uid="{00000000-0005-0000-0000-000083130000}"/>
    <cellStyle name="Normal 102 5 6 2" xfId="28608" xr:uid="{00000000-0005-0000-0000-000084130000}"/>
    <cellStyle name="Normal 102 5 7" xfId="20565" xr:uid="{00000000-0005-0000-0000-000085130000}"/>
    <cellStyle name="Normal 102 6" xfId="2573" xr:uid="{00000000-0005-0000-0000-000086130000}"/>
    <cellStyle name="Normal 102 6 2" xfId="2574" xr:uid="{00000000-0005-0000-0000-000087130000}"/>
    <cellStyle name="Normal 102 6 2 2" xfId="2575" xr:uid="{00000000-0005-0000-0000-000088130000}"/>
    <cellStyle name="Normal 102 6 2 2 2" xfId="6836" xr:uid="{00000000-0005-0000-0000-000089130000}"/>
    <cellStyle name="Normal 102 6 2 2 2 2" xfId="16018" xr:uid="{00000000-0005-0000-0000-00008A130000}"/>
    <cellStyle name="Normal 102 6 2 2 2 2 2" xfId="32592" xr:uid="{00000000-0005-0000-0000-00008B130000}"/>
    <cellStyle name="Normal 102 6 2 2 2 3" xfId="24545" xr:uid="{00000000-0005-0000-0000-00008C130000}"/>
    <cellStyle name="Normal 102 6 2 2 3" xfId="12094" xr:uid="{00000000-0005-0000-0000-00008D130000}"/>
    <cellStyle name="Normal 102 6 2 2 3 2" xfId="28618" xr:uid="{00000000-0005-0000-0000-00008E130000}"/>
    <cellStyle name="Normal 102 6 2 2 4" xfId="20575" xr:uid="{00000000-0005-0000-0000-00008F130000}"/>
    <cellStyle name="Normal 102 6 2 3" xfId="6837" xr:uid="{00000000-0005-0000-0000-000090130000}"/>
    <cellStyle name="Normal 102 6 2 3 2" xfId="16019" xr:uid="{00000000-0005-0000-0000-000091130000}"/>
    <cellStyle name="Normal 102 6 2 3 2 2" xfId="32593" xr:uid="{00000000-0005-0000-0000-000092130000}"/>
    <cellStyle name="Normal 102 6 2 3 3" xfId="24546" xr:uid="{00000000-0005-0000-0000-000093130000}"/>
    <cellStyle name="Normal 102 6 2 4" xfId="12093" xr:uid="{00000000-0005-0000-0000-000094130000}"/>
    <cellStyle name="Normal 102 6 2 4 2" xfId="28617" xr:uid="{00000000-0005-0000-0000-000095130000}"/>
    <cellStyle name="Normal 102 6 2 5" xfId="20574" xr:uid="{00000000-0005-0000-0000-000096130000}"/>
    <cellStyle name="Normal 102 6 3" xfId="2576" xr:uid="{00000000-0005-0000-0000-000097130000}"/>
    <cellStyle name="Normal 102 6 3 2" xfId="6838" xr:uid="{00000000-0005-0000-0000-000098130000}"/>
    <cellStyle name="Normal 102 6 3 2 2" xfId="16020" xr:uid="{00000000-0005-0000-0000-000099130000}"/>
    <cellStyle name="Normal 102 6 3 2 2 2" xfId="32594" xr:uid="{00000000-0005-0000-0000-00009A130000}"/>
    <cellStyle name="Normal 102 6 3 2 3" xfId="24547" xr:uid="{00000000-0005-0000-0000-00009B130000}"/>
    <cellStyle name="Normal 102 6 3 3" xfId="12095" xr:uid="{00000000-0005-0000-0000-00009C130000}"/>
    <cellStyle name="Normal 102 6 3 3 2" xfId="28619" xr:uid="{00000000-0005-0000-0000-00009D130000}"/>
    <cellStyle name="Normal 102 6 3 4" xfId="20576" xr:uid="{00000000-0005-0000-0000-00009E130000}"/>
    <cellStyle name="Normal 102 6 4" xfId="6839" xr:uid="{00000000-0005-0000-0000-00009F130000}"/>
    <cellStyle name="Normal 102 6 4 2" xfId="16021" xr:uid="{00000000-0005-0000-0000-0000A0130000}"/>
    <cellStyle name="Normal 102 6 4 2 2" xfId="32595" xr:uid="{00000000-0005-0000-0000-0000A1130000}"/>
    <cellStyle name="Normal 102 6 4 3" xfId="24548" xr:uid="{00000000-0005-0000-0000-0000A2130000}"/>
    <cellStyle name="Normal 102 6 5" xfId="12092" xr:uid="{00000000-0005-0000-0000-0000A3130000}"/>
    <cellStyle name="Normal 102 6 5 2" xfId="28616" xr:uid="{00000000-0005-0000-0000-0000A4130000}"/>
    <cellStyle name="Normal 102 6 6" xfId="20573" xr:uid="{00000000-0005-0000-0000-0000A5130000}"/>
    <cellStyle name="Normal 102 7" xfId="2577" xr:uid="{00000000-0005-0000-0000-0000A6130000}"/>
    <cellStyle name="Normal 102 7 2" xfId="2578" xr:uid="{00000000-0005-0000-0000-0000A7130000}"/>
    <cellStyle name="Normal 102 7 2 2" xfId="6840" xr:uid="{00000000-0005-0000-0000-0000A8130000}"/>
    <cellStyle name="Normal 102 7 2 2 2" xfId="16022" xr:uid="{00000000-0005-0000-0000-0000A9130000}"/>
    <cellStyle name="Normal 102 7 2 2 2 2" xfId="32596" xr:uid="{00000000-0005-0000-0000-0000AA130000}"/>
    <cellStyle name="Normal 102 7 2 2 3" xfId="24549" xr:uid="{00000000-0005-0000-0000-0000AB130000}"/>
    <cellStyle name="Normal 102 7 2 3" xfId="12097" xr:uid="{00000000-0005-0000-0000-0000AC130000}"/>
    <cellStyle name="Normal 102 7 2 3 2" xfId="28621" xr:uid="{00000000-0005-0000-0000-0000AD130000}"/>
    <cellStyle name="Normal 102 7 2 4" xfId="20578" xr:uid="{00000000-0005-0000-0000-0000AE130000}"/>
    <cellStyle name="Normal 102 7 3" xfId="6841" xr:uid="{00000000-0005-0000-0000-0000AF130000}"/>
    <cellStyle name="Normal 102 7 3 2" xfId="16023" xr:uid="{00000000-0005-0000-0000-0000B0130000}"/>
    <cellStyle name="Normal 102 7 3 2 2" xfId="32597" xr:uid="{00000000-0005-0000-0000-0000B1130000}"/>
    <cellStyle name="Normal 102 7 3 3" xfId="24550" xr:uid="{00000000-0005-0000-0000-0000B2130000}"/>
    <cellStyle name="Normal 102 7 4" xfId="12096" xr:uid="{00000000-0005-0000-0000-0000B3130000}"/>
    <cellStyle name="Normal 102 7 4 2" xfId="28620" xr:uid="{00000000-0005-0000-0000-0000B4130000}"/>
    <cellStyle name="Normal 102 7 5" xfId="20577" xr:uid="{00000000-0005-0000-0000-0000B5130000}"/>
    <cellStyle name="Normal 102 8" xfId="2579" xr:uid="{00000000-0005-0000-0000-0000B6130000}"/>
    <cellStyle name="Normal 102 8 2" xfId="6842" xr:uid="{00000000-0005-0000-0000-0000B7130000}"/>
    <cellStyle name="Normal 102 8 2 2" xfId="16024" xr:uid="{00000000-0005-0000-0000-0000B8130000}"/>
    <cellStyle name="Normal 102 8 2 2 2" xfId="32598" xr:uid="{00000000-0005-0000-0000-0000B9130000}"/>
    <cellStyle name="Normal 102 8 2 3" xfId="24551" xr:uid="{00000000-0005-0000-0000-0000BA130000}"/>
    <cellStyle name="Normal 102 8 3" xfId="12098" xr:uid="{00000000-0005-0000-0000-0000BB130000}"/>
    <cellStyle name="Normal 102 8 3 2" xfId="28622" xr:uid="{00000000-0005-0000-0000-0000BC130000}"/>
    <cellStyle name="Normal 102 8 4" xfId="20579" xr:uid="{00000000-0005-0000-0000-0000BD130000}"/>
    <cellStyle name="Normal 102 9" xfId="6843" xr:uid="{00000000-0005-0000-0000-0000BE130000}"/>
    <cellStyle name="Normal 102 9 2" xfId="16025" xr:uid="{00000000-0005-0000-0000-0000BF130000}"/>
    <cellStyle name="Normal 102 9 2 2" xfId="32599" xr:uid="{00000000-0005-0000-0000-0000C0130000}"/>
    <cellStyle name="Normal 102 9 3" xfId="24552" xr:uid="{00000000-0005-0000-0000-0000C1130000}"/>
    <cellStyle name="Normal 103" xfId="2580" xr:uid="{00000000-0005-0000-0000-0000C2130000}"/>
    <cellStyle name="Normal 103 10" xfId="12099" xr:uid="{00000000-0005-0000-0000-0000C3130000}"/>
    <cellStyle name="Normal 103 10 2" xfId="28623" xr:uid="{00000000-0005-0000-0000-0000C4130000}"/>
    <cellStyle name="Normal 103 11" xfId="20580" xr:uid="{00000000-0005-0000-0000-0000C5130000}"/>
    <cellStyle name="Normal 103 2" xfId="2581" xr:uid="{00000000-0005-0000-0000-0000C6130000}"/>
    <cellStyle name="Normal 103 2 2" xfId="2582" xr:uid="{00000000-0005-0000-0000-0000C7130000}"/>
    <cellStyle name="Normal 103 2 3" xfId="12100" xr:uid="{00000000-0005-0000-0000-0000C8130000}"/>
    <cellStyle name="Normal 103 2 3 2" xfId="28624" xr:uid="{00000000-0005-0000-0000-0000C9130000}"/>
    <cellStyle name="Normal 103 2 4" xfId="20581" xr:uid="{00000000-0005-0000-0000-0000CA130000}"/>
    <cellStyle name="Normal 103 3" xfId="2583" xr:uid="{00000000-0005-0000-0000-0000CB130000}"/>
    <cellStyle name="Normal 103 3 2" xfId="2584" xr:uid="{00000000-0005-0000-0000-0000CC130000}"/>
    <cellStyle name="Normal 103 3 2 2" xfId="2585" xr:uid="{00000000-0005-0000-0000-0000CD130000}"/>
    <cellStyle name="Normal 103 3 2 2 2" xfId="2586" xr:uid="{00000000-0005-0000-0000-0000CE130000}"/>
    <cellStyle name="Normal 103 3 2 2 2 2" xfId="6844" xr:uid="{00000000-0005-0000-0000-0000CF130000}"/>
    <cellStyle name="Normal 103 3 2 2 2 2 2" xfId="16026" xr:uid="{00000000-0005-0000-0000-0000D0130000}"/>
    <cellStyle name="Normal 103 3 2 2 2 2 2 2" xfId="32600" xr:uid="{00000000-0005-0000-0000-0000D1130000}"/>
    <cellStyle name="Normal 103 3 2 2 2 2 3" xfId="24553" xr:uid="{00000000-0005-0000-0000-0000D2130000}"/>
    <cellStyle name="Normal 103 3 2 2 2 3" xfId="12103" xr:uid="{00000000-0005-0000-0000-0000D3130000}"/>
    <cellStyle name="Normal 103 3 2 2 2 3 2" xfId="28627" xr:uid="{00000000-0005-0000-0000-0000D4130000}"/>
    <cellStyle name="Normal 103 3 2 2 2 4" xfId="20584" xr:uid="{00000000-0005-0000-0000-0000D5130000}"/>
    <cellStyle name="Normal 103 3 2 2 3" xfId="6845" xr:uid="{00000000-0005-0000-0000-0000D6130000}"/>
    <cellStyle name="Normal 103 3 2 2 3 2" xfId="16027" xr:uid="{00000000-0005-0000-0000-0000D7130000}"/>
    <cellStyle name="Normal 103 3 2 2 3 2 2" xfId="32601" xr:uid="{00000000-0005-0000-0000-0000D8130000}"/>
    <cellStyle name="Normal 103 3 2 2 3 3" xfId="24554" xr:uid="{00000000-0005-0000-0000-0000D9130000}"/>
    <cellStyle name="Normal 103 3 2 2 4" xfId="12102" xr:uid="{00000000-0005-0000-0000-0000DA130000}"/>
    <cellStyle name="Normal 103 3 2 2 4 2" xfId="28626" xr:uid="{00000000-0005-0000-0000-0000DB130000}"/>
    <cellStyle name="Normal 103 3 2 2 5" xfId="20583" xr:uid="{00000000-0005-0000-0000-0000DC130000}"/>
    <cellStyle name="Normal 103 3 2 3" xfId="2587" xr:uid="{00000000-0005-0000-0000-0000DD130000}"/>
    <cellStyle name="Normal 103 3 2 3 2" xfId="6846" xr:uid="{00000000-0005-0000-0000-0000DE130000}"/>
    <cellStyle name="Normal 103 3 2 3 2 2" xfId="16028" xr:uid="{00000000-0005-0000-0000-0000DF130000}"/>
    <cellStyle name="Normal 103 3 2 3 2 2 2" xfId="32602" xr:uid="{00000000-0005-0000-0000-0000E0130000}"/>
    <cellStyle name="Normal 103 3 2 3 2 3" xfId="24555" xr:uid="{00000000-0005-0000-0000-0000E1130000}"/>
    <cellStyle name="Normal 103 3 2 3 3" xfId="12104" xr:uid="{00000000-0005-0000-0000-0000E2130000}"/>
    <cellStyle name="Normal 103 3 2 3 3 2" xfId="28628" xr:uid="{00000000-0005-0000-0000-0000E3130000}"/>
    <cellStyle name="Normal 103 3 2 3 4" xfId="20585" xr:uid="{00000000-0005-0000-0000-0000E4130000}"/>
    <cellStyle name="Normal 103 3 2 4" xfId="6847" xr:uid="{00000000-0005-0000-0000-0000E5130000}"/>
    <cellStyle name="Normal 103 3 2 4 2" xfId="16029" xr:uid="{00000000-0005-0000-0000-0000E6130000}"/>
    <cellStyle name="Normal 103 3 2 4 2 2" xfId="32603" xr:uid="{00000000-0005-0000-0000-0000E7130000}"/>
    <cellStyle name="Normal 103 3 2 4 3" xfId="24556" xr:uid="{00000000-0005-0000-0000-0000E8130000}"/>
    <cellStyle name="Normal 103 3 2 5" xfId="12101" xr:uid="{00000000-0005-0000-0000-0000E9130000}"/>
    <cellStyle name="Normal 103 3 2 5 2" xfId="28625" xr:uid="{00000000-0005-0000-0000-0000EA130000}"/>
    <cellStyle name="Normal 103 3 2 6" xfId="20582" xr:uid="{00000000-0005-0000-0000-0000EB130000}"/>
    <cellStyle name="Normal 103 3 3" xfId="2588" xr:uid="{00000000-0005-0000-0000-0000EC130000}"/>
    <cellStyle name="Normal 103 3 3 2" xfId="2589" xr:uid="{00000000-0005-0000-0000-0000ED130000}"/>
    <cellStyle name="Normal 103 3 3 2 2" xfId="6848" xr:uid="{00000000-0005-0000-0000-0000EE130000}"/>
    <cellStyle name="Normal 103 3 3 2 2 2" xfId="16030" xr:uid="{00000000-0005-0000-0000-0000EF130000}"/>
    <cellStyle name="Normal 103 3 3 2 2 2 2" xfId="32604" xr:uid="{00000000-0005-0000-0000-0000F0130000}"/>
    <cellStyle name="Normal 103 3 3 2 2 3" xfId="24557" xr:uid="{00000000-0005-0000-0000-0000F1130000}"/>
    <cellStyle name="Normal 103 3 3 2 3" xfId="12106" xr:uid="{00000000-0005-0000-0000-0000F2130000}"/>
    <cellStyle name="Normal 103 3 3 2 3 2" xfId="28630" xr:uid="{00000000-0005-0000-0000-0000F3130000}"/>
    <cellStyle name="Normal 103 3 3 2 4" xfId="20587" xr:uid="{00000000-0005-0000-0000-0000F4130000}"/>
    <cellStyle name="Normal 103 3 3 3" xfId="6849" xr:uid="{00000000-0005-0000-0000-0000F5130000}"/>
    <cellStyle name="Normal 103 3 3 3 2" xfId="16031" xr:uid="{00000000-0005-0000-0000-0000F6130000}"/>
    <cellStyle name="Normal 103 3 3 3 2 2" xfId="32605" xr:uid="{00000000-0005-0000-0000-0000F7130000}"/>
    <cellStyle name="Normal 103 3 3 3 3" xfId="24558" xr:uid="{00000000-0005-0000-0000-0000F8130000}"/>
    <cellStyle name="Normal 103 3 3 4" xfId="12105" xr:uid="{00000000-0005-0000-0000-0000F9130000}"/>
    <cellStyle name="Normal 103 3 3 4 2" xfId="28629" xr:uid="{00000000-0005-0000-0000-0000FA130000}"/>
    <cellStyle name="Normal 103 3 3 5" xfId="20586" xr:uid="{00000000-0005-0000-0000-0000FB130000}"/>
    <cellStyle name="Normal 103 3 4" xfId="2590" xr:uid="{00000000-0005-0000-0000-0000FC130000}"/>
    <cellStyle name="Normal 103 3 4 2" xfId="6850" xr:uid="{00000000-0005-0000-0000-0000FD130000}"/>
    <cellStyle name="Normal 103 3 4 2 2" xfId="16032" xr:uid="{00000000-0005-0000-0000-0000FE130000}"/>
    <cellStyle name="Normal 103 3 4 2 2 2" xfId="32606" xr:uid="{00000000-0005-0000-0000-0000FF130000}"/>
    <cellStyle name="Normal 103 3 4 2 3" xfId="24559" xr:uid="{00000000-0005-0000-0000-000000140000}"/>
    <cellStyle name="Normal 103 3 4 3" xfId="12107" xr:uid="{00000000-0005-0000-0000-000001140000}"/>
    <cellStyle name="Normal 103 3 4 3 2" xfId="28631" xr:uid="{00000000-0005-0000-0000-000002140000}"/>
    <cellStyle name="Normal 103 3 4 4" xfId="20588" xr:uid="{00000000-0005-0000-0000-000003140000}"/>
    <cellStyle name="Normal 103 3 5" xfId="2591" xr:uid="{00000000-0005-0000-0000-000004140000}"/>
    <cellStyle name="Normal 103 3 5 2" xfId="12108" xr:uid="{00000000-0005-0000-0000-000005140000}"/>
    <cellStyle name="Normal 103 3 5 2 2" xfId="28632" xr:uid="{00000000-0005-0000-0000-000006140000}"/>
    <cellStyle name="Normal 103 3 5 3" xfId="20589" xr:uid="{00000000-0005-0000-0000-000007140000}"/>
    <cellStyle name="Normal 103 4" xfId="2592" xr:uid="{00000000-0005-0000-0000-000008140000}"/>
    <cellStyle name="Normal 103 4 2" xfId="2593" xr:uid="{00000000-0005-0000-0000-000009140000}"/>
    <cellStyle name="Normal 103 4 2 2" xfId="2594" xr:uid="{00000000-0005-0000-0000-00000A140000}"/>
    <cellStyle name="Normal 103 4 2 2 2" xfId="2595" xr:uid="{00000000-0005-0000-0000-00000B140000}"/>
    <cellStyle name="Normal 103 4 2 2 2 2" xfId="6851" xr:uid="{00000000-0005-0000-0000-00000C140000}"/>
    <cellStyle name="Normal 103 4 2 2 2 2 2" xfId="16033" xr:uid="{00000000-0005-0000-0000-00000D140000}"/>
    <cellStyle name="Normal 103 4 2 2 2 2 2 2" xfId="32607" xr:uid="{00000000-0005-0000-0000-00000E140000}"/>
    <cellStyle name="Normal 103 4 2 2 2 2 3" xfId="24560" xr:uid="{00000000-0005-0000-0000-00000F140000}"/>
    <cellStyle name="Normal 103 4 2 2 2 3" xfId="12112" xr:uid="{00000000-0005-0000-0000-000010140000}"/>
    <cellStyle name="Normal 103 4 2 2 2 3 2" xfId="28636" xr:uid="{00000000-0005-0000-0000-000011140000}"/>
    <cellStyle name="Normal 103 4 2 2 2 4" xfId="20593" xr:uid="{00000000-0005-0000-0000-000012140000}"/>
    <cellStyle name="Normal 103 4 2 2 3" xfId="6852" xr:uid="{00000000-0005-0000-0000-000013140000}"/>
    <cellStyle name="Normal 103 4 2 2 3 2" xfId="16034" xr:uid="{00000000-0005-0000-0000-000014140000}"/>
    <cellStyle name="Normal 103 4 2 2 3 2 2" xfId="32608" xr:uid="{00000000-0005-0000-0000-000015140000}"/>
    <cellStyle name="Normal 103 4 2 2 3 3" xfId="24561" xr:uid="{00000000-0005-0000-0000-000016140000}"/>
    <cellStyle name="Normal 103 4 2 2 4" xfId="12111" xr:uid="{00000000-0005-0000-0000-000017140000}"/>
    <cellStyle name="Normal 103 4 2 2 4 2" xfId="28635" xr:uid="{00000000-0005-0000-0000-000018140000}"/>
    <cellStyle name="Normal 103 4 2 2 5" xfId="20592" xr:uid="{00000000-0005-0000-0000-000019140000}"/>
    <cellStyle name="Normal 103 4 2 3" xfId="2596" xr:uid="{00000000-0005-0000-0000-00001A140000}"/>
    <cellStyle name="Normal 103 4 2 3 2" xfId="6853" xr:uid="{00000000-0005-0000-0000-00001B140000}"/>
    <cellStyle name="Normal 103 4 2 3 2 2" xfId="16035" xr:uid="{00000000-0005-0000-0000-00001C140000}"/>
    <cellStyle name="Normal 103 4 2 3 2 2 2" xfId="32609" xr:uid="{00000000-0005-0000-0000-00001D140000}"/>
    <cellStyle name="Normal 103 4 2 3 2 3" xfId="24562" xr:uid="{00000000-0005-0000-0000-00001E140000}"/>
    <cellStyle name="Normal 103 4 2 3 3" xfId="12113" xr:uid="{00000000-0005-0000-0000-00001F140000}"/>
    <cellStyle name="Normal 103 4 2 3 3 2" xfId="28637" xr:uid="{00000000-0005-0000-0000-000020140000}"/>
    <cellStyle name="Normal 103 4 2 3 4" xfId="20594" xr:uid="{00000000-0005-0000-0000-000021140000}"/>
    <cellStyle name="Normal 103 4 2 4" xfId="6854" xr:uid="{00000000-0005-0000-0000-000022140000}"/>
    <cellStyle name="Normal 103 4 2 4 2" xfId="16036" xr:uid="{00000000-0005-0000-0000-000023140000}"/>
    <cellStyle name="Normal 103 4 2 4 2 2" xfId="32610" xr:uid="{00000000-0005-0000-0000-000024140000}"/>
    <cellStyle name="Normal 103 4 2 4 3" xfId="24563" xr:uid="{00000000-0005-0000-0000-000025140000}"/>
    <cellStyle name="Normal 103 4 2 5" xfId="12110" xr:uid="{00000000-0005-0000-0000-000026140000}"/>
    <cellStyle name="Normal 103 4 2 5 2" xfId="28634" xr:uid="{00000000-0005-0000-0000-000027140000}"/>
    <cellStyle name="Normal 103 4 2 6" xfId="20591" xr:uid="{00000000-0005-0000-0000-000028140000}"/>
    <cellStyle name="Normal 103 4 3" xfId="2597" xr:uid="{00000000-0005-0000-0000-000029140000}"/>
    <cellStyle name="Normal 103 4 3 2" xfId="2598" xr:uid="{00000000-0005-0000-0000-00002A140000}"/>
    <cellStyle name="Normal 103 4 3 2 2" xfId="6855" xr:uid="{00000000-0005-0000-0000-00002B140000}"/>
    <cellStyle name="Normal 103 4 3 2 2 2" xfId="16037" xr:uid="{00000000-0005-0000-0000-00002C140000}"/>
    <cellStyle name="Normal 103 4 3 2 2 2 2" xfId="32611" xr:uid="{00000000-0005-0000-0000-00002D140000}"/>
    <cellStyle name="Normal 103 4 3 2 2 3" xfId="24564" xr:uid="{00000000-0005-0000-0000-00002E140000}"/>
    <cellStyle name="Normal 103 4 3 2 3" xfId="12115" xr:uid="{00000000-0005-0000-0000-00002F140000}"/>
    <cellStyle name="Normal 103 4 3 2 3 2" xfId="28639" xr:uid="{00000000-0005-0000-0000-000030140000}"/>
    <cellStyle name="Normal 103 4 3 2 4" xfId="20596" xr:uid="{00000000-0005-0000-0000-000031140000}"/>
    <cellStyle name="Normal 103 4 3 3" xfId="6856" xr:uid="{00000000-0005-0000-0000-000032140000}"/>
    <cellStyle name="Normal 103 4 3 3 2" xfId="16038" xr:uid="{00000000-0005-0000-0000-000033140000}"/>
    <cellStyle name="Normal 103 4 3 3 2 2" xfId="32612" xr:uid="{00000000-0005-0000-0000-000034140000}"/>
    <cellStyle name="Normal 103 4 3 3 3" xfId="24565" xr:uid="{00000000-0005-0000-0000-000035140000}"/>
    <cellStyle name="Normal 103 4 3 4" xfId="12114" xr:uid="{00000000-0005-0000-0000-000036140000}"/>
    <cellStyle name="Normal 103 4 3 4 2" xfId="28638" xr:uid="{00000000-0005-0000-0000-000037140000}"/>
    <cellStyle name="Normal 103 4 3 5" xfId="20595" xr:uid="{00000000-0005-0000-0000-000038140000}"/>
    <cellStyle name="Normal 103 4 4" xfId="2599" xr:uid="{00000000-0005-0000-0000-000039140000}"/>
    <cellStyle name="Normal 103 4 4 2" xfId="6857" xr:uid="{00000000-0005-0000-0000-00003A140000}"/>
    <cellStyle name="Normal 103 4 4 2 2" xfId="16039" xr:uid="{00000000-0005-0000-0000-00003B140000}"/>
    <cellStyle name="Normal 103 4 4 2 2 2" xfId="32613" xr:uid="{00000000-0005-0000-0000-00003C140000}"/>
    <cellStyle name="Normal 103 4 4 2 3" xfId="24566" xr:uid="{00000000-0005-0000-0000-00003D140000}"/>
    <cellStyle name="Normal 103 4 4 3" xfId="12116" xr:uid="{00000000-0005-0000-0000-00003E140000}"/>
    <cellStyle name="Normal 103 4 4 3 2" xfId="28640" xr:uid="{00000000-0005-0000-0000-00003F140000}"/>
    <cellStyle name="Normal 103 4 4 4" xfId="20597" xr:uid="{00000000-0005-0000-0000-000040140000}"/>
    <cellStyle name="Normal 103 4 5" xfId="6858" xr:uid="{00000000-0005-0000-0000-000041140000}"/>
    <cellStyle name="Normal 103 4 5 2" xfId="16040" xr:uid="{00000000-0005-0000-0000-000042140000}"/>
    <cellStyle name="Normal 103 4 5 2 2" xfId="32614" xr:uid="{00000000-0005-0000-0000-000043140000}"/>
    <cellStyle name="Normal 103 4 5 3" xfId="24567" xr:uid="{00000000-0005-0000-0000-000044140000}"/>
    <cellStyle name="Normal 103 4 6" xfId="12109" xr:uid="{00000000-0005-0000-0000-000045140000}"/>
    <cellStyle name="Normal 103 4 6 2" xfId="28633" xr:uid="{00000000-0005-0000-0000-000046140000}"/>
    <cellStyle name="Normal 103 4 7" xfId="20590" xr:uid="{00000000-0005-0000-0000-000047140000}"/>
    <cellStyle name="Normal 103 5" xfId="2600" xr:uid="{00000000-0005-0000-0000-000048140000}"/>
    <cellStyle name="Normal 103 5 2" xfId="2601" xr:uid="{00000000-0005-0000-0000-000049140000}"/>
    <cellStyle name="Normal 103 5 2 2" xfId="2602" xr:uid="{00000000-0005-0000-0000-00004A140000}"/>
    <cellStyle name="Normal 103 5 2 2 2" xfId="2603" xr:uid="{00000000-0005-0000-0000-00004B140000}"/>
    <cellStyle name="Normal 103 5 2 2 2 2" xfId="6859" xr:uid="{00000000-0005-0000-0000-00004C140000}"/>
    <cellStyle name="Normal 103 5 2 2 2 2 2" xfId="16041" xr:uid="{00000000-0005-0000-0000-00004D140000}"/>
    <cellStyle name="Normal 103 5 2 2 2 2 2 2" xfId="32615" xr:uid="{00000000-0005-0000-0000-00004E140000}"/>
    <cellStyle name="Normal 103 5 2 2 2 2 3" xfId="24568" xr:uid="{00000000-0005-0000-0000-00004F140000}"/>
    <cellStyle name="Normal 103 5 2 2 2 3" xfId="12120" xr:uid="{00000000-0005-0000-0000-000050140000}"/>
    <cellStyle name="Normal 103 5 2 2 2 3 2" xfId="28644" xr:uid="{00000000-0005-0000-0000-000051140000}"/>
    <cellStyle name="Normal 103 5 2 2 2 4" xfId="20601" xr:uid="{00000000-0005-0000-0000-000052140000}"/>
    <cellStyle name="Normal 103 5 2 2 3" xfId="6860" xr:uid="{00000000-0005-0000-0000-000053140000}"/>
    <cellStyle name="Normal 103 5 2 2 3 2" xfId="16042" xr:uid="{00000000-0005-0000-0000-000054140000}"/>
    <cellStyle name="Normal 103 5 2 2 3 2 2" xfId="32616" xr:uid="{00000000-0005-0000-0000-000055140000}"/>
    <cellStyle name="Normal 103 5 2 2 3 3" xfId="24569" xr:uid="{00000000-0005-0000-0000-000056140000}"/>
    <cellStyle name="Normal 103 5 2 2 4" xfId="12119" xr:uid="{00000000-0005-0000-0000-000057140000}"/>
    <cellStyle name="Normal 103 5 2 2 4 2" xfId="28643" xr:uid="{00000000-0005-0000-0000-000058140000}"/>
    <cellStyle name="Normal 103 5 2 2 5" xfId="20600" xr:uid="{00000000-0005-0000-0000-000059140000}"/>
    <cellStyle name="Normal 103 5 2 3" xfId="2604" xr:uid="{00000000-0005-0000-0000-00005A140000}"/>
    <cellStyle name="Normal 103 5 2 3 2" xfId="6861" xr:uid="{00000000-0005-0000-0000-00005B140000}"/>
    <cellStyle name="Normal 103 5 2 3 2 2" xfId="16043" xr:uid="{00000000-0005-0000-0000-00005C140000}"/>
    <cellStyle name="Normal 103 5 2 3 2 2 2" xfId="32617" xr:uid="{00000000-0005-0000-0000-00005D140000}"/>
    <cellStyle name="Normal 103 5 2 3 2 3" xfId="24570" xr:uid="{00000000-0005-0000-0000-00005E140000}"/>
    <cellStyle name="Normal 103 5 2 3 3" xfId="12121" xr:uid="{00000000-0005-0000-0000-00005F140000}"/>
    <cellStyle name="Normal 103 5 2 3 3 2" xfId="28645" xr:uid="{00000000-0005-0000-0000-000060140000}"/>
    <cellStyle name="Normal 103 5 2 3 4" xfId="20602" xr:uid="{00000000-0005-0000-0000-000061140000}"/>
    <cellStyle name="Normal 103 5 2 4" xfId="6862" xr:uid="{00000000-0005-0000-0000-000062140000}"/>
    <cellStyle name="Normal 103 5 2 4 2" xfId="16044" xr:uid="{00000000-0005-0000-0000-000063140000}"/>
    <cellStyle name="Normal 103 5 2 4 2 2" xfId="32618" xr:uid="{00000000-0005-0000-0000-000064140000}"/>
    <cellStyle name="Normal 103 5 2 4 3" xfId="24571" xr:uid="{00000000-0005-0000-0000-000065140000}"/>
    <cellStyle name="Normal 103 5 2 5" xfId="12118" xr:uid="{00000000-0005-0000-0000-000066140000}"/>
    <cellStyle name="Normal 103 5 2 5 2" xfId="28642" xr:uid="{00000000-0005-0000-0000-000067140000}"/>
    <cellStyle name="Normal 103 5 2 6" xfId="20599" xr:uid="{00000000-0005-0000-0000-000068140000}"/>
    <cellStyle name="Normal 103 5 3" xfId="2605" xr:uid="{00000000-0005-0000-0000-000069140000}"/>
    <cellStyle name="Normal 103 5 3 2" xfId="2606" xr:uid="{00000000-0005-0000-0000-00006A140000}"/>
    <cellStyle name="Normal 103 5 3 2 2" xfId="6863" xr:uid="{00000000-0005-0000-0000-00006B140000}"/>
    <cellStyle name="Normal 103 5 3 2 2 2" xfId="16045" xr:uid="{00000000-0005-0000-0000-00006C140000}"/>
    <cellStyle name="Normal 103 5 3 2 2 2 2" xfId="32619" xr:uid="{00000000-0005-0000-0000-00006D140000}"/>
    <cellStyle name="Normal 103 5 3 2 2 3" xfId="24572" xr:uid="{00000000-0005-0000-0000-00006E140000}"/>
    <cellStyle name="Normal 103 5 3 2 3" xfId="12123" xr:uid="{00000000-0005-0000-0000-00006F140000}"/>
    <cellStyle name="Normal 103 5 3 2 3 2" xfId="28647" xr:uid="{00000000-0005-0000-0000-000070140000}"/>
    <cellStyle name="Normal 103 5 3 2 4" xfId="20604" xr:uid="{00000000-0005-0000-0000-000071140000}"/>
    <cellStyle name="Normal 103 5 3 3" xfId="6864" xr:uid="{00000000-0005-0000-0000-000072140000}"/>
    <cellStyle name="Normal 103 5 3 3 2" xfId="16046" xr:uid="{00000000-0005-0000-0000-000073140000}"/>
    <cellStyle name="Normal 103 5 3 3 2 2" xfId="32620" xr:uid="{00000000-0005-0000-0000-000074140000}"/>
    <cellStyle name="Normal 103 5 3 3 3" xfId="24573" xr:uid="{00000000-0005-0000-0000-000075140000}"/>
    <cellStyle name="Normal 103 5 3 4" xfId="12122" xr:uid="{00000000-0005-0000-0000-000076140000}"/>
    <cellStyle name="Normal 103 5 3 4 2" xfId="28646" xr:uid="{00000000-0005-0000-0000-000077140000}"/>
    <cellStyle name="Normal 103 5 3 5" xfId="20603" xr:uid="{00000000-0005-0000-0000-000078140000}"/>
    <cellStyle name="Normal 103 5 4" xfId="2607" xr:uid="{00000000-0005-0000-0000-000079140000}"/>
    <cellStyle name="Normal 103 5 4 2" xfId="6865" xr:uid="{00000000-0005-0000-0000-00007A140000}"/>
    <cellStyle name="Normal 103 5 4 2 2" xfId="16047" xr:uid="{00000000-0005-0000-0000-00007B140000}"/>
    <cellStyle name="Normal 103 5 4 2 2 2" xfId="32621" xr:uid="{00000000-0005-0000-0000-00007C140000}"/>
    <cellStyle name="Normal 103 5 4 2 3" xfId="24574" xr:uid="{00000000-0005-0000-0000-00007D140000}"/>
    <cellStyle name="Normal 103 5 4 3" xfId="12124" xr:uid="{00000000-0005-0000-0000-00007E140000}"/>
    <cellStyle name="Normal 103 5 4 3 2" xfId="28648" xr:uid="{00000000-0005-0000-0000-00007F140000}"/>
    <cellStyle name="Normal 103 5 4 4" xfId="20605" xr:uid="{00000000-0005-0000-0000-000080140000}"/>
    <cellStyle name="Normal 103 5 5" xfId="6866" xr:uid="{00000000-0005-0000-0000-000081140000}"/>
    <cellStyle name="Normal 103 5 5 2" xfId="16048" xr:uid="{00000000-0005-0000-0000-000082140000}"/>
    <cellStyle name="Normal 103 5 5 2 2" xfId="32622" xr:uid="{00000000-0005-0000-0000-000083140000}"/>
    <cellStyle name="Normal 103 5 5 3" xfId="24575" xr:uid="{00000000-0005-0000-0000-000084140000}"/>
    <cellStyle name="Normal 103 5 6" xfId="12117" xr:uid="{00000000-0005-0000-0000-000085140000}"/>
    <cellStyle name="Normal 103 5 6 2" xfId="28641" xr:uid="{00000000-0005-0000-0000-000086140000}"/>
    <cellStyle name="Normal 103 5 7" xfId="20598" xr:uid="{00000000-0005-0000-0000-000087140000}"/>
    <cellStyle name="Normal 103 6" xfId="2608" xr:uid="{00000000-0005-0000-0000-000088140000}"/>
    <cellStyle name="Normal 103 6 2" xfId="2609" xr:uid="{00000000-0005-0000-0000-000089140000}"/>
    <cellStyle name="Normal 103 6 2 2" xfId="2610" xr:uid="{00000000-0005-0000-0000-00008A140000}"/>
    <cellStyle name="Normal 103 6 2 2 2" xfId="6867" xr:uid="{00000000-0005-0000-0000-00008B140000}"/>
    <cellStyle name="Normal 103 6 2 2 2 2" xfId="16049" xr:uid="{00000000-0005-0000-0000-00008C140000}"/>
    <cellStyle name="Normal 103 6 2 2 2 2 2" xfId="32623" xr:uid="{00000000-0005-0000-0000-00008D140000}"/>
    <cellStyle name="Normal 103 6 2 2 2 3" xfId="24576" xr:uid="{00000000-0005-0000-0000-00008E140000}"/>
    <cellStyle name="Normal 103 6 2 2 3" xfId="12127" xr:uid="{00000000-0005-0000-0000-00008F140000}"/>
    <cellStyle name="Normal 103 6 2 2 3 2" xfId="28651" xr:uid="{00000000-0005-0000-0000-000090140000}"/>
    <cellStyle name="Normal 103 6 2 2 4" xfId="20608" xr:uid="{00000000-0005-0000-0000-000091140000}"/>
    <cellStyle name="Normal 103 6 2 3" xfId="6868" xr:uid="{00000000-0005-0000-0000-000092140000}"/>
    <cellStyle name="Normal 103 6 2 3 2" xfId="16050" xr:uid="{00000000-0005-0000-0000-000093140000}"/>
    <cellStyle name="Normal 103 6 2 3 2 2" xfId="32624" xr:uid="{00000000-0005-0000-0000-000094140000}"/>
    <cellStyle name="Normal 103 6 2 3 3" xfId="24577" xr:uid="{00000000-0005-0000-0000-000095140000}"/>
    <cellStyle name="Normal 103 6 2 4" xfId="12126" xr:uid="{00000000-0005-0000-0000-000096140000}"/>
    <cellStyle name="Normal 103 6 2 4 2" xfId="28650" xr:uid="{00000000-0005-0000-0000-000097140000}"/>
    <cellStyle name="Normal 103 6 2 5" xfId="20607" xr:uid="{00000000-0005-0000-0000-000098140000}"/>
    <cellStyle name="Normal 103 6 3" xfId="2611" xr:uid="{00000000-0005-0000-0000-000099140000}"/>
    <cellStyle name="Normal 103 6 3 2" xfId="6869" xr:uid="{00000000-0005-0000-0000-00009A140000}"/>
    <cellStyle name="Normal 103 6 3 2 2" xfId="16051" xr:uid="{00000000-0005-0000-0000-00009B140000}"/>
    <cellStyle name="Normal 103 6 3 2 2 2" xfId="32625" xr:uid="{00000000-0005-0000-0000-00009C140000}"/>
    <cellStyle name="Normal 103 6 3 2 3" xfId="24578" xr:uid="{00000000-0005-0000-0000-00009D140000}"/>
    <cellStyle name="Normal 103 6 3 3" xfId="12128" xr:uid="{00000000-0005-0000-0000-00009E140000}"/>
    <cellStyle name="Normal 103 6 3 3 2" xfId="28652" xr:uid="{00000000-0005-0000-0000-00009F140000}"/>
    <cellStyle name="Normal 103 6 3 4" xfId="20609" xr:uid="{00000000-0005-0000-0000-0000A0140000}"/>
    <cellStyle name="Normal 103 6 4" xfId="6870" xr:uid="{00000000-0005-0000-0000-0000A1140000}"/>
    <cellStyle name="Normal 103 6 4 2" xfId="16052" xr:uid="{00000000-0005-0000-0000-0000A2140000}"/>
    <cellStyle name="Normal 103 6 4 2 2" xfId="32626" xr:uid="{00000000-0005-0000-0000-0000A3140000}"/>
    <cellStyle name="Normal 103 6 4 3" xfId="24579" xr:uid="{00000000-0005-0000-0000-0000A4140000}"/>
    <cellStyle name="Normal 103 6 5" xfId="12125" xr:uid="{00000000-0005-0000-0000-0000A5140000}"/>
    <cellStyle name="Normal 103 6 5 2" xfId="28649" xr:uid="{00000000-0005-0000-0000-0000A6140000}"/>
    <cellStyle name="Normal 103 6 6" xfId="20606" xr:uid="{00000000-0005-0000-0000-0000A7140000}"/>
    <cellStyle name="Normal 103 7" xfId="2612" xr:uid="{00000000-0005-0000-0000-0000A8140000}"/>
    <cellStyle name="Normal 103 7 2" xfId="2613" xr:uid="{00000000-0005-0000-0000-0000A9140000}"/>
    <cellStyle name="Normal 103 7 2 2" xfId="6871" xr:uid="{00000000-0005-0000-0000-0000AA140000}"/>
    <cellStyle name="Normal 103 7 2 2 2" xfId="16053" xr:uid="{00000000-0005-0000-0000-0000AB140000}"/>
    <cellStyle name="Normal 103 7 2 2 2 2" xfId="32627" xr:uid="{00000000-0005-0000-0000-0000AC140000}"/>
    <cellStyle name="Normal 103 7 2 2 3" xfId="24580" xr:uid="{00000000-0005-0000-0000-0000AD140000}"/>
    <cellStyle name="Normal 103 7 2 3" xfId="12130" xr:uid="{00000000-0005-0000-0000-0000AE140000}"/>
    <cellStyle name="Normal 103 7 2 3 2" xfId="28654" xr:uid="{00000000-0005-0000-0000-0000AF140000}"/>
    <cellStyle name="Normal 103 7 2 4" xfId="20611" xr:uid="{00000000-0005-0000-0000-0000B0140000}"/>
    <cellStyle name="Normal 103 7 3" xfId="6872" xr:uid="{00000000-0005-0000-0000-0000B1140000}"/>
    <cellStyle name="Normal 103 7 3 2" xfId="16054" xr:uid="{00000000-0005-0000-0000-0000B2140000}"/>
    <cellStyle name="Normal 103 7 3 2 2" xfId="32628" xr:uid="{00000000-0005-0000-0000-0000B3140000}"/>
    <cellStyle name="Normal 103 7 3 3" xfId="24581" xr:uid="{00000000-0005-0000-0000-0000B4140000}"/>
    <cellStyle name="Normal 103 7 4" xfId="12129" xr:uid="{00000000-0005-0000-0000-0000B5140000}"/>
    <cellStyle name="Normal 103 7 4 2" xfId="28653" xr:uid="{00000000-0005-0000-0000-0000B6140000}"/>
    <cellStyle name="Normal 103 7 5" xfId="20610" xr:uid="{00000000-0005-0000-0000-0000B7140000}"/>
    <cellStyle name="Normal 103 8" xfId="2614" xr:uid="{00000000-0005-0000-0000-0000B8140000}"/>
    <cellStyle name="Normal 103 8 2" xfId="6873" xr:uid="{00000000-0005-0000-0000-0000B9140000}"/>
    <cellStyle name="Normal 103 8 2 2" xfId="16055" xr:uid="{00000000-0005-0000-0000-0000BA140000}"/>
    <cellStyle name="Normal 103 8 2 2 2" xfId="32629" xr:uid="{00000000-0005-0000-0000-0000BB140000}"/>
    <cellStyle name="Normal 103 8 2 3" xfId="24582" xr:uid="{00000000-0005-0000-0000-0000BC140000}"/>
    <cellStyle name="Normal 103 8 3" xfId="12131" xr:uid="{00000000-0005-0000-0000-0000BD140000}"/>
    <cellStyle name="Normal 103 8 3 2" xfId="28655" xr:uid="{00000000-0005-0000-0000-0000BE140000}"/>
    <cellStyle name="Normal 103 8 4" xfId="20612" xr:uid="{00000000-0005-0000-0000-0000BF140000}"/>
    <cellStyle name="Normal 103 9" xfId="6874" xr:uid="{00000000-0005-0000-0000-0000C0140000}"/>
    <cellStyle name="Normal 103 9 2" xfId="16056" xr:uid="{00000000-0005-0000-0000-0000C1140000}"/>
    <cellStyle name="Normal 103 9 2 2" xfId="32630" xr:uid="{00000000-0005-0000-0000-0000C2140000}"/>
    <cellStyle name="Normal 103 9 3" xfId="24583" xr:uid="{00000000-0005-0000-0000-0000C3140000}"/>
    <cellStyle name="Normal 104" xfId="2615" xr:uid="{00000000-0005-0000-0000-0000C4140000}"/>
    <cellStyle name="Normal 104 2" xfId="6875" xr:uid="{00000000-0005-0000-0000-0000C5140000}"/>
    <cellStyle name="Normal 105" xfId="2616" xr:uid="{00000000-0005-0000-0000-0000C6140000}"/>
    <cellStyle name="Normal 105 10" xfId="12132" xr:uid="{00000000-0005-0000-0000-0000C7140000}"/>
    <cellStyle name="Normal 105 10 2" xfId="28656" xr:uid="{00000000-0005-0000-0000-0000C8140000}"/>
    <cellStyle name="Normal 105 11" xfId="20613" xr:uid="{00000000-0005-0000-0000-0000C9140000}"/>
    <cellStyle name="Normal 105 2" xfId="2617" xr:uid="{00000000-0005-0000-0000-0000CA140000}"/>
    <cellStyle name="Normal 105 2 2" xfId="2618" xr:uid="{00000000-0005-0000-0000-0000CB140000}"/>
    <cellStyle name="Normal 105 2 3" xfId="12133" xr:uid="{00000000-0005-0000-0000-0000CC140000}"/>
    <cellStyle name="Normal 105 2 3 2" xfId="28657" xr:uid="{00000000-0005-0000-0000-0000CD140000}"/>
    <cellStyle name="Normal 105 2 4" xfId="20614" xr:uid="{00000000-0005-0000-0000-0000CE140000}"/>
    <cellStyle name="Normal 105 3" xfId="2619" xr:uid="{00000000-0005-0000-0000-0000CF140000}"/>
    <cellStyle name="Normal 105 3 2" xfId="2620" xr:uid="{00000000-0005-0000-0000-0000D0140000}"/>
    <cellStyle name="Normal 105 3 2 2" xfId="2621" xr:uid="{00000000-0005-0000-0000-0000D1140000}"/>
    <cellStyle name="Normal 105 3 2 2 2" xfId="2622" xr:uid="{00000000-0005-0000-0000-0000D2140000}"/>
    <cellStyle name="Normal 105 3 2 2 2 2" xfId="6876" xr:uid="{00000000-0005-0000-0000-0000D3140000}"/>
    <cellStyle name="Normal 105 3 2 2 2 2 2" xfId="16057" xr:uid="{00000000-0005-0000-0000-0000D4140000}"/>
    <cellStyle name="Normal 105 3 2 2 2 2 2 2" xfId="32631" xr:uid="{00000000-0005-0000-0000-0000D5140000}"/>
    <cellStyle name="Normal 105 3 2 2 2 2 3" xfId="24584" xr:uid="{00000000-0005-0000-0000-0000D6140000}"/>
    <cellStyle name="Normal 105 3 2 2 2 3" xfId="12136" xr:uid="{00000000-0005-0000-0000-0000D7140000}"/>
    <cellStyle name="Normal 105 3 2 2 2 3 2" xfId="28660" xr:uid="{00000000-0005-0000-0000-0000D8140000}"/>
    <cellStyle name="Normal 105 3 2 2 2 4" xfId="20617" xr:uid="{00000000-0005-0000-0000-0000D9140000}"/>
    <cellStyle name="Normal 105 3 2 2 3" xfId="6877" xr:uid="{00000000-0005-0000-0000-0000DA140000}"/>
    <cellStyle name="Normal 105 3 2 2 3 2" xfId="16058" xr:uid="{00000000-0005-0000-0000-0000DB140000}"/>
    <cellStyle name="Normal 105 3 2 2 3 2 2" xfId="32632" xr:uid="{00000000-0005-0000-0000-0000DC140000}"/>
    <cellStyle name="Normal 105 3 2 2 3 3" xfId="24585" xr:uid="{00000000-0005-0000-0000-0000DD140000}"/>
    <cellStyle name="Normal 105 3 2 2 4" xfId="12135" xr:uid="{00000000-0005-0000-0000-0000DE140000}"/>
    <cellStyle name="Normal 105 3 2 2 4 2" xfId="28659" xr:uid="{00000000-0005-0000-0000-0000DF140000}"/>
    <cellStyle name="Normal 105 3 2 2 5" xfId="20616" xr:uid="{00000000-0005-0000-0000-0000E0140000}"/>
    <cellStyle name="Normal 105 3 2 3" xfId="2623" xr:uid="{00000000-0005-0000-0000-0000E1140000}"/>
    <cellStyle name="Normal 105 3 2 3 2" xfId="6878" xr:uid="{00000000-0005-0000-0000-0000E2140000}"/>
    <cellStyle name="Normal 105 3 2 3 2 2" xfId="16059" xr:uid="{00000000-0005-0000-0000-0000E3140000}"/>
    <cellStyle name="Normal 105 3 2 3 2 2 2" xfId="32633" xr:uid="{00000000-0005-0000-0000-0000E4140000}"/>
    <cellStyle name="Normal 105 3 2 3 2 3" xfId="24586" xr:uid="{00000000-0005-0000-0000-0000E5140000}"/>
    <cellStyle name="Normal 105 3 2 3 3" xfId="12137" xr:uid="{00000000-0005-0000-0000-0000E6140000}"/>
    <cellStyle name="Normal 105 3 2 3 3 2" xfId="28661" xr:uid="{00000000-0005-0000-0000-0000E7140000}"/>
    <cellStyle name="Normal 105 3 2 3 4" xfId="20618" xr:uid="{00000000-0005-0000-0000-0000E8140000}"/>
    <cellStyle name="Normal 105 3 2 4" xfId="6879" xr:uid="{00000000-0005-0000-0000-0000E9140000}"/>
    <cellStyle name="Normal 105 3 2 4 2" xfId="16060" xr:uid="{00000000-0005-0000-0000-0000EA140000}"/>
    <cellStyle name="Normal 105 3 2 4 2 2" xfId="32634" xr:uid="{00000000-0005-0000-0000-0000EB140000}"/>
    <cellStyle name="Normal 105 3 2 4 3" xfId="24587" xr:uid="{00000000-0005-0000-0000-0000EC140000}"/>
    <cellStyle name="Normal 105 3 2 5" xfId="12134" xr:uid="{00000000-0005-0000-0000-0000ED140000}"/>
    <cellStyle name="Normal 105 3 2 5 2" xfId="28658" xr:uid="{00000000-0005-0000-0000-0000EE140000}"/>
    <cellStyle name="Normal 105 3 2 6" xfId="20615" xr:uid="{00000000-0005-0000-0000-0000EF140000}"/>
    <cellStyle name="Normal 105 3 3" xfId="2624" xr:uid="{00000000-0005-0000-0000-0000F0140000}"/>
    <cellStyle name="Normal 105 3 3 2" xfId="2625" xr:uid="{00000000-0005-0000-0000-0000F1140000}"/>
    <cellStyle name="Normal 105 3 3 2 2" xfId="6880" xr:uid="{00000000-0005-0000-0000-0000F2140000}"/>
    <cellStyle name="Normal 105 3 3 2 2 2" xfId="16061" xr:uid="{00000000-0005-0000-0000-0000F3140000}"/>
    <cellStyle name="Normal 105 3 3 2 2 2 2" xfId="32635" xr:uid="{00000000-0005-0000-0000-0000F4140000}"/>
    <cellStyle name="Normal 105 3 3 2 2 3" xfId="24588" xr:uid="{00000000-0005-0000-0000-0000F5140000}"/>
    <cellStyle name="Normal 105 3 3 2 3" xfId="12139" xr:uid="{00000000-0005-0000-0000-0000F6140000}"/>
    <cellStyle name="Normal 105 3 3 2 3 2" xfId="28663" xr:uid="{00000000-0005-0000-0000-0000F7140000}"/>
    <cellStyle name="Normal 105 3 3 2 4" xfId="20620" xr:uid="{00000000-0005-0000-0000-0000F8140000}"/>
    <cellStyle name="Normal 105 3 3 3" xfId="6881" xr:uid="{00000000-0005-0000-0000-0000F9140000}"/>
    <cellStyle name="Normal 105 3 3 3 2" xfId="16062" xr:uid="{00000000-0005-0000-0000-0000FA140000}"/>
    <cellStyle name="Normal 105 3 3 3 2 2" xfId="32636" xr:uid="{00000000-0005-0000-0000-0000FB140000}"/>
    <cellStyle name="Normal 105 3 3 3 3" xfId="24589" xr:uid="{00000000-0005-0000-0000-0000FC140000}"/>
    <cellStyle name="Normal 105 3 3 4" xfId="12138" xr:uid="{00000000-0005-0000-0000-0000FD140000}"/>
    <cellStyle name="Normal 105 3 3 4 2" xfId="28662" xr:uid="{00000000-0005-0000-0000-0000FE140000}"/>
    <cellStyle name="Normal 105 3 3 5" xfId="20619" xr:uid="{00000000-0005-0000-0000-0000FF140000}"/>
    <cellStyle name="Normal 105 3 4" xfId="2626" xr:uid="{00000000-0005-0000-0000-000000150000}"/>
    <cellStyle name="Normal 105 3 4 2" xfId="6882" xr:uid="{00000000-0005-0000-0000-000001150000}"/>
    <cellStyle name="Normal 105 3 4 2 2" xfId="16063" xr:uid="{00000000-0005-0000-0000-000002150000}"/>
    <cellStyle name="Normal 105 3 4 2 2 2" xfId="32637" xr:uid="{00000000-0005-0000-0000-000003150000}"/>
    <cellStyle name="Normal 105 3 4 2 3" xfId="24590" xr:uid="{00000000-0005-0000-0000-000004150000}"/>
    <cellStyle name="Normal 105 3 4 3" xfId="12140" xr:uid="{00000000-0005-0000-0000-000005150000}"/>
    <cellStyle name="Normal 105 3 4 3 2" xfId="28664" xr:uid="{00000000-0005-0000-0000-000006150000}"/>
    <cellStyle name="Normal 105 3 4 4" xfId="20621" xr:uid="{00000000-0005-0000-0000-000007150000}"/>
    <cellStyle name="Normal 105 3 5" xfId="2627" xr:uid="{00000000-0005-0000-0000-000008150000}"/>
    <cellStyle name="Normal 105 3 5 2" xfId="12141" xr:uid="{00000000-0005-0000-0000-000009150000}"/>
    <cellStyle name="Normal 105 3 5 2 2" xfId="28665" xr:uid="{00000000-0005-0000-0000-00000A150000}"/>
    <cellStyle name="Normal 105 3 5 3" xfId="20622" xr:uid="{00000000-0005-0000-0000-00000B150000}"/>
    <cellStyle name="Normal 105 4" xfId="2628" xr:uid="{00000000-0005-0000-0000-00000C150000}"/>
    <cellStyle name="Normal 105 4 2" xfId="2629" xr:uid="{00000000-0005-0000-0000-00000D150000}"/>
    <cellStyle name="Normal 105 4 2 2" xfId="2630" xr:uid="{00000000-0005-0000-0000-00000E150000}"/>
    <cellStyle name="Normal 105 4 2 2 2" xfId="2631" xr:uid="{00000000-0005-0000-0000-00000F150000}"/>
    <cellStyle name="Normal 105 4 2 2 2 2" xfId="6883" xr:uid="{00000000-0005-0000-0000-000010150000}"/>
    <cellStyle name="Normal 105 4 2 2 2 2 2" xfId="16064" xr:uid="{00000000-0005-0000-0000-000011150000}"/>
    <cellStyle name="Normal 105 4 2 2 2 2 2 2" xfId="32638" xr:uid="{00000000-0005-0000-0000-000012150000}"/>
    <cellStyle name="Normal 105 4 2 2 2 2 3" xfId="24591" xr:uid="{00000000-0005-0000-0000-000013150000}"/>
    <cellStyle name="Normal 105 4 2 2 2 3" xfId="12145" xr:uid="{00000000-0005-0000-0000-000014150000}"/>
    <cellStyle name="Normal 105 4 2 2 2 3 2" xfId="28669" xr:uid="{00000000-0005-0000-0000-000015150000}"/>
    <cellStyle name="Normal 105 4 2 2 2 4" xfId="20626" xr:uid="{00000000-0005-0000-0000-000016150000}"/>
    <cellStyle name="Normal 105 4 2 2 3" xfId="6884" xr:uid="{00000000-0005-0000-0000-000017150000}"/>
    <cellStyle name="Normal 105 4 2 2 3 2" xfId="16065" xr:uid="{00000000-0005-0000-0000-000018150000}"/>
    <cellStyle name="Normal 105 4 2 2 3 2 2" xfId="32639" xr:uid="{00000000-0005-0000-0000-000019150000}"/>
    <cellStyle name="Normal 105 4 2 2 3 3" xfId="24592" xr:uid="{00000000-0005-0000-0000-00001A150000}"/>
    <cellStyle name="Normal 105 4 2 2 4" xfId="12144" xr:uid="{00000000-0005-0000-0000-00001B150000}"/>
    <cellStyle name="Normal 105 4 2 2 4 2" xfId="28668" xr:uid="{00000000-0005-0000-0000-00001C150000}"/>
    <cellStyle name="Normal 105 4 2 2 5" xfId="20625" xr:uid="{00000000-0005-0000-0000-00001D150000}"/>
    <cellStyle name="Normal 105 4 2 3" xfId="2632" xr:uid="{00000000-0005-0000-0000-00001E150000}"/>
    <cellStyle name="Normal 105 4 2 3 2" xfId="6885" xr:uid="{00000000-0005-0000-0000-00001F150000}"/>
    <cellStyle name="Normal 105 4 2 3 2 2" xfId="16066" xr:uid="{00000000-0005-0000-0000-000020150000}"/>
    <cellStyle name="Normal 105 4 2 3 2 2 2" xfId="32640" xr:uid="{00000000-0005-0000-0000-000021150000}"/>
    <cellStyle name="Normal 105 4 2 3 2 3" xfId="24593" xr:uid="{00000000-0005-0000-0000-000022150000}"/>
    <cellStyle name="Normal 105 4 2 3 3" xfId="12146" xr:uid="{00000000-0005-0000-0000-000023150000}"/>
    <cellStyle name="Normal 105 4 2 3 3 2" xfId="28670" xr:uid="{00000000-0005-0000-0000-000024150000}"/>
    <cellStyle name="Normal 105 4 2 3 4" xfId="20627" xr:uid="{00000000-0005-0000-0000-000025150000}"/>
    <cellStyle name="Normal 105 4 2 4" xfId="6886" xr:uid="{00000000-0005-0000-0000-000026150000}"/>
    <cellStyle name="Normal 105 4 2 4 2" xfId="16067" xr:uid="{00000000-0005-0000-0000-000027150000}"/>
    <cellStyle name="Normal 105 4 2 4 2 2" xfId="32641" xr:uid="{00000000-0005-0000-0000-000028150000}"/>
    <cellStyle name="Normal 105 4 2 4 3" xfId="24594" xr:uid="{00000000-0005-0000-0000-000029150000}"/>
    <cellStyle name="Normal 105 4 2 5" xfId="12143" xr:uid="{00000000-0005-0000-0000-00002A150000}"/>
    <cellStyle name="Normal 105 4 2 5 2" xfId="28667" xr:uid="{00000000-0005-0000-0000-00002B150000}"/>
    <cellStyle name="Normal 105 4 2 6" xfId="20624" xr:uid="{00000000-0005-0000-0000-00002C150000}"/>
    <cellStyle name="Normal 105 4 3" xfId="2633" xr:uid="{00000000-0005-0000-0000-00002D150000}"/>
    <cellStyle name="Normal 105 4 3 2" xfId="2634" xr:uid="{00000000-0005-0000-0000-00002E150000}"/>
    <cellStyle name="Normal 105 4 3 2 2" xfId="6887" xr:uid="{00000000-0005-0000-0000-00002F150000}"/>
    <cellStyle name="Normal 105 4 3 2 2 2" xfId="16068" xr:uid="{00000000-0005-0000-0000-000030150000}"/>
    <cellStyle name="Normal 105 4 3 2 2 2 2" xfId="32642" xr:uid="{00000000-0005-0000-0000-000031150000}"/>
    <cellStyle name="Normal 105 4 3 2 2 3" xfId="24595" xr:uid="{00000000-0005-0000-0000-000032150000}"/>
    <cellStyle name="Normal 105 4 3 2 3" xfId="12148" xr:uid="{00000000-0005-0000-0000-000033150000}"/>
    <cellStyle name="Normal 105 4 3 2 3 2" xfId="28672" xr:uid="{00000000-0005-0000-0000-000034150000}"/>
    <cellStyle name="Normal 105 4 3 2 4" xfId="20629" xr:uid="{00000000-0005-0000-0000-000035150000}"/>
    <cellStyle name="Normal 105 4 3 3" xfId="6888" xr:uid="{00000000-0005-0000-0000-000036150000}"/>
    <cellStyle name="Normal 105 4 3 3 2" xfId="16069" xr:uid="{00000000-0005-0000-0000-000037150000}"/>
    <cellStyle name="Normal 105 4 3 3 2 2" xfId="32643" xr:uid="{00000000-0005-0000-0000-000038150000}"/>
    <cellStyle name="Normal 105 4 3 3 3" xfId="24596" xr:uid="{00000000-0005-0000-0000-000039150000}"/>
    <cellStyle name="Normal 105 4 3 4" xfId="12147" xr:uid="{00000000-0005-0000-0000-00003A150000}"/>
    <cellStyle name="Normal 105 4 3 4 2" xfId="28671" xr:uid="{00000000-0005-0000-0000-00003B150000}"/>
    <cellStyle name="Normal 105 4 3 5" xfId="20628" xr:uid="{00000000-0005-0000-0000-00003C150000}"/>
    <cellStyle name="Normal 105 4 4" xfId="2635" xr:uid="{00000000-0005-0000-0000-00003D150000}"/>
    <cellStyle name="Normal 105 4 4 2" xfId="6889" xr:uid="{00000000-0005-0000-0000-00003E150000}"/>
    <cellStyle name="Normal 105 4 4 2 2" xfId="16070" xr:uid="{00000000-0005-0000-0000-00003F150000}"/>
    <cellStyle name="Normal 105 4 4 2 2 2" xfId="32644" xr:uid="{00000000-0005-0000-0000-000040150000}"/>
    <cellStyle name="Normal 105 4 4 2 3" xfId="24597" xr:uid="{00000000-0005-0000-0000-000041150000}"/>
    <cellStyle name="Normal 105 4 4 3" xfId="12149" xr:uid="{00000000-0005-0000-0000-000042150000}"/>
    <cellStyle name="Normal 105 4 4 3 2" xfId="28673" xr:uid="{00000000-0005-0000-0000-000043150000}"/>
    <cellStyle name="Normal 105 4 4 4" xfId="20630" xr:uid="{00000000-0005-0000-0000-000044150000}"/>
    <cellStyle name="Normal 105 4 5" xfId="6890" xr:uid="{00000000-0005-0000-0000-000045150000}"/>
    <cellStyle name="Normal 105 4 5 2" xfId="16071" xr:uid="{00000000-0005-0000-0000-000046150000}"/>
    <cellStyle name="Normal 105 4 5 2 2" xfId="32645" xr:uid="{00000000-0005-0000-0000-000047150000}"/>
    <cellStyle name="Normal 105 4 5 3" xfId="24598" xr:uid="{00000000-0005-0000-0000-000048150000}"/>
    <cellStyle name="Normal 105 4 6" xfId="12142" xr:uid="{00000000-0005-0000-0000-000049150000}"/>
    <cellStyle name="Normal 105 4 6 2" xfId="28666" xr:uid="{00000000-0005-0000-0000-00004A150000}"/>
    <cellStyle name="Normal 105 4 7" xfId="20623" xr:uid="{00000000-0005-0000-0000-00004B150000}"/>
    <cellStyle name="Normal 105 5" xfId="2636" xr:uid="{00000000-0005-0000-0000-00004C150000}"/>
    <cellStyle name="Normal 105 5 2" xfId="2637" xr:uid="{00000000-0005-0000-0000-00004D150000}"/>
    <cellStyle name="Normal 105 5 2 2" xfId="2638" xr:uid="{00000000-0005-0000-0000-00004E150000}"/>
    <cellStyle name="Normal 105 5 2 2 2" xfId="2639" xr:uid="{00000000-0005-0000-0000-00004F150000}"/>
    <cellStyle name="Normal 105 5 2 2 2 2" xfId="6891" xr:uid="{00000000-0005-0000-0000-000050150000}"/>
    <cellStyle name="Normal 105 5 2 2 2 2 2" xfId="16072" xr:uid="{00000000-0005-0000-0000-000051150000}"/>
    <cellStyle name="Normal 105 5 2 2 2 2 2 2" xfId="32646" xr:uid="{00000000-0005-0000-0000-000052150000}"/>
    <cellStyle name="Normal 105 5 2 2 2 2 3" xfId="24599" xr:uid="{00000000-0005-0000-0000-000053150000}"/>
    <cellStyle name="Normal 105 5 2 2 2 3" xfId="12153" xr:uid="{00000000-0005-0000-0000-000054150000}"/>
    <cellStyle name="Normal 105 5 2 2 2 3 2" xfId="28677" xr:uid="{00000000-0005-0000-0000-000055150000}"/>
    <cellStyle name="Normal 105 5 2 2 2 4" xfId="20634" xr:uid="{00000000-0005-0000-0000-000056150000}"/>
    <cellStyle name="Normal 105 5 2 2 3" xfId="6892" xr:uid="{00000000-0005-0000-0000-000057150000}"/>
    <cellStyle name="Normal 105 5 2 2 3 2" xfId="16073" xr:uid="{00000000-0005-0000-0000-000058150000}"/>
    <cellStyle name="Normal 105 5 2 2 3 2 2" xfId="32647" xr:uid="{00000000-0005-0000-0000-000059150000}"/>
    <cellStyle name="Normal 105 5 2 2 3 3" xfId="24600" xr:uid="{00000000-0005-0000-0000-00005A150000}"/>
    <cellStyle name="Normal 105 5 2 2 4" xfId="12152" xr:uid="{00000000-0005-0000-0000-00005B150000}"/>
    <cellStyle name="Normal 105 5 2 2 4 2" xfId="28676" xr:uid="{00000000-0005-0000-0000-00005C150000}"/>
    <cellStyle name="Normal 105 5 2 2 5" xfId="20633" xr:uid="{00000000-0005-0000-0000-00005D150000}"/>
    <cellStyle name="Normal 105 5 2 3" xfId="2640" xr:uid="{00000000-0005-0000-0000-00005E150000}"/>
    <cellStyle name="Normal 105 5 2 3 2" xfId="6893" xr:uid="{00000000-0005-0000-0000-00005F150000}"/>
    <cellStyle name="Normal 105 5 2 3 2 2" xfId="16074" xr:uid="{00000000-0005-0000-0000-000060150000}"/>
    <cellStyle name="Normal 105 5 2 3 2 2 2" xfId="32648" xr:uid="{00000000-0005-0000-0000-000061150000}"/>
    <cellStyle name="Normal 105 5 2 3 2 3" xfId="24601" xr:uid="{00000000-0005-0000-0000-000062150000}"/>
    <cellStyle name="Normal 105 5 2 3 3" xfId="12154" xr:uid="{00000000-0005-0000-0000-000063150000}"/>
    <cellStyle name="Normal 105 5 2 3 3 2" xfId="28678" xr:uid="{00000000-0005-0000-0000-000064150000}"/>
    <cellStyle name="Normal 105 5 2 3 4" xfId="20635" xr:uid="{00000000-0005-0000-0000-000065150000}"/>
    <cellStyle name="Normal 105 5 2 4" xfId="6894" xr:uid="{00000000-0005-0000-0000-000066150000}"/>
    <cellStyle name="Normal 105 5 2 4 2" xfId="16075" xr:uid="{00000000-0005-0000-0000-000067150000}"/>
    <cellStyle name="Normal 105 5 2 4 2 2" xfId="32649" xr:uid="{00000000-0005-0000-0000-000068150000}"/>
    <cellStyle name="Normal 105 5 2 4 3" xfId="24602" xr:uid="{00000000-0005-0000-0000-000069150000}"/>
    <cellStyle name="Normal 105 5 2 5" xfId="12151" xr:uid="{00000000-0005-0000-0000-00006A150000}"/>
    <cellStyle name="Normal 105 5 2 5 2" xfId="28675" xr:uid="{00000000-0005-0000-0000-00006B150000}"/>
    <cellStyle name="Normal 105 5 2 6" xfId="20632" xr:uid="{00000000-0005-0000-0000-00006C150000}"/>
    <cellStyle name="Normal 105 5 3" xfId="2641" xr:uid="{00000000-0005-0000-0000-00006D150000}"/>
    <cellStyle name="Normal 105 5 3 2" xfId="2642" xr:uid="{00000000-0005-0000-0000-00006E150000}"/>
    <cellStyle name="Normal 105 5 3 2 2" xfId="6895" xr:uid="{00000000-0005-0000-0000-00006F150000}"/>
    <cellStyle name="Normal 105 5 3 2 2 2" xfId="16076" xr:uid="{00000000-0005-0000-0000-000070150000}"/>
    <cellStyle name="Normal 105 5 3 2 2 2 2" xfId="32650" xr:uid="{00000000-0005-0000-0000-000071150000}"/>
    <cellStyle name="Normal 105 5 3 2 2 3" xfId="24603" xr:uid="{00000000-0005-0000-0000-000072150000}"/>
    <cellStyle name="Normal 105 5 3 2 3" xfId="12156" xr:uid="{00000000-0005-0000-0000-000073150000}"/>
    <cellStyle name="Normal 105 5 3 2 3 2" xfId="28680" xr:uid="{00000000-0005-0000-0000-000074150000}"/>
    <cellStyle name="Normal 105 5 3 2 4" xfId="20637" xr:uid="{00000000-0005-0000-0000-000075150000}"/>
    <cellStyle name="Normal 105 5 3 3" xfId="6896" xr:uid="{00000000-0005-0000-0000-000076150000}"/>
    <cellStyle name="Normal 105 5 3 3 2" xfId="16077" xr:uid="{00000000-0005-0000-0000-000077150000}"/>
    <cellStyle name="Normal 105 5 3 3 2 2" xfId="32651" xr:uid="{00000000-0005-0000-0000-000078150000}"/>
    <cellStyle name="Normal 105 5 3 3 3" xfId="24604" xr:uid="{00000000-0005-0000-0000-000079150000}"/>
    <cellStyle name="Normal 105 5 3 4" xfId="12155" xr:uid="{00000000-0005-0000-0000-00007A150000}"/>
    <cellStyle name="Normal 105 5 3 4 2" xfId="28679" xr:uid="{00000000-0005-0000-0000-00007B150000}"/>
    <cellStyle name="Normal 105 5 3 5" xfId="20636" xr:uid="{00000000-0005-0000-0000-00007C150000}"/>
    <cellStyle name="Normal 105 5 4" xfId="2643" xr:uid="{00000000-0005-0000-0000-00007D150000}"/>
    <cellStyle name="Normal 105 5 4 2" xfId="6897" xr:uid="{00000000-0005-0000-0000-00007E150000}"/>
    <cellStyle name="Normal 105 5 4 2 2" xfId="16078" xr:uid="{00000000-0005-0000-0000-00007F150000}"/>
    <cellStyle name="Normal 105 5 4 2 2 2" xfId="32652" xr:uid="{00000000-0005-0000-0000-000080150000}"/>
    <cellStyle name="Normal 105 5 4 2 3" xfId="24605" xr:uid="{00000000-0005-0000-0000-000081150000}"/>
    <cellStyle name="Normal 105 5 4 3" xfId="12157" xr:uid="{00000000-0005-0000-0000-000082150000}"/>
    <cellStyle name="Normal 105 5 4 3 2" xfId="28681" xr:uid="{00000000-0005-0000-0000-000083150000}"/>
    <cellStyle name="Normal 105 5 4 4" xfId="20638" xr:uid="{00000000-0005-0000-0000-000084150000}"/>
    <cellStyle name="Normal 105 5 5" xfId="6898" xr:uid="{00000000-0005-0000-0000-000085150000}"/>
    <cellStyle name="Normal 105 5 5 2" xfId="16079" xr:uid="{00000000-0005-0000-0000-000086150000}"/>
    <cellStyle name="Normal 105 5 5 2 2" xfId="32653" xr:uid="{00000000-0005-0000-0000-000087150000}"/>
    <cellStyle name="Normal 105 5 5 3" xfId="24606" xr:uid="{00000000-0005-0000-0000-000088150000}"/>
    <cellStyle name="Normal 105 5 6" xfId="12150" xr:uid="{00000000-0005-0000-0000-000089150000}"/>
    <cellStyle name="Normal 105 5 6 2" xfId="28674" xr:uid="{00000000-0005-0000-0000-00008A150000}"/>
    <cellStyle name="Normal 105 5 7" xfId="20631" xr:uid="{00000000-0005-0000-0000-00008B150000}"/>
    <cellStyle name="Normal 105 6" xfId="2644" xr:uid="{00000000-0005-0000-0000-00008C150000}"/>
    <cellStyle name="Normal 105 6 2" xfId="2645" xr:uid="{00000000-0005-0000-0000-00008D150000}"/>
    <cellStyle name="Normal 105 6 2 2" xfId="2646" xr:uid="{00000000-0005-0000-0000-00008E150000}"/>
    <cellStyle name="Normal 105 6 2 2 2" xfId="6899" xr:uid="{00000000-0005-0000-0000-00008F150000}"/>
    <cellStyle name="Normal 105 6 2 2 2 2" xfId="16080" xr:uid="{00000000-0005-0000-0000-000090150000}"/>
    <cellStyle name="Normal 105 6 2 2 2 2 2" xfId="32654" xr:uid="{00000000-0005-0000-0000-000091150000}"/>
    <cellStyle name="Normal 105 6 2 2 2 3" xfId="24607" xr:uid="{00000000-0005-0000-0000-000092150000}"/>
    <cellStyle name="Normal 105 6 2 2 3" xfId="12160" xr:uid="{00000000-0005-0000-0000-000093150000}"/>
    <cellStyle name="Normal 105 6 2 2 3 2" xfId="28684" xr:uid="{00000000-0005-0000-0000-000094150000}"/>
    <cellStyle name="Normal 105 6 2 2 4" xfId="20641" xr:uid="{00000000-0005-0000-0000-000095150000}"/>
    <cellStyle name="Normal 105 6 2 3" xfId="6900" xr:uid="{00000000-0005-0000-0000-000096150000}"/>
    <cellStyle name="Normal 105 6 2 3 2" xfId="16081" xr:uid="{00000000-0005-0000-0000-000097150000}"/>
    <cellStyle name="Normal 105 6 2 3 2 2" xfId="32655" xr:uid="{00000000-0005-0000-0000-000098150000}"/>
    <cellStyle name="Normal 105 6 2 3 3" xfId="24608" xr:uid="{00000000-0005-0000-0000-000099150000}"/>
    <cellStyle name="Normal 105 6 2 4" xfId="12159" xr:uid="{00000000-0005-0000-0000-00009A150000}"/>
    <cellStyle name="Normal 105 6 2 4 2" xfId="28683" xr:uid="{00000000-0005-0000-0000-00009B150000}"/>
    <cellStyle name="Normal 105 6 2 5" xfId="20640" xr:uid="{00000000-0005-0000-0000-00009C150000}"/>
    <cellStyle name="Normal 105 6 3" xfId="2647" xr:uid="{00000000-0005-0000-0000-00009D150000}"/>
    <cellStyle name="Normal 105 6 3 2" xfId="6901" xr:uid="{00000000-0005-0000-0000-00009E150000}"/>
    <cellStyle name="Normal 105 6 3 2 2" xfId="16082" xr:uid="{00000000-0005-0000-0000-00009F150000}"/>
    <cellStyle name="Normal 105 6 3 2 2 2" xfId="32656" xr:uid="{00000000-0005-0000-0000-0000A0150000}"/>
    <cellStyle name="Normal 105 6 3 2 3" xfId="24609" xr:uid="{00000000-0005-0000-0000-0000A1150000}"/>
    <cellStyle name="Normal 105 6 3 3" xfId="12161" xr:uid="{00000000-0005-0000-0000-0000A2150000}"/>
    <cellStyle name="Normal 105 6 3 3 2" xfId="28685" xr:uid="{00000000-0005-0000-0000-0000A3150000}"/>
    <cellStyle name="Normal 105 6 3 4" xfId="20642" xr:uid="{00000000-0005-0000-0000-0000A4150000}"/>
    <cellStyle name="Normal 105 6 4" xfId="6902" xr:uid="{00000000-0005-0000-0000-0000A5150000}"/>
    <cellStyle name="Normal 105 6 4 2" xfId="16083" xr:uid="{00000000-0005-0000-0000-0000A6150000}"/>
    <cellStyle name="Normal 105 6 4 2 2" xfId="32657" xr:uid="{00000000-0005-0000-0000-0000A7150000}"/>
    <cellStyle name="Normal 105 6 4 3" xfId="24610" xr:uid="{00000000-0005-0000-0000-0000A8150000}"/>
    <cellStyle name="Normal 105 6 5" xfId="12158" xr:uid="{00000000-0005-0000-0000-0000A9150000}"/>
    <cellStyle name="Normal 105 6 5 2" xfId="28682" xr:uid="{00000000-0005-0000-0000-0000AA150000}"/>
    <cellStyle name="Normal 105 6 6" xfId="20639" xr:uid="{00000000-0005-0000-0000-0000AB150000}"/>
    <cellStyle name="Normal 105 7" xfId="2648" xr:uid="{00000000-0005-0000-0000-0000AC150000}"/>
    <cellStyle name="Normal 105 7 2" xfId="2649" xr:uid="{00000000-0005-0000-0000-0000AD150000}"/>
    <cellStyle name="Normal 105 7 2 2" xfId="6903" xr:uid="{00000000-0005-0000-0000-0000AE150000}"/>
    <cellStyle name="Normal 105 7 2 2 2" xfId="16084" xr:uid="{00000000-0005-0000-0000-0000AF150000}"/>
    <cellStyle name="Normal 105 7 2 2 2 2" xfId="32658" xr:uid="{00000000-0005-0000-0000-0000B0150000}"/>
    <cellStyle name="Normal 105 7 2 2 3" xfId="24611" xr:uid="{00000000-0005-0000-0000-0000B1150000}"/>
    <cellStyle name="Normal 105 7 2 3" xfId="12163" xr:uid="{00000000-0005-0000-0000-0000B2150000}"/>
    <cellStyle name="Normal 105 7 2 3 2" xfId="28687" xr:uid="{00000000-0005-0000-0000-0000B3150000}"/>
    <cellStyle name="Normal 105 7 2 4" xfId="20644" xr:uid="{00000000-0005-0000-0000-0000B4150000}"/>
    <cellStyle name="Normal 105 7 3" xfId="6904" xr:uid="{00000000-0005-0000-0000-0000B5150000}"/>
    <cellStyle name="Normal 105 7 3 2" xfId="16085" xr:uid="{00000000-0005-0000-0000-0000B6150000}"/>
    <cellStyle name="Normal 105 7 3 2 2" xfId="32659" xr:uid="{00000000-0005-0000-0000-0000B7150000}"/>
    <cellStyle name="Normal 105 7 3 3" xfId="24612" xr:uid="{00000000-0005-0000-0000-0000B8150000}"/>
    <cellStyle name="Normal 105 7 4" xfId="12162" xr:uid="{00000000-0005-0000-0000-0000B9150000}"/>
    <cellStyle name="Normal 105 7 4 2" xfId="28686" xr:uid="{00000000-0005-0000-0000-0000BA150000}"/>
    <cellStyle name="Normal 105 7 5" xfId="20643" xr:uid="{00000000-0005-0000-0000-0000BB150000}"/>
    <cellStyle name="Normal 105 8" xfId="2650" xr:uid="{00000000-0005-0000-0000-0000BC150000}"/>
    <cellStyle name="Normal 105 8 2" xfId="6905" xr:uid="{00000000-0005-0000-0000-0000BD150000}"/>
    <cellStyle name="Normal 105 8 2 2" xfId="16086" xr:uid="{00000000-0005-0000-0000-0000BE150000}"/>
    <cellStyle name="Normal 105 8 2 2 2" xfId="32660" xr:uid="{00000000-0005-0000-0000-0000BF150000}"/>
    <cellStyle name="Normal 105 8 2 3" xfId="24613" xr:uid="{00000000-0005-0000-0000-0000C0150000}"/>
    <cellStyle name="Normal 105 8 3" xfId="12164" xr:uid="{00000000-0005-0000-0000-0000C1150000}"/>
    <cellStyle name="Normal 105 8 3 2" xfId="28688" xr:uid="{00000000-0005-0000-0000-0000C2150000}"/>
    <cellStyle name="Normal 105 8 4" xfId="20645" xr:uid="{00000000-0005-0000-0000-0000C3150000}"/>
    <cellStyle name="Normal 105 9" xfId="6906" xr:uid="{00000000-0005-0000-0000-0000C4150000}"/>
    <cellStyle name="Normal 105 9 2" xfId="16087" xr:uid="{00000000-0005-0000-0000-0000C5150000}"/>
    <cellStyle name="Normal 105 9 2 2" xfId="32661" xr:uid="{00000000-0005-0000-0000-0000C6150000}"/>
    <cellStyle name="Normal 105 9 3" xfId="24614" xr:uid="{00000000-0005-0000-0000-0000C7150000}"/>
    <cellStyle name="Normal 106" xfId="2651" xr:uid="{00000000-0005-0000-0000-0000C8150000}"/>
    <cellStyle name="Normal 106 10" xfId="12165" xr:uid="{00000000-0005-0000-0000-0000C9150000}"/>
    <cellStyle name="Normal 106 10 2" xfId="28689" xr:uid="{00000000-0005-0000-0000-0000CA150000}"/>
    <cellStyle name="Normal 106 11" xfId="20646" xr:uid="{00000000-0005-0000-0000-0000CB150000}"/>
    <cellStyle name="Normal 106 2" xfId="2652" xr:uid="{00000000-0005-0000-0000-0000CC150000}"/>
    <cellStyle name="Normal 106 2 2" xfId="2653" xr:uid="{00000000-0005-0000-0000-0000CD150000}"/>
    <cellStyle name="Normal 106 2 3" xfId="12166" xr:uid="{00000000-0005-0000-0000-0000CE150000}"/>
    <cellStyle name="Normal 106 2 3 2" xfId="28690" xr:uid="{00000000-0005-0000-0000-0000CF150000}"/>
    <cellStyle name="Normal 106 2 4" xfId="20647" xr:uid="{00000000-0005-0000-0000-0000D0150000}"/>
    <cellStyle name="Normal 106 3" xfId="2654" xr:uid="{00000000-0005-0000-0000-0000D1150000}"/>
    <cellStyle name="Normal 106 3 2" xfId="2655" xr:uid="{00000000-0005-0000-0000-0000D2150000}"/>
    <cellStyle name="Normal 106 3 2 2" xfId="2656" xr:uid="{00000000-0005-0000-0000-0000D3150000}"/>
    <cellStyle name="Normal 106 3 2 2 2" xfId="2657" xr:uid="{00000000-0005-0000-0000-0000D4150000}"/>
    <cellStyle name="Normal 106 3 2 2 2 2" xfId="6907" xr:uid="{00000000-0005-0000-0000-0000D5150000}"/>
    <cellStyle name="Normal 106 3 2 2 2 2 2" xfId="16088" xr:uid="{00000000-0005-0000-0000-0000D6150000}"/>
    <cellStyle name="Normal 106 3 2 2 2 2 2 2" xfId="32662" xr:uid="{00000000-0005-0000-0000-0000D7150000}"/>
    <cellStyle name="Normal 106 3 2 2 2 2 3" xfId="24615" xr:uid="{00000000-0005-0000-0000-0000D8150000}"/>
    <cellStyle name="Normal 106 3 2 2 2 3" xfId="12169" xr:uid="{00000000-0005-0000-0000-0000D9150000}"/>
    <cellStyle name="Normal 106 3 2 2 2 3 2" xfId="28693" xr:uid="{00000000-0005-0000-0000-0000DA150000}"/>
    <cellStyle name="Normal 106 3 2 2 2 4" xfId="20650" xr:uid="{00000000-0005-0000-0000-0000DB150000}"/>
    <cellStyle name="Normal 106 3 2 2 3" xfId="6908" xr:uid="{00000000-0005-0000-0000-0000DC150000}"/>
    <cellStyle name="Normal 106 3 2 2 3 2" xfId="16089" xr:uid="{00000000-0005-0000-0000-0000DD150000}"/>
    <cellStyle name="Normal 106 3 2 2 3 2 2" xfId="32663" xr:uid="{00000000-0005-0000-0000-0000DE150000}"/>
    <cellStyle name="Normal 106 3 2 2 3 3" xfId="24616" xr:uid="{00000000-0005-0000-0000-0000DF150000}"/>
    <cellStyle name="Normal 106 3 2 2 4" xfId="12168" xr:uid="{00000000-0005-0000-0000-0000E0150000}"/>
    <cellStyle name="Normal 106 3 2 2 4 2" xfId="28692" xr:uid="{00000000-0005-0000-0000-0000E1150000}"/>
    <cellStyle name="Normal 106 3 2 2 5" xfId="20649" xr:uid="{00000000-0005-0000-0000-0000E2150000}"/>
    <cellStyle name="Normal 106 3 2 3" xfId="2658" xr:uid="{00000000-0005-0000-0000-0000E3150000}"/>
    <cellStyle name="Normal 106 3 2 3 2" xfId="6909" xr:uid="{00000000-0005-0000-0000-0000E4150000}"/>
    <cellStyle name="Normal 106 3 2 3 2 2" xfId="16090" xr:uid="{00000000-0005-0000-0000-0000E5150000}"/>
    <cellStyle name="Normal 106 3 2 3 2 2 2" xfId="32664" xr:uid="{00000000-0005-0000-0000-0000E6150000}"/>
    <cellStyle name="Normal 106 3 2 3 2 3" xfId="24617" xr:uid="{00000000-0005-0000-0000-0000E7150000}"/>
    <cellStyle name="Normal 106 3 2 3 3" xfId="12170" xr:uid="{00000000-0005-0000-0000-0000E8150000}"/>
    <cellStyle name="Normal 106 3 2 3 3 2" xfId="28694" xr:uid="{00000000-0005-0000-0000-0000E9150000}"/>
    <cellStyle name="Normal 106 3 2 3 4" xfId="20651" xr:uid="{00000000-0005-0000-0000-0000EA150000}"/>
    <cellStyle name="Normal 106 3 2 4" xfId="6910" xr:uid="{00000000-0005-0000-0000-0000EB150000}"/>
    <cellStyle name="Normal 106 3 2 4 2" xfId="16091" xr:uid="{00000000-0005-0000-0000-0000EC150000}"/>
    <cellStyle name="Normal 106 3 2 4 2 2" xfId="32665" xr:uid="{00000000-0005-0000-0000-0000ED150000}"/>
    <cellStyle name="Normal 106 3 2 4 3" xfId="24618" xr:uid="{00000000-0005-0000-0000-0000EE150000}"/>
    <cellStyle name="Normal 106 3 2 5" xfId="12167" xr:uid="{00000000-0005-0000-0000-0000EF150000}"/>
    <cellStyle name="Normal 106 3 2 5 2" xfId="28691" xr:uid="{00000000-0005-0000-0000-0000F0150000}"/>
    <cellStyle name="Normal 106 3 2 6" xfId="20648" xr:uid="{00000000-0005-0000-0000-0000F1150000}"/>
    <cellStyle name="Normal 106 3 3" xfId="2659" xr:uid="{00000000-0005-0000-0000-0000F2150000}"/>
    <cellStyle name="Normal 106 3 3 2" xfId="2660" xr:uid="{00000000-0005-0000-0000-0000F3150000}"/>
    <cellStyle name="Normal 106 3 3 2 2" xfId="6911" xr:uid="{00000000-0005-0000-0000-0000F4150000}"/>
    <cellStyle name="Normal 106 3 3 2 2 2" xfId="16092" xr:uid="{00000000-0005-0000-0000-0000F5150000}"/>
    <cellStyle name="Normal 106 3 3 2 2 2 2" xfId="32666" xr:uid="{00000000-0005-0000-0000-0000F6150000}"/>
    <cellStyle name="Normal 106 3 3 2 2 3" xfId="24619" xr:uid="{00000000-0005-0000-0000-0000F7150000}"/>
    <cellStyle name="Normal 106 3 3 2 3" xfId="12172" xr:uid="{00000000-0005-0000-0000-0000F8150000}"/>
    <cellStyle name="Normal 106 3 3 2 3 2" xfId="28696" xr:uid="{00000000-0005-0000-0000-0000F9150000}"/>
    <cellStyle name="Normal 106 3 3 2 4" xfId="20653" xr:uid="{00000000-0005-0000-0000-0000FA150000}"/>
    <cellStyle name="Normal 106 3 3 3" xfId="6912" xr:uid="{00000000-0005-0000-0000-0000FB150000}"/>
    <cellStyle name="Normal 106 3 3 3 2" xfId="16093" xr:uid="{00000000-0005-0000-0000-0000FC150000}"/>
    <cellStyle name="Normal 106 3 3 3 2 2" xfId="32667" xr:uid="{00000000-0005-0000-0000-0000FD150000}"/>
    <cellStyle name="Normal 106 3 3 3 3" xfId="24620" xr:uid="{00000000-0005-0000-0000-0000FE150000}"/>
    <cellStyle name="Normal 106 3 3 4" xfId="12171" xr:uid="{00000000-0005-0000-0000-0000FF150000}"/>
    <cellStyle name="Normal 106 3 3 4 2" xfId="28695" xr:uid="{00000000-0005-0000-0000-000000160000}"/>
    <cellStyle name="Normal 106 3 3 5" xfId="20652" xr:uid="{00000000-0005-0000-0000-000001160000}"/>
    <cellStyle name="Normal 106 3 4" xfId="2661" xr:uid="{00000000-0005-0000-0000-000002160000}"/>
    <cellStyle name="Normal 106 3 4 2" xfId="6913" xr:uid="{00000000-0005-0000-0000-000003160000}"/>
    <cellStyle name="Normal 106 3 4 2 2" xfId="16094" xr:uid="{00000000-0005-0000-0000-000004160000}"/>
    <cellStyle name="Normal 106 3 4 2 2 2" xfId="32668" xr:uid="{00000000-0005-0000-0000-000005160000}"/>
    <cellStyle name="Normal 106 3 4 2 3" xfId="24621" xr:uid="{00000000-0005-0000-0000-000006160000}"/>
    <cellStyle name="Normal 106 3 4 3" xfId="12173" xr:uid="{00000000-0005-0000-0000-000007160000}"/>
    <cellStyle name="Normal 106 3 4 3 2" xfId="28697" xr:uid="{00000000-0005-0000-0000-000008160000}"/>
    <cellStyle name="Normal 106 3 4 4" xfId="20654" xr:uid="{00000000-0005-0000-0000-000009160000}"/>
    <cellStyle name="Normal 106 3 5" xfId="2662" xr:uid="{00000000-0005-0000-0000-00000A160000}"/>
    <cellStyle name="Normal 106 3 5 2" xfId="12174" xr:uid="{00000000-0005-0000-0000-00000B160000}"/>
    <cellStyle name="Normal 106 3 5 2 2" xfId="28698" xr:uid="{00000000-0005-0000-0000-00000C160000}"/>
    <cellStyle name="Normal 106 3 5 3" xfId="20655" xr:uid="{00000000-0005-0000-0000-00000D160000}"/>
    <cellStyle name="Normal 106 4" xfId="2663" xr:uid="{00000000-0005-0000-0000-00000E160000}"/>
    <cellStyle name="Normal 106 4 2" xfId="2664" xr:uid="{00000000-0005-0000-0000-00000F160000}"/>
    <cellStyle name="Normal 106 4 2 2" xfId="2665" xr:uid="{00000000-0005-0000-0000-000010160000}"/>
    <cellStyle name="Normal 106 4 2 2 2" xfId="2666" xr:uid="{00000000-0005-0000-0000-000011160000}"/>
    <cellStyle name="Normal 106 4 2 2 2 2" xfId="6914" xr:uid="{00000000-0005-0000-0000-000012160000}"/>
    <cellStyle name="Normal 106 4 2 2 2 2 2" xfId="16095" xr:uid="{00000000-0005-0000-0000-000013160000}"/>
    <cellStyle name="Normal 106 4 2 2 2 2 2 2" xfId="32669" xr:uid="{00000000-0005-0000-0000-000014160000}"/>
    <cellStyle name="Normal 106 4 2 2 2 2 3" xfId="24622" xr:uid="{00000000-0005-0000-0000-000015160000}"/>
    <cellStyle name="Normal 106 4 2 2 2 3" xfId="12178" xr:uid="{00000000-0005-0000-0000-000016160000}"/>
    <cellStyle name="Normal 106 4 2 2 2 3 2" xfId="28702" xr:uid="{00000000-0005-0000-0000-000017160000}"/>
    <cellStyle name="Normal 106 4 2 2 2 4" xfId="20659" xr:uid="{00000000-0005-0000-0000-000018160000}"/>
    <cellStyle name="Normal 106 4 2 2 3" xfId="6915" xr:uid="{00000000-0005-0000-0000-000019160000}"/>
    <cellStyle name="Normal 106 4 2 2 3 2" xfId="16096" xr:uid="{00000000-0005-0000-0000-00001A160000}"/>
    <cellStyle name="Normal 106 4 2 2 3 2 2" xfId="32670" xr:uid="{00000000-0005-0000-0000-00001B160000}"/>
    <cellStyle name="Normal 106 4 2 2 3 3" xfId="24623" xr:uid="{00000000-0005-0000-0000-00001C160000}"/>
    <cellStyle name="Normal 106 4 2 2 4" xfId="12177" xr:uid="{00000000-0005-0000-0000-00001D160000}"/>
    <cellStyle name="Normal 106 4 2 2 4 2" xfId="28701" xr:uid="{00000000-0005-0000-0000-00001E160000}"/>
    <cellStyle name="Normal 106 4 2 2 5" xfId="20658" xr:uid="{00000000-0005-0000-0000-00001F160000}"/>
    <cellStyle name="Normal 106 4 2 3" xfId="2667" xr:uid="{00000000-0005-0000-0000-000020160000}"/>
    <cellStyle name="Normal 106 4 2 3 2" xfId="6916" xr:uid="{00000000-0005-0000-0000-000021160000}"/>
    <cellStyle name="Normal 106 4 2 3 2 2" xfId="16097" xr:uid="{00000000-0005-0000-0000-000022160000}"/>
    <cellStyle name="Normal 106 4 2 3 2 2 2" xfId="32671" xr:uid="{00000000-0005-0000-0000-000023160000}"/>
    <cellStyle name="Normal 106 4 2 3 2 3" xfId="24624" xr:uid="{00000000-0005-0000-0000-000024160000}"/>
    <cellStyle name="Normal 106 4 2 3 3" xfId="12179" xr:uid="{00000000-0005-0000-0000-000025160000}"/>
    <cellStyle name="Normal 106 4 2 3 3 2" xfId="28703" xr:uid="{00000000-0005-0000-0000-000026160000}"/>
    <cellStyle name="Normal 106 4 2 3 4" xfId="20660" xr:uid="{00000000-0005-0000-0000-000027160000}"/>
    <cellStyle name="Normal 106 4 2 4" xfId="6917" xr:uid="{00000000-0005-0000-0000-000028160000}"/>
    <cellStyle name="Normal 106 4 2 4 2" xfId="16098" xr:uid="{00000000-0005-0000-0000-000029160000}"/>
    <cellStyle name="Normal 106 4 2 4 2 2" xfId="32672" xr:uid="{00000000-0005-0000-0000-00002A160000}"/>
    <cellStyle name="Normal 106 4 2 4 3" xfId="24625" xr:uid="{00000000-0005-0000-0000-00002B160000}"/>
    <cellStyle name="Normal 106 4 2 5" xfId="12176" xr:uid="{00000000-0005-0000-0000-00002C160000}"/>
    <cellStyle name="Normal 106 4 2 5 2" xfId="28700" xr:uid="{00000000-0005-0000-0000-00002D160000}"/>
    <cellStyle name="Normal 106 4 2 6" xfId="20657" xr:uid="{00000000-0005-0000-0000-00002E160000}"/>
    <cellStyle name="Normal 106 4 3" xfId="2668" xr:uid="{00000000-0005-0000-0000-00002F160000}"/>
    <cellStyle name="Normal 106 4 3 2" xfId="2669" xr:uid="{00000000-0005-0000-0000-000030160000}"/>
    <cellStyle name="Normal 106 4 3 2 2" xfId="6918" xr:uid="{00000000-0005-0000-0000-000031160000}"/>
    <cellStyle name="Normal 106 4 3 2 2 2" xfId="16099" xr:uid="{00000000-0005-0000-0000-000032160000}"/>
    <cellStyle name="Normal 106 4 3 2 2 2 2" xfId="32673" xr:uid="{00000000-0005-0000-0000-000033160000}"/>
    <cellStyle name="Normal 106 4 3 2 2 3" xfId="24626" xr:uid="{00000000-0005-0000-0000-000034160000}"/>
    <cellStyle name="Normal 106 4 3 2 3" xfId="12181" xr:uid="{00000000-0005-0000-0000-000035160000}"/>
    <cellStyle name="Normal 106 4 3 2 3 2" xfId="28705" xr:uid="{00000000-0005-0000-0000-000036160000}"/>
    <cellStyle name="Normal 106 4 3 2 4" xfId="20662" xr:uid="{00000000-0005-0000-0000-000037160000}"/>
    <cellStyle name="Normal 106 4 3 3" xfId="6919" xr:uid="{00000000-0005-0000-0000-000038160000}"/>
    <cellStyle name="Normal 106 4 3 3 2" xfId="16100" xr:uid="{00000000-0005-0000-0000-000039160000}"/>
    <cellStyle name="Normal 106 4 3 3 2 2" xfId="32674" xr:uid="{00000000-0005-0000-0000-00003A160000}"/>
    <cellStyle name="Normal 106 4 3 3 3" xfId="24627" xr:uid="{00000000-0005-0000-0000-00003B160000}"/>
    <cellStyle name="Normal 106 4 3 4" xfId="12180" xr:uid="{00000000-0005-0000-0000-00003C160000}"/>
    <cellStyle name="Normal 106 4 3 4 2" xfId="28704" xr:uid="{00000000-0005-0000-0000-00003D160000}"/>
    <cellStyle name="Normal 106 4 3 5" xfId="20661" xr:uid="{00000000-0005-0000-0000-00003E160000}"/>
    <cellStyle name="Normal 106 4 4" xfId="2670" xr:uid="{00000000-0005-0000-0000-00003F160000}"/>
    <cellStyle name="Normal 106 4 4 2" xfId="6920" xr:uid="{00000000-0005-0000-0000-000040160000}"/>
    <cellStyle name="Normal 106 4 4 2 2" xfId="16101" xr:uid="{00000000-0005-0000-0000-000041160000}"/>
    <cellStyle name="Normal 106 4 4 2 2 2" xfId="32675" xr:uid="{00000000-0005-0000-0000-000042160000}"/>
    <cellStyle name="Normal 106 4 4 2 3" xfId="24628" xr:uid="{00000000-0005-0000-0000-000043160000}"/>
    <cellStyle name="Normal 106 4 4 3" xfId="12182" xr:uid="{00000000-0005-0000-0000-000044160000}"/>
    <cellStyle name="Normal 106 4 4 3 2" xfId="28706" xr:uid="{00000000-0005-0000-0000-000045160000}"/>
    <cellStyle name="Normal 106 4 4 4" xfId="20663" xr:uid="{00000000-0005-0000-0000-000046160000}"/>
    <cellStyle name="Normal 106 4 5" xfId="6921" xr:uid="{00000000-0005-0000-0000-000047160000}"/>
    <cellStyle name="Normal 106 4 5 2" xfId="16102" xr:uid="{00000000-0005-0000-0000-000048160000}"/>
    <cellStyle name="Normal 106 4 5 2 2" xfId="32676" xr:uid="{00000000-0005-0000-0000-000049160000}"/>
    <cellStyle name="Normal 106 4 5 3" xfId="24629" xr:uid="{00000000-0005-0000-0000-00004A160000}"/>
    <cellStyle name="Normal 106 4 6" xfId="12175" xr:uid="{00000000-0005-0000-0000-00004B160000}"/>
    <cellStyle name="Normal 106 4 6 2" xfId="28699" xr:uid="{00000000-0005-0000-0000-00004C160000}"/>
    <cellStyle name="Normal 106 4 7" xfId="20656" xr:uid="{00000000-0005-0000-0000-00004D160000}"/>
    <cellStyle name="Normal 106 5" xfId="2671" xr:uid="{00000000-0005-0000-0000-00004E160000}"/>
    <cellStyle name="Normal 106 5 2" xfId="2672" xr:uid="{00000000-0005-0000-0000-00004F160000}"/>
    <cellStyle name="Normal 106 5 2 2" xfId="2673" xr:uid="{00000000-0005-0000-0000-000050160000}"/>
    <cellStyle name="Normal 106 5 2 2 2" xfId="2674" xr:uid="{00000000-0005-0000-0000-000051160000}"/>
    <cellStyle name="Normal 106 5 2 2 2 2" xfId="6922" xr:uid="{00000000-0005-0000-0000-000052160000}"/>
    <cellStyle name="Normal 106 5 2 2 2 2 2" xfId="16103" xr:uid="{00000000-0005-0000-0000-000053160000}"/>
    <cellStyle name="Normal 106 5 2 2 2 2 2 2" xfId="32677" xr:uid="{00000000-0005-0000-0000-000054160000}"/>
    <cellStyle name="Normal 106 5 2 2 2 2 3" xfId="24630" xr:uid="{00000000-0005-0000-0000-000055160000}"/>
    <cellStyle name="Normal 106 5 2 2 2 3" xfId="12186" xr:uid="{00000000-0005-0000-0000-000056160000}"/>
    <cellStyle name="Normal 106 5 2 2 2 3 2" xfId="28710" xr:uid="{00000000-0005-0000-0000-000057160000}"/>
    <cellStyle name="Normal 106 5 2 2 2 4" xfId="20667" xr:uid="{00000000-0005-0000-0000-000058160000}"/>
    <cellStyle name="Normal 106 5 2 2 3" xfId="6923" xr:uid="{00000000-0005-0000-0000-000059160000}"/>
    <cellStyle name="Normal 106 5 2 2 3 2" xfId="16104" xr:uid="{00000000-0005-0000-0000-00005A160000}"/>
    <cellStyle name="Normal 106 5 2 2 3 2 2" xfId="32678" xr:uid="{00000000-0005-0000-0000-00005B160000}"/>
    <cellStyle name="Normal 106 5 2 2 3 3" xfId="24631" xr:uid="{00000000-0005-0000-0000-00005C160000}"/>
    <cellStyle name="Normal 106 5 2 2 4" xfId="12185" xr:uid="{00000000-0005-0000-0000-00005D160000}"/>
    <cellStyle name="Normal 106 5 2 2 4 2" xfId="28709" xr:uid="{00000000-0005-0000-0000-00005E160000}"/>
    <cellStyle name="Normal 106 5 2 2 5" xfId="20666" xr:uid="{00000000-0005-0000-0000-00005F160000}"/>
    <cellStyle name="Normal 106 5 2 3" xfId="2675" xr:uid="{00000000-0005-0000-0000-000060160000}"/>
    <cellStyle name="Normal 106 5 2 3 2" xfId="6924" xr:uid="{00000000-0005-0000-0000-000061160000}"/>
    <cellStyle name="Normal 106 5 2 3 2 2" xfId="16105" xr:uid="{00000000-0005-0000-0000-000062160000}"/>
    <cellStyle name="Normal 106 5 2 3 2 2 2" xfId="32679" xr:uid="{00000000-0005-0000-0000-000063160000}"/>
    <cellStyle name="Normal 106 5 2 3 2 3" xfId="24632" xr:uid="{00000000-0005-0000-0000-000064160000}"/>
    <cellStyle name="Normal 106 5 2 3 3" xfId="12187" xr:uid="{00000000-0005-0000-0000-000065160000}"/>
    <cellStyle name="Normal 106 5 2 3 3 2" xfId="28711" xr:uid="{00000000-0005-0000-0000-000066160000}"/>
    <cellStyle name="Normal 106 5 2 3 4" xfId="20668" xr:uid="{00000000-0005-0000-0000-000067160000}"/>
    <cellStyle name="Normal 106 5 2 4" xfId="6925" xr:uid="{00000000-0005-0000-0000-000068160000}"/>
    <cellStyle name="Normal 106 5 2 4 2" xfId="16106" xr:uid="{00000000-0005-0000-0000-000069160000}"/>
    <cellStyle name="Normal 106 5 2 4 2 2" xfId="32680" xr:uid="{00000000-0005-0000-0000-00006A160000}"/>
    <cellStyle name="Normal 106 5 2 4 3" xfId="24633" xr:uid="{00000000-0005-0000-0000-00006B160000}"/>
    <cellStyle name="Normal 106 5 2 5" xfId="12184" xr:uid="{00000000-0005-0000-0000-00006C160000}"/>
    <cellStyle name="Normal 106 5 2 5 2" xfId="28708" xr:uid="{00000000-0005-0000-0000-00006D160000}"/>
    <cellStyle name="Normal 106 5 2 6" xfId="20665" xr:uid="{00000000-0005-0000-0000-00006E160000}"/>
    <cellStyle name="Normal 106 5 3" xfId="2676" xr:uid="{00000000-0005-0000-0000-00006F160000}"/>
    <cellStyle name="Normal 106 5 3 2" xfId="2677" xr:uid="{00000000-0005-0000-0000-000070160000}"/>
    <cellStyle name="Normal 106 5 3 2 2" xfId="6926" xr:uid="{00000000-0005-0000-0000-000071160000}"/>
    <cellStyle name="Normal 106 5 3 2 2 2" xfId="16107" xr:uid="{00000000-0005-0000-0000-000072160000}"/>
    <cellStyle name="Normal 106 5 3 2 2 2 2" xfId="32681" xr:uid="{00000000-0005-0000-0000-000073160000}"/>
    <cellStyle name="Normal 106 5 3 2 2 3" xfId="24634" xr:uid="{00000000-0005-0000-0000-000074160000}"/>
    <cellStyle name="Normal 106 5 3 2 3" xfId="12189" xr:uid="{00000000-0005-0000-0000-000075160000}"/>
    <cellStyle name="Normal 106 5 3 2 3 2" xfId="28713" xr:uid="{00000000-0005-0000-0000-000076160000}"/>
    <cellStyle name="Normal 106 5 3 2 4" xfId="20670" xr:uid="{00000000-0005-0000-0000-000077160000}"/>
    <cellStyle name="Normal 106 5 3 3" xfId="6927" xr:uid="{00000000-0005-0000-0000-000078160000}"/>
    <cellStyle name="Normal 106 5 3 3 2" xfId="16108" xr:uid="{00000000-0005-0000-0000-000079160000}"/>
    <cellStyle name="Normal 106 5 3 3 2 2" xfId="32682" xr:uid="{00000000-0005-0000-0000-00007A160000}"/>
    <cellStyle name="Normal 106 5 3 3 3" xfId="24635" xr:uid="{00000000-0005-0000-0000-00007B160000}"/>
    <cellStyle name="Normal 106 5 3 4" xfId="12188" xr:uid="{00000000-0005-0000-0000-00007C160000}"/>
    <cellStyle name="Normal 106 5 3 4 2" xfId="28712" xr:uid="{00000000-0005-0000-0000-00007D160000}"/>
    <cellStyle name="Normal 106 5 3 5" xfId="20669" xr:uid="{00000000-0005-0000-0000-00007E160000}"/>
    <cellStyle name="Normal 106 5 4" xfId="2678" xr:uid="{00000000-0005-0000-0000-00007F160000}"/>
    <cellStyle name="Normal 106 5 4 2" xfId="6928" xr:uid="{00000000-0005-0000-0000-000080160000}"/>
    <cellStyle name="Normal 106 5 4 2 2" xfId="16109" xr:uid="{00000000-0005-0000-0000-000081160000}"/>
    <cellStyle name="Normal 106 5 4 2 2 2" xfId="32683" xr:uid="{00000000-0005-0000-0000-000082160000}"/>
    <cellStyle name="Normal 106 5 4 2 3" xfId="24636" xr:uid="{00000000-0005-0000-0000-000083160000}"/>
    <cellStyle name="Normal 106 5 4 3" xfId="12190" xr:uid="{00000000-0005-0000-0000-000084160000}"/>
    <cellStyle name="Normal 106 5 4 3 2" xfId="28714" xr:uid="{00000000-0005-0000-0000-000085160000}"/>
    <cellStyle name="Normal 106 5 4 4" xfId="20671" xr:uid="{00000000-0005-0000-0000-000086160000}"/>
    <cellStyle name="Normal 106 5 5" xfId="6929" xr:uid="{00000000-0005-0000-0000-000087160000}"/>
    <cellStyle name="Normal 106 5 5 2" xfId="16110" xr:uid="{00000000-0005-0000-0000-000088160000}"/>
    <cellStyle name="Normal 106 5 5 2 2" xfId="32684" xr:uid="{00000000-0005-0000-0000-000089160000}"/>
    <cellStyle name="Normal 106 5 5 3" xfId="24637" xr:uid="{00000000-0005-0000-0000-00008A160000}"/>
    <cellStyle name="Normal 106 5 6" xfId="12183" xr:uid="{00000000-0005-0000-0000-00008B160000}"/>
    <cellStyle name="Normal 106 5 6 2" xfId="28707" xr:uid="{00000000-0005-0000-0000-00008C160000}"/>
    <cellStyle name="Normal 106 5 7" xfId="20664" xr:uid="{00000000-0005-0000-0000-00008D160000}"/>
    <cellStyle name="Normal 106 6" xfId="2679" xr:uid="{00000000-0005-0000-0000-00008E160000}"/>
    <cellStyle name="Normal 106 6 2" xfId="2680" xr:uid="{00000000-0005-0000-0000-00008F160000}"/>
    <cellStyle name="Normal 106 6 2 2" xfId="2681" xr:uid="{00000000-0005-0000-0000-000090160000}"/>
    <cellStyle name="Normal 106 6 2 2 2" xfId="6930" xr:uid="{00000000-0005-0000-0000-000091160000}"/>
    <cellStyle name="Normal 106 6 2 2 2 2" xfId="16111" xr:uid="{00000000-0005-0000-0000-000092160000}"/>
    <cellStyle name="Normal 106 6 2 2 2 2 2" xfId="32685" xr:uid="{00000000-0005-0000-0000-000093160000}"/>
    <cellStyle name="Normal 106 6 2 2 2 3" xfId="24638" xr:uid="{00000000-0005-0000-0000-000094160000}"/>
    <cellStyle name="Normal 106 6 2 2 3" xfId="12193" xr:uid="{00000000-0005-0000-0000-000095160000}"/>
    <cellStyle name="Normal 106 6 2 2 3 2" xfId="28717" xr:uid="{00000000-0005-0000-0000-000096160000}"/>
    <cellStyle name="Normal 106 6 2 2 4" xfId="20674" xr:uid="{00000000-0005-0000-0000-000097160000}"/>
    <cellStyle name="Normal 106 6 2 3" xfId="6931" xr:uid="{00000000-0005-0000-0000-000098160000}"/>
    <cellStyle name="Normal 106 6 2 3 2" xfId="16112" xr:uid="{00000000-0005-0000-0000-000099160000}"/>
    <cellStyle name="Normal 106 6 2 3 2 2" xfId="32686" xr:uid="{00000000-0005-0000-0000-00009A160000}"/>
    <cellStyle name="Normal 106 6 2 3 3" xfId="24639" xr:uid="{00000000-0005-0000-0000-00009B160000}"/>
    <cellStyle name="Normal 106 6 2 4" xfId="12192" xr:uid="{00000000-0005-0000-0000-00009C160000}"/>
    <cellStyle name="Normal 106 6 2 4 2" xfId="28716" xr:uid="{00000000-0005-0000-0000-00009D160000}"/>
    <cellStyle name="Normal 106 6 2 5" xfId="20673" xr:uid="{00000000-0005-0000-0000-00009E160000}"/>
    <cellStyle name="Normal 106 6 3" xfId="2682" xr:uid="{00000000-0005-0000-0000-00009F160000}"/>
    <cellStyle name="Normal 106 6 3 2" xfId="6932" xr:uid="{00000000-0005-0000-0000-0000A0160000}"/>
    <cellStyle name="Normal 106 6 3 2 2" xfId="16113" xr:uid="{00000000-0005-0000-0000-0000A1160000}"/>
    <cellStyle name="Normal 106 6 3 2 2 2" xfId="32687" xr:uid="{00000000-0005-0000-0000-0000A2160000}"/>
    <cellStyle name="Normal 106 6 3 2 3" xfId="24640" xr:uid="{00000000-0005-0000-0000-0000A3160000}"/>
    <cellStyle name="Normal 106 6 3 3" xfId="12194" xr:uid="{00000000-0005-0000-0000-0000A4160000}"/>
    <cellStyle name="Normal 106 6 3 3 2" xfId="28718" xr:uid="{00000000-0005-0000-0000-0000A5160000}"/>
    <cellStyle name="Normal 106 6 3 4" xfId="20675" xr:uid="{00000000-0005-0000-0000-0000A6160000}"/>
    <cellStyle name="Normal 106 6 4" xfId="6933" xr:uid="{00000000-0005-0000-0000-0000A7160000}"/>
    <cellStyle name="Normal 106 6 4 2" xfId="16114" xr:uid="{00000000-0005-0000-0000-0000A8160000}"/>
    <cellStyle name="Normal 106 6 4 2 2" xfId="32688" xr:uid="{00000000-0005-0000-0000-0000A9160000}"/>
    <cellStyle name="Normal 106 6 4 3" xfId="24641" xr:uid="{00000000-0005-0000-0000-0000AA160000}"/>
    <cellStyle name="Normal 106 6 5" xfId="12191" xr:uid="{00000000-0005-0000-0000-0000AB160000}"/>
    <cellStyle name="Normal 106 6 5 2" xfId="28715" xr:uid="{00000000-0005-0000-0000-0000AC160000}"/>
    <cellStyle name="Normal 106 6 6" xfId="20672" xr:uid="{00000000-0005-0000-0000-0000AD160000}"/>
    <cellStyle name="Normal 106 7" xfId="2683" xr:uid="{00000000-0005-0000-0000-0000AE160000}"/>
    <cellStyle name="Normal 106 7 2" xfId="2684" xr:uid="{00000000-0005-0000-0000-0000AF160000}"/>
    <cellStyle name="Normal 106 7 2 2" xfId="6934" xr:uid="{00000000-0005-0000-0000-0000B0160000}"/>
    <cellStyle name="Normal 106 7 2 2 2" xfId="16115" xr:uid="{00000000-0005-0000-0000-0000B1160000}"/>
    <cellStyle name="Normal 106 7 2 2 2 2" xfId="32689" xr:uid="{00000000-0005-0000-0000-0000B2160000}"/>
    <cellStyle name="Normal 106 7 2 2 3" xfId="24642" xr:uid="{00000000-0005-0000-0000-0000B3160000}"/>
    <cellStyle name="Normal 106 7 2 3" xfId="12196" xr:uid="{00000000-0005-0000-0000-0000B4160000}"/>
    <cellStyle name="Normal 106 7 2 3 2" xfId="28720" xr:uid="{00000000-0005-0000-0000-0000B5160000}"/>
    <cellStyle name="Normal 106 7 2 4" xfId="20677" xr:uid="{00000000-0005-0000-0000-0000B6160000}"/>
    <cellStyle name="Normal 106 7 3" xfId="6935" xr:uid="{00000000-0005-0000-0000-0000B7160000}"/>
    <cellStyle name="Normal 106 7 3 2" xfId="16116" xr:uid="{00000000-0005-0000-0000-0000B8160000}"/>
    <cellStyle name="Normal 106 7 3 2 2" xfId="32690" xr:uid="{00000000-0005-0000-0000-0000B9160000}"/>
    <cellStyle name="Normal 106 7 3 3" xfId="24643" xr:uid="{00000000-0005-0000-0000-0000BA160000}"/>
    <cellStyle name="Normal 106 7 4" xfId="12195" xr:uid="{00000000-0005-0000-0000-0000BB160000}"/>
    <cellStyle name="Normal 106 7 4 2" xfId="28719" xr:uid="{00000000-0005-0000-0000-0000BC160000}"/>
    <cellStyle name="Normal 106 7 5" xfId="20676" xr:uid="{00000000-0005-0000-0000-0000BD160000}"/>
    <cellStyle name="Normal 106 8" xfId="2685" xr:uid="{00000000-0005-0000-0000-0000BE160000}"/>
    <cellStyle name="Normal 106 8 2" xfId="6936" xr:uid="{00000000-0005-0000-0000-0000BF160000}"/>
    <cellStyle name="Normal 106 8 2 2" xfId="16117" xr:uid="{00000000-0005-0000-0000-0000C0160000}"/>
    <cellStyle name="Normal 106 8 2 2 2" xfId="32691" xr:uid="{00000000-0005-0000-0000-0000C1160000}"/>
    <cellStyle name="Normal 106 8 2 3" xfId="24644" xr:uid="{00000000-0005-0000-0000-0000C2160000}"/>
    <cellStyle name="Normal 106 8 3" xfId="12197" xr:uid="{00000000-0005-0000-0000-0000C3160000}"/>
    <cellStyle name="Normal 106 8 3 2" xfId="28721" xr:uid="{00000000-0005-0000-0000-0000C4160000}"/>
    <cellStyle name="Normal 106 8 4" xfId="20678" xr:uid="{00000000-0005-0000-0000-0000C5160000}"/>
    <cellStyle name="Normal 106 9" xfId="6937" xr:uid="{00000000-0005-0000-0000-0000C6160000}"/>
    <cellStyle name="Normal 106 9 2" xfId="16118" xr:uid="{00000000-0005-0000-0000-0000C7160000}"/>
    <cellStyle name="Normal 106 9 2 2" xfId="32692" xr:uid="{00000000-0005-0000-0000-0000C8160000}"/>
    <cellStyle name="Normal 106 9 3" xfId="24645" xr:uid="{00000000-0005-0000-0000-0000C9160000}"/>
    <cellStyle name="Normal 107" xfId="2686" xr:uid="{00000000-0005-0000-0000-0000CA160000}"/>
    <cellStyle name="Normal 107 10" xfId="12198" xr:uid="{00000000-0005-0000-0000-0000CB160000}"/>
    <cellStyle name="Normal 107 10 2" xfId="28722" xr:uid="{00000000-0005-0000-0000-0000CC160000}"/>
    <cellStyle name="Normal 107 11" xfId="20679" xr:uid="{00000000-0005-0000-0000-0000CD160000}"/>
    <cellStyle name="Normal 107 2" xfId="2687" xr:uid="{00000000-0005-0000-0000-0000CE160000}"/>
    <cellStyle name="Normal 107 2 2" xfId="2688" xr:uid="{00000000-0005-0000-0000-0000CF160000}"/>
    <cellStyle name="Normal 107 2 3" xfId="12199" xr:uid="{00000000-0005-0000-0000-0000D0160000}"/>
    <cellStyle name="Normal 107 2 3 2" xfId="28723" xr:uid="{00000000-0005-0000-0000-0000D1160000}"/>
    <cellStyle name="Normal 107 2 4" xfId="20680" xr:uid="{00000000-0005-0000-0000-0000D2160000}"/>
    <cellStyle name="Normal 107 3" xfId="2689" xr:uid="{00000000-0005-0000-0000-0000D3160000}"/>
    <cellStyle name="Normal 107 3 2" xfId="2690" xr:uid="{00000000-0005-0000-0000-0000D4160000}"/>
    <cellStyle name="Normal 107 3 2 2" xfId="2691" xr:uid="{00000000-0005-0000-0000-0000D5160000}"/>
    <cellStyle name="Normal 107 3 2 2 2" xfId="2692" xr:uid="{00000000-0005-0000-0000-0000D6160000}"/>
    <cellStyle name="Normal 107 3 2 2 2 2" xfId="6938" xr:uid="{00000000-0005-0000-0000-0000D7160000}"/>
    <cellStyle name="Normal 107 3 2 2 2 2 2" xfId="16119" xr:uid="{00000000-0005-0000-0000-0000D8160000}"/>
    <cellStyle name="Normal 107 3 2 2 2 2 2 2" xfId="32693" xr:uid="{00000000-0005-0000-0000-0000D9160000}"/>
    <cellStyle name="Normal 107 3 2 2 2 2 3" xfId="24646" xr:uid="{00000000-0005-0000-0000-0000DA160000}"/>
    <cellStyle name="Normal 107 3 2 2 2 3" xfId="12202" xr:uid="{00000000-0005-0000-0000-0000DB160000}"/>
    <cellStyle name="Normal 107 3 2 2 2 3 2" xfId="28726" xr:uid="{00000000-0005-0000-0000-0000DC160000}"/>
    <cellStyle name="Normal 107 3 2 2 2 4" xfId="20683" xr:uid="{00000000-0005-0000-0000-0000DD160000}"/>
    <cellStyle name="Normal 107 3 2 2 3" xfId="6939" xr:uid="{00000000-0005-0000-0000-0000DE160000}"/>
    <cellStyle name="Normal 107 3 2 2 3 2" xfId="16120" xr:uid="{00000000-0005-0000-0000-0000DF160000}"/>
    <cellStyle name="Normal 107 3 2 2 3 2 2" xfId="32694" xr:uid="{00000000-0005-0000-0000-0000E0160000}"/>
    <cellStyle name="Normal 107 3 2 2 3 3" xfId="24647" xr:uid="{00000000-0005-0000-0000-0000E1160000}"/>
    <cellStyle name="Normal 107 3 2 2 4" xfId="12201" xr:uid="{00000000-0005-0000-0000-0000E2160000}"/>
    <cellStyle name="Normal 107 3 2 2 4 2" xfId="28725" xr:uid="{00000000-0005-0000-0000-0000E3160000}"/>
    <cellStyle name="Normal 107 3 2 2 5" xfId="20682" xr:uid="{00000000-0005-0000-0000-0000E4160000}"/>
    <cellStyle name="Normal 107 3 2 3" xfId="2693" xr:uid="{00000000-0005-0000-0000-0000E5160000}"/>
    <cellStyle name="Normal 107 3 2 3 2" xfId="6940" xr:uid="{00000000-0005-0000-0000-0000E6160000}"/>
    <cellStyle name="Normal 107 3 2 3 2 2" xfId="16121" xr:uid="{00000000-0005-0000-0000-0000E7160000}"/>
    <cellStyle name="Normal 107 3 2 3 2 2 2" xfId="32695" xr:uid="{00000000-0005-0000-0000-0000E8160000}"/>
    <cellStyle name="Normal 107 3 2 3 2 3" xfId="24648" xr:uid="{00000000-0005-0000-0000-0000E9160000}"/>
    <cellStyle name="Normal 107 3 2 3 3" xfId="12203" xr:uid="{00000000-0005-0000-0000-0000EA160000}"/>
    <cellStyle name="Normal 107 3 2 3 3 2" xfId="28727" xr:uid="{00000000-0005-0000-0000-0000EB160000}"/>
    <cellStyle name="Normal 107 3 2 3 4" xfId="20684" xr:uid="{00000000-0005-0000-0000-0000EC160000}"/>
    <cellStyle name="Normal 107 3 2 4" xfId="6941" xr:uid="{00000000-0005-0000-0000-0000ED160000}"/>
    <cellStyle name="Normal 107 3 2 4 2" xfId="16122" xr:uid="{00000000-0005-0000-0000-0000EE160000}"/>
    <cellStyle name="Normal 107 3 2 4 2 2" xfId="32696" xr:uid="{00000000-0005-0000-0000-0000EF160000}"/>
    <cellStyle name="Normal 107 3 2 4 3" xfId="24649" xr:uid="{00000000-0005-0000-0000-0000F0160000}"/>
    <cellStyle name="Normal 107 3 2 5" xfId="12200" xr:uid="{00000000-0005-0000-0000-0000F1160000}"/>
    <cellStyle name="Normal 107 3 2 5 2" xfId="28724" xr:uid="{00000000-0005-0000-0000-0000F2160000}"/>
    <cellStyle name="Normal 107 3 2 6" xfId="20681" xr:uid="{00000000-0005-0000-0000-0000F3160000}"/>
    <cellStyle name="Normal 107 3 3" xfId="2694" xr:uid="{00000000-0005-0000-0000-0000F4160000}"/>
    <cellStyle name="Normal 107 3 3 2" xfId="2695" xr:uid="{00000000-0005-0000-0000-0000F5160000}"/>
    <cellStyle name="Normal 107 3 3 2 2" xfId="6942" xr:uid="{00000000-0005-0000-0000-0000F6160000}"/>
    <cellStyle name="Normal 107 3 3 2 2 2" xfId="16123" xr:uid="{00000000-0005-0000-0000-0000F7160000}"/>
    <cellStyle name="Normal 107 3 3 2 2 2 2" xfId="32697" xr:uid="{00000000-0005-0000-0000-0000F8160000}"/>
    <cellStyle name="Normal 107 3 3 2 2 3" xfId="24650" xr:uid="{00000000-0005-0000-0000-0000F9160000}"/>
    <cellStyle name="Normal 107 3 3 2 3" xfId="12205" xr:uid="{00000000-0005-0000-0000-0000FA160000}"/>
    <cellStyle name="Normal 107 3 3 2 3 2" xfId="28729" xr:uid="{00000000-0005-0000-0000-0000FB160000}"/>
    <cellStyle name="Normal 107 3 3 2 4" xfId="20686" xr:uid="{00000000-0005-0000-0000-0000FC160000}"/>
    <cellStyle name="Normal 107 3 3 3" xfId="6943" xr:uid="{00000000-0005-0000-0000-0000FD160000}"/>
    <cellStyle name="Normal 107 3 3 3 2" xfId="16124" xr:uid="{00000000-0005-0000-0000-0000FE160000}"/>
    <cellStyle name="Normal 107 3 3 3 2 2" xfId="32698" xr:uid="{00000000-0005-0000-0000-0000FF160000}"/>
    <cellStyle name="Normal 107 3 3 3 3" xfId="24651" xr:uid="{00000000-0005-0000-0000-000000170000}"/>
    <cellStyle name="Normal 107 3 3 4" xfId="12204" xr:uid="{00000000-0005-0000-0000-000001170000}"/>
    <cellStyle name="Normal 107 3 3 4 2" xfId="28728" xr:uid="{00000000-0005-0000-0000-000002170000}"/>
    <cellStyle name="Normal 107 3 3 5" xfId="20685" xr:uid="{00000000-0005-0000-0000-000003170000}"/>
    <cellStyle name="Normal 107 3 4" xfId="2696" xr:uid="{00000000-0005-0000-0000-000004170000}"/>
    <cellStyle name="Normal 107 3 4 2" xfId="6944" xr:uid="{00000000-0005-0000-0000-000005170000}"/>
    <cellStyle name="Normal 107 3 4 2 2" xfId="16125" xr:uid="{00000000-0005-0000-0000-000006170000}"/>
    <cellStyle name="Normal 107 3 4 2 2 2" xfId="32699" xr:uid="{00000000-0005-0000-0000-000007170000}"/>
    <cellStyle name="Normal 107 3 4 2 3" xfId="24652" xr:uid="{00000000-0005-0000-0000-000008170000}"/>
    <cellStyle name="Normal 107 3 4 3" xfId="12206" xr:uid="{00000000-0005-0000-0000-000009170000}"/>
    <cellStyle name="Normal 107 3 4 3 2" xfId="28730" xr:uid="{00000000-0005-0000-0000-00000A170000}"/>
    <cellStyle name="Normal 107 3 4 4" xfId="20687" xr:uid="{00000000-0005-0000-0000-00000B170000}"/>
    <cellStyle name="Normal 107 3 5" xfId="2697" xr:uid="{00000000-0005-0000-0000-00000C170000}"/>
    <cellStyle name="Normal 107 3 5 2" xfId="12207" xr:uid="{00000000-0005-0000-0000-00000D170000}"/>
    <cellStyle name="Normal 107 3 5 2 2" xfId="28731" xr:uid="{00000000-0005-0000-0000-00000E170000}"/>
    <cellStyle name="Normal 107 3 5 3" xfId="20688" xr:uid="{00000000-0005-0000-0000-00000F170000}"/>
    <cellStyle name="Normal 107 4" xfId="2698" xr:uid="{00000000-0005-0000-0000-000010170000}"/>
    <cellStyle name="Normal 107 4 2" xfId="2699" xr:uid="{00000000-0005-0000-0000-000011170000}"/>
    <cellStyle name="Normal 107 4 2 2" xfId="2700" xr:uid="{00000000-0005-0000-0000-000012170000}"/>
    <cellStyle name="Normal 107 4 2 2 2" xfId="2701" xr:uid="{00000000-0005-0000-0000-000013170000}"/>
    <cellStyle name="Normal 107 4 2 2 2 2" xfId="6945" xr:uid="{00000000-0005-0000-0000-000014170000}"/>
    <cellStyle name="Normal 107 4 2 2 2 2 2" xfId="16126" xr:uid="{00000000-0005-0000-0000-000015170000}"/>
    <cellStyle name="Normal 107 4 2 2 2 2 2 2" xfId="32700" xr:uid="{00000000-0005-0000-0000-000016170000}"/>
    <cellStyle name="Normal 107 4 2 2 2 2 3" xfId="24653" xr:uid="{00000000-0005-0000-0000-000017170000}"/>
    <cellStyle name="Normal 107 4 2 2 2 3" xfId="12211" xr:uid="{00000000-0005-0000-0000-000018170000}"/>
    <cellStyle name="Normal 107 4 2 2 2 3 2" xfId="28735" xr:uid="{00000000-0005-0000-0000-000019170000}"/>
    <cellStyle name="Normal 107 4 2 2 2 4" xfId="20692" xr:uid="{00000000-0005-0000-0000-00001A170000}"/>
    <cellStyle name="Normal 107 4 2 2 3" xfId="6946" xr:uid="{00000000-0005-0000-0000-00001B170000}"/>
    <cellStyle name="Normal 107 4 2 2 3 2" xfId="16127" xr:uid="{00000000-0005-0000-0000-00001C170000}"/>
    <cellStyle name="Normal 107 4 2 2 3 2 2" xfId="32701" xr:uid="{00000000-0005-0000-0000-00001D170000}"/>
    <cellStyle name="Normal 107 4 2 2 3 3" xfId="24654" xr:uid="{00000000-0005-0000-0000-00001E170000}"/>
    <cellStyle name="Normal 107 4 2 2 4" xfId="12210" xr:uid="{00000000-0005-0000-0000-00001F170000}"/>
    <cellStyle name="Normal 107 4 2 2 4 2" xfId="28734" xr:uid="{00000000-0005-0000-0000-000020170000}"/>
    <cellStyle name="Normal 107 4 2 2 5" xfId="20691" xr:uid="{00000000-0005-0000-0000-000021170000}"/>
    <cellStyle name="Normal 107 4 2 3" xfId="2702" xr:uid="{00000000-0005-0000-0000-000022170000}"/>
    <cellStyle name="Normal 107 4 2 3 2" xfId="6947" xr:uid="{00000000-0005-0000-0000-000023170000}"/>
    <cellStyle name="Normal 107 4 2 3 2 2" xfId="16128" xr:uid="{00000000-0005-0000-0000-000024170000}"/>
    <cellStyle name="Normal 107 4 2 3 2 2 2" xfId="32702" xr:uid="{00000000-0005-0000-0000-000025170000}"/>
    <cellStyle name="Normal 107 4 2 3 2 3" xfId="24655" xr:uid="{00000000-0005-0000-0000-000026170000}"/>
    <cellStyle name="Normal 107 4 2 3 3" xfId="12212" xr:uid="{00000000-0005-0000-0000-000027170000}"/>
    <cellStyle name="Normal 107 4 2 3 3 2" xfId="28736" xr:uid="{00000000-0005-0000-0000-000028170000}"/>
    <cellStyle name="Normal 107 4 2 3 4" xfId="20693" xr:uid="{00000000-0005-0000-0000-000029170000}"/>
    <cellStyle name="Normal 107 4 2 4" xfId="6948" xr:uid="{00000000-0005-0000-0000-00002A170000}"/>
    <cellStyle name="Normal 107 4 2 4 2" xfId="16129" xr:uid="{00000000-0005-0000-0000-00002B170000}"/>
    <cellStyle name="Normal 107 4 2 4 2 2" xfId="32703" xr:uid="{00000000-0005-0000-0000-00002C170000}"/>
    <cellStyle name="Normal 107 4 2 4 3" xfId="24656" xr:uid="{00000000-0005-0000-0000-00002D170000}"/>
    <cellStyle name="Normal 107 4 2 5" xfId="12209" xr:uid="{00000000-0005-0000-0000-00002E170000}"/>
    <cellStyle name="Normal 107 4 2 5 2" xfId="28733" xr:uid="{00000000-0005-0000-0000-00002F170000}"/>
    <cellStyle name="Normal 107 4 2 6" xfId="20690" xr:uid="{00000000-0005-0000-0000-000030170000}"/>
    <cellStyle name="Normal 107 4 3" xfId="2703" xr:uid="{00000000-0005-0000-0000-000031170000}"/>
    <cellStyle name="Normal 107 4 3 2" xfId="2704" xr:uid="{00000000-0005-0000-0000-000032170000}"/>
    <cellStyle name="Normal 107 4 3 2 2" xfId="6949" xr:uid="{00000000-0005-0000-0000-000033170000}"/>
    <cellStyle name="Normal 107 4 3 2 2 2" xfId="16130" xr:uid="{00000000-0005-0000-0000-000034170000}"/>
    <cellStyle name="Normal 107 4 3 2 2 2 2" xfId="32704" xr:uid="{00000000-0005-0000-0000-000035170000}"/>
    <cellStyle name="Normal 107 4 3 2 2 3" xfId="24657" xr:uid="{00000000-0005-0000-0000-000036170000}"/>
    <cellStyle name="Normal 107 4 3 2 3" xfId="12214" xr:uid="{00000000-0005-0000-0000-000037170000}"/>
    <cellStyle name="Normal 107 4 3 2 3 2" xfId="28738" xr:uid="{00000000-0005-0000-0000-000038170000}"/>
    <cellStyle name="Normal 107 4 3 2 4" xfId="20695" xr:uid="{00000000-0005-0000-0000-000039170000}"/>
    <cellStyle name="Normal 107 4 3 3" xfId="6950" xr:uid="{00000000-0005-0000-0000-00003A170000}"/>
    <cellStyle name="Normal 107 4 3 3 2" xfId="16131" xr:uid="{00000000-0005-0000-0000-00003B170000}"/>
    <cellStyle name="Normal 107 4 3 3 2 2" xfId="32705" xr:uid="{00000000-0005-0000-0000-00003C170000}"/>
    <cellStyle name="Normal 107 4 3 3 3" xfId="24658" xr:uid="{00000000-0005-0000-0000-00003D170000}"/>
    <cellStyle name="Normal 107 4 3 4" xfId="12213" xr:uid="{00000000-0005-0000-0000-00003E170000}"/>
    <cellStyle name="Normal 107 4 3 4 2" xfId="28737" xr:uid="{00000000-0005-0000-0000-00003F170000}"/>
    <cellStyle name="Normal 107 4 3 5" xfId="20694" xr:uid="{00000000-0005-0000-0000-000040170000}"/>
    <cellStyle name="Normal 107 4 4" xfId="2705" xr:uid="{00000000-0005-0000-0000-000041170000}"/>
    <cellStyle name="Normal 107 4 4 2" xfId="6951" xr:uid="{00000000-0005-0000-0000-000042170000}"/>
    <cellStyle name="Normal 107 4 4 2 2" xfId="16132" xr:uid="{00000000-0005-0000-0000-000043170000}"/>
    <cellStyle name="Normal 107 4 4 2 2 2" xfId="32706" xr:uid="{00000000-0005-0000-0000-000044170000}"/>
    <cellStyle name="Normal 107 4 4 2 3" xfId="24659" xr:uid="{00000000-0005-0000-0000-000045170000}"/>
    <cellStyle name="Normal 107 4 4 3" xfId="12215" xr:uid="{00000000-0005-0000-0000-000046170000}"/>
    <cellStyle name="Normal 107 4 4 3 2" xfId="28739" xr:uid="{00000000-0005-0000-0000-000047170000}"/>
    <cellStyle name="Normal 107 4 4 4" xfId="20696" xr:uid="{00000000-0005-0000-0000-000048170000}"/>
    <cellStyle name="Normal 107 4 5" xfId="6952" xr:uid="{00000000-0005-0000-0000-000049170000}"/>
    <cellStyle name="Normal 107 4 5 2" xfId="16133" xr:uid="{00000000-0005-0000-0000-00004A170000}"/>
    <cellStyle name="Normal 107 4 5 2 2" xfId="32707" xr:uid="{00000000-0005-0000-0000-00004B170000}"/>
    <cellStyle name="Normal 107 4 5 3" xfId="24660" xr:uid="{00000000-0005-0000-0000-00004C170000}"/>
    <cellStyle name="Normal 107 4 6" xfId="12208" xr:uid="{00000000-0005-0000-0000-00004D170000}"/>
    <cellStyle name="Normal 107 4 6 2" xfId="28732" xr:uid="{00000000-0005-0000-0000-00004E170000}"/>
    <cellStyle name="Normal 107 4 7" xfId="20689" xr:uid="{00000000-0005-0000-0000-00004F170000}"/>
    <cellStyle name="Normal 107 5" xfId="2706" xr:uid="{00000000-0005-0000-0000-000050170000}"/>
    <cellStyle name="Normal 107 5 2" xfId="2707" xr:uid="{00000000-0005-0000-0000-000051170000}"/>
    <cellStyle name="Normal 107 5 2 2" xfId="2708" xr:uid="{00000000-0005-0000-0000-000052170000}"/>
    <cellStyle name="Normal 107 5 2 2 2" xfId="2709" xr:uid="{00000000-0005-0000-0000-000053170000}"/>
    <cellStyle name="Normal 107 5 2 2 2 2" xfId="6953" xr:uid="{00000000-0005-0000-0000-000054170000}"/>
    <cellStyle name="Normal 107 5 2 2 2 2 2" xfId="16134" xr:uid="{00000000-0005-0000-0000-000055170000}"/>
    <cellStyle name="Normal 107 5 2 2 2 2 2 2" xfId="32708" xr:uid="{00000000-0005-0000-0000-000056170000}"/>
    <cellStyle name="Normal 107 5 2 2 2 2 3" xfId="24661" xr:uid="{00000000-0005-0000-0000-000057170000}"/>
    <cellStyle name="Normal 107 5 2 2 2 3" xfId="12219" xr:uid="{00000000-0005-0000-0000-000058170000}"/>
    <cellStyle name="Normal 107 5 2 2 2 3 2" xfId="28743" xr:uid="{00000000-0005-0000-0000-000059170000}"/>
    <cellStyle name="Normal 107 5 2 2 2 4" xfId="20700" xr:uid="{00000000-0005-0000-0000-00005A170000}"/>
    <cellStyle name="Normal 107 5 2 2 3" xfId="6954" xr:uid="{00000000-0005-0000-0000-00005B170000}"/>
    <cellStyle name="Normal 107 5 2 2 3 2" xfId="16135" xr:uid="{00000000-0005-0000-0000-00005C170000}"/>
    <cellStyle name="Normal 107 5 2 2 3 2 2" xfId="32709" xr:uid="{00000000-0005-0000-0000-00005D170000}"/>
    <cellStyle name="Normal 107 5 2 2 3 3" xfId="24662" xr:uid="{00000000-0005-0000-0000-00005E170000}"/>
    <cellStyle name="Normal 107 5 2 2 4" xfId="12218" xr:uid="{00000000-0005-0000-0000-00005F170000}"/>
    <cellStyle name="Normal 107 5 2 2 4 2" xfId="28742" xr:uid="{00000000-0005-0000-0000-000060170000}"/>
    <cellStyle name="Normal 107 5 2 2 5" xfId="20699" xr:uid="{00000000-0005-0000-0000-000061170000}"/>
    <cellStyle name="Normal 107 5 2 3" xfId="2710" xr:uid="{00000000-0005-0000-0000-000062170000}"/>
    <cellStyle name="Normal 107 5 2 3 2" xfId="6955" xr:uid="{00000000-0005-0000-0000-000063170000}"/>
    <cellStyle name="Normal 107 5 2 3 2 2" xfId="16136" xr:uid="{00000000-0005-0000-0000-000064170000}"/>
    <cellStyle name="Normal 107 5 2 3 2 2 2" xfId="32710" xr:uid="{00000000-0005-0000-0000-000065170000}"/>
    <cellStyle name="Normal 107 5 2 3 2 3" xfId="24663" xr:uid="{00000000-0005-0000-0000-000066170000}"/>
    <cellStyle name="Normal 107 5 2 3 3" xfId="12220" xr:uid="{00000000-0005-0000-0000-000067170000}"/>
    <cellStyle name="Normal 107 5 2 3 3 2" xfId="28744" xr:uid="{00000000-0005-0000-0000-000068170000}"/>
    <cellStyle name="Normal 107 5 2 3 4" xfId="20701" xr:uid="{00000000-0005-0000-0000-000069170000}"/>
    <cellStyle name="Normal 107 5 2 4" xfId="6956" xr:uid="{00000000-0005-0000-0000-00006A170000}"/>
    <cellStyle name="Normal 107 5 2 4 2" xfId="16137" xr:uid="{00000000-0005-0000-0000-00006B170000}"/>
    <cellStyle name="Normal 107 5 2 4 2 2" xfId="32711" xr:uid="{00000000-0005-0000-0000-00006C170000}"/>
    <cellStyle name="Normal 107 5 2 4 3" xfId="24664" xr:uid="{00000000-0005-0000-0000-00006D170000}"/>
    <cellStyle name="Normal 107 5 2 5" xfId="12217" xr:uid="{00000000-0005-0000-0000-00006E170000}"/>
    <cellStyle name="Normal 107 5 2 5 2" xfId="28741" xr:uid="{00000000-0005-0000-0000-00006F170000}"/>
    <cellStyle name="Normal 107 5 2 6" xfId="20698" xr:uid="{00000000-0005-0000-0000-000070170000}"/>
    <cellStyle name="Normal 107 5 3" xfId="2711" xr:uid="{00000000-0005-0000-0000-000071170000}"/>
    <cellStyle name="Normal 107 5 3 2" xfId="2712" xr:uid="{00000000-0005-0000-0000-000072170000}"/>
    <cellStyle name="Normal 107 5 3 2 2" xfId="6957" xr:uid="{00000000-0005-0000-0000-000073170000}"/>
    <cellStyle name="Normal 107 5 3 2 2 2" xfId="16138" xr:uid="{00000000-0005-0000-0000-000074170000}"/>
    <cellStyle name="Normal 107 5 3 2 2 2 2" xfId="32712" xr:uid="{00000000-0005-0000-0000-000075170000}"/>
    <cellStyle name="Normal 107 5 3 2 2 3" xfId="24665" xr:uid="{00000000-0005-0000-0000-000076170000}"/>
    <cellStyle name="Normal 107 5 3 2 3" xfId="12222" xr:uid="{00000000-0005-0000-0000-000077170000}"/>
    <cellStyle name="Normal 107 5 3 2 3 2" xfId="28746" xr:uid="{00000000-0005-0000-0000-000078170000}"/>
    <cellStyle name="Normal 107 5 3 2 4" xfId="20703" xr:uid="{00000000-0005-0000-0000-000079170000}"/>
    <cellStyle name="Normal 107 5 3 3" xfId="6958" xr:uid="{00000000-0005-0000-0000-00007A170000}"/>
    <cellStyle name="Normal 107 5 3 3 2" xfId="16139" xr:uid="{00000000-0005-0000-0000-00007B170000}"/>
    <cellStyle name="Normal 107 5 3 3 2 2" xfId="32713" xr:uid="{00000000-0005-0000-0000-00007C170000}"/>
    <cellStyle name="Normal 107 5 3 3 3" xfId="24666" xr:uid="{00000000-0005-0000-0000-00007D170000}"/>
    <cellStyle name="Normal 107 5 3 4" xfId="12221" xr:uid="{00000000-0005-0000-0000-00007E170000}"/>
    <cellStyle name="Normal 107 5 3 4 2" xfId="28745" xr:uid="{00000000-0005-0000-0000-00007F170000}"/>
    <cellStyle name="Normal 107 5 3 5" xfId="20702" xr:uid="{00000000-0005-0000-0000-000080170000}"/>
    <cellStyle name="Normal 107 5 4" xfId="2713" xr:uid="{00000000-0005-0000-0000-000081170000}"/>
    <cellStyle name="Normal 107 5 4 2" xfId="6959" xr:uid="{00000000-0005-0000-0000-000082170000}"/>
    <cellStyle name="Normal 107 5 4 2 2" xfId="16140" xr:uid="{00000000-0005-0000-0000-000083170000}"/>
    <cellStyle name="Normal 107 5 4 2 2 2" xfId="32714" xr:uid="{00000000-0005-0000-0000-000084170000}"/>
    <cellStyle name="Normal 107 5 4 2 3" xfId="24667" xr:uid="{00000000-0005-0000-0000-000085170000}"/>
    <cellStyle name="Normal 107 5 4 3" xfId="12223" xr:uid="{00000000-0005-0000-0000-000086170000}"/>
    <cellStyle name="Normal 107 5 4 3 2" xfId="28747" xr:uid="{00000000-0005-0000-0000-000087170000}"/>
    <cellStyle name="Normal 107 5 4 4" xfId="20704" xr:uid="{00000000-0005-0000-0000-000088170000}"/>
    <cellStyle name="Normal 107 5 5" xfId="6960" xr:uid="{00000000-0005-0000-0000-000089170000}"/>
    <cellStyle name="Normal 107 5 5 2" xfId="16141" xr:uid="{00000000-0005-0000-0000-00008A170000}"/>
    <cellStyle name="Normal 107 5 5 2 2" xfId="32715" xr:uid="{00000000-0005-0000-0000-00008B170000}"/>
    <cellStyle name="Normal 107 5 5 3" xfId="24668" xr:uid="{00000000-0005-0000-0000-00008C170000}"/>
    <cellStyle name="Normal 107 5 6" xfId="12216" xr:uid="{00000000-0005-0000-0000-00008D170000}"/>
    <cellStyle name="Normal 107 5 6 2" xfId="28740" xr:uid="{00000000-0005-0000-0000-00008E170000}"/>
    <cellStyle name="Normal 107 5 7" xfId="20697" xr:uid="{00000000-0005-0000-0000-00008F170000}"/>
    <cellStyle name="Normal 107 6" xfId="2714" xr:uid="{00000000-0005-0000-0000-000090170000}"/>
    <cellStyle name="Normal 107 6 2" xfId="2715" xr:uid="{00000000-0005-0000-0000-000091170000}"/>
    <cellStyle name="Normal 107 6 2 2" xfId="2716" xr:uid="{00000000-0005-0000-0000-000092170000}"/>
    <cellStyle name="Normal 107 6 2 2 2" xfId="6961" xr:uid="{00000000-0005-0000-0000-000093170000}"/>
    <cellStyle name="Normal 107 6 2 2 2 2" xfId="16142" xr:uid="{00000000-0005-0000-0000-000094170000}"/>
    <cellStyle name="Normal 107 6 2 2 2 2 2" xfId="32716" xr:uid="{00000000-0005-0000-0000-000095170000}"/>
    <cellStyle name="Normal 107 6 2 2 2 3" xfId="24669" xr:uid="{00000000-0005-0000-0000-000096170000}"/>
    <cellStyle name="Normal 107 6 2 2 3" xfId="12226" xr:uid="{00000000-0005-0000-0000-000097170000}"/>
    <cellStyle name="Normal 107 6 2 2 3 2" xfId="28750" xr:uid="{00000000-0005-0000-0000-000098170000}"/>
    <cellStyle name="Normal 107 6 2 2 4" xfId="20707" xr:uid="{00000000-0005-0000-0000-000099170000}"/>
    <cellStyle name="Normal 107 6 2 3" xfId="6962" xr:uid="{00000000-0005-0000-0000-00009A170000}"/>
    <cellStyle name="Normal 107 6 2 3 2" xfId="16143" xr:uid="{00000000-0005-0000-0000-00009B170000}"/>
    <cellStyle name="Normal 107 6 2 3 2 2" xfId="32717" xr:uid="{00000000-0005-0000-0000-00009C170000}"/>
    <cellStyle name="Normal 107 6 2 3 3" xfId="24670" xr:uid="{00000000-0005-0000-0000-00009D170000}"/>
    <cellStyle name="Normal 107 6 2 4" xfId="12225" xr:uid="{00000000-0005-0000-0000-00009E170000}"/>
    <cellStyle name="Normal 107 6 2 4 2" xfId="28749" xr:uid="{00000000-0005-0000-0000-00009F170000}"/>
    <cellStyle name="Normal 107 6 2 5" xfId="20706" xr:uid="{00000000-0005-0000-0000-0000A0170000}"/>
    <cellStyle name="Normal 107 6 3" xfId="2717" xr:uid="{00000000-0005-0000-0000-0000A1170000}"/>
    <cellStyle name="Normal 107 6 3 2" xfId="6963" xr:uid="{00000000-0005-0000-0000-0000A2170000}"/>
    <cellStyle name="Normal 107 6 3 2 2" xfId="16144" xr:uid="{00000000-0005-0000-0000-0000A3170000}"/>
    <cellStyle name="Normal 107 6 3 2 2 2" xfId="32718" xr:uid="{00000000-0005-0000-0000-0000A4170000}"/>
    <cellStyle name="Normal 107 6 3 2 3" xfId="24671" xr:uid="{00000000-0005-0000-0000-0000A5170000}"/>
    <cellStyle name="Normal 107 6 3 3" xfId="12227" xr:uid="{00000000-0005-0000-0000-0000A6170000}"/>
    <cellStyle name="Normal 107 6 3 3 2" xfId="28751" xr:uid="{00000000-0005-0000-0000-0000A7170000}"/>
    <cellStyle name="Normal 107 6 3 4" xfId="20708" xr:uid="{00000000-0005-0000-0000-0000A8170000}"/>
    <cellStyle name="Normal 107 6 4" xfId="6964" xr:uid="{00000000-0005-0000-0000-0000A9170000}"/>
    <cellStyle name="Normal 107 6 4 2" xfId="16145" xr:uid="{00000000-0005-0000-0000-0000AA170000}"/>
    <cellStyle name="Normal 107 6 4 2 2" xfId="32719" xr:uid="{00000000-0005-0000-0000-0000AB170000}"/>
    <cellStyle name="Normal 107 6 4 3" xfId="24672" xr:uid="{00000000-0005-0000-0000-0000AC170000}"/>
    <cellStyle name="Normal 107 6 5" xfId="12224" xr:uid="{00000000-0005-0000-0000-0000AD170000}"/>
    <cellStyle name="Normal 107 6 5 2" xfId="28748" xr:uid="{00000000-0005-0000-0000-0000AE170000}"/>
    <cellStyle name="Normal 107 6 6" xfId="20705" xr:uid="{00000000-0005-0000-0000-0000AF170000}"/>
    <cellStyle name="Normal 107 7" xfId="2718" xr:uid="{00000000-0005-0000-0000-0000B0170000}"/>
    <cellStyle name="Normal 107 7 2" xfId="2719" xr:uid="{00000000-0005-0000-0000-0000B1170000}"/>
    <cellStyle name="Normal 107 7 2 2" xfId="6965" xr:uid="{00000000-0005-0000-0000-0000B2170000}"/>
    <cellStyle name="Normal 107 7 2 2 2" xfId="16146" xr:uid="{00000000-0005-0000-0000-0000B3170000}"/>
    <cellStyle name="Normal 107 7 2 2 2 2" xfId="32720" xr:uid="{00000000-0005-0000-0000-0000B4170000}"/>
    <cellStyle name="Normal 107 7 2 2 3" xfId="24673" xr:uid="{00000000-0005-0000-0000-0000B5170000}"/>
    <cellStyle name="Normal 107 7 2 3" xfId="12229" xr:uid="{00000000-0005-0000-0000-0000B6170000}"/>
    <cellStyle name="Normal 107 7 2 3 2" xfId="28753" xr:uid="{00000000-0005-0000-0000-0000B7170000}"/>
    <cellStyle name="Normal 107 7 2 4" xfId="20710" xr:uid="{00000000-0005-0000-0000-0000B8170000}"/>
    <cellStyle name="Normal 107 7 3" xfId="6966" xr:uid="{00000000-0005-0000-0000-0000B9170000}"/>
    <cellStyle name="Normal 107 7 3 2" xfId="16147" xr:uid="{00000000-0005-0000-0000-0000BA170000}"/>
    <cellStyle name="Normal 107 7 3 2 2" xfId="32721" xr:uid="{00000000-0005-0000-0000-0000BB170000}"/>
    <cellStyle name="Normal 107 7 3 3" xfId="24674" xr:uid="{00000000-0005-0000-0000-0000BC170000}"/>
    <cellStyle name="Normal 107 7 4" xfId="12228" xr:uid="{00000000-0005-0000-0000-0000BD170000}"/>
    <cellStyle name="Normal 107 7 4 2" xfId="28752" xr:uid="{00000000-0005-0000-0000-0000BE170000}"/>
    <cellStyle name="Normal 107 7 5" xfId="20709" xr:uid="{00000000-0005-0000-0000-0000BF170000}"/>
    <cellStyle name="Normal 107 8" xfId="2720" xr:uid="{00000000-0005-0000-0000-0000C0170000}"/>
    <cellStyle name="Normal 107 8 2" xfId="6967" xr:uid="{00000000-0005-0000-0000-0000C1170000}"/>
    <cellStyle name="Normal 107 8 2 2" xfId="16148" xr:uid="{00000000-0005-0000-0000-0000C2170000}"/>
    <cellStyle name="Normal 107 8 2 2 2" xfId="32722" xr:uid="{00000000-0005-0000-0000-0000C3170000}"/>
    <cellStyle name="Normal 107 8 2 3" xfId="24675" xr:uid="{00000000-0005-0000-0000-0000C4170000}"/>
    <cellStyle name="Normal 107 8 3" xfId="12230" xr:uid="{00000000-0005-0000-0000-0000C5170000}"/>
    <cellStyle name="Normal 107 8 3 2" xfId="28754" xr:uid="{00000000-0005-0000-0000-0000C6170000}"/>
    <cellStyle name="Normal 107 8 4" xfId="20711" xr:uid="{00000000-0005-0000-0000-0000C7170000}"/>
    <cellStyle name="Normal 107 9" xfId="6968" xr:uid="{00000000-0005-0000-0000-0000C8170000}"/>
    <cellStyle name="Normal 107 9 2" xfId="16149" xr:uid="{00000000-0005-0000-0000-0000C9170000}"/>
    <cellStyle name="Normal 107 9 2 2" xfId="32723" xr:uid="{00000000-0005-0000-0000-0000CA170000}"/>
    <cellStyle name="Normal 107 9 3" xfId="24676" xr:uid="{00000000-0005-0000-0000-0000CB170000}"/>
    <cellStyle name="Normal 108" xfId="2721" xr:uid="{00000000-0005-0000-0000-0000CC170000}"/>
    <cellStyle name="Normal 108 10" xfId="12231" xr:uid="{00000000-0005-0000-0000-0000CD170000}"/>
    <cellStyle name="Normal 108 10 2" xfId="28755" xr:uid="{00000000-0005-0000-0000-0000CE170000}"/>
    <cellStyle name="Normal 108 11" xfId="20712" xr:uid="{00000000-0005-0000-0000-0000CF170000}"/>
    <cellStyle name="Normal 108 2" xfId="2722" xr:uid="{00000000-0005-0000-0000-0000D0170000}"/>
    <cellStyle name="Normal 108 2 2" xfId="2723" xr:uid="{00000000-0005-0000-0000-0000D1170000}"/>
    <cellStyle name="Normal 108 2 3" xfId="12232" xr:uid="{00000000-0005-0000-0000-0000D2170000}"/>
    <cellStyle name="Normal 108 2 3 2" xfId="28756" xr:uid="{00000000-0005-0000-0000-0000D3170000}"/>
    <cellStyle name="Normal 108 2 4" xfId="20713" xr:uid="{00000000-0005-0000-0000-0000D4170000}"/>
    <cellStyle name="Normal 108 3" xfId="2724" xr:uid="{00000000-0005-0000-0000-0000D5170000}"/>
    <cellStyle name="Normal 108 3 2" xfId="2725" xr:uid="{00000000-0005-0000-0000-0000D6170000}"/>
    <cellStyle name="Normal 108 3 2 2" xfId="2726" xr:uid="{00000000-0005-0000-0000-0000D7170000}"/>
    <cellStyle name="Normal 108 3 2 2 2" xfId="2727" xr:uid="{00000000-0005-0000-0000-0000D8170000}"/>
    <cellStyle name="Normal 108 3 2 2 2 2" xfId="6969" xr:uid="{00000000-0005-0000-0000-0000D9170000}"/>
    <cellStyle name="Normal 108 3 2 2 2 2 2" xfId="16150" xr:uid="{00000000-0005-0000-0000-0000DA170000}"/>
    <cellStyle name="Normal 108 3 2 2 2 2 2 2" xfId="32724" xr:uid="{00000000-0005-0000-0000-0000DB170000}"/>
    <cellStyle name="Normal 108 3 2 2 2 2 3" xfId="24677" xr:uid="{00000000-0005-0000-0000-0000DC170000}"/>
    <cellStyle name="Normal 108 3 2 2 2 3" xfId="12235" xr:uid="{00000000-0005-0000-0000-0000DD170000}"/>
    <cellStyle name="Normal 108 3 2 2 2 3 2" xfId="28759" xr:uid="{00000000-0005-0000-0000-0000DE170000}"/>
    <cellStyle name="Normal 108 3 2 2 2 4" xfId="20716" xr:uid="{00000000-0005-0000-0000-0000DF170000}"/>
    <cellStyle name="Normal 108 3 2 2 3" xfId="6970" xr:uid="{00000000-0005-0000-0000-0000E0170000}"/>
    <cellStyle name="Normal 108 3 2 2 3 2" xfId="16151" xr:uid="{00000000-0005-0000-0000-0000E1170000}"/>
    <cellStyle name="Normal 108 3 2 2 3 2 2" xfId="32725" xr:uid="{00000000-0005-0000-0000-0000E2170000}"/>
    <cellStyle name="Normal 108 3 2 2 3 3" xfId="24678" xr:uid="{00000000-0005-0000-0000-0000E3170000}"/>
    <cellStyle name="Normal 108 3 2 2 4" xfId="12234" xr:uid="{00000000-0005-0000-0000-0000E4170000}"/>
    <cellStyle name="Normal 108 3 2 2 4 2" xfId="28758" xr:uid="{00000000-0005-0000-0000-0000E5170000}"/>
    <cellStyle name="Normal 108 3 2 2 5" xfId="20715" xr:uid="{00000000-0005-0000-0000-0000E6170000}"/>
    <cellStyle name="Normal 108 3 2 3" xfId="2728" xr:uid="{00000000-0005-0000-0000-0000E7170000}"/>
    <cellStyle name="Normal 108 3 2 3 2" xfId="6971" xr:uid="{00000000-0005-0000-0000-0000E8170000}"/>
    <cellStyle name="Normal 108 3 2 3 2 2" xfId="16152" xr:uid="{00000000-0005-0000-0000-0000E9170000}"/>
    <cellStyle name="Normal 108 3 2 3 2 2 2" xfId="32726" xr:uid="{00000000-0005-0000-0000-0000EA170000}"/>
    <cellStyle name="Normal 108 3 2 3 2 3" xfId="24679" xr:uid="{00000000-0005-0000-0000-0000EB170000}"/>
    <cellStyle name="Normal 108 3 2 3 3" xfId="12236" xr:uid="{00000000-0005-0000-0000-0000EC170000}"/>
    <cellStyle name="Normal 108 3 2 3 3 2" xfId="28760" xr:uid="{00000000-0005-0000-0000-0000ED170000}"/>
    <cellStyle name="Normal 108 3 2 3 4" xfId="20717" xr:uid="{00000000-0005-0000-0000-0000EE170000}"/>
    <cellStyle name="Normal 108 3 2 4" xfId="6972" xr:uid="{00000000-0005-0000-0000-0000EF170000}"/>
    <cellStyle name="Normal 108 3 2 4 2" xfId="16153" xr:uid="{00000000-0005-0000-0000-0000F0170000}"/>
    <cellStyle name="Normal 108 3 2 4 2 2" xfId="32727" xr:uid="{00000000-0005-0000-0000-0000F1170000}"/>
    <cellStyle name="Normal 108 3 2 4 3" xfId="24680" xr:uid="{00000000-0005-0000-0000-0000F2170000}"/>
    <cellStyle name="Normal 108 3 2 5" xfId="12233" xr:uid="{00000000-0005-0000-0000-0000F3170000}"/>
    <cellStyle name="Normal 108 3 2 5 2" xfId="28757" xr:uid="{00000000-0005-0000-0000-0000F4170000}"/>
    <cellStyle name="Normal 108 3 2 6" xfId="20714" xr:uid="{00000000-0005-0000-0000-0000F5170000}"/>
    <cellStyle name="Normal 108 3 3" xfId="2729" xr:uid="{00000000-0005-0000-0000-0000F6170000}"/>
    <cellStyle name="Normal 108 3 3 2" xfId="2730" xr:uid="{00000000-0005-0000-0000-0000F7170000}"/>
    <cellStyle name="Normal 108 3 3 2 2" xfId="6973" xr:uid="{00000000-0005-0000-0000-0000F8170000}"/>
    <cellStyle name="Normal 108 3 3 2 2 2" xfId="16154" xr:uid="{00000000-0005-0000-0000-0000F9170000}"/>
    <cellStyle name="Normal 108 3 3 2 2 2 2" xfId="32728" xr:uid="{00000000-0005-0000-0000-0000FA170000}"/>
    <cellStyle name="Normal 108 3 3 2 2 3" xfId="24681" xr:uid="{00000000-0005-0000-0000-0000FB170000}"/>
    <cellStyle name="Normal 108 3 3 2 3" xfId="12238" xr:uid="{00000000-0005-0000-0000-0000FC170000}"/>
    <cellStyle name="Normal 108 3 3 2 3 2" xfId="28762" xr:uid="{00000000-0005-0000-0000-0000FD170000}"/>
    <cellStyle name="Normal 108 3 3 2 4" xfId="20719" xr:uid="{00000000-0005-0000-0000-0000FE170000}"/>
    <cellStyle name="Normal 108 3 3 3" xfId="6974" xr:uid="{00000000-0005-0000-0000-0000FF170000}"/>
    <cellStyle name="Normal 108 3 3 3 2" xfId="16155" xr:uid="{00000000-0005-0000-0000-000000180000}"/>
    <cellStyle name="Normal 108 3 3 3 2 2" xfId="32729" xr:uid="{00000000-0005-0000-0000-000001180000}"/>
    <cellStyle name="Normal 108 3 3 3 3" xfId="24682" xr:uid="{00000000-0005-0000-0000-000002180000}"/>
    <cellStyle name="Normal 108 3 3 4" xfId="12237" xr:uid="{00000000-0005-0000-0000-000003180000}"/>
    <cellStyle name="Normal 108 3 3 4 2" xfId="28761" xr:uid="{00000000-0005-0000-0000-000004180000}"/>
    <cellStyle name="Normal 108 3 3 5" xfId="20718" xr:uid="{00000000-0005-0000-0000-000005180000}"/>
    <cellStyle name="Normal 108 3 4" xfId="2731" xr:uid="{00000000-0005-0000-0000-000006180000}"/>
    <cellStyle name="Normal 108 3 4 2" xfId="6975" xr:uid="{00000000-0005-0000-0000-000007180000}"/>
    <cellStyle name="Normal 108 3 4 2 2" xfId="16156" xr:uid="{00000000-0005-0000-0000-000008180000}"/>
    <cellStyle name="Normal 108 3 4 2 2 2" xfId="32730" xr:uid="{00000000-0005-0000-0000-000009180000}"/>
    <cellStyle name="Normal 108 3 4 2 3" xfId="24683" xr:uid="{00000000-0005-0000-0000-00000A180000}"/>
    <cellStyle name="Normal 108 3 4 3" xfId="12239" xr:uid="{00000000-0005-0000-0000-00000B180000}"/>
    <cellStyle name="Normal 108 3 4 3 2" xfId="28763" xr:uid="{00000000-0005-0000-0000-00000C180000}"/>
    <cellStyle name="Normal 108 3 4 4" xfId="20720" xr:uid="{00000000-0005-0000-0000-00000D180000}"/>
    <cellStyle name="Normal 108 3 5" xfId="2732" xr:uid="{00000000-0005-0000-0000-00000E180000}"/>
    <cellStyle name="Normal 108 3 5 2" xfId="12240" xr:uid="{00000000-0005-0000-0000-00000F180000}"/>
    <cellStyle name="Normal 108 3 5 2 2" xfId="28764" xr:uid="{00000000-0005-0000-0000-000010180000}"/>
    <cellStyle name="Normal 108 3 5 3" xfId="20721" xr:uid="{00000000-0005-0000-0000-000011180000}"/>
    <cellStyle name="Normal 108 4" xfId="2733" xr:uid="{00000000-0005-0000-0000-000012180000}"/>
    <cellStyle name="Normal 108 4 2" xfId="2734" xr:uid="{00000000-0005-0000-0000-000013180000}"/>
    <cellStyle name="Normal 108 4 2 2" xfId="2735" xr:uid="{00000000-0005-0000-0000-000014180000}"/>
    <cellStyle name="Normal 108 4 2 2 2" xfId="2736" xr:uid="{00000000-0005-0000-0000-000015180000}"/>
    <cellStyle name="Normal 108 4 2 2 2 2" xfId="6976" xr:uid="{00000000-0005-0000-0000-000016180000}"/>
    <cellStyle name="Normal 108 4 2 2 2 2 2" xfId="16157" xr:uid="{00000000-0005-0000-0000-000017180000}"/>
    <cellStyle name="Normal 108 4 2 2 2 2 2 2" xfId="32731" xr:uid="{00000000-0005-0000-0000-000018180000}"/>
    <cellStyle name="Normal 108 4 2 2 2 2 3" xfId="24684" xr:uid="{00000000-0005-0000-0000-000019180000}"/>
    <cellStyle name="Normal 108 4 2 2 2 3" xfId="12244" xr:uid="{00000000-0005-0000-0000-00001A180000}"/>
    <cellStyle name="Normal 108 4 2 2 2 3 2" xfId="28768" xr:uid="{00000000-0005-0000-0000-00001B180000}"/>
    <cellStyle name="Normal 108 4 2 2 2 4" xfId="20725" xr:uid="{00000000-0005-0000-0000-00001C180000}"/>
    <cellStyle name="Normal 108 4 2 2 3" xfId="6977" xr:uid="{00000000-0005-0000-0000-00001D180000}"/>
    <cellStyle name="Normal 108 4 2 2 3 2" xfId="16158" xr:uid="{00000000-0005-0000-0000-00001E180000}"/>
    <cellStyle name="Normal 108 4 2 2 3 2 2" xfId="32732" xr:uid="{00000000-0005-0000-0000-00001F180000}"/>
    <cellStyle name="Normal 108 4 2 2 3 3" xfId="24685" xr:uid="{00000000-0005-0000-0000-000020180000}"/>
    <cellStyle name="Normal 108 4 2 2 4" xfId="12243" xr:uid="{00000000-0005-0000-0000-000021180000}"/>
    <cellStyle name="Normal 108 4 2 2 4 2" xfId="28767" xr:uid="{00000000-0005-0000-0000-000022180000}"/>
    <cellStyle name="Normal 108 4 2 2 5" xfId="20724" xr:uid="{00000000-0005-0000-0000-000023180000}"/>
    <cellStyle name="Normal 108 4 2 3" xfId="2737" xr:uid="{00000000-0005-0000-0000-000024180000}"/>
    <cellStyle name="Normal 108 4 2 3 2" xfId="6978" xr:uid="{00000000-0005-0000-0000-000025180000}"/>
    <cellStyle name="Normal 108 4 2 3 2 2" xfId="16159" xr:uid="{00000000-0005-0000-0000-000026180000}"/>
    <cellStyle name="Normal 108 4 2 3 2 2 2" xfId="32733" xr:uid="{00000000-0005-0000-0000-000027180000}"/>
    <cellStyle name="Normal 108 4 2 3 2 3" xfId="24686" xr:uid="{00000000-0005-0000-0000-000028180000}"/>
    <cellStyle name="Normal 108 4 2 3 3" xfId="12245" xr:uid="{00000000-0005-0000-0000-000029180000}"/>
    <cellStyle name="Normal 108 4 2 3 3 2" xfId="28769" xr:uid="{00000000-0005-0000-0000-00002A180000}"/>
    <cellStyle name="Normal 108 4 2 3 4" xfId="20726" xr:uid="{00000000-0005-0000-0000-00002B180000}"/>
    <cellStyle name="Normal 108 4 2 4" xfId="6979" xr:uid="{00000000-0005-0000-0000-00002C180000}"/>
    <cellStyle name="Normal 108 4 2 4 2" xfId="16160" xr:uid="{00000000-0005-0000-0000-00002D180000}"/>
    <cellStyle name="Normal 108 4 2 4 2 2" xfId="32734" xr:uid="{00000000-0005-0000-0000-00002E180000}"/>
    <cellStyle name="Normal 108 4 2 4 3" xfId="24687" xr:uid="{00000000-0005-0000-0000-00002F180000}"/>
    <cellStyle name="Normal 108 4 2 5" xfId="12242" xr:uid="{00000000-0005-0000-0000-000030180000}"/>
    <cellStyle name="Normal 108 4 2 5 2" xfId="28766" xr:uid="{00000000-0005-0000-0000-000031180000}"/>
    <cellStyle name="Normal 108 4 2 6" xfId="20723" xr:uid="{00000000-0005-0000-0000-000032180000}"/>
    <cellStyle name="Normal 108 4 3" xfId="2738" xr:uid="{00000000-0005-0000-0000-000033180000}"/>
    <cellStyle name="Normal 108 4 3 2" xfId="2739" xr:uid="{00000000-0005-0000-0000-000034180000}"/>
    <cellStyle name="Normal 108 4 3 2 2" xfId="6980" xr:uid="{00000000-0005-0000-0000-000035180000}"/>
    <cellStyle name="Normal 108 4 3 2 2 2" xfId="16161" xr:uid="{00000000-0005-0000-0000-000036180000}"/>
    <cellStyle name="Normal 108 4 3 2 2 2 2" xfId="32735" xr:uid="{00000000-0005-0000-0000-000037180000}"/>
    <cellStyle name="Normal 108 4 3 2 2 3" xfId="24688" xr:uid="{00000000-0005-0000-0000-000038180000}"/>
    <cellStyle name="Normal 108 4 3 2 3" xfId="12247" xr:uid="{00000000-0005-0000-0000-000039180000}"/>
    <cellStyle name="Normal 108 4 3 2 3 2" xfId="28771" xr:uid="{00000000-0005-0000-0000-00003A180000}"/>
    <cellStyle name="Normal 108 4 3 2 4" xfId="20728" xr:uid="{00000000-0005-0000-0000-00003B180000}"/>
    <cellStyle name="Normal 108 4 3 3" xfId="6981" xr:uid="{00000000-0005-0000-0000-00003C180000}"/>
    <cellStyle name="Normal 108 4 3 3 2" xfId="16162" xr:uid="{00000000-0005-0000-0000-00003D180000}"/>
    <cellStyle name="Normal 108 4 3 3 2 2" xfId="32736" xr:uid="{00000000-0005-0000-0000-00003E180000}"/>
    <cellStyle name="Normal 108 4 3 3 3" xfId="24689" xr:uid="{00000000-0005-0000-0000-00003F180000}"/>
    <cellStyle name="Normal 108 4 3 4" xfId="12246" xr:uid="{00000000-0005-0000-0000-000040180000}"/>
    <cellStyle name="Normal 108 4 3 4 2" xfId="28770" xr:uid="{00000000-0005-0000-0000-000041180000}"/>
    <cellStyle name="Normal 108 4 3 5" xfId="20727" xr:uid="{00000000-0005-0000-0000-000042180000}"/>
    <cellStyle name="Normal 108 4 4" xfId="2740" xr:uid="{00000000-0005-0000-0000-000043180000}"/>
    <cellStyle name="Normal 108 4 4 2" xfId="6982" xr:uid="{00000000-0005-0000-0000-000044180000}"/>
    <cellStyle name="Normal 108 4 4 2 2" xfId="16163" xr:uid="{00000000-0005-0000-0000-000045180000}"/>
    <cellStyle name="Normal 108 4 4 2 2 2" xfId="32737" xr:uid="{00000000-0005-0000-0000-000046180000}"/>
    <cellStyle name="Normal 108 4 4 2 3" xfId="24690" xr:uid="{00000000-0005-0000-0000-000047180000}"/>
    <cellStyle name="Normal 108 4 4 3" xfId="12248" xr:uid="{00000000-0005-0000-0000-000048180000}"/>
    <cellStyle name="Normal 108 4 4 3 2" xfId="28772" xr:uid="{00000000-0005-0000-0000-000049180000}"/>
    <cellStyle name="Normal 108 4 4 4" xfId="20729" xr:uid="{00000000-0005-0000-0000-00004A180000}"/>
    <cellStyle name="Normal 108 4 5" xfId="6983" xr:uid="{00000000-0005-0000-0000-00004B180000}"/>
    <cellStyle name="Normal 108 4 5 2" xfId="16164" xr:uid="{00000000-0005-0000-0000-00004C180000}"/>
    <cellStyle name="Normal 108 4 5 2 2" xfId="32738" xr:uid="{00000000-0005-0000-0000-00004D180000}"/>
    <cellStyle name="Normal 108 4 5 3" xfId="24691" xr:uid="{00000000-0005-0000-0000-00004E180000}"/>
    <cellStyle name="Normal 108 4 6" xfId="12241" xr:uid="{00000000-0005-0000-0000-00004F180000}"/>
    <cellStyle name="Normal 108 4 6 2" xfId="28765" xr:uid="{00000000-0005-0000-0000-000050180000}"/>
    <cellStyle name="Normal 108 4 7" xfId="20722" xr:uid="{00000000-0005-0000-0000-000051180000}"/>
    <cellStyle name="Normal 108 5" xfId="2741" xr:uid="{00000000-0005-0000-0000-000052180000}"/>
    <cellStyle name="Normal 108 5 2" xfId="2742" xr:uid="{00000000-0005-0000-0000-000053180000}"/>
    <cellStyle name="Normal 108 5 2 2" xfId="2743" xr:uid="{00000000-0005-0000-0000-000054180000}"/>
    <cellStyle name="Normal 108 5 2 2 2" xfId="2744" xr:uid="{00000000-0005-0000-0000-000055180000}"/>
    <cellStyle name="Normal 108 5 2 2 2 2" xfId="6984" xr:uid="{00000000-0005-0000-0000-000056180000}"/>
    <cellStyle name="Normal 108 5 2 2 2 2 2" xfId="16165" xr:uid="{00000000-0005-0000-0000-000057180000}"/>
    <cellStyle name="Normal 108 5 2 2 2 2 2 2" xfId="32739" xr:uid="{00000000-0005-0000-0000-000058180000}"/>
    <cellStyle name="Normal 108 5 2 2 2 2 3" xfId="24692" xr:uid="{00000000-0005-0000-0000-000059180000}"/>
    <cellStyle name="Normal 108 5 2 2 2 3" xfId="12252" xr:uid="{00000000-0005-0000-0000-00005A180000}"/>
    <cellStyle name="Normal 108 5 2 2 2 3 2" xfId="28776" xr:uid="{00000000-0005-0000-0000-00005B180000}"/>
    <cellStyle name="Normal 108 5 2 2 2 4" xfId="20733" xr:uid="{00000000-0005-0000-0000-00005C180000}"/>
    <cellStyle name="Normal 108 5 2 2 3" xfId="6985" xr:uid="{00000000-0005-0000-0000-00005D180000}"/>
    <cellStyle name="Normal 108 5 2 2 3 2" xfId="16166" xr:uid="{00000000-0005-0000-0000-00005E180000}"/>
    <cellStyle name="Normal 108 5 2 2 3 2 2" xfId="32740" xr:uid="{00000000-0005-0000-0000-00005F180000}"/>
    <cellStyle name="Normal 108 5 2 2 3 3" xfId="24693" xr:uid="{00000000-0005-0000-0000-000060180000}"/>
    <cellStyle name="Normal 108 5 2 2 4" xfId="12251" xr:uid="{00000000-0005-0000-0000-000061180000}"/>
    <cellStyle name="Normal 108 5 2 2 4 2" xfId="28775" xr:uid="{00000000-0005-0000-0000-000062180000}"/>
    <cellStyle name="Normal 108 5 2 2 5" xfId="20732" xr:uid="{00000000-0005-0000-0000-000063180000}"/>
    <cellStyle name="Normal 108 5 2 3" xfId="2745" xr:uid="{00000000-0005-0000-0000-000064180000}"/>
    <cellStyle name="Normal 108 5 2 3 2" xfId="6986" xr:uid="{00000000-0005-0000-0000-000065180000}"/>
    <cellStyle name="Normal 108 5 2 3 2 2" xfId="16167" xr:uid="{00000000-0005-0000-0000-000066180000}"/>
    <cellStyle name="Normal 108 5 2 3 2 2 2" xfId="32741" xr:uid="{00000000-0005-0000-0000-000067180000}"/>
    <cellStyle name="Normal 108 5 2 3 2 3" xfId="24694" xr:uid="{00000000-0005-0000-0000-000068180000}"/>
    <cellStyle name="Normal 108 5 2 3 3" xfId="12253" xr:uid="{00000000-0005-0000-0000-000069180000}"/>
    <cellStyle name="Normal 108 5 2 3 3 2" xfId="28777" xr:uid="{00000000-0005-0000-0000-00006A180000}"/>
    <cellStyle name="Normal 108 5 2 3 4" xfId="20734" xr:uid="{00000000-0005-0000-0000-00006B180000}"/>
    <cellStyle name="Normal 108 5 2 4" xfId="6987" xr:uid="{00000000-0005-0000-0000-00006C180000}"/>
    <cellStyle name="Normal 108 5 2 4 2" xfId="16168" xr:uid="{00000000-0005-0000-0000-00006D180000}"/>
    <cellStyle name="Normal 108 5 2 4 2 2" xfId="32742" xr:uid="{00000000-0005-0000-0000-00006E180000}"/>
    <cellStyle name="Normal 108 5 2 4 3" xfId="24695" xr:uid="{00000000-0005-0000-0000-00006F180000}"/>
    <cellStyle name="Normal 108 5 2 5" xfId="12250" xr:uid="{00000000-0005-0000-0000-000070180000}"/>
    <cellStyle name="Normal 108 5 2 5 2" xfId="28774" xr:uid="{00000000-0005-0000-0000-000071180000}"/>
    <cellStyle name="Normal 108 5 2 6" xfId="20731" xr:uid="{00000000-0005-0000-0000-000072180000}"/>
    <cellStyle name="Normal 108 5 3" xfId="2746" xr:uid="{00000000-0005-0000-0000-000073180000}"/>
    <cellStyle name="Normal 108 5 3 2" xfId="2747" xr:uid="{00000000-0005-0000-0000-000074180000}"/>
    <cellStyle name="Normal 108 5 3 2 2" xfId="6988" xr:uid="{00000000-0005-0000-0000-000075180000}"/>
    <cellStyle name="Normal 108 5 3 2 2 2" xfId="16169" xr:uid="{00000000-0005-0000-0000-000076180000}"/>
    <cellStyle name="Normal 108 5 3 2 2 2 2" xfId="32743" xr:uid="{00000000-0005-0000-0000-000077180000}"/>
    <cellStyle name="Normal 108 5 3 2 2 3" xfId="24696" xr:uid="{00000000-0005-0000-0000-000078180000}"/>
    <cellStyle name="Normal 108 5 3 2 3" xfId="12255" xr:uid="{00000000-0005-0000-0000-000079180000}"/>
    <cellStyle name="Normal 108 5 3 2 3 2" xfId="28779" xr:uid="{00000000-0005-0000-0000-00007A180000}"/>
    <cellStyle name="Normal 108 5 3 2 4" xfId="20736" xr:uid="{00000000-0005-0000-0000-00007B180000}"/>
    <cellStyle name="Normal 108 5 3 3" xfId="6989" xr:uid="{00000000-0005-0000-0000-00007C180000}"/>
    <cellStyle name="Normal 108 5 3 3 2" xfId="16170" xr:uid="{00000000-0005-0000-0000-00007D180000}"/>
    <cellStyle name="Normal 108 5 3 3 2 2" xfId="32744" xr:uid="{00000000-0005-0000-0000-00007E180000}"/>
    <cellStyle name="Normal 108 5 3 3 3" xfId="24697" xr:uid="{00000000-0005-0000-0000-00007F180000}"/>
    <cellStyle name="Normal 108 5 3 4" xfId="12254" xr:uid="{00000000-0005-0000-0000-000080180000}"/>
    <cellStyle name="Normal 108 5 3 4 2" xfId="28778" xr:uid="{00000000-0005-0000-0000-000081180000}"/>
    <cellStyle name="Normal 108 5 3 5" xfId="20735" xr:uid="{00000000-0005-0000-0000-000082180000}"/>
    <cellStyle name="Normal 108 5 4" xfId="2748" xr:uid="{00000000-0005-0000-0000-000083180000}"/>
    <cellStyle name="Normal 108 5 4 2" xfId="6990" xr:uid="{00000000-0005-0000-0000-000084180000}"/>
    <cellStyle name="Normal 108 5 4 2 2" xfId="16171" xr:uid="{00000000-0005-0000-0000-000085180000}"/>
    <cellStyle name="Normal 108 5 4 2 2 2" xfId="32745" xr:uid="{00000000-0005-0000-0000-000086180000}"/>
    <cellStyle name="Normal 108 5 4 2 3" xfId="24698" xr:uid="{00000000-0005-0000-0000-000087180000}"/>
    <cellStyle name="Normal 108 5 4 3" xfId="12256" xr:uid="{00000000-0005-0000-0000-000088180000}"/>
    <cellStyle name="Normal 108 5 4 3 2" xfId="28780" xr:uid="{00000000-0005-0000-0000-000089180000}"/>
    <cellStyle name="Normal 108 5 4 4" xfId="20737" xr:uid="{00000000-0005-0000-0000-00008A180000}"/>
    <cellStyle name="Normal 108 5 5" xfId="6991" xr:uid="{00000000-0005-0000-0000-00008B180000}"/>
    <cellStyle name="Normal 108 5 5 2" xfId="16172" xr:uid="{00000000-0005-0000-0000-00008C180000}"/>
    <cellStyle name="Normal 108 5 5 2 2" xfId="32746" xr:uid="{00000000-0005-0000-0000-00008D180000}"/>
    <cellStyle name="Normal 108 5 5 3" xfId="24699" xr:uid="{00000000-0005-0000-0000-00008E180000}"/>
    <cellStyle name="Normal 108 5 6" xfId="12249" xr:uid="{00000000-0005-0000-0000-00008F180000}"/>
    <cellStyle name="Normal 108 5 6 2" xfId="28773" xr:uid="{00000000-0005-0000-0000-000090180000}"/>
    <cellStyle name="Normal 108 5 7" xfId="20730" xr:uid="{00000000-0005-0000-0000-000091180000}"/>
    <cellStyle name="Normal 108 6" xfId="2749" xr:uid="{00000000-0005-0000-0000-000092180000}"/>
    <cellStyle name="Normal 108 6 2" xfId="2750" xr:uid="{00000000-0005-0000-0000-000093180000}"/>
    <cellStyle name="Normal 108 6 2 2" xfId="2751" xr:uid="{00000000-0005-0000-0000-000094180000}"/>
    <cellStyle name="Normal 108 6 2 2 2" xfId="6992" xr:uid="{00000000-0005-0000-0000-000095180000}"/>
    <cellStyle name="Normal 108 6 2 2 2 2" xfId="16173" xr:uid="{00000000-0005-0000-0000-000096180000}"/>
    <cellStyle name="Normal 108 6 2 2 2 2 2" xfId="32747" xr:uid="{00000000-0005-0000-0000-000097180000}"/>
    <cellStyle name="Normal 108 6 2 2 2 3" xfId="24700" xr:uid="{00000000-0005-0000-0000-000098180000}"/>
    <cellStyle name="Normal 108 6 2 2 3" xfId="12259" xr:uid="{00000000-0005-0000-0000-000099180000}"/>
    <cellStyle name="Normal 108 6 2 2 3 2" xfId="28783" xr:uid="{00000000-0005-0000-0000-00009A180000}"/>
    <cellStyle name="Normal 108 6 2 2 4" xfId="20740" xr:uid="{00000000-0005-0000-0000-00009B180000}"/>
    <cellStyle name="Normal 108 6 2 3" xfId="6993" xr:uid="{00000000-0005-0000-0000-00009C180000}"/>
    <cellStyle name="Normal 108 6 2 3 2" xfId="16174" xr:uid="{00000000-0005-0000-0000-00009D180000}"/>
    <cellStyle name="Normal 108 6 2 3 2 2" xfId="32748" xr:uid="{00000000-0005-0000-0000-00009E180000}"/>
    <cellStyle name="Normal 108 6 2 3 3" xfId="24701" xr:uid="{00000000-0005-0000-0000-00009F180000}"/>
    <cellStyle name="Normal 108 6 2 4" xfId="12258" xr:uid="{00000000-0005-0000-0000-0000A0180000}"/>
    <cellStyle name="Normal 108 6 2 4 2" xfId="28782" xr:uid="{00000000-0005-0000-0000-0000A1180000}"/>
    <cellStyle name="Normal 108 6 2 5" xfId="20739" xr:uid="{00000000-0005-0000-0000-0000A2180000}"/>
    <cellStyle name="Normal 108 6 3" xfId="2752" xr:uid="{00000000-0005-0000-0000-0000A3180000}"/>
    <cellStyle name="Normal 108 6 3 2" xfId="6994" xr:uid="{00000000-0005-0000-0000-0000A4180000}"/>
    <cellStyle name="Normal 108 6 3 2 2" xfId="16175" xr:uid="{00000000-0005-0000-0000-0000A5180000}"/>
    <cellStyle name="Normal 108 6 3 2 2 2" xfId="32749" xr:uid="{00000000-0005-0000-0000-0000A6180000}"/>
    <cellStyle name="Normal 108 6 3 2 3" xfId="24702" xr:uid="{00000000-0005-0000-0000-0000A7180000}"/>
    <cellStyle name="Normal 108 6 3 3" xfId="12260" xr:uid="{00000000-0005-0000-0000-0000A8180000}"/>
    <cellStyle name="Normal 108 6 3 3 2" xfId="28784" xr:uid="{00000000-0005-0000-0000-0000A9180000}"/>
    <cellStyle name="Normal 108 6 3 4" xfId="20741" xr:uid="{00000000-0005-0000-0000-0000AA180000}"/>
    <cellStyle name="Normal 108 6 4" xfId="6995" xr:uid="{00000000-0005-0000-0000-0000AB180000}"/>
    <cellStyle name="Normal 108 6 4 2" xfId="16176" xr:uid="{00000000-0005-0000-0000-0000AC180000}"/>
    <cellStyle name="Normal 108 6 4 2 2" xfId="32750" xr:uid="{00000000-0005-0000-0000-0000AD180000}"/>
    <cellStyle name="Normal 108 6 4 3" xfId="24703" xr:uid="{00000000-0005-0000-0000-0000AE180000}"/>
    <cellStyle name="Normal 108 6 5" xfId="12257" xr:uid="{00000000-0005-0000-0000-0000AF180000}"/>
    <cellStyle name="Normal 108 6 5 2" xfId="28781" xr:uid="{00000000-0005-0000-0000-0000B0180000}"/>
    <cellStyle name="Normal 108 6 6" xfId="20738" xr:uid="{00000000-0005-0000-0000-0000B1180000}"/>
    <cellStyle name="Normal 108 7" xfId="2753" xr:uid="{00000000-0005-0000-0000-0000B2180000}"/>
    <cellStyle name="Normal 108 7 2" xfId="2754" xr:uid="{00000000-0005-0000-0000-0000B3180000}"/>
    <cellStyle name="Normal 108 7 2 2" xfId="6996" xr:uid="{00000000-0005-0000-0000-0000B4180000}"/>
    <cellStyle name="Normal 108 7 2 2 2" xfId="16177" xr:uid="{00000000-0005-0000-0000-0000B5180000}"/>
    <cellStyle name="Normal 108 7 2 2 2 2" xfId="32751" xr:uid="{00000000-0005-0000-0000-0000B6180000}"/>
    <cellStyle name="Normal 108 7 2 2 3" xfId="24704" xr:uid="{00000000-0005-0000-0000-0000B7180000}"/>
    <cellStyle name="Normal 108 7 2 3" xfId="12262" xr:uid="{00000000-0005-0000-0000-0000B8180000}"/>
    <cellStyle name="Normal 108 7 2 3 2" xfId="28786" xr:uid="{00000000-0005-0000-0000-0000B9180000}"/>
    <cellStyle name="Normal 108 7 2 4" xfId="20743" xr:uid="{00000000-0005-0000-0000-0000BA180000}"/>
    <cellStyle name="Normal 108 7 3" xfId="6997" xr:uid="{00000000-0005-0000-0000-0000BB180000}"/>
    <cellStyle name="Normal 108 7 3 2" xfId="16178" xr:uid="{00000000-0005-0000-0000-0000BC180000}"/>
    <cellStyle name="Normal 108 7 3 2 2" xfId="32752" xr:uid="{00000000-0005-0000-0000-0000BD180000}"/>
    <cellStyle name="Normal 108 7 3 3" xfId="24705" xr:uid="{00000000-0005-0000-0000-0000BE180000}"/>
    <cellStyle name="Normal 108 7 4" xfId="12261" xr:uid="{00000000-0005-0000-0000-0000BF180000}"/>
    <cellStyle name="Normal 108 7 4 2" xfId="28785" xr:uid="{00000000-0005-0000-0000-0000C0180000}"/>
    <cellStyle name="Normal 108 7 5" xfId="20742" xr:uid="{00000000-0005-0000-0000-0000C1180000}"/>
    <cellStyle name="Normal 108 8" xfId="2755" xr:uid="{00000000-0005-0000-0000-0000C2180000}"/>
    <cellStyle name="Normal 108 8 2" xfId="6998" xr:uid="{00000000-0005-0000-0000-0000C3180000}"/>
    <cellStyle name="Normal 108 8 2 2" xfId="16179" xr:uid="{00000000-0005-0000-0000-0000C4180000}"/>
    <cellStyle name="Normal 108 8 2 2 2" xfId="32753" xr:uid="{00000000-0005-0000-0000-0000C5180000}"/>
    <cellStyle name="Normal 108 8 2 3" xfId="24706" xr:uid="{00000000-0005-0000-0000-0000C6180000}"/>
    <cellStyle name="Normal 108 8 3" xfId="12263" xr:uid="{00000000-0005-0000-0000-0000C7180000}"/>
    <cellStyle name="Normal 108 8 3 2" xfId="28787" xr:uid="{00000000-0005-0000-0000-0000C8180000}"/>
    <cellStyle name="Normal 108 8 4" xfId="20744" xr:uid="{00000000-0005-0000-0000-0000C9180000}"/>
    <cellStyle name="Normal 108 9" xfId="6999" xr:uid="{00000000-0005-0000-0000-0000CA180000}"/>
    <cellStyle name="Normal 108 9 2" xfId="16180" xr:uid="{00000000-0005-0000-0000-0000CB180000}"/>
    <cellStyle name="Normal 108 9 2 2" xfId="32754" xr:uid="{00000000-0005-0000-0000-0000CC180000}"/>
    <cellStyle name="Normal 108 9 3" xfId="24707" xr:uid="{00000000-0005-0000-0000-0000CD180000}"/>
    <cellStyle name="Normal 109" xfId="2756" xr:uid="{00000000-0005-0000-0000-0000CE180000}"/>
    <cellStyle name="Normal 109 10" xfId="12264" xr:uid="{00000000-0005-0000-0000-0000CF180000}"/>
    <cellStyle name="Normal 109 10 2" xfId="28788" xr:uid="{00000000-0005-0000-0000-0000D0180000}"/>
    <cellStyle name="Normal 109 11" xfId="20745" xr:uid="{00000000-0005-0000-0000-0000D1180000}"/>
    <cellStyle name="Normal 109 2" xfId="2757" xr:uid="{00000000-0005-0000-0000-0000D2180000}"/>
    <cellStyle name="Normal 109 2 2" xfId="2758" xr:uid="{00000000-0005-0000-0000-0000D3180000}"/>
    <cellStyle name="Normal 109 2 3" xfId="12265" xr:uid="{00000000-0005-0000-0000-0000D4180000}"/>
    <cellStyle name="Normal 109 2 3 2" xfId="28789" xr:uid="{00000000-0005-0000-0000-0000D5180000}"/>
    <cellStyle name="Normal 109 2 4" xfId="20746" xr:uid="{00000000-0005-0000-0000-0000D6180000}"/>
    <cellStyle name="Normal 109 3" xfId="2759" xr:uid="{00000000-0005-0000-0000-0000D7180000}"/>
    <cellStyle name="Normal 109 3 2" xfId="2760" xr:uid="{00000000-0005-0000-0000-0000D8180000}"/>
    <cellStyle name="Normal 109 3 2 2" xfId="2761" xr:uid="{00000000-0005-0000-0000-0000D9180000}"/>
    <cellStyle name="Normal 109 3 2 2 2" xfId="2762" xr:uid="{00000000-0005-0000-0000-0000DA180000}"/>
    <cellStyle name="Normal 109 3 2 2 2 2" xfId="7000" xr:uid="{00000000-0005-0000-0000-0000DB180000}"/>
    <cellStyle name="Normal 109 3 2 2 2 2 2" xfId="16181" xr:uid="{00000000-0005-0000-0000-0000DC180000}"/>
    <cellStyle name="Normal 109 3 2 2 2 2 2 2" xfId="32755" xr:uid="{00000000-0005-0000-0000-0000DD180000}"/>
    <cellStyle name="Normal 109 3 2 2 2 2 3" xfId="24708" xr:uid="{00000000-0005-0000-0000-0000DE180000}"/>
    <cellStyle name="Normal 109 3 2 2 2 3" xfId="12268" xr:uid="{00000000-0005-0000-0000-0000DF180000}"/>
    <cellStyle name="Normal 109 3 2 2 2 3 2" xfId="28792" xr:uid="{00000000-0005-0000-0000-0000E0180000}"/>
    <cellStyle name="Normal 109 3 2 2 2 4" xfId="20749" xr:uid="{00000000-0005-0000-0000-0000E1180000}"/>
    <cellStyle name="Normal 109 3 2 2 3" xfId="7001" xr:uid="{00000000-0005-0000-0000-0000E2180000}"/>
    <cellStyle name="Normal 109 3 2 2 3 2" xfId="16182" xr:uid="{00000000-0005-0000-0000-0000E3180000}"/>
    <cellStyle name="Normal 109 3 2 2 3 2 2" xfId="32756" xr:uid="{00000000-0005-0000-0000-0000E4180000}"/>
    <cellStyle name="Normal 109 3 2 2 3 3" xfId="24709" xr:uid="{00000000-0005-0000-0000-0000E5180000}"/>
    <cellStyle name="Normal 109 3 2 2 4" xfId="12267" xr:uid="{00000000-0005-0000-0000-0000E6180000}"/>
    <cellStyle name="Normal 109 3 2 2 4 2" xfId="28791" xr:uid="{00000000-0005-0000-0000-0000E7180000}"/>
    <cellStyle name="Normal 109 3 2 2 5" xfId="20748" xr:uid="{00000000-0005-0000-0000-0000E8180000}"/>
    <cellStyle name="Normal 109 3 2 3" xfId="2763" xr:uid="{00000000-0005-0000-0000-0000E9180000}"/>
    <cellStyle name="Normal 109 3 2 3 2" xfId="7002" xr:uid="{00000000-0005-0000-0000-0000EA180000}"/>
    <cellStyle name="Normal 109 3 2 3 2 2" xfId="16183" xr:uid="{00000000-0005-0000-0000-0000EB180000}"/>
    <cellStyle name="Normal 109 3 2 3 2 2 2" xfId="32757" xr:uid="{00000000-0005-0000-0000-0000EC180000}"/>
    <cellStyle name="Normal 109 3 2 3 2 3" xfId="24710" xr:uid="{00000000-0005-0000-0000-0000ED180000}"/>
    <cellStyle name="Normal 109 3 2 3 3" xfId="12269" xr:uid="{00000000-0005-0000-0000-0000EE180000}"/>
    <cellStyle name="Normal 109 3 2 3 3 2" xfId="28793" xr:uid="{00000000-0005-0000-0000-0000EF180000}"/>
    <cellStyle name="Normal 109 3 2 3 4" xfId="20750" xr:uid="{00000000-0005-0000-0000-0000F0180000}"/>
    <cellStyle name="Normal 109 3 2 4" xfId="7003" xr:uid="{00000000-0005-0000-0000-0000F1180000}"/>
    <cellStyle name="Normal 109 3 2 4 2" xfId="16184" xr:uid="{00000000-0005-0000-0000-0000F2180000}"/>
    <cellStyle name="Normal 109 3 2 4 2 2" xfId="32758" xr:uid="{00000000-0005-0000-0000-0000F3180000}"/>
    <cellStyle name="Normal 109 3 2 4 3" xfId="24711" xr:uid="{00000000-0005-0000-0000-0000F4180000}"/>
    <cellStyle name="Normal 109 3 2 5" xfId="12266" xr:uid="{00000000-0005-0000-0000-0000F5180000}"/>
    <cellStyle name="Normal 109 3 2 5 2" xfId="28790" xr:uid="{00000000-0005-0000-0000-0000F6180000}"/>
    <cellStyle name="Normal 109 3 2 6" xfId="20747" xr:uid="{00000000-0005-0000-0000-0000F7180000}"/>
    <cellStyle name="Normal 109 3 3" xfId="2764" xr:uid="{00000000-0005-0000-0000-0000F8180000}"/>
    <cellStyle name="Normal 109 3 3 2" xfId="2765" xr:uid="{00000000-0005-0000-0000-0000F9180000}"/>
    <cellStyle name="Normal 109 3 3 2 2" xfId="7004" xr:uid="{00000000-0005-0000-0000-0000FA180000}"/>
    <cellStyle name="Normal 109 3 3 2 2 2" xfId="16185" xr:uid="{00000000-0005-0000-0000-0000FB180000}"/>
    <cellStyle name="Normal 109 3 3 2 2 2 2" xfId="32759" xr:uid="{00000000-0005-0000-0000-0000FC180000}"/>
    <cellStyle name="Normal 109 3 3 2 2 3" xfId="24712" xr:uid="{00000000-0005-0000-0000-0000FD180000}"/>
    <cellStyle name="Normal 109 3 3 2 3" xfId="12271" xr:uid="{00000000-0005-0000-0000-0000FE180000}"/>
    <cellStyle name="Normal 109 3 3 2 3 2" xfId="28795" xr:uid="{00000000-0005-0000-0000-0000FF180000}"/>
    <cellStyle name="Normal 109 3 3 2 4" xfId="20752" xr:uid="{00000000-0005-0000-0000-000000190000}"/>
    <cellStyle name="Normal 109 3 3 3" xfId="7005" xr:uid="{00000000-0005-0000-0000-000001190000}"/>
    <cellStyle name="Normal 109 3 3 3 2" xfId="16186" xr:uid="{00000000-0005-0000-0000-000002190000}"/>
    <cellStyle name="Normal 109 3 3 3 2 2" xfId="32760" xr:uid="{00000000-0005-0000-0000-000003190000}"/>
    <cellStyle name="Normal 109 3 3 3 3" xfId="24713" xr:uid="{00000000-0005-0000-0000-000004190000}"/>
    <cellStyle name="Normal 109 3 3 4" xfId="12270" xr:uid="{00000000-0005-0000-0000-000005190000}"/>
    <cellStyle name="Normal 109 3 3 4 2" xfId="28794" xr:uid="{00000000-0005-0000-0000-000006190000}"/>
    <cellStyle name="Normal 109 3 3 5" xfId="20751" xr:uid="{00000000-0005-0000-0000-000007190000}"/>
    <cellStyle name="Normal 109 3 4" xfId="2766" xr:uid="{00000000-0005-0000-0000-000008190000}"/>
    <cellStyle name="Normal 109 3 4 2" xfId="7006" xr:uid="{00000000-0005-0000-0000-000009190000}"/>
    <cellStyle name="Normal 109 3 4 2 2" xfId="16187" xr:uid="{00000000-0005-0000-0000-00000A190000}"/>
    <cellStyle name="Normal 109 3 4 2 2 2" xfId="32761" xr:uid="{00000000-0005-0000-0000-00000B190000}"/>
    <cellStyle name="Normal 109 3 4 2 3" xfId="24714" xr:uid="{00000000-0005-0000-0000-00000C190000}"/>
    <cellStyle name="Normal 109 3 4 3" xfId="12272" xr:uid="{00000000-0005-0000-0000-00000D190000}"/>
    <cellStyle name="Normal 109 3 4 3 2" xfId="28796" xr:uid="{00000000-0005-0000-0000-00000E190000}"/>
    <cellStyle name="Normal 109 3 4 4" xfId="20753" xr:uid="{00000000-0005-0000-0000-00000F190000}"/>
    <cellStyle name="Normal 109 3 5" xfId="2767" xr:uid="{00000000-0005-0000-0000-000010190000}"/>
    <cellStyle name="Normal 109 3 5 2" xfId="12273" xr:uid="{00000000-0005-0000-0000-000011190000}"/>
    <cellStyle name="Normal 109 3 5 2 2" xfId="28797" xr:uid="{00000000-0005-0000-0000-000012190000}"/>
    <cellStyle name="Normal 109 3 5 3" xfId="20754" xr:uid="{00000000-0005-0000-0000-000013190000}"/>
    <cellStyle name="Normal 109 4" xfId="2768" xr:uid="{00000000-0005-0000-0000-000014190000}"/>
    <cellStyle name="Normal 109 4 2" xfId="2769" xr:uid="{00000000-0005-0000-0000-000015190000}"/>
    <cellStyle name="Normal 109 4 2 2" xfId="2770" xr:uid="{00000000-0005-0000-0000-000016190000}"/>
    <cellStyle name="Normal 109 4 2 2 2" xfId="2771" xr:uid="{00000000-0005-0000-0000-000017190000}"/>
    <cellStyle name="Normal 109 4 2 2 2 2" xfId="7007" xr:uid="{00000000-0005-0000-0000-000018190000}"/>
    <cellStyle name="Normal 109 4 2 2 2 2 2" xfId="16188" xr:uid="{00000000-0005-0000-0000-000019190000}"/>
    <cellStyle name="Normal 109 4 2 2 2 2 2 2" xfId="32762" xr:uid="{00000000-0005-0000-0000-00001A190000}"/>
    <cellStyle name="Normal 109 4 2 2 2 2 3" xfId="24715" xr:uid="{00000000-0005-0000-0000-00001B190000}"/>
    <cellStyle name="Normal 109 4 2 2 2 3" xfId="12277" xr:uid="{00000000-0005-0000-0000-00001C190000}"/>
    <cellStyle name="Normal 109 4 2 2 2 3 2" xfId="28801" xr:uid="{00000000-0005-0000-0000-00001D190000}"/>
    <cellStyle name="Normal 109 4 2 2 2 4" xfId="20758" xr:uid="{00000000-0005-0000-0000-00001E190000}"/>
    <cellStyle name="Normal 109 4 2 2 3" xfId="7008" xr:uid="{00000000-0005-0000-0000-00001F190000}"/>
    <cellStyle name="Normal 109 4 2 2 3 2" xfId="16189" xr:uid="{00000000-0005-0000-0000-000020190000}"/>
    <cellStyle name="Normal 109 4 2 2 3 2 2" xfId="32763" xr:uid="{00000000-0005-0000-0000-000021190000}"/>
    <cellStyle name="Normal 109 4 2 2 3 3" xfId="24716" xr:uid="{00000000-0005-0000-0000-000022190000}"/>
    <cellStyle name="Normal 109 4 2 2 4" xfId="12276" xr:uid="{00000000-0005-0000-0000-000023190000}"/>
    <cellStyle name="Normal 109 4 2 2 4 2" xfId="28800" xr:uid="{00000000-0005-0000-0000-000024190000}"/>
    <cellStyle name="Normal 109 4 2 2 5" xfId="20757" xr:uid="{00000000-0005-0000-0000-000025190000}"/>
    <cellStyle name="Normal 109 4 2 3" xfId="2772" xr:uid="{00000000-0005-0000-0000-000026190000}"/>
    <cellStyle name="Normal 109 4 2 3 2" xfId="7009" xr:uid="{00000000-0005-0000-0000-000027190000}"/>
    <cellStyle name="Normal 109 4 2 3 2 2" xfId="16190" xr:uid="{00000000-0005-0000-0000-000028190000}"/>
    <cellStyle name="Normal 109 4 2 3 2 2 2" xfId="32764" xr:uid="{00000000-0005-0000-0000-000029190000}"/>
    <cellStyle name="Normal 109 4 2 3 2 3" xfId="24717" xr:uid="{00000000-0005-0000-0000-00002A190000}"/>
    <cellStyle name="Normal 109 4 2 3 3" xfId="12278" xr:uid="{00000000-0005-0000-0000-00002B190000}"/>
    <cellStyle name="Normal 109 4 2 3 3 2" xfId="28802" xr:uid="{00000000-0005-0000-0000-00002C190000}"/>
    <cellStyle name="Normal 109 4 2 3 4" xfId="20759" xr:uid="{00000000-0005-0000-0000-00002D190000}"/>
    <cellStyle name="Normal 109 4 2 4" xfId="7010" xr:uid="{00000000-0005-0000-0000-00002E190000}"/>
    <cellStyle name="Normal 109 4 2 4 2" xfId="16191" xr:uid="{00000000-0005-0000-0000-00002F190000}"/>
    <cellStyle name="Normal 109 4 2 4 2 2" xfId="32765" xr:uid="{00000000-0005-0000-0000-000030190000}"/>
    <cellStyle name="Normal 109 4 2 4 3" xfId="24718" xr:uid="{00000000-0005-0000-0000-000031190000}"/>
    <cellStyle name="Normal 109 4 2 5" xfId="12275" xr:uid="{00000000-0005-0000-0000-000032190000}"/>
    <cellStyle name="Normal 109 4 2 5 2" xfId="28799" xr:uid="{00000000-0005-0000-0000-000033190000}"/>
    <cellStyle name="Normal 109 4 2 6" xfId="20756" xr:uid="{00000000-0005-0000-0000-000034190000}"/>
    <cellStyle name="Normal 109 4 3" xfId="2773" xr:uid="{00000000-0005-0000-0000-000035190000}"/>
    <cellStyle name="Normal 109 4 3 2" xfId="2774" xr:uid="{00000000-0005-0000-0000-000036190000}"/>
    <cellStyle name="Normal 109 4 3 2 2" xfId="7011" xr:uid="{00000000-0005-0000-0000-000037190000}"/>
    <cellStyle name="Normal 109 4 3 2 2 2" xfId="16192" xr:uid="{00000000-0005-0000-0000-000038190000}"/>
    <cellStyle name="Normal 109 4 3 2 2 2 2" xfId="32766" xr:uid="{00000000-0005-0000-0000-000039190000}"/>
    <cellStyle name="Normal 109 4 3 2 2 3" xfId="24719" xr:uid="{00000000-0005-0000-0000-00003A190000}"/>
    <cellStyle name="Normal 109 4 3 2 3" xfId="12280" xr:uid="{00000000-0005-0000-0000-00003B190000}"/>
    <cellStyle name="Normal 109 4 3 2 3 2" xfId="28804" xr:uid="{00000000-0005-0000-0000-00003C190000}"/>
    <cellStyle name="Normal 109 4 3 2 4" xfId="20761" xr:uid="{00000000-0005-0000-0000-00003D190000}"/>
    <cellStyle name="Normal 109 4 3 3" xfId="7012" xr:uid="{00000000-0005-0000-0000-00003E190000}"/>
    <cellStyle name="Normal 109 4 3 3 2" xfId="16193" xr:uid="{00000000-0005-0000-0000-00003F190000}"/>
    <cellStyle name="Normal 109 4 3 3 2 2" xfId="32767" xr:uid="{00000000-0005-0000-0000-000040190000}"/>
    <cellStyle name="Normal 109 4 3 3 3" xfId="24720" xr:uid="{00000000-0005-0000-0000-000041190000}"/>
    <cellStyle name="Normal 109 4 3 4" xfId="12279" xr:uid="{00000000-0005-0000-0000-000042190000}"/>
    <cellStyle name="Normal 109 4 3 4 2" xfId="28803" xr:uid="{00000000-0005-0000-0000-000043190000}"/>
    <cellStyle name="Normal 109 4 3 5" xfId="20760" xr:uid="{00000000-0005-0000-0000-000044190000}"/>
    <cellStyle name="Normal 109 4 4" xfId="2775" xr:uid="{00000000-0005-0000-0000-000045190000}"/>
    <cellStyle name="Normal 109 4 4 2" xfId="7013" xr:uid="{00000000-0005-0000-0000-000046190000}"/>
    <cellStyle name="Normal 109 4 4 2 2" xfId="16194" xr:uid="{00000000-0005-0000-0000-000047190000}"/>
    <cellStyle name="Normal 109 4 4 2 2 2" xfId="32768" xr:uid="{00000000-0005-0000-0000-000048190000}"/>
    <cellStyle name="Normal 109 4 4 2 3" xfId="24721" xr:uid="{00000000-0005-0000-0000-000049190000}"/>
    <cellStyle name="Normal 109 4 4 3" xfId="12281" xr:uid="{00000000-0005-0000-0000-00004A190000}"/>
    <cellStyle name="Normal 109 4 4 3 2" xfId="28805" xr:uid="{00000000-0005-0000-0000-00004B190000}"/>
    <cellStyle name="Normal 109 4 4 4" xfId="20762" xr:uid="{00000000-0005-0000-0000-00004C190000}"/>
    <cellStyle name="Normal 109 4 5" xfId="7014" xr:uid="{00000000-0005-0000-0000-00004D190000}"/>
    <cellStyle name="Normal 109 4 5 2" xfId="16195" xr:uid="{00000000-0005-0000-0000-00004E190000}"/>
    <cellStyle name="Normal 109 4 5 2 2" xfId="32769" xr:uid="{00000000-0005-0000-0000-00004F190000}"/>
    <cellStyle name="Normal 109 4 5 3" xfId="24722" xr:uid="{00000000-0005-0000-0000-000050190000}"/>
    <cellStyle name="Normal 109 4 6" xfId="12274" xr:uid="{00000000-0005-0000-0000-000051190000}"/>
    <cellStyle name="Normal 109 4 6 2" xfId="28798" xr:uid="{00000000-0005-0000-0000-000052190000}"/>
    <cellStyle name="Normal 109 4 7" xfId="20755" xr:uid="{00000000-0005-0000-0000-000053190000}"/>
    <cellStyle name="Normal 109 5" xfId="2776" xr:uid="{00000000-0005-0000-0000-000054190000}"/>
    <cellStyle name="Normal 109 5 2" xfId="2777" xr:uid="{00000000-0005-0000-0000-000055190000}"/>
    <cellStyle name="Normal 109 5 2 2" xfId="2778" xr:uid="{00000000-0005-0000-0000-000056190000}"/>
    <cellStyle name="Normal 109 5 2 2 2" xfId="2779" xr:uid="{00000000-0005-0000-0000-000057190000}"/>
    <cellStyle name="Normal 109 5 2 2 2 2" xfId="7015" xr:uid="{00000000-0005-0000-0000-000058190000}"/>
    <cellStyle name="Normal 109 5 2 2 2 2 2" xfId="16196" xr:uid="{00000000-0005-0000-0000-000059190000}"/>
    <cellStyle name="Normal 109 5 2 2 2 2 2 2" xfId="32770" xr:uid="{00000000-0005-0000-0000-00005A190000}"/>
    <cellStyle name="Normal 109 5 2 2 2 2 3" xfId="24723" xr:uid="{00000000-0005-0000-0000-00005B190000}"/>
    <cellStyle name="Normal 109 5 2 2 2 3" xfId="12285" xr:uid="{00000000-0005-0000-0000-00005C190000}"/>
    <cellStyle name="Normal 109 5 2 2 2 3 2" xfId="28809" xr:uid="{00000000-0005-0000-0000-00005D190000}"/>
    <cellStyle name="Normal 109 5 2 2 2 4" xfId="20766" xr:uid="{00000000-0005-0000-0000-00005E190000}"/>
    <cellStyle name="Normal 109 5 2 2 3" xfId="7016" xr:uid="{00000000-0005-0000-0000-00005F190000}"/>
    <cellStyle name="Normal 109 5 2 2 3 2" xfId="16197" xr:uid="{00000000-0005-0000-0000-000060190000}"/>
    <cellStyle name="Normal 109 5 2 2 3 2 2" xfId="32771" xr:uid="{00000000-0005-0000-0000-000061190000}"/>
    <cellStyle name="Normal 109 5 2 2 3 3" xfId="24724" xr:uid="{00000000-0005-0000-0000-000062190000}"/>
    <cellStyle name="Normal 109 5 2 2 4" xfId="12284" xr:uid="{00000000-0005-0000-0000-000063190000}"/>
    <cellStyle name="Normal 109 5 2 2 4 2" xfId="28808" xr:uid="{00000000-0005-0000-0000-000064190000}"/>
    <cellStyle name="Normal 109 5 2 2 5" xfId="20765" xr:uid="{00000000-0005-0000-0000-000065190000}"/>
    <cellStyle name="Normal 109 5 2 3" xfId="2780" xr:uid="{00000000-0005-0000-0000-000066190000}"/>
    <cellStyle name="Normal 109 5 2 3 2" xfId="7017" xr:uid="{00000000-0005-0000-0000-000067190000}"/>
    <cellStyle name="Normal 109 5 2 3 2 2" xfId="16198" xr:uid="{00000000-0005-0000-0000-000068190000}"/>
    <cellStyle name="Normal 109 5 2 3 2 2 2" xfId="32772" xr:uid="{00000000-0005-0000-0000-000069190000}"/>
    <cellStyle name="Normal 109 5 2 3 2 3" xfId="24725" xr:uid="{00000000-0005-0000-0000-00006A190000}"/>
    <cellStyle name="Normal 109 5 2 3 3" xfId="12286" xr:uid="{00000000-0005-0000-0000-00006B190000}"/>
    <cellStyle name="Normal 109 5 2 3 3 2" xfId="28810" xr:uid="{00000000-0005-0000-0000-00006C190000}"/>
    <cellStyle name="Normal 109 5 2 3 4" xfId="20767" xr:uid="{00000000-0005-0000-0000-00006D190000}"/>
    <cellStyle name="Normal 109 5 2 4" xfId="7018" xr:uid="{00000000-0005-0000-0000-00006E190000}"/>
    <cellStyle name="Normal 109 5 2 4 2" xfId="16199" xr:uid="{00000000-0005-0000-0000-00006F190000}"/>
    <cellStyle name="Normal 109 5 2 4 2 2" xfId="32773" xr:uid="{00000000-0005-0000-0000-000070190000}"/>
    <cellStyle name="Normal 109 5 2 4 3" xfId="24726" xr:uid="{00000000-0005-0000-0000-000071190000}"/>
    <cellStyle name="Normal 109 5 2 5" xfId="12283" xr:uid="{00000000-0005-0000-0000-000072190000}"/>
    <cellStyle name="Normal 109 5 2 5 2" xfId="28807" xr:uid="{00000000-0005-0000-0000-000073190000}"/>
    <cellStyle name="Normal 109 5 2 6" xfId="20764" xr:uid="{00000000-0005-0000-0000-000074190000}"/>
    <cellStyle name="Normal 109 5 3" xfId="2781" xr:uid="{00000000-0005-0000-0000-000075190000}"/>
    <cellStyle name="Normal 109 5 3 2" xfId="2782" xr:uid="{00000000-0005-0000-0000-000076190000}"/>
    <cellStyle name="Normal 109 5 3 2 2" xfId="7019" xr:uid="{00000000-0005-0000-0000-000077190000}"/>
    <cellStyle name="Normal 109 5 3 2 2 2" xfId="16200" xr:uid="{00000000-0005-0000-0000-000078190000}"/>
    <cellStyle name="Normal 109 5 3 2 2 2 2" xfId="32774" xr:uid="{00000000-0005-0000-0000-000079190000}"/>
    <cellStyle name="Normal 109 5 3 2 2 3" xfId="24727" xr:uid="{00000000-0005-0000-0000-00007A190000}"/>
    <cellStyle name="Normal 109 5 3 2 3" xfId="12288" xr:uid="{00000000-0005-0000-0000-00007B190000}"/>
    <cellStyle name="Normal 109 5 3 2 3 2" xfId="28812" xr:uid="{00000000-0005-0000-0000-00007C190000}"/>
    <cellStyle name="Normal 109 5 3 2 4" xfId="20769" xr:uid="{00000000-0005-0000-0000-00007D190000}"/>
    <cellStyle name="Normal 109 5 3 3" xfId="7020" xr:uid="{00000000-0005-0000-0000-00007E190000}"/>
    <cellStyle name="Normal 109 5 3 3 2" xfId="16201" xr:uid="{00000000-0005-0000-0000-00007F190000}"/>
    <cellStyle name="Normal 109 5 3 3 2 2" xfId="32775" xr:uid="{00000000-0005-0000-0000-000080190000}"/>
    <cellStyle name="Normal 109 5 3 3 3" xfId="24728" xr:uid="{00000000-0005-0000-0000-000081190000}"/>
    <cellStyle name="Normal 109 5 3 4" xfId="12287" xr:uid="{00000000-0005-0000-0000-000082190000}"/>
    <cellStyle name="Normal 109 5 3 4 2" xfId="28811" xr:uid="{00000000-0005-0000-0000-000083190000}"/>
    <cellStyle name="Normal 109 5 3 5" xfId="20768" xr:uid="{00000000-0005-0000-0000-000084190000}"/>
    <cellStyle name="Normal 109 5 4" xfId="2783" xr:uid="{00000000-0005-0000-0000-000085190000}"/>
    <cellStyle name="Normal 109 5 4 2" xfId="7021" xr:uid="{00000000-0005-0000-0000-000086190000}"/>
    <cellStyle name="Normal 109 5 4 2 2" xfId="16202" xr:uid="{00000000-0005-0000-0000-000087190000}"/>
    <cellStyle name="Normal 109 5 4 2 2 2" xfId="32776" xr:uid="{00000000-0005-0000-0000-000088190000}"/>
    <cellStyle name="Normal 109 5 4 2 3" xfId="24729" xr:uid="{00000000-0005-0000-0000-000089190000}"/>
    <cellStyle name="Normal 109 5 4 3" xfId="12289" xr:uid="{00000000-0005-0000-0000-00008A190000}"/>
    <cellStyle name="Normal 109 5 4 3 2" xfId="28813" xr:uid="{00000000-0005-0000-0000-00008B190000}"/>
    <cellStyle name="Normal 109 5 4 4" xfId="20770" xr:uid="{00000000-0005-0000-0000-00008C190000}"/>
    <cellStyle name="Normal 109 5 5" xfId="7022" xr:uid="{00000000-0005-0000-0000-00008D190000}"/>
    <cellStyle name="Normal 109 5 5 2" xfId="16203" xr:uid="{00000000-0005-0000-0000-00008E190000}"/>
    <cellStyle name="Normal 109 5 5 2 2" xfId="32777" xr:uid="{00000000-0005-0000-0000-00008F190000}"/>
    <cellStyle name="Normal 109 5 5 3" xfId="24730" xr:uid="{00000000-0005-0000-0000-000090190000}"/>
    <cellStyle name="Normal 109 5 6" xfId="12282" xr:uid="{00000000-0005-0000-0000-000091190000}"/>
    <cellStyle name="Normal 109 5 6 2" xfId="28806" xr:uid="{00000000-0005-0000-0000-000092190000}"/>
    <cellStyle name="Normal 109 5 7" xfId="20763" xr:uid="{00000000-0005-0000-0000-000093190000}"/>
    <cellStyle name="Normal 109 6" xfId="2784" xr:uid="{00000000-0005-0000-0000-000094190000}"/>
    <cellStyle name="Normal 109 6 2" xfId="2785" xr:uid="{00000000-0005-0000-0000-000095190000}"/>
    <cellStyle name="Normal 109 6 2 2" xfId="2786" xr:uid="{00000000-0005-0000-0000-000096190000}"/>
    <cellStyle name="Normal 109 6 2 2 2" xfId="7023" xr:uid="{00000000-0005-0000-0000-000097190000}"/>
    <cellStyle name="Normal 109 6 2 2 2 2" xfId="16204" xr:uid="{00000000-0005-0000-0000-000098190000}"/>
    <cellStyle name="Normal 109 6 2 2 2 2 2" xfId="32778" xr:uid="{00000000-0005-0000-0000-000099190000}"/>
    <cellStyle name="Normal 109 6 2 2 2 3" xfId="24731" xr:uid="{00000000-0005-0000-0000-00009A190000}"/>
    <cellStyle name="Normal 109 6 2 2 3" xfId="12292" xr:uid="{00000000-0005-0000-0000-00009B190000}"/>
    <cellStyle name="Normal 109 6 2 2 3 2" xfId="28816" xr:uid="{00000000-0005-0000-0000-00009C190000}"/>
    <cellStyle name="Normal 109 6 2 2 4" xfId="20773" xr:uid="{00000000-0005-0000-0000-00009D190000}"/>
    <cellStyle name="Normal 109 6 2 3" xfId="7024" xr:uid="{00000000-0005-0000-0000-00009E190000}"/>
    <cellStyle name="Normal 109 6 2 3 2" xfId="16205" xr:uid="{00000000-0005-0000-0000-00009F190000}"/>
    <cellStyle name="Normal 109 6 2 3 2 2" xfId="32779" xr:uid="{00000000-0005-0000-0000-0000A0190000}"/>
    <cellStyle name="Normal 109 6 2 3 3" xfId="24732" xr:uid="{00000000-0005-0000-0000-0000A1190000}"/>
    <cellStyle name="Normal 109 6 2 4" xfId="12291" xr:uid="{00000000-0005-0000-0000-0000A2190000}"/>
    <cellStyle name="Normal 109 6 2 4 2" xfId="28815" xr:uid="{00000000-0005-0000-0000-0000A3190000}"/>
    <cellStyle name="Normal 109 6 2 5" xfId="20772" xr:uid="{00000000-0005-0000-0000-0000A4190000}"/>
    <cellStyle name="Normal 109 6 3" xfId="2787" xr:uid="{00000000-0005-0000-0000-0000A5190000}"/>
    <cellStyle name="Normal 109 6 3 2" xfId="7025" xr:uid="{00000000-0005-0000-0000-0000A6190000}"/>
    <cellStyle name="Normal 109 6 3 2 2" xfId="16206" xr:uid="{00000000-0005-0000-0000-0000A7190000}"/>
    <cellStyle name="Normal 109 6 3 2 2 2" xfId="32780" xr:uid="{00000000-0005-0000-0000-0000A8190000}"/>
    <cellStyle name="Normal 109 6 3 2 3" xfId="24733" xr:uid="{00000000-0005-0000-0000-0000A9190000}"/>
    <cellStyle name="Normal 109 6 3 3" xfId="12293" xr:uid="{00000000-0005-0000-0000-0000AA190000}"/>
    <cellStyle name="Normal 109 6 3 3 2" xfId="28817" xr:uid="{00000000-0005-0000-0000-0000AB190000}"/>
    <cellStyle name="Normal 109 6 3 4" xfId="20774" xr:uid="{00000000-0005-0000-0000-0000AC190000}"/>
    <cellStyle name="Normal 109 6 4" xfId="7026" xr:uid="{00000000-0005-0000-0000-0000AD190000}"/>
    <cellStyle name="Normal 109 6 4 2" xfId="16207" xr:uid="{00000000-0005-0000-0000-0000AE190000}"/>
    <cellStyle name="Normal 109 6 4 2 2" xfId="32781" xr:uid="{00000000-0005-0000-0000-0000AF190000}"/>
    <cellStyle name="Normal 109 6 4 3" xfId="24734" xr:uid="{00000000-0005-0000-0000-0000B0190000}"/>
    <cellStyle name="Normal 109 6 5" xfId="12290" xr:uid="{00000000-0005-0000-0000-0000B1190000}"/>
    <cellStyle name="Normal 109 6 5 2" xfId="28814" xr:uid="{00000000-0005-0000-0000-0000B2190000}"/>
    <cellStyle name="Normal 109 6 6" xfId="20771" xr:uid="{00000000-0005-0000-0000-0000B3190000}"/>
    <cellStyle name="Normal 109 7" xfId="2788" xr:uid="{00000000-0005-0000-0000-0000B4190000}"/>
    <cellStyle name="Normal 109 7 2" xfId="2789" xr:uid="{00000000-0005-0000-0000-0000B5190000}"/>
    <cellStyle name="Normal 109 7 2 2" xfId="7027" xr:uid="{00000000-0005-0000-0000-0000B6190000}"/>
    <cellStyle name="Normal 109 7 2 2 2" xfId="16208" xr:uid="{00000000-0005-0000-0000-0000B7190000}"/>
    <cellStyle name="Normal 109 7 2 2 2 2" xfId="32782" xr:uid="{00000000-0005-0000-0000-0000B8190000}"/>
    <cellStyle name="Normal 109 7 2 2 3" xfId="24735" xr:uid="{00000000-0005-0000-0000-0000B9190000}"/>
    <cellStyle name="Normal 109 7 2 3" xfId="12295" xr:uid="{00000000-0005-0000-0000-0000BA190000}"/>
    <cellStyle name="Normal 109 7 2 3 2" xfId="28819" xr:uid="{00000000-0005-0000-0000-0000BB190000}"/>
    <cellStyle name="Normal 109 7 2 4" xfId="20776" xr:uid="{00000000-0005-0000-0000-0000BC190000}"/>
    <cellStyle name="Normal 109 7 3" xfId="7028" xr:uid="{00000000-0005-0000-0000-0000BD190000}"/>
    <cellStyle name="Normal 109 7 3 2" xfId="16209" xr:uid="{00000000-0005-0000-0000-0000BE190000}"/>
    <cellStyle name="Normal 109 7 3 2 2" xfId="32783" xr:uid="{00000000-0005-0000-0000-0000BF190000}"/>
    <cellStyle name="Normal 109 7 3 3" xfId="24736" xr:uid="{00000000-0005-0000-0000-0000C0190000}"/>
    <cellStyle name="Normal 109 7 4" xfId="12294" xr:uid="{00000000-0005-0000-0000-0000C1190000}"/>
    <cellStyle name="Normal 109 7 4 2" xfId="28818" xr:uid="{00000000-0005-0000-0000-0000C2190000}"/>
    <cellStyle name="Normal 109 7 5" xfId="20775" xr:uid="{00000000-0005-0000-0000-0000C3190000}"/>
    <cellStyle name="Normal 109 8" xfId="2790" xr:uid="{00000000-0005-0000-0000-0000C4190000}"/>
    <cellStyle name="Normal 109 8 2" xfId="7029" xr:uid="{00000000-0005-0000-0000-0000C5190000}"/>
    <cellStyle name="Normal 109 8 2 2" xfId="16210" xr:uid="{00000000-0005-0000-0000-0000C6190000}"/>
    <cellStyle name="Normal 109 8 2 2 2" xfId="32784" xr:uid="{00000000-0005-0000-0000-0000C7190000}"/>
    <cellStyle name="Normal 109 8 2 3" xfId="24737" xr:uid="{00000000-0005-0000-0000-0000C8190000}"/>
    <cellStyle name="Normal 109 8 3" xfId="12296" xr:uid="{00000000-0005-0000-0000-0000C9190000}"/>
    <cellStyle name="Normal 109 8 3 2" xfId="28820" xr:uid="{00000000-0005-0000-0000-0000CA190000}"/>
    <cellStyle name="Normal 109 8 4" xfId="20777" xr:uid="{00000000-0005-0000-0000-0000CB190000}"/>
    <cellStyle name="Normal 109 9" xfId="7030" xr:uid="{00000000-0005-0000-0000-0000CC190000}"/>
    <cellStyle name="Normal 109 9 2" xfId="16211" xr:uid="{00000000-0005-0000-0000-0000CD190000}"/>
    <cellStyle name="Normal 109 9 2 2" xfId="32785" xr:uid="{00000000-0005-0000-0000-0000CE190000}"/>
    <cellStyle name="Normal 109 9 3" xfId="24738" xr:uid="{00000000-0005-0000-0000-0000CF190000}"/>
    <cellStyle name="Normal 11" xfId="17" xr:uid="{00000000-0005-0000-0000-0000D0190000}"/>
    <cellStyle name="Normal 11 10" xfId="11121" xr:uid="{00000000-0005-0000-0000-0000D1190000}"/>
    <cellStyle name="Normal 11 11" xfId="12297" xr:uid="{00000000-0005-0000-0000-0000D2190000}"/>
    <cellStyle name="Normal 11 11 2" xfId="28821" xr:uid="{00000000-0005-0000-0000-0000D3190000}"/>
    <cellStyle name="Normal 11 12" xfId="20778" xr:uid="{00000000-0005-0000-0000-0000D4190000}"/>
    <cellStyle name="Normal 11 13" xfId="36196" xr:uid="{00000000-0005-0000-0000-0000D5190000}"/>
    <cellStyle name="Normal 11 2" xfId="373" xr:uid="{00000000-0005-0000-0000-0000D6190000}"/>
    <cellStyle name="Normal 11 2 2" xfId="2792" xr:uid="{00000000-0005-0000-0000-0000D7190000}"/>
    <cellStyle name="Normal 11 2 3" xfId="2791" xr:uid="{00000000-0005-0000-0000-0000D8190000}"/>
    <cellStyle name="Normal 11 2 3 2" xfId="28822" xr:uid="{00000000-0005-0000-0000-0000D9190000}"/>
    <cellStyle name="Normal 11 2 4" xfId="20779" xr:uid="{00000000-0005-0000-0000-0000DA190000}"/>
    <cellStyle name="Normal 11 3" xfId="374" xr:uid="{00000000-0005-0000-0000-0000DB190000}"/>
    <cellStyle name="Normal 11 3 2" xfId="2794" xr:uid="{00000000-0005-0000-0000-0000DC190000}"/>
    <cellStyle name="Normal 11 3 2 2" xfId="2795" xr:uid="{00000000-0005-0000-0000-0000DD190000}"/>
    <cellStyle name="Normal 11 3 2 2 2" xfId="2796" xr:uid="{00000000-0005-0000-0000-0000DE190000}"/>
    <cellStyle name="Normal 11 3 2 2 2 2" xfId="7031" xr:uid="{00000000-0005-0000-0000-0000DF190000}"/>
    <cellStyle name="Normal 11 3 2 2 2 2 2" xfId="16212" xr:uid="{00000000-0005-0000-0000-0000E0190000}"/>
    <cellStyle name="Normal 11 3 2 2 2 2 2 2" xfId="32786" xr:uid="{00000000-0005-0000-0000-0000E1190000}"/>
    <cellStyle name="Normal 11 3 2 2 2 2 3" xfId="24739" xr:uid="{00000000-0005-0000-0000-0000E2190000}"/>
    <cellStyle name="Normal 11 3 2 2 2 3" xfId="12300" xr:uid="{00000000-0005-0000-0000-0000E3190000}"/>
    <cellStyle name="Normal 11 3 2 2 2 3 2" xfId="28825" xr:uid="{00000000-0005-0000-0000-0000E4190000}"/>
    <cellStyle name="Normal 11 3 2 2 2 4" xfId="20782" xr:uid="{00000000-0005-0000-0000-0000E5190000}"/>
    <cellStyle name="Normal 11 3 2 2 3" xfId="7032" xr:uid="{00000000-0005-0000-0000-0000E6190000}"/>
    <cellStyle name="Normal 11 3 2 2 3 2" xfId="16213" xr:uid="{00000000-0005-0000-0000-0000E7190000}"/>
    <cellStyle name="Normal 11 3 2 2 3 2 2" xfId="32787" xr:uid="{00000000-0005-0000-0000-0000E8190000}"/>
    <cellStyle name="Normal 11 3 2 2 3 3" xfId="24740" xr:uid="{00000000-0005-0000-0000-0000E9190000}"/>
    <cellStyle name="Normal 11 3 2 2 4" xfId="12299" xr:uid="{00000000-0005-0000-0000-0000EA190000}"/>
    <cellStyle name="Normal 11 3 2 2 4 2" xfId="28824" xr:uid="{00000000-0005-0000-0000-0000EB190000}"/>
    <cellStyle name="Normal 11 3 2 2 5" xfId="20781" xr:uid="{00000000-0005-0000-0000-0000EC190000}"/>
    <cellStyle name="Normal 11 3 2 3" xfId="2797" xr:uid="{00000000-0005-0000-0000-0000ED190000}"/>
    <cellStyle name="Normal 11 3 2 3 2" xfId="7033" xr:uid="{00000000-0005-0000-0000-0000EE190000}"/>
    <cellStyle name="Normal 11 3 2 3 2 2" xfId="16214" xr:uid="{00000000-0005-0000-0000-0000EF190000}"/>
    <cellStyle name="Normal 11 3 2 3 2 2 2" xfId="32788" xr:uid="{00000000-0005-0000-0000-0000F0190000}"/>
    <cellStyle name="Normal 11 3 2 3 2 3" xfId="24741" xr:uid="{00000000-0005-0000-0000-0000F1190000}"/>
    <cellStyle name="Normal 11 3 2 3 3" xfId="12301" xr:uid="{00000000-0005-0000-0000-0000F2190000}"/>
    <cellStyle name="Normal 11 3 2 3 3 2" xfId="28826" xr:uid="{00000000-0005-0000-0000-0000F3190000}"/>
    <cellStyle name="Normal 11 3 2 3 4" xfId="20783" xr:uid="{00000000-0005-0000-0000-0000F4190000}"/>
    <cellStyle name="Normal 11 3 2 4" xfId="7034" xr:uid="{00000000-0005-0000-0000-0000F5190000}"/>
    <cellStyle name="Normal 11 3 2 4 2" xfId="16215" xr:uid="{00000000-0005-0000-0000-0000F6190000}"/>
    <cellStyle name="Normal 11 3 2 4 2 2" xfId="32789" xr:uid="{00000000-0005-0000-0000-0000F7190000}"/>
    <cellStyle name="Normal 11 3 2 4 3" xfId="24742" xr:uid="{00000000-0005-0000-0000-0000F8190000}"/>
    <cellStyle name="Normal 11 3 2 5" xfId="12298" xr:uid="{00000000-0005-0000-0000-0000F9190000}"/>
    <cellStyle name="Normal 11 3 2 5 2" xfId="28823" xr:uid="{00000000-0005-0000-0000-0000FA190000}"/>
    <cellStyle name="Normal 11 3 2 6" xfId="20780" xr:uid="{00000000-0005-0000-0000-0000FB190000}"/>
    <cellStyle name="Normal 11 3 3" xfId="2798" xr:uid="{00000000-0005-0000-0000-0000FC190000}"/>
    <cellStyle name="Normal 11 3 3 2" xfId="2799" xr:uid="{00000000-0005-0000-0000-0000FD190000}"/>
    <cellStyle name="Normal 11 3 3 2 2" xfId="7035" xr:uid="{00000000-0005-0000-0000-0000FE190000}"/>
    <cellStyle name="Normal 11 3 3 2 2 2" xfId="16216" xr:uid="{00000000-0005-0000-0000-0000FF190000}"/>
    <cellStyle name="Normal 11 3 3 2 2 2 2" xfId="32790" xr:uid="{00000000-0005-0000-0000-0000001A0000}"/>
    <cellStyle name="Normal 11 3 3 2 2 3" xfId="24743" xr:uid="{00000000-0005-0000-0000-0000011A0000}"/>
    <cellStyle name="Normal 11 3 3 2 3" xfId="12303" xr:uid="{00000000-0005-0000-0000-0000021A0000}"/>
    <cellStyle name="Normal 11 3 3 2 3 2" xfId="28828" xr:uid="{00000000-0005-0000-0000-0000031A0000}"/>
    <cellStyle name="Normal 11 3 3 2 4" xfId="20785" xr:uid="{00000000-0005-0000-0000-0000041A0000}"/>
    <cellStyle name="Normal 11 3 3 3" xfId="7036" xr:uid="{00000000-0005-0000-0000-0000051A0000}"/>
    <cellStyle name="Normal 11 3 3 3 2" xfId="16217" xr:uid="{00000000-0005-0000-0000-0000061A0000}"/>
    <cellStyle name="Normal 11 3 3 3 2 2" xfId="32791" xr:uid="{00000000-0005-0000-0000-0000071A0000}"/>
    <cellStyle name="Normal 11 3 3 3 3" xfId="24744" xr:uid="{00000000-0005-0000-0000-0000081A0000}"/>
    <cellStyle name="Normal 11 3 3 4" xfId="12302" xr:uid="{00000000-0005-0000-0000-0000091A0000}"/>
    <cellStyle name="Normal 11 3 3 4 2" xfId="28827" xr:uid="{00000000-0005-0000-0000-00000A1A0000}"/>
    <cellStyle name="Normal 11 3 3 5" xfId="20784" xr:uid="{00000000-0005-0000-0000-00000B1A0000}"/>
    <cellStyle name="Normal 11 3 4" xfId="2800" xr:uid="{00000000-0005-0000-0000-00000C1A0000}"/>
    <cellStyle name="Normal 11 3 4 2" xfId="7037" xr:uid="{00000000-0005-0000-0000-00000D1A0000}"/>
    <cellStyle name="Normal 11 3 4 2 2" xfId="16218" xr:uid="{00000000-0005-0000-0000-00000E1A0000}"/>
    <cellStyle name="Normal 11 3 4 2 2 2" xfId="32792" xr:uid="{00000000-0005-0000-0000-00000F1A0000}"/>
    <cellStyle name="Normal 11 3 4 2 3" xfId="24745" xr:uid="{00000000-0005-0000-0000-0000101A0000}"/>
    <cellStyle name="Normal 11 3 4 3" xfId="12304" xr:uid="{00000000-0005-0000-0000-0000111A0000}"/>
    <cellStyle name="Normal 11 3 4 3 2" xfId="28829" xr:uid="{00000000-0005-0000-0000-0000121A0000}"/>
    <cellStyle name="Normal 11 3 4 4" xfId="20786" xr:uid="{00000000-0005-0000-0000-0000131A0000}"/>
    <cellStyle name="Normal 11 3 5" xfId="2801" xr:uid="{00000000-0005-0000-0000-0000141A0000}"/>
    <cellStyle name="Normal 11 3 5 2" xfId="12305" xr:uid="{00000000-0005-0000-0000-0000151A0000}"/>
    <cellStyle name="Normal 11 3 5 2 2" xfId="28830" xr:uid="{00000000-0005-0000-0000-0000161A0000}"/>
    <cellStyle name="Normal 11 3 5 3" xfId="20787" xr:uid="{00000000-0005-0000-0000-0000171A0000}"/>
    <cellStyle name="Normal 11 3 6" xfId="2793" xr:uid="{00000000-0005-0000-0000-0000181A0000}"/>
    <cellStyle name="Normal 11 4" xfId="1687" xr:uid="{00000000-0005-0000-0000-0000191A0000}"/>
    <cellStyle name="Normal 11 4 2" xfId="2802" xr:uid="{00000000-0005-0000-0000-00001A1A0000}"/>
    <cellStyle name="Normal 11 4 2 2" xfId="2803" xr:uid="{00000000-0005-0000-0000-00001B1A0000}"/>
    <cellStyle name="Normal 11 4 2 2 2" xfId="2804" xr:uid="{00000000-0005-0000-0000-00001C1A0000}"/>
    <cellStyle name="Normal 11 4 2 2 2 2" xfId="7038" xr:uid="{00000000-0005-0000-0000-00001D1A0000}"/>
    <cellStyle name="Normal 11 4 2 2 2 2 2" xfId="16219" xr:uid="{00000000-0005-0000-0000-00001E1A0000}"/>
    <cellStyle name="Normal 11 4 2 2 2 2 2 2" xfId="32793" xr:uid="{00000000-0005-0000-0000-00001F1A0000}"/>
    <cellStyle name="Normal 11 4 2 2 2 2 3" xfId="24746" xr:uid="{00000000-0005-0000-0000-0000201A0000}"/>
    <cellStyle name="Normal 11 4 2 2 2 3" xfId="12309" xr:uid="{00000000-0005-0000-0000-0000211A0000}"/>
    <cellStyle name="Normal 11 4 2 2 2 3 2" xfId="28834" xr:uid="{00000000-0005-0000-0000-0000221A0000}"/>
    <cellStyle name="Normal 11 4 2 2 2 4" xfId="20791" xr:uid="{00000000-0005-0000-0000-0000231A0000}"/>
    <cellStyle name="Normal 11 4 2 2 3" xfId="7039" xr:uid="{00000000-0005-0000-0000-0000241A0000}"/>
    <cellStyle name="Normal 11 4 2 2 3 2" xfId="16220" xr:uid="{00000000-0005-0000-0000-0000251A0000}"/>
    <cellStyle name="Normal 11 4 2 2 3 2 2" xfId="32794" xr:uid="{00000000-0005-0000-0000-0000261A0000}"/>
    <cellStyle name="Normal 11 4 2 2 3 3" xfId="24747" xr:uid="{00000000-0005-0000-0000-0000271A0000}"/>
    <cellStyle name="Normal 11 4 2 2 4" xfId="12308" xr:uid="{00000000-0005-0000-0000-0000281A0000}"/>
    <cellStyle name="Normal 11 4 2 2 4 2" xfId="28833" xr:uid="{00000000-0005-0000-0000-0000291A0000}"/>
    <cellStyle name="Normal 11 4 2 2 5" xfId="20790" xr:uid="{00000000-0005-0000-0000-00002A1A0000}"/>
    <cellStyle name="Normal 11 4 2 3" xfId="2805" xr:uid="{00000000-0005-0000-0000-00002B1A0000}"/>
    <cellStyle name="Normal 11 4 2 3 2" xfId="7040" xr:uid="{00000000-0005-0000-0000-00002C1A0000}"/>
    <cellStyle name="Normal 11 4 2 3 2 2" xfId="16221" xr:uid="{00000000-0005-0000-0000-00002D1A0000}"/>
    <cellStyle name="Normal 11 4 2 3 2 2 2" xfId="32795" xr:uid="{00000000-0005-0000-0000-00002E1A0000}"/>
    <cellStyle name="Normal 11 4 2 3 2 3" xfId="24748" xr:uid="{00000000-0005-0000-0000-00002F1A0000}"/>
    <cellStyle name="Normal 11 4 2 3 3" xfId="12310" xr:uid="{00000000-0005-0000-0000-0000301A0000}"/>
    <cellStyle name="Normal 11 4 2 3 3 2" xfId="28835" xr:uid="{00000000-0005-0000-0000-0000311A0000}"/>
    <cellStyle name="Normal 11 4 2 3 4" xfId="20792" xr:uid="{00000000-0005-0000-0000-0000321A0000}"/>
    <cellStyle name="Normal 11 4 2 4" xfId="7041" xr:uid="{00000000-0005-0000-0000-0000331A0000}"/>
    <cellStyle name="Normal 11 4 2 4 2" xfId="16222" xr:uid="{00000000-0005-0000-0000-0000341A0000}"/>
    <cellStyle name="Normal 11 4 2 4 2 2" xfId="32796" xr:uid="{00000000-0005-0000-0000-0000351A0000}"/>
    <cellStyle name="Normal 11 4 2 4 3" xfId="24749" xr:uid="{00000000-0005-0000-0000-0000361A0000}"/>
    <cellStyle name="Normal 11 4 2 5" xfId="12307" xr:uid="{00000000-0005-0000-0000-0000371A0000}"/>
    <cellStyle name="Normal 11 4 2 5 2" xfId="28832" xr:uid="{00000000-0005-0000-0000-0000381A0000}"/>
    <cellStyle name="Normal 11 4 2 6" xfId="20789" xr:uid="{00000000-0005-0000-0000-0000391A0000}"/>
    <cellStyle name="Normal 11 4 3" xfId="2806" xr:uid="{00000000-0005-0000-0000-00003A1A0000}"/>
    <cellStyle name="Normal 11 4 3 2" xfId="2807" xr:uid="{00000000-0005-0000-0000-00003B1A0000}"/>
    <cellStyle name="Normal 11 4 3 2 2" xfId="7042" xr:uid="{00000000-0005-0000-0000-00003C1A0000}"/>
    <cellStyle name="Normal 11 4 3 2 2 2" xfId="16223" xr:uid="{00000000-0005-0000-0000-00003D1A0000}"/>
    <cellStyle name="Normal 11 4 3 2 2 2 2" xfId="32797" xr:uid="{00000000-0005-0000-0000-00003E1A0000}"/>
    <cellStyle name="Normal 11 4 3 2 2 3" xfId="24750" xr:uid="{00000000-0005-0000-0000-00003F1A0000}"/>
    <cellStyle name="Normal 11 4 3 2 3" xfId="12312" xr:uid="{00000000-0005-0000-0000-0000401A0000}"/>
    <cellStyle name="Normal 11 4 3 2 3 2" xfId="28837" xr:uid="{00000000-0005-0000-0000-0000411A0000}"/>
    <cellStyle name="Normal 11 4 3 2 4" xfId="20794" xr:uid="{00000000-0005-0000-0000-0000421A0000}"/>
    <cellStyle name="Normal 11 4 3 3" xfId="7043" xr:uid="{00000000-0005-0000-0000-0000431A0000}"/>
    <cellStyle name="Normal 11 4 3 3 2" xfId="16224" xr:uid="{00000000-0005-0000-0000-0000441A0000}"/>
    <cellStyle name="Normal 11 4 3 3 2 2" xfId="32798" xr:uid="{00000000-0005-0000-0000-0000451A0000}"/>
    <cellStyle name="Normal 11 4 3 3 3" xfId="24751" xr:uid="{00000000-0005-0000-0000-0000461A0000}"/>
    <cellStyle name="Normal 11 4 3 4" xfId="12311" xr:uid="{00000000-0005-0000-0000-0000471A0000}"/>
    <cellStyle name="Normal 11 4 3 4 2" xfId="28836" xr:uid="{00000000-0005-0000-0000-0000481A0000}"/>
    <cellStyle name="Normal 11 4 3 5" xfId="20793" xr:uid="{00000000-0005-0000-0000-0000491A0000}"/>
    <cellStyle name="Normal 11 4 4" xfId="2808" xr:uid="{00000000-0005-0000-0000-00004A1A0000}"/>
    <cellStyle name="Normal 11 4 4 2" xfId="7044" xr:uid="{00000000-0005-0000-0000-00004B1A0000}"/>
    <cellStyle name="Normal 11 4 4 2 2" xfId="16225" xr:uid="{00000000-0005-0000-0000-00004C1A0000}"/>
    <cellStyle name="Normal 11 4 4 2 2 2" xfId="32799" xr:uid="{00000000-0005-0000-0000-00004D1A0000}"/>
    <cellStyle name="Normal 11 4 4 2 3" xfId="24752" xr:uid="{00000000-0005-0000-0000-00004E1A0000}"/>
    <cellStyle name="Normal 11 4 4 3" xfId="12313" xr:uid="{00000000-0005-0000-0000-00004F1A0000}"/>
    <cellStyle name="Normal 11 4 4 3 2" xfId="28838" xr:uid="{00000000-0005-0000-0000-0000501A0000}"/>
    <cellStyle name="Normal 11 4 4 4" xfId="20795" xr:uid="{00000000-0005-0000-0000-0000511A0000}"/>
    <cellStyle name="Normal 11 4 5" xfId="7045" xr:uid="{00000000-0005-0000-0000-0000521A0000}"/>
    <cellStyle name="Normal 11 4 5 2" xfId="16226" xr:uid="{00000000-0005-0000-0000-0000531A0000}"/>
    <cellStyle name="Normal 11 4 5 2 2" xfId="32800" xr:uid="{00000000-0005-0000-0000-0000541A0000}"/>
    <cellStyle name="Normal 11 4 5 3" xfId="24753" xr:uid="{00000000-0005-0000-0000-0000551A0000}"/>
    <cellStyle name="Normal 11 4 6" xfId="12306" xr:uid="{00000000-0005-0000-0000-0000561A0000}"/>
    <cellStyle name="Normal 11 4 6 2" xfId="28831" xr:uid="{00000000-0005-0000-0000-0000571A0000}"/>
    <cellStyle name="Normal 11 4 7" xfId="20788" xr:uid="{00000000-0005-0000-0000-0000581A0000}"/>
    <cellStyle name="Normal 11 5" xfId="2809" xr:uid="{00000000-0005-0000-0000-0000591A0000}"/>
    <cellStyle name="Normal 11 5 2" xfId="2810" xr:uid="{00000000-0005-0000-0000-00005A1A0000}"/>
    <cellStyle name="Normal 11 5 2 2" xfId="2811" xr:uid="{00000000-0005-0000-0000-00005B1A0000}"/>
    <cellStyle name="Normal 11 5 2 2 2" xfId="2812" xr:uid="{00000000-0005-0000-0000-00005C1A0000}"/>
    <cellStyle name="Normal 11 5 2 2 2 2" xfId="7046" xr:uid="{00000000-0005-0000-0000-00005D1A0000}"/>
    <cellStyle name="Normal 11 5 2 2 2 2 2" xfId="16227" xr:uid="{00000000-0005-0000-0000-00005E1A0000}"/>
    <cellStyle name="Normal 11 5 2 2 2 2 2 2" xfId="32801" xr:uid="{00000000-0005-0000-0000-00005F1A0000}"/>
    <cellStyle name="Normal 11 5 2 2 2 2 3" xfId="24754" xr:uid="{00000000-0005-0000-0000-0000601A0000}"/>
    <cellStyle name="Normal 11 5 2 2 2 3" xfId="12317" xr:uid="{00000000-0005-0000-0000-0000611A0000}"/>
    <cellStyle name="Normal 11 5 2 2 2 3 2" xfId="28842" xr:uid="{00000000-0005-0000-0000-0000621A0000}"/>
    <cellStyle name="Normal 11 5 2 2 2 4" xfId="20799" xr:uid="{00000000-0005-0000-0000-0000631A0000}"/>
    <cellStyle name="Normal 11 5 2 2 3" xfId="7047" xr:uid="{00000000-0005-0000-0000-0000641A0000}"/>
    <cellStyle name="Normal 11 5 2 2 3 2" xfId="16228" xr:uid="{00000000-0005-0000-0000-0000651A0000}"/>
    <cellStyle name="Normal 11 5 2 2 3 2 2" xfId="32802" xr:uid="{00000000-0005-0000-0000-0000661A0000}"/>
    <cellStyle name="Normal 11 5 2 2 3 3" xfId="24755" xr:uid="{00000000-0005-0000-0000-0000671A0000}"/>
    <cellStyle name="Normal 11 5 2 2 4" xfId="12316" xr:uid="{00000000-0005-0000-0000-0000681A0000}"/>
    <cellStyle name="Normal 11 5 2 2 4 2" xfId="28841" xr:uid="{00000000-0005-0000-0000-0000691A0000}"/>
    <cellStyle name="Normal 11 5 2 2 5" xfId="20798" xr:uid="{00000000-0005-0000-0000-00006A1A0000}"/>
    <cellStyle name="Normal 11 5 2 3" xfId="2813" xr:uid="{00000000-0005-0000-0000-00006B1A0000}"/>
    <cellStyle name="Normal 11 5 2 3 2" xfId="7048" xr:uid="{00000000-0005-0000-0000-00006C1A0000}"/>
    <cellStyle name="Normal 11 5 2 3 2 2" xfId="16229" xr:uid="{00000000-0005-0000-0000-00006D1A0000}"/>
    <cellStyle name="Normal 11 5 2 3 2 2 2" xfId="32803" xr:uid="{00000000-0005-0000-0000-00006E1A0000}"/>
    <cellStyle name="Normal 11 5 2 3 2 3" xfId="24756" xr:uid="{00000000-0005-0000-0000-00006F1A0000}"/>
    <cellStyle name="Normal 11 5 2 3 3" xfId="12318" xr:uid="{00000000-0005-0000-0000-0000701A0000}"/>
    <cellStyle name="Normal 11 5 2 3 3 2" xfId="28843" xr:uid="{00000000-0005-0000-0000-0000711A0000}"/>
    <cellStyle name="Normal 11 5 2 3 4" xfId="20800" xr:uid="{00000000-0005-0000-0000-0000721A0000}"/>
    <cellStyle name="Normal 11 5 2 4" xfId="7049" xr:uid="{00000000-0005-0000-0000-0000731A0000}"/>
    <cellStyle name="Normal 11 5 2 4 2" xfId="16230" xr:uid="{00000000-0005-0000-0000-0000741A0000}"/>
    <cellStyle name="Normal 11 5 2 4 2 2" xfId="32804" xr:uid="{00000000-0005-0000-0000-0000751A0000}"/>
    <cellStyle name="Normal 11 5 2 4 3" xfId="24757" xr:uid="{00000000-0005-0000-0000-0000761A0000}"/>
    <cellStyle name="Normal 11 5 2 5" xfId="12315" xr:uid="{00000000-0005-0000-0000-0000771A0000}"/>
    <cellStyle name="Normal 11 5 2 5 2" xfId="28840" xr:uid="{00000000-0005-0000-0000-0000781A0000}"/>
    <cellStyle name="Normal 11 5 2 6" xfId="20797" xr:uid="{00000000-0005-0000-0000-0000791A0000}"/>
    <cellStyle name="Normal 11 5 3" xfId="2814" xr:uid="{00000000-0005-0000-0000-00007A1A0000}"/>
    <cellStyle name="Normal 11 5 3 2" xfId="2815" xr:uid="{00000000-0005-0000-0000-00007B1A0000}"/>
    <cellStyle name="Normal 11 5 3 2 2" xfId="7050" xr:uid="{00000000-0005-0000-0000-00007C1A0000}"/>
    <cellStyle name="Normal 11 5 3 2 2 2" xfId="16231" xr:uid="{00000000-0005-0000-0000-00007D1A0000}"/>
    <cellStyle name="Normal 11 5 3 2 2 2 2" xfId="32805" xr:uid="{00000000-0005-0000-0000-00007E1A0000}"/>
    <cellStyle name="Normal 11 5 3 2 2 3" xfId="24758" xr:uid="{00000000-0005-0000-0000-00007F1A0000}"/>
    <cellStyle name="Normal 11 5 3 2 3" xfId="12320" xr:uid="{00000000-0005-0000-0000-0000801A0000}"/>
    <cellStyle name="Normal 11 5 3 2 3 2" xfId="28845" xr:uid="{00000000-0005-0000-0000-0000811A0000}"/>
    <cellStyle name="Normal 11 5 3 2 4" xfId="20802" xr:uid="{00000000-0005-0000-0000-0000821A0000}"/>
    <cellStyle name="Normal 11 5 3 3" xfId="7051" xr:uid="{00000000-0005-0000-0000-0000831A0000}"/>
    <cellStyle name="Normal 11 5 3 3 2" xfId="16232" xr:uid="{00000000-0005-0000-0000-0000841A0000}"/>
    <cellStyle name="Normal 11 5 3 3 2 2" xfId="32806" xr:uid="{00000000-0005-0000-0000-0000851A0000}"/>
    <cellStyle name="Normal 11 5 3 3 3" xfId="24759" xr:uid="{00000000-0005-0000-0000-0000861A0000}"/>
    <cellStyle name="Normal 11 5 3 4" xfId="12319" xr:uid="{00000000-0005-0000-0000-0000871A0000}"/>
    <cellStyle name="Normal 11 5 3 4 2" xfId="28844" xr:uid="{00000000-0005-0000-0000-0000881A0000}"/>
    <cellStyle name="Normal 11 5 3 5" xfId="20801" xr:uid="{00000000-0005-0000-0000-0000891A0000}"/>
    <cellStyle name="Normal 11 5 4" xfId="2816" xr:uid="{00000000-0005-0000-0000-00008A1A0000}"/>
    <cellStyle name="Normal 11 5 4 2" xfId="7052" xr:uid="{00000000-0005-0000-0000-00008B1A0000}"/>
    <cellStyle name="Normal 11 5 4 2 2" xfId="16233" xr:uid="{00000000-0005-0000-0000-00008C1A0000}"/>
    <cellStyle name="Normal 11 5 4 2 2 2" xfId="32807" xr:uid="{00000000-0005-0000-0000-00008D1A0000}"/>
    <cellStyle name="Normal 11 5 4 2 3" xfId="24760" xr:uid="{00000000-0005-0000-0000-00008E1A0000}"/>
    <cellStyle name="Normal 11 5 4 3" xfId="12321" xr:uid="{00000000-0005-0000-0000-00008F1A0000}"/>
    <cellStyle name="Normal 11 5 4 3 2" xfId="28846" xr:uid="{00000000-0005-0000-0000-0000901A0000}"/>
    <cellStyle name="Normal 11 5 4 4" xfId="20803" xr:uid="{00000000-0005-0000-0000-0000911A0000}"/>
    <cellStyle name="Normal 11 5 5" xfId="7053" xr:uid="{00000000-0005-0000-0000-0000921A0000}"/>
    <cellStyle name="Normal 11 5 5 2" xfId="16234" xr:uid="{00000000-0005-0000-0000-0000931A0000}"/>
    <cellStyle name="Normal 11 5 5 2 2" xfId="32808" xr:uid="{00000000-0005-0000-0000-0000941A0000}"/>
    <cellStyle name="Normal 11 5 5 3" xfId="24761" xr:uid="{00000000-0005-0000-0000-0000951A0000}"/>
    <cellStyle name="Normal 11 5 6" xfId="12314" xr:uid="{00000000-0005-0000-0000-0000961A0000}"/>
    <cellStyle name="Normal 11 5 6 2" xfId="28839" xr:uid="{00000000-0005-0000-0000-0000971A0000}"/>
    <cellStyle name="Normal 11 5 7" xfId="20796" xr:uid="{00000000-0005-0000-0000-0000981A0000}"/>
    <cellStyle name="Normal 11 6" xfId="2817" xr:uid="{00000000-0005-0000-0000-0000991A0000}"/>
    <cellStyle name="Normal 11 6 2" xfId="2818" xr:uid="{00000000-0005-0000-0000-00009A1A0000}"/>
    <cellStyle name="Normal 11 6 2 2" xfId="2819" xr:uid="{00000000-0005-0000-0000-00009B1A0000}"/>
    <cellStyle name="Normal 11 6 2 2 2" xfId="7054" xr:uid="{00000000-0005-0000-0000-00009C1A0000}"/>
    <cellStyle name="Normal 11 6 2 2 2 2" xfId="16235" xr:uid="{00000000-0005-0000-0000-00009D1A0000}"/>
    <cellStyle name="Normal 11 6 2 2 2 2 2" xfId="32809" xr:uid="{00000000-0005-0000-0000-00009E1A0000}"/>
    <cellStyle name="Normal 11 6 2 2 2 3" xfId="24762" xr:uid="{00000000-0005-0000-0000-00009F1A0000}"/>
    <cellStyle name="Normal 11 6 2 2 3" xfId="12324" xr:uid="{00000000-0005-0000-0000-0000A01A0000}"/>
    <cellStyle name="Normal 11 6 2 2 3 2" xfId="28849" xr:uid="{00000000-0005-0000-0000-0000A11A0000}"/>
    <cellStyle name="Normal 11 6 2 2 4" xfId="20806" xr:uid="{00000000-0005-0000-0000-0000A21A0000}"/>
    <cellStyle name="Normal 11 6 2 3" xfId="7055" xr:uid="{00000000-0005-0000-0000-0000A31A0000}"/>
    <cellStyle name="Normal 11 6 2 3 2" xfId="16236" xr:uid="{00000000-0005-0000-0000-0000A41A0000}"/>
    <cellStyle name="Normal 11 6 2 3 2 2" xfId="32810" xr:uid="{00000000-0005-0000-0000-0000A51A0000}"/>
    <cellStyle name="Normal 11 6 2 3 3" xfId="24763" xr:uid="{00000000-0005-0000-0000-0000A61A0000}"/>
    <cellStyle name="Normal 11 6 2 4" xfId="12323" xr:uid="{00000000-0005-0000-0000-0000A71A0000}"/>
    <cellStyle name="Normal 11 6 2 4 2" xfId="28848" xr:uid="{00000000-0005-0000-0000-0000A81A0000}"/>
    <cellStyle name="Normal 11 6 2 5" xfId="20805" xr:uid="{00000000-0005-0000-0000-0000A91A0000}"/>
    <cellStyle name="Normal 11 6 3" xfId="2820" xr:uid="{00000000-0005-0000-0000-0000AA1A0000}"/>
    <cellStyle name="Normal 11 6 3 2" xfId="7056" xr:uid="{00000000-0005-0000-0000-0000AB1A0000}"/>
    <cellStyle name="Normal 11 6 3 2 2" xfId="16237" xr:uid="{00000000-0005-0000-0000-0000AC1A0000}"/>
    <cellStyle name="Normal 11 6 3 2 2 2" xfId="32811" xr:uid="{00000000-0005-0000-0000-0000AD1A0000}"/>
    <cellStyle name="Normal 11 6 3 2 3" xfId="24764" xr:uid="{00000000-0005-0000-0000-0000AE1A0000}"/>
    <cellStyle name="Normal 11 6 3 3" xfId="12325" xr:uid="{00000000-0005-0000-0000-0000AF1A0000}"/>
    <cellStyle name="Normal 11 6 3 3 2" xfId="28850" xr:uid="{00000000-0005-0000-0000-0000B01A0000}"/>
    <cellStyle name="Normal 11 6 3 4" xfId="20807" xr:uid="{00000000-0005-0000-0000-0000B11A0000}"/>
    <cellStyle name="Normal 11 6 4" xfId="7057" xr:uid="{00000000-0005-0000-0000-0000B21A0000}"/>
    <cellStyle name="Normal 11 6 4 2" xfId="16238" xr:uid="{00000000-0005-0000-0000-0000B31A0000}"/>
    <cellStyle name="Normal 11 6 4 2 2" xfId="32812" xr:uid="{00000000-0005-0000-0000-0000B41A0000}"/>
    <cellStyle name="Normal 11 6 4 3" xfId="24765" xr:uid="{00000000-0005-0000-0000-0000B51A0000}"/>
    <cellStyle name="Normal 11 6 5" xfId="12322" xr:uid="{00000000-0005-0000-0000-0000B61A0000}"/>
    <cellStyle name="Normal 11 6 5 2" xfId="28847" xr:uid="{00000000-0005-0000-0000-0000B71A0000}"/>
    <cellStyle name="Normal 11 6 6" xfId="20804" xr:uid="{00000000-0005-0000-0000-0000B81A0000}"/>
    <cellStyle name="Normal 11 7" xfId="2821" xr:uid="{00000000-0005-0000-0000-0000B91A0000}"/>
    <cellStyle name="Normal 11 7 2" xfId="2822" xr:uid="{00000000-0005-0000-0000-0000BA1A0000}"/>
    <cellStyle name="Normal 11 7 2 2" xfId="7058" xr:uid="{00000000-0005-0000-0000-0000BB1A0000}"/>
    <cellStyle name="Normal 11 7 2 2 2" xfId="16239" xr:uid="{00000000-0005-0000-0000-0000BC1A0000}"/>
    <cellStyle name="Normal 11 7 2 2 2 2" xfId="32813" xr:uid="{00000000-0005-0000-0000-0000BD1A0000}"/>
    <cellStyle name="Normal 11 7 2 2 3" xfId="24766" xr:uid="{00000000-0005-0000-0000-0000BE1A0000}"/>
    <cellStyle name="Normal 11 7 2 3" xfId="12327" xr:uid="{00000000-0005-0000-0000-0000BF1A0000}"/>
    <cellStyle name="Normal 11 7 2 3 2" xfId="28852" xr:uid="{00000000-0005-0000-0000-0000C01A0000}"/>
    <cellStyle name="Normal 11 7 2 4" xfId="20809" xr:uid="{00000000-0005-0000-0000-0000C11A0000}"/>
    <cellStyle name="Normal 11 7 3" xfId="7059" xr:uid="{00000000-0005-0000-0000-0000C21A0000}"/>
    <cellStyle name="Normal 11 7 3 2" xfId="16240" xr:uid="{00000000-0005-0000-0000-0000C31A0000}"/>
    <cellStyle name="Normal 11 7 3 2 2" xfId="32814" xr:uid="{00000000-0005-0000-0000-0000C41A0000}"/>
    <cellStyle name="Normal 11 7 3 3" xfId="24767" xr:uid="{00000000-0005-0000-0000-0000C51A0000}"/>
    <cellStyle name="Normal 11 7 4" xfId="12326" xr:uid="{00000000-0005-0000-0000-0000C61A0000}"/>
    <cellStyle name="Normal 11 7 4 2" xfId="28851" xr:uid="{00000000-0005-0000-0000-0000C71A0000}"/>
    <cellStyle name="Normal 11 7 5" xfId="20808" xr:uid="{00000000-0005-0000-0000-0000C81A0000}"/>
    <cellStyle name="Normal 11 8" xfId="2823" xr:uid="{00000000-0005-0000-0000-0000C91A0000}"/>
    <cellStyle name="Normal 11 8 2" xfId="7060" xr:uid="{00000000-0005-0000-0000-0000CA1A0000}"/>
    <cellStyle name="Normal 11 8 2 2" xfId="16241" xr:uid="{00000000-0005-0000-0000-0000CB1A0000}"/>
    <cellStyle name="Normal 11 8 2 2 2" xfId="32815" xr:uid="{00000000-0005-0000-0000-0000CC1A0000}"/>
    <cellStyle name="Normal 11 8 2 3" xfId="24768" xr:uid="{00000000-0005-0000-0000-0000CD1A0000}"/>
    <cellStyle name="Normal 11 8 3" xfId="12328" xr:uid="{00000000-0005-0000-0000-0000CE1A0000}"/>
    <cellStyle name="Normal 11 8 3 2" xfId="28853" xr:uid="{00000000-0005-0000-0000-0000CF1A0000}"/>
    <cellStyle name="Normal 11 8 4" xfId="20810" xr:uid="{00000000-0005-0000-0000-0000D01A0000}"/>
    <cellStyle name="Normal 11 9" xfId="7061" xr:uid="{00000000-0005-0000-0000-0000D11A0000}"/>
    <cellStyle name="Normal 11 9 2" xfId="16242" xr:uid="{00000000-0005-0000-0000-0000D21A0000}"/>
    <cellStyle name="Normal 11 9 2 2" xfId="32816" xr:uid="{00000000-0005-0000-0000-0000D31A0000}"/>
    <cellStyle name="Normal 11 9 3" xfId="24769" xr:uid="{00000000-0005-0000-0000-0000D41A0000}"/>
    <cellStyle name="Normal 110" xfId="2824" xr:uid="{00000000-0005-0000-0000-0000D51A0000}"/>
    <cellStyle name="Normal 110 10" xfId="12329" xr:uid="{00000000-0005-0000-0000-0000D61A0000}"/>
    <cellStyle name="Normal 110 10 2" xfId="28854" xr:uid="{00000000-0005-0000-0000-0000D71A0000}"/>
    <cellStyle name="Normal 110 11" xfId="20811" xr:uid="{00000000-0005-0000-0000-0000D81A0000}"/>
    <cellStyle name="Normal 110 2" xfId="2825" xr:uid="{00000000-0005-0000-0000-0000D91A0000}"/>
    <cellStyle name="Normal 110 2 2" xfId="2826" xr:uid="{00000000-0005-0000-0000-0000DA1A0000}"/>
    <cellStyle name="Normal 110 2 3" xfId="12330" xr:uid="{00000000-0005-0000-0000-0000DB1A0000}"/>
    <cellStyle name="Normal 110 2 3 2" xfId="28855" xr:uid="{00000000-0005-0000-0000-0000DC1A0000}"/>
    <cellStyle name="Normal 110 2 4" xfId="20812" xr:uid="{00000000-0005-0000-0000-0000DD1A0000}"/>
    <cellStyle name="Normal 110 3" xfId="2827" xr:uid="{00000000-0005-0000-0000-0000DE1A0000}"/>
    <cellStyle name="Normal 110 3 2" xfId="2828" xr:uid="{00000000-0005-0000-0000-0000DF1A0000}"/>
    <cellStyle name="Normal 110 3 2 2" xfId="2829" xr:uid="{00000000-0005-0000-0000-0000E01A0000}"/>
    <cellStyle name="Normal 110 3 2 2 2" xfId="2830" xr:uid="{00000000-0005-0000-0000-0000E11A0000}"/>
    <cellStyle name="Normal 110 3 2 2 2 2" xfId="7062" xr:uid="{00000000-0005-0000-0000-0000E21A0000}"/>
    <cellStyle name="Normal 110 3 2 2 2 2 2" xfId="16243" xr:uid="{00000000-0005-0000-0000-0000E31A0000}"/>
    <cellStyle name="Normal 110 3 2 2 2 2 2 2" xfId="32817" xr:uid="{00000000-0005-0000-0000-0000E41A0000}"/>
    <cellStyle name="Normal 110 3 2 2 2 2 3" xfId="24770" xr:uid="{00000000-0005-0000-0000-0000E51A0000}"/>
    <cellStyle name="Normal 110 3 2 2 2 3" xfId="12333" xr:uid="{00000000-0005-0000-0000-0000E61A0000}"/>
    <cellStyle name="Normal 110 3 2 2 2 3 2" xfId="28858" xr:uid="{00000000-0005-0000-0000-0000E71A0000}"/>
    <cellStyle name="Normal 110 3 2 2 2 4" xfId="20815" xr:uid="{00000000-0005-0000-0000-0000E81A0000}"/>
    <cellStyle name="Normal 110 3 2 2 3" xfId="7063" xr:uid="{00000000-0005-0000-0000-0000E91A0000}"/>
    <cellStyle name="Normal 110 3 2 2 3 2" xfId="16244" xr:uid="{00000000-0005-0000-0000-0000EA1A0000}"/>
    <cellStyle name="Normal 110 3 2 2 3 2 2" xfId="32818" xr:uid="{00000000-0005-0000-0000-0000EB1A0000}"/>
    <cellStyle name="Normal 110 3 2 2 3 3" xfId="24771" xr:uid="{00000000-0005-0000-0000-0000EC1A0000}"/>
    <cellStyle name="Normal 110 3 2 2 4" xfId="12332" xr:uid="{00000000-0005-0000-0000-0000ED1A0000}"/>
    <cellStyle name="Normal 110 3 2 2 4 2" xfId="28857" xr:uid="{00000000-0005-0000-0000-0000EE1A0000}"/>
    <cellStyle name="Normal 110 3 2 2 5" xfId="20814" xr:uid="{00000000-0005-0000-0000-0000EF1A0000}"/>
    <cellStyle name="Normal 110 3 2 3" xfId="2831" xr:uid="{00000000-0005-0000-0000-0000F01A0000}"/>
    <cellStyle name="Normal 110 3 2 3 2" xfId="7064" xr:uid="{00000000-0005-0000-0000-0000F11A0000}"/>
    <cellStyle name="Normal 110 3 2 3 2 2" xfId="16245" xr:uid="{00000000-0005-0000-0000-0000F21A0000}"/>
    <cellStyle name="Normal 110 3 2 3 2 2 2" xfId="32819" xr:uid="{00000000-0005-0000-0000-0000F31A0000}"/>
    <cellStyle name="Normal 110 3 2 3 2 3" xfId="24772" xr:uid="{00000000-0005-0000-0000-0000F41A0000}"/>
    <cellStyle name="Normal 110 3 2 3 3" xfId="12334" xr:uid="{00000000-0005-0000-0000-0000F51A0000}"/>
    <cellStyle name="Normal 110 3 2 3 3 2" xfId="28859" xr:uid="{00000000-0005-0000-0000-0000F61A0000}"/>
    <cellStyle name="Normal 110 3 2 3 4" xfId="20816" xr:uid="{00000000-0005-0000-0000-0000F71A0000}"/>
    <cellStyle name="Normal 110 3 2 4" xfId="7065" xr:uid="{00000000-0005-0000-0000-0000F81A0000}"/>
    <cellStyle name="Normal 110 3 2 4 2" xfId="16246" xr:uid="{00000000-0005-0000-0000-0000F91A0000}"/>
    <cellStyle name="Normal 110 3 2 4 2 2" xfId="32820" xr:uid="{00000000-0005-0000-0000-0000FA1A0000}"/>
    <cellStyle name="Normal 110 3 2 4 3" xfId="24773" xr:uid="{00000000-0005-0000-0000-0000FB1A0000}"/>
    <cellStyle name="Normal 110 3 2 5" xfId="12331" xr:uid="{00000000-0005-0000-0000-0000FC1A0000}"/>
    <cellStyle name="Normal 110 3 2 5 2" xfId="28856" xr:uid="{00000000-0005-0000-0000-0000FD1A0000}"/>
    <cellStyle name="Normal 110 3 2 6" xfId="20813" xr:uid="{00000000-0005-0000-0000-0000FE1A0000}"/>
    <cellStyle name="Normal 110 3 3" xfId="2832" xr:uid="{00000000-0005-0000-0000-0000FF1A0000}"/>
    <cellStyle name="Normal 110 3 3 2" xfId="2833" xr:uid="{00000000-0005-0000-0000-0000001B0000}"/>
    <cellStyle name="Normal 110 3 3 2 2" xfId="7066" xr:uid="{00000000-0005-0000-0000-0000011B0000}"/>
    <cellStyle name="Normal 110 3 3 2 2 2" xfId="16247" xr:uid="{00000000-0005-0000-0000-0000021B0000}"/>
    <cellStyle name="Normal 110 3 3 2 2 2 2" xfId="32821" xr:uid="{00000000-0005-0000-0000-0000031B0000}"/>
    <cellStyle name="Normal 110 3 3 2 2 3" xfId="24774" xr:uid="{00000000-0005-0000-0000-0000041B0000}"/>
    <cellStyle name="Normal 110 3 3 2 3" xfId="12336" xr:uid="{00000000-0005-0000-0000-0000051B0000}"/>
    <cellStyle name="Normal 110 3 3 2 3 2" xfId="28861" xr:uid="{00000000-0005-0000-0000-0000061B0000}"/>
    <cellStyle name="Normal 110 3 3 2 4" xfId="20818" xr:uid="{00000000-0005-0000-0000-0000071B0000}"/>
    <cellStyle name="Normal 110 3 3 3" xfId="7067" xr:uid="{00000000-0005-0000-0000-0000081B0000}"/>
    <cellStyle name="Normal 110 3 3 3 2" xfId="16248" xr:uid="{00000000-0005-0000-0000-0000091B0000}"/>
    <cellStyle name="Normal 110 3 3 3 2 2" xfId="32822" xr:uid="{00000000-0005-0000-0000-00000A1B0000}"/>
    <cellStyle name="Normal 110 3 3 3 3" xfId="24775" xr:uid="{00000000-0005-0000-0000-00000B1B0000}"/>
    <cellStyle name="Normal 110 3 3 4" xfId="12335" xr:uid="{00000000-0005-0000-0000-00000C1B0000}"/>
    <cellStyle name="Normal 110 3 3 4 2" xfId="28860" xr:uid="{00000000-0005-0000-0000-00000D1B0000}"/>
    <cellStyle name="Normal 110 3 3 5" xfId="20817" xr:uid="{00000000-0005-0000-0000-00000E1B0000}"/>
    <cellStyle name="Normal 110 3 4" xfId="2834" xr:uid="{00000000-0005-0000-0000-00000F1B0000}"/>
    <cellStyle name="Normal 110 3 4 2" xfId="7068" xr:uid="{00000000-0005-0000-0000-0000101B0000}"/>
    <cellStyle name="Normal 110 3 4 2 2" xfId="16249" xr:uid="{00000000-0005-0000-0000-0000111B0000}"/>
    <cellStyle name="Normal 110 3 4 2 2 2" xfId="32823" xr:uid="{00000000-0005-0000-0000-0000121B0000}"/>
    <cellStyle name="Normal 110 3 4 2 3" xfId="24776" xr:uid="{00000000-0005-0000-0000-0000131B0000}"/>
    <cellStyle name="Normal 110 3 4 3" xfId="12337" xr:uid="{00000000-0005-0000-0000-0000141B0000}"/>
    <cellStyle name="Normal 110 3 4 3 2" xfId="28862" xr:uid="{00000000-0005-0000-0000-0000151B0000}"/>
    <cellStyle name="Normal 110 3 4 4" xfId="20819" xr:uid="{00000000-0005-0000-0000-0000161B0000}"/>
    <cellStyle name="Normal 110 3 5" xfId="2835" xr:uid="{00000000-0005-0000-0000-0000171B0000}"/>
    <cellStyle name="Normal 110 3 5 2" xfId="12338" xr:uid="{00000000-0005-0000-0000-0000181B0000}"/>
    <cellStyle name="Normal 110 3 5 2 2" xfId="28863" xr:uid="{00000000-0005-0000-0000-0000191B0000}"/>
    <cellStyle name="Normal 110 3 5 3" xfId="20820" xr:uid="{00000000-0005-0000-0000-00001A1B0000}"/>
    <cellStyle name="Normal 110 4" xfId="2836" xr:uid="{00000000-0005-0000-0000-00001B1B0000}"/>
    <cellStyle name="Normal 110 4 2" xfId="2837" xr:uid="{00000000-0005-0000-0000-00001C1B0000}"/>
    <cellStyle name="Normal 110 4 2 2" xfId="2838" xr:uid="{00000000-0005-0000-0000-00001D1B0000}"/>
    <cellStyle name="Normal 110 4 2 2 2" xfId="2839" xr:uid="{00000000-0005-0000-0000-00001E1B0000}"/>
    <cellStyle name="Normal 110 4 2 2 2 2" xfId="7069" xr:uid="{00000000-0005-0000-0000-00001F1B0000}"/>
    <cellStyle name="Normal 110 4 2 2 2 2 2" xfId="16250" xr:uid="{00000000-0005-0000-0000-0000201B0000}"/>
    <cellStyle name="Normal 110 4 2 2 2 2 2 2" xfId="32824" xr:uid="{00000000-0005-0000-0000-0000211B0000}"/>
    <cellStyle name="Normal 110 4 2 2 2 2 3" xfId="24777" xr:uid="{00000000-0005-0000-0000-0000221B0000}"/>
    <cellStyle name="Normal 110 4 2 2 2 3" xfId="12342" xr:uid="{00000000-0005-0000-0000-0000231B0000}"/>
    <cellStyle name="Normal 110 4 2 2 2 3 2" xfId="28867" xr:uid="{00000000-0005-0000-0000-0000241B0000}"/>
    <cellStyle name="Normal 110 4 2 2 2 4" xfId="20824" xr:uid="{00000000-0005-0000-0000-0000251B0000}"/>
    <cellStyle name="Normal 110 4 2 2 3" xfId="7070" xr:uid="{00000000-0005-0000-0000-0000261B0000}"/>
    <cellStyle name="Normal 110 4 2 2 3 2" xfId="16251" xr:uid="{00000000-0005-0000-0000-0000271B0000}"/>
    <cellStyle name="Normal 110 4 2 2 3 2 2" xfId="32825" xr:uid="{00000000-0005-0000-0000-0000281B0000}"/>
    <cellStyle name="Normal 110 4 2 2 3 3" xfId="24778" xr:uid="{00000000-0005-0000-0000-0000291B0000}"/>
    <cellStyle name="Normal 110 4 2 2 4" xfId="12341" xr:uid="{00000000-0005-0000-0000-00002A1B0000}"/>
    <cellStyle name="Normal 110 4 2 2 4 2" xfId="28866" xr:uid="{00000000-0005-0000-0000-00002B1B0000}"/>
    <cellStyle name="Normal 110 4 2 2 5" xfId="20823" xr:uid="{00000000-0005-0000-0000-00002C1B0000}"/>
    <cellStyle name="Normal 110 4 2 3" xfId="2840" xr:uid="{00000000-0005-0000-0000-00002D1B0000}"/>
    <cellStyle name="Normal 110 4 2 3 2" xfId="7071" xr:uid="{00000000-0005-0000-0000-00002E1B0000}"/>
    <cellStyle name="Normal 110 4 2 3 2 2" xfId="16252" xr:uid="{00000000-0005-0000-0000-00002F1B0000}"/>
    <cellStyle name="Normal 110 4 2 3 2 2 2" xfId="32826" xr:uid="{00000000-0005-0000-0000-0000301B0000}"/>
    <cellStyle name="Normal 110 4 2 3 2 3" xfId="24779" xr:uid="{00000000-0005-0000-0000-0000311B0000}"/>
    <cellStyle name="Normal 110 4 2 3 3" xfId="12343" xr:uid="{00000000-0005-0000-0000-0000321B0000}"/>
    <cellStyle name="Normal 110 4 2 3 3 2" xfId="28868" xr:uid="{00000000-0005-0000-0000-0000331B0000}"/>
    <cellStyle name="Normal 110 4 2 3 4" xfId="20825" xr:uid="{00000000-0005-0000-0000-0000341B0000}"/>
    <cellStyle name="Normal 110 4 2 4" xfId="7072" xr:uid="{00000000-0005-0000-0000-0000351B0000}"/>
    <cellStyle name="Normal 110 4 2 4 2" xfId="16253" xr:uid="{00000000-0005-0000-0000-0000361B0000}"/>
    <cellStyle name="Normal 110 4 2 4 2 2" xfId="32827" xr:uid="{00000000-0005-0000-0000-0000371B0000}"/>
    <cellStyle name="Normal 110 4 2 4 3" xfId="24780" xr:uid="{00000000-0005-0000-0000-0000381B0000}"/>
    <cellStyle name="Normal 110 4 2 5" xfId="12340" xr:uid="{00000000-0005-0000-0000-0000391B0000}"/>
    <cellStyle name="Normal 110 4 2 5 2" xfId="28865" xr:uid="{00000000-0005-0000-0000-00003A1B0000}"/>
    <cellStyle name="Normal 110 4 2 6" xfId="20822" xr:uid="{00000000-0005-0000-0000-00003B1B0000}"/>
    <cellStyle name="Normal 110 4 3" xfId="2841" xr:uid="{00000000-0005-0000-0000-00003C1B0000}"/>
    <cellStyle name="Normal 110 4 3 2" xfId="2842" xr:uid="{00000000-0005-0000-0000-00003D1B0000}"/>
    <cellStyle name="Normal 110 4 3 2 2" xfId="7073" xr:uid="{00000000-0005-0000-0000-00003E1B0000}"/>
    <cellStyle name="Normal 110 4 3 2 2 2" xfId="16254" xr:uid="{00000000-0005-0000-0000-00003F1B0000}"/>
    <cellStyle name="Normal 110 4 3 2 2 2 2" xfId="32828" xr:uid="{00000000-0005-0000-0000-0000401B0000}"/>
    <cellStyle name="Normal 110 4 3 2 2 3" xfId="24781" xr:uid="{00000000-0005-0000-0000-0000411B0000}"/>
    <cellStyle name="Normal 110 4 3 2 3" xfId="12345" xr:uid="{00000000-0005-0000-0000-0000421B0000}"/>
    <cellStyle name="Normal 110 4 3 2 3 2" xfId="28870" xr:uid="{00000000-0005-0000-0000-0000431B0000}"/>
    <cellStyle name="Normal 110 4 3 2 4" xfId="20827" xr:uid="{00000000-0005-0000-0000-0000441B0000}"/>
    <cellStyle name="Normal 110 4 3 3" xfId="7074" xr:uid="{00000000-0005-0000-0000-0000451B0000}"/>
    <cellStyle name="Normal 110 4 3 3 2" xfId="16255" xr:uid="{00000000-0005-0000-0000-0000461B0000}"/>
    <cellStyle name="Normal 110 4 3 3 2 2" xfId="32829" xr:uid="{00000000-0005-0000-0000-0000471B0000}"/>
    <cellStyle name="Normal 110 4 3 3 3" xfId="24782" xr:uid="{00000000-0005-0000-0000-0000481B0000}"/>
    <cellStyle name="Normal 110 4 3 4" xfId="12344" xr:uid="{00000000-0005-0000-0000-0000491B0000}"/>
    <cellStyle name="Normal 110 4 3 4 2" xfId="28869" xr:uid="{00000000-0005-0000-0000-00004A1B0000}"/>
    <cellStyle name="Normal 110 4 3 5" xfId="20826" xr:uid="{00000000-0005-0000-0000-00004B1B0000}"/>
    <cellStyle name="Normal 110 4 4" xfId="2843" xr:uid="{00000000-0005-0000-0000-00004C1B0000}"/>
    <cellStyle name="Normal 110 4 4 2" xfId="7075" xr:uid="{00000000-0005-0000-0000-00004D1B0000}"/>
    <cellStyle name="Normal 110 4 4 2 2" xfId="16256" xr:uid="{00000000-0005-0000-0000-00004E1B0000}"/>
    <cellStyle name="Normal 110 4 4 2 2 2" xfId="32830" xr:uid="{00000000-0005-0000-0000-00004F1B0000}"/>
    <cellStyle name="Normal 110 4 4 2 3" xfId="24783" xr:uid="{00000000-0005-0000-0000-0000501B0000}"/>
    <cellStyle name="Normal 110 4 4 3" xfId="12346" xr:uid="{00000000-0005-0000-0000-0000511B0000}"/>
    <cellStyle name="Normal 110 4 4 3 2" xfId="28871" xr:uid="{00000000-0005-0000-0000-0000521B0000}"/>
    <cellStyle name="Normal 110 4 4 4" xfId="20828" xr:uid="{00000000-0005-0000-0000-0000531B0000}"/>
    <cellStyle name="Normal 110 4 5" xfId="7076" xr:uid="{00000000-0005-0000-0000-0000541B0000}"/>
    <cellStyle name="Normal 110 4 5 2" xfId="16257" xr:uid="{00000000-0005-0000-0000-0000551B0000}"/>
    <cellStyle name="Normal 110 4 5 2 2" xfId="32831" xr:uid="{00000000-0005-0000-0000-0000561B0000}"/>
    <cellStyle name="Normal 110 4 5 3" xfId="24784" xr:uid="{00000000-0005-0000-0000-0000571B0000}"/>
    <cellStyle name="Normal 110 4 6" xfId="12339" xr:uid="{00000000-0005-0000-0000-0000581B0000}"/>
    <cellStyle name="Normal 110 4 6 2" xfId="28864" xr:uid="{00000000-0005-0000-0000-0000591B0000}"/>
    <cellStyle name="Normal 110 4 7" xfId="20821" xr:uid="{00000000-0005-0000-0000-00005A1B0000}"/>
    <cellStyle name="Normal 110 5" xfId="2844" xr:uid="{00000000-0005-0000-0000-00005B1B0000}"/>
    <cellStyle name="Normal 110 5 2" xfId="2845" xr:uid="{00000000-0005-0000-0000-00005C1B0000}"/>
    <cellStyle name="Normal 110 5 2 2" xfId="2846" xr:uid="{00000000-0005-0000-0000-00005D1B0000}"/>
    <cellStyle name="Normal 110 5 2 2 2" xfId="2847" xr:uid="{00000000-0005-0000-0000-00005E1B0000}"/>
    <cellStyle name="Normal 110 5 2 2 2 2" xfId="7077" xr:uid="{00000000-0005-0000-0000-00005F1B0000}"/>
    <cellStyle name="Normal 110 5 2 2 2 2 2" xfId="16258" xr:uid="{00000000-0005-0000-0000-0000601B0000}"/>
    <cellStyle name="Normal 110 5 2 2 2 2 2 2" xfId="32832" xr:uid="{00000000-0005-0000-0000-0000611B0000}"/>
    <cellStyle name="Normal 110 5 2 2 2 2 3" xfId="24785" xr:uid="{00000000-0005-0000-0000-0000621B0000}"/>
    <cellStyle name="Normal 110 5 2 2 2 3" xfId="12350" xr:uid="{00000000-0005-0000-0000-0000631B0000}"/>
    <cellStyle name="Normal 110 5 2 2 2 3 2" xfId="28875" xr:uid="{00000000-0005-0000-0000-0000641B0000}"/>
    <cellStyle name="Normal 110 5 2 2 2 4" xfId="20832" xr:uid="{00000000-0005-0000-0000-0000651B0000}"/>
    <cellStyle name="Normal 110 5 2 2 3" xfId="7078" xr:uid="{00000000-0005-0000-0000-0000661B0000}"/>
    <cellStyle name="Normal 110 5 2 2 3 2" xfId="16259" xr:uid="{00000000-0005-0000-0000-0000671B0000}"/>
    <cellStyle name="Normal 110 5 2 2 3 2 2" xfId="32833" xr:uid="{00000000-0005-0000-0000-0000681B0000}"/>
    <cellStyle name="Normal 110 5 2 2 3 3" xfId="24786" xr:uid="{00000000-0005-0000-0000-0000691B0000}"/>
    <cellStyle name="Normal 110 5 2 2 4" xfId="12349" xr:uid="{00000000-0005-0000-0000-00006A1B0000}"/>
    <cellStyle name="Normal 110 5 2 2 4 2" xfId="28874" xr:uid="{00000000-0005-0000-0000-00006B1B0000}"/>
    <cellStyle name="Normal 110 5 2 2 5" xfId="20831" xr:uid="{00000000-0005-0000-0000-00006C1B0000}"/>
    <cellStyle name="Normal 110 5 2 3" xfId="2848" xr:uid="{00000000-0005-0000-0000-00006D1B0000}"/>
    <cellStyle name="Normal 110 5 2 3 2" xfId="7079" xr:uid="{00000000-0005-0000-0000-00006E1B0000}"/>
    <cellStyle name="Normal 110 5 2 3 2 2" xfId="16260" xr:uid="{00000000-0005-0000-0000-00006F1B0000}"/>
    <cellStyle name="Normal 110 5 2 3 2 2 2" xfId="32834" xr:uid="{00000000-0005-0000-0000-0000701B0000}"/>
    <cellStyle name="Normal 110 5 2 3 2 3" xfId="24787" xr:uid="{00000000-0005-0000-0000-0000711B0000}"/>
    <cellStyle name="Normal 110 5 2 3 3" xfId="12351" xr:uid="{00000000-0005-0000-0000-0000721B0000}"/>
    <cellStyle name="Normal 110 5 2 3 3 2" xfId="28876" xr:uid="{00000000-0005-0000-0000-0000731B0000}"/>
    <cellStyle name="Normal 110 5 2 3 4" xfId="20833" xr:uid="{00000000-0005-0000-0000-0000741B0000}"/>
    <cellStyle name="Normal 110 5 2 4" xfId="7080" xr:uid="{00000000-0005-0000-0000-0000751B0000}"/>
    <cellStyle name="Normal 110 5 2 4 2" xfId="16261" xr:uid="{00000000-0005-0000-0000-0000761B0000}"/>
    <cellStyle name="Normal 110 5 2 4 2 2" xfId="32835" xr:uid="{00000000-0005-0000-0000-0000771B0000}"/>
    <cellStyle name="Normal 110 5 2 4 3" xfId="24788" xr:uid="{00000000-0005-0000-0000-0000781B0000}"/>
    <cellStyle name="Normal 110 5 2 5" xfId="12348" xr:uid="{00000000-0005-0000-0000-0000791B0000}"/>
    <cellStyle name="Normal 110 5 2 5 2" xfId="28873" xr:uid="{00000000-0005-0000-0000-00007A1B0000}"/>
    <cellStyle name="Normal 110 5 2 6" xfId="20830" xr:uid="{00000000-0005-0000-0000-00007B1B0000}"/>
    <cellStyle name="Normal 110 5 3" xfId="2849" xr:uid="{00000000-0005-0000-0000-00007C1B0000}"/>
    <cellStyle name="Normal 110 5 3 2" xfId="2850" xr:uid="{00000000-0005-0000-0000-00007D1B0000}"/>
    <cellStyle name="Normal 110 5 3 2 2" xfId="7081" xr:uid="{00000000-0005-0000-0000-00007E1B0000}"/>
    <cellStyle name="Normal 110 5 3 2 2 2" xfId="16262" xr:uid="{00000000-0005-0000-0000-00007F1B0000}"/>
    <cellStyle name="Normal 110 5 3 2 2 2 2" xfId="32836" xr:uid="{00000000-0005-0000-0000-0000801B0000}"/>
    <cellStyle name="Normal 110 5 3 2 2 3" xfId="24789" xr:uid="{00000000-0005-0000-0000-0000811B0000}"/>
    <cellStyle name="Normal 110 5 3 2 3" xfId="12353" xr:uid="{00000000-0005-0000-0000-0000821B0000}"/>
    <cellStyle name="Normal 110 5 3 2 3 2" xfId="28878" xr:uid="{00000000-0005-0000-0000-0000831B0000}"/>
    <cellStyle name="Normal 110 5 3 2 4" xfId="20835" xr:uid="{00000000-0005-0000-0000-0000841B0000}"/>
    <cellStyle name="Normal 110 5 3 3" xfId="7082" xr:uid="{00000000-0005-0000-0000-0000851B0000}"/>
    <cellStyle name="Normal 110 5 3 3 2" xfId="16263" xr:uid="{00000000-0005-0000-0000-0000861B0000}"/>
    <cellStyle name="Normal 110 5 3 3 2 2" xfId="32837" xr:uid="{00000000-0005-0000-0000-0000871B0000}"/>
    <cellStyle name="Normal 110 5 3 3 3" xfId="24790" xr:uid="{00000000-0005-0000-0000-0000881B0000}"/>
    <cellStyle name="Normal 110 5 3 4" xfId="12352" xr:uid="{00000000-0005-0000-0000-0000891B0000}"/>
    <cellStyle name="Normal 110 5 3 4 2" xfId="28877" xr:uid="{00000000-0005-0000-0000-00008A1B0000}"/>
    <cellStyle name="Normal 110 5 3 5" xfId="20834" xr:uid="{00000000-0005-0000-0000-00008B1B0000}"/>
    <cellStyle name="Normal 110 5 4" xfId="2851" xr:uid="{00000000-0005-0000-0000-00008C1B0000}"/>
    <cellStyle name="Normal 110 5 4 2" xfId="7083" xr:uid="{00000000-0005-0000-0000-00008D1B0000}"/>
    <cellStyle name="Normal 110 5 4 2 2" xfId="16264" xr:uid="{00000000-0005-0000-0000-00008E1B0000}"/>
    <cellStyle name="Normal 110 5 4 2 2 2" xfId="32838" xr:uid="{00000000-0005-0000-0000-00008F1B0000}"/>
    <cellStyle name="Normal 110 5 4 2 3" xfId="24791" xr:uid="{00000000-0005-0000-0000-0000901B0000}"/>
    <cellStyle name="Normal 110 5 4 3" xfId="12354" xr:uid="{00000000-0005-0000-0000-0000911B0000}"/>
    <cellStyle name="Normal 110 5 4 3 2" xfId="28879" xr:uid="{00000000-0005-0000-0000-0000921B0000}"/>
    <cellStyle name="Normal 110 5 4 4" xfId="20836" xr:uid="{00000000-0005-0000-0000-0000931B0000}"/>
    <cellStyle name="Normal 110 5 5" xfId="7084" xr:uid="{00000000-0005-0000-0000-0000941B0000}"/>
    <cellStyle name="Normal 110 5 5 2" xfId="16265" xr:uid="{00000000-0005-0000-0000-0000951B0000}"/>
    <cellStyle name="Normal 110 5 5 2 2" xfId="32839" xr:uid="{00000000-0005-0000-0000-0000961B0000}"/>
    <cellStyle name="Normal 110 5 5 3" xfId="24792" xr:uid="{00000000-0005-0000-0000-0000971B0000}"/>
    <cellStyle name="Normal 110 5 6" xfId="12347" xr:uid="{00000000-0005-0000-0000-0000981B0000}"/>
    <cellStyle name="Normal 110 5 6 2" xfId="28872" xr:uid="{00000000-0005-0000-0000-0000991B0000}"/>
    <cellStyle name="Normal 110 5 7" xfId="20829" xr:uid="{00000000-0005-0000-0000-00009A1B0000}"/>
    <cellStyle name="Normal 110 6" xfId="2852" xr:uid="{00000000-0005-0000-0000-00009B1B0000}"/>
    <cellStyle name="Normal 110 6 2" xfId="2853" xr:uid="{00000000-0005-0000-0000-00009C1B0000}"/>
    <cellStyle name="Normal 110 6 2 2" xfId="2854" xr:uid="{00000000-0005-0000-0000-00009D1B0000}"/>
    <cellStyle name="Normal 110 6 2 2 2" xfId="7085" xr:uid="{00000000-0005-0000-0000-00009E1B0000}"/>
    <cellStyle name="Normal 110 6 2 2 2 2" xfId="16266" xr:uid="{00000000-0005-0000-0000-00009F1B0000}"/>
    <cellStyle name="Normal 110 6 2 2 2 2 2" xfId="32840" xr:uid="{00000000-0005-0000-0000-0000A01B0000}"/>
    <cellStyle name="Normal 110 6 2 2 2 3" xfId="24793" xr:uid="{00000000-0005-0000-0000-0000A11B0000}"/>
    <cellStyle name="Normal 110 6 2 2 3" xfId="12357" xr:uid="{00000000-0005-0000-0000-0000A21B0000}"/>
    <cellStyle name="Normal 110 6 2 2 3 2" xfId="28882" xr:uid="{00000000-0005-0000-0000-0000A31B0000}"/>
    <cellStyle name="Normal 110 6 2 2 4" xfId="20839" xr:uid="{00000000-0005-0000-0000-0000A41B0000}"/>
    <cellStyle name="Normal 110 6 2 3" xfId="7086" xr:uid="{00000000-0005-0000-0000-0000A51B0000}"/>
    <cellStyle name="Normal 110 6 2 3 2" xfId="16267" xr:uid="{00000000-0005-0000-0000-0000A61B0000}"/>
    <cellStyle name="Normal 110 6 2 3 2 2" xfId="32841" xr:uid="{00000000-0005-0000-0000-0000A71B0000}"/>
    <cellStyle name="Normal 110 6 2 3 3" xfId="24794" xr:uid="{00000000-0005-0000-0000-0000A81B0000}"/>
    <cellStyle name="Normal 110 6 2 4" xfId="12356" xr:uid="{00000000-0005-0000-0000-0000A91B0000}"/>
    <cellStyle name="Normal 110 6 2 4 2" xfId="28881" xr:uid="{00000000-0005-0000-0000-0000AA1B0000}"/>
    <cellStyle name="Normal 110 6 2 5" xfId="20838" xr:uid="{00000000-0005-0000-0000-0000AB1B0000}"/>
    <cellStyle name="Normal 110 6 3" xfId="2855" xr:uid="{00000000-0005-0000-0000-0000AC1B0000}"/>
    <cellStyle name="Normal 110 6 3 2" xfId="7087" xr:uid="{00000000-0005-0000-0000-0000AD1B0000}"/>
    <cellStyle name="Normal 110 6 3 2 2" xfId="16268" xr:uid="{00000000-0005-0000-0000-0000AE1B0000}"/>
    <cellStyle name="Normal 110 6 3 2 2 2" xfId="32842" xr:uid="{00000000-0005-0000-0000-0000AF1B0000}"/>
    <cellStyle name="Normal 110 6 3 2 3" xfId="24795" xr:uid="{00000000-0005-0000-0000-0000B01B0000}"/>
    <cellStyle name="Normal 110 6 3 3" xfId="12358" xr:uid="{00000000-0005-0000-0000-0000B11B0000}"/>
    <cellStyle name="Normal 110 6 3 3 2" xfId="28883" xr:uid="{00000000-0005-0000-0000-0000B21B0000}"/>
    <cellStyle name="Normal 110 6 3 4" xfId="20840" xr:uid="{00000000-0005-0000-0000-0000B31B0000}"/>
    <cellStyle name="Normal 110 6 4" xfId="7088" xr:uid="{00000000-0005-0000-0000-0000B41B0000}"/>
    <cellStyle name="Normal 110 6 4 2" xfId="16269" xr:uid="{00000000-0005-0000-0000-0000B51B0000}"/>
    <cellStyle name="Normal 110 6 4 2 2" xfId="32843" xr:uid="{00000000-0005-0000-0000-0000B61B0000}"/>
    <cellStyle name="Normal 110 6 4 3" xfId="24796" xr:uid="{00000000-0005-0000-0000-0000B71B0000}"/>
    <cellStyle name="Normal 110 6 5" xfId="12355" xr:uid="{00000000-0005-0000-0000-0000B81B0000}"/>
    <cellStyle name="Normal 110 6 5 2" xfId="28880" xr:uid="{00000000-0005-0000-0000-0000B91B0000}"/>
    <cellStyle name="Normal 110 6 6" xfId="20837" xr:uid="{00000000-0005-0000-0000-0000BA1B0000}"/>
    <cellStyle name="Normal 110 7" xfId="2856" xr:uid="{00000000-0005-0000-0000-0000BB1B0000}"/>
    <cellStyle name="Normal 110 7 2" xfId="2857" xr:uid="{00000000-0005-0000-0000-0000BC1B0000}"/>
    <cellStyle name="Normal 110 7 2 2" xfId="7089" xr:uid="{00000000-0005-0000-0000-0000BD1B0000}"/>
    <cellStyle name="Normal 110 7 2 2 2" xfId="16270" xr:uid="{00000000-0005-0000-0000-0000BE1B0000}"/>
    <cellStyle name="Normal 110 7 2 2 2 2" xfId="32844" xr:uid="{00000000-0005-0000-0000-0000BF1B0000}"/>
    <cellStyle name="Normal 110 7 2 2 3" xfId="24797" xr:uid="{00000000-0005-0000-0000-0000C01B0000}"/>
    <cellStyle name="Normal 110 7 2 3" xfId="12360" xr:uid="{00000000-0005-0000-0000-0000C11B0000}"/>
    <cellStyle name="Normal 110 7 2 3 2" xfId="28885" xr:uid="{00000000-0005-0000-0000-0000C21B0000}"/>
    <cellStyle name="Normal 110 7 2 4" xfId="20842" xr:uid="{00000000-0005-0000-0000-0000C31B0000}"/>
    <cellStyle name="Normal 110 7 3" xfId="7090" xr:uid="{00000000-0005-0000-0000-0000C41B0000}"/>
    <cellStyle name="Normal 110 7 3 2" xfId="16271" xr:uid="{00000000-0005-0000-0000-0000C51B0000}"/>
    <cellStyle name="Normal 110 7 3 2 2" xfId="32845" xr:uid="{00000000-0005-0000-0000-0000C61B0000}"/>
    <cellStyle name="Normal 110 7 3 3" xfId="24798" xr:uid="{00000000-0005-0000-0000-0000C71B0000}"/>
    <cellStyle name="Normal 110 7 4" xfId="12359" xr:uid="{00000000-0005-0000-0000-0000C81B0000}"/>
    <cellStyle name="Normal 110 7 4 2" xfId="28884" xr:uid="{00000000-0005-0000-0000-0000C91B0000}"/>
    <cellStyle name="Normal 110 7 5" xfId="20841" xr:uid="{00000000-0005-0000-0000-0000CA1B0000}"/>
    <cellStyle name="Normal 110 8" xfId="2858" xr:uid="{00000000-0005-0000-0000-0000CB1B0000}"/>
    <cellStyle name="Normal 110 8 2" xfId="7091" xr:uid="{00000000-0005-0000-0000-0000CC1B0000}"/>
    <cellStyle name="Normal 110 8 2 2" xfId="16272" xr:uid="{00000000-0005-0000-0000-0000CD1B0000}"/>
    <cellStyle name="Normal 110 8 2 2 2" xfId="32846" xr:uid="{00000000-0005-0000-0000-0000CE1B0000}"/>
    <cellStyle name="Normal 110 8 2 3" xfId="24799" xr:uid="{00000000-0005-0000-0000-0000CF1B0000}"/>
    <cellStyle name="Normal 110 8 3" xfId="12361" xr:uid="{00000000-0005-0000-0000-0000D01B0000}"/>
    <cellStyle name="Normal 110 8 3 2" xfId="28886" xr:uid="{00000000-0005-0000-0000-0000D11B0000}"/>
    <cellStyle name="Normal 110 8 4" xfId="20843" xr:uid="{00000000-0005-0000-0000-0000D21B0000}"/>
    <cellStyle name="Normal 110 9" xfId="7092" xr:uid="{00000000-0005-0000-0000-0000D31B0000}"/>
    <cellStyle name="Normal 110 9 2" xfId="16273" xr:uid="{00000000-0005-0000-0000-0000D41B0000}"/>
    <cellStyle name="Normal 110 9 2 2" xfId="32847" xr:uid="{00000000-0005-0000-0000-0000D51B0000}"/>
    <cellStyle name="Normal 110 9 3" xfId="24800" xr:uid="{00000000-0005-0000-0000-0000D61B0000}"/>
    <cellStyle name="Normal 111" xfId="2859" xr:uid="{00000000-0005-0000-0000-0000D71B0000}"/>
    <cellStyle name="Normal 111 10" xfId="12362" xr:uid="{00000000-0005-0000-0000-0000D81B0000}"/>
    <cellStyle name="Normal 111 10 2" xfId="28887" xr:uid="{00000000-0005-0000-0000-0000D91B0000}"/>
    <cellStyle name="Normal 111 11" xfId="20844" xr:uid="{00000000-0005-0000-0000-0000DA1B0000}"/>
    <cellStyle name="Normal 111 2" xfId="2860" xr:uid="{00000000-0005-0000-0000-0000DB1B0000}"/>
    <cellStyle name="Normal 111 2 2" xfId="2861" xr:uid="{00000000-0005-0000-0000-0000DC1B0000}"/>
    <cellStyle name="Normal 111 2 3" xfId="12363" xr:uid="{00000000-0005-0000-0000-0000DD1B0000}"/>
    <cellStyle name="Normal 111 2 3 2" xfId="28888" xr:uid="{00000000-0005-0000-0000-0000DE1B0000}"/>
    <cellStyle name="Normal 111 2 4" xfId="20845" xr:uid="{00000000-0005-0000-0000-0000DF1B0000}"/>
    <cellStyle name="Normal 111 3" xfId="2862" xr:uid="{00000000-0005-0000-0000-0000E01B0000}"/>
    <cellStyle name="Normal 111 3 2" xfId="2863" xr:uid="{00000000-0005-0000-0000-0000E11B0000}"/>
    <cellStyle name="Normal 111 3 2 2" xfId="2864" xr:uid="{00000000-0005-0000-0000-0000E21B0000}"/>
    <cellStyle name="Normal 111 3 2 2 2" xfId="2865" xr:uid="{00000000-0005-0000-0000-0000E31B0000}"/>
    <cellStyle name="Normal 111 3 2 2 2 2" xfId="7093" xr:uid="{00000000-0005-0000-0000-0000E41B0000}"/>
    <cellStyle name="Normal 111 3 2 2 2 2 2" xfId="16274" xr:uid="{00000000-0005-0000-0000-0000E51B0000}"/>
    <cellStyle name="Normal 111 3 2 2 2 2 2 2" xfId="32848" xr:uid="{00000000-0005-0000-0000-0000E61B0000}"/>
    <cellStyle name="Normal 111 3 2 2 2 2 3" xfId="24801" xr:uid="{00000000-0005-0000-0000-0000E71B0000}"/>
    <cellStyle name="Normal 111 3 2 2 2 3" xfId="12366" xr:uid="{00000000-0005-0000-0000-0000E81B0000}"/>
    <cellStyle name="Normal 111 3 2 2 2 3 2" xfId="28891" xr:uid="{00000000-0005-0000-0000-0000E91B0000}"/>
    <cellStyle name="Normal 111 3 2 2 2 4" xfId="20848" xr:uid="{00000000-0005-0000-0000-0000EA1B0000}"/>
    <cellStyle name="Normal 111 3 2 2 3" xfId="7094" xr:uid="{00000000-0005-0000-0000-0000EB1B0000}"/>
    <cellStyle name="Normal 111 3 2 2 3 2" xfId="16275" xr:uid="{00000000-0005-0000-0000-0000EC1B0000}"/>
    <cellStyle name="Normal 111 3 2 2 3 2 2" xfId="32849" xr:uid="{00000000-0005-0000-0000-0000ED1B0000}"/>
    <cellStyle name="Normal 111 3 2 2 3 3" xfId="24802" xr:uid="{00000000-0005-0000-0000-0000EE1B0000}"/>
    <cellStyle name="Normal 111 3 2 2 4" xfId="12365" xr:uid="{00000000-0005-0000-0000-0000EF1B0000}"/>
    <cellStyle name="Normal 111 3 2 2 4 2" xfId="28890" xr:uid="{00000000-0005-0000-0000-0000F01B0000}"/>
    <cellStyle name="Normal 111 3 2 2 5" xfId="20847" xr:uid="{00000000-0005-0000-0000-0000F11B0000}"/>
    <cellStyle name="Normal 111 3 2 3" xfId="2866" xr:uid="{00000000-0005-0000-0000-0000F21B0000}"/>
    <cellStyle name="Normal 111 3 2 3 2" xfId="7095" xr:uid="{00000000-0005-0000-0000-0000F31B0000}"/>
    <cellStyle name="Normal 111 3 2 3 2 2" xfId="16276" xr:uid="{00000000-0005-0000-0000-0000F41B0000}"/>
    <cellStyle name="Normal 111 3 2 3 2 2 2" xfId="32850" xr:uid="{00000000-0005-0000-0000-0000F51B0000}"/>
    <cellStyle name="Normal 111 3 2 3 2 3" xfId="24803" xr:uid="{00000000-0005-0000-0000-0000F61B0000}"/>
    <cellStyle name="Normal 111 3 2 3 3" xfId="12367" xr:uid="{00000000-0005-0000-0000-0000F71B0000}"/>
    <cellStyle name="Normal 111 3 2 3 3 2" xfId="28892" xr:uid="{00000000-0005-0000-0000-0000F81B0000}"/>
    <cellStyle name="Normal 111 3 2 3 4" xfId="20849" xr:uid="{00000000-0005-0000-0000-0000F91B0000}"/>
    <cellStyle name="Normal 111 3 2 4" xfId="7096" xr:uid="{00000000-0005-0000-0000-0000FA1B0000}"/>
    <cellStyle name="Normal 111 3 2 4 2" xfId="16277" xr:uid="{00000000-0005-0000-0000-0000FB1B0000}"/>
    <cellStyle name="Normal 111 3 2 4 2 2" xfId="32851" xr:uid="{00000000-0005-0000-0000-0000FC1B0000}"/>
    <cellStyle name="Normal 111 3 2 4 3" xfId="24804" xr:uid="{00000000-0005-0000-0000-0000FD1B0000}"/>
    <cellStyle name="Normal 111 3 2 5" xfId="12364" xr:uid="{00000000-0005-0000-0000-0000FE1B0000}"/>
    <cellStyle name="Normal 111 3 2 5 2" xfId="28889" xr:uid="{00000000-0005-0000-0000-0000FF1B0000}"/>
    <cellStyle name="Normal 111 3 2 6" xfId="20846" xr:uid="{00000000-0005-0000-0000-0000001C0000}"/>
    <cellStyle name="Normal 111 3 3" xfId="2867" xr:uid="{00000000-0005-0000-0000-0000011C0000}"/>
    <cellStyle name="Normal 111 3 3 2" xfId="2868" xr:uid="{00000000-0005-0000-0000-0000021C0000}"/>
    <cellStyle name="Normal 111 3 3 2 2" xfId="7097" xr:uid="{00000000-0005-0000-0000-0000031C0000}"/>
    <cellStyle name="Normal 111 3 3 2 2 2" xfId="16278" xr:uid="{00000000-0005-0000-0000-0000041C0000}"/>
    <cellStyle name="Normal 111 3 3 2 2 2 2" xfId="32852" xr:uid="{00000000-0005-0000-0000-0000051C0000}"/>
    <cellStyle name="Normal 111 3 3 2 2 3" xfId="24805" xr:uid="{00000000-0005-0000-0000-0000061C0000}"/>
    <cellStyle name="Normal 111 3 3 2 3" xfId="12369" xr:uid="{00000000-0005-0000-0000-0000071C0000}"/>
    <cellStyle name="Normal 111 3 3 2 3 2" xfId="28894" xr:uid="{00000000-0005-0000-0000-0000081C0000}"/>
    <cellStyle name="Normal 111 3 3 2 4" xfId="20851" xr:uid="{00000000-0005-0000-0000-0000091C0000}"/>
    <cellStyle name="Normal 111 3 3 3" xfId="7098" xr:uid="{00000000-0005-0000-0000-00000A1C0000}"/>
    <cellStyle name="Normal 111 3 3 3 2" xfId="16279" xr:uid="{00000000-0005-0000-0000-00000B1C0000}"/>
    <cellStyle name="Normal 111 3 3 3 2 2" xfId="32853" xr:uid="{00000000-0005-0000-0000-00000C1C0000}"/>
    <cellStyle name="Normal 111 3 3 3 3" xfId="24806" xr:uid="{00000000-0005-0000-0000-00000D1C0000}"/>
    <cellStyle name="Normal 111 3 3 4" xfId="12368" xr:uid="{00000000-0005-0000-0000-00000E1C0000}"/>
    <cellStyle name="Normal 111 3 3 4 2" xfId="28893" xr:uid="{00000000-0005-0000-0000-00000F1C0000}"/>
    <cellStyle name="Normal 111 3 3 5" xfId="20850" xr:uid="{00000000-0005-0000-0000-0000101C0000}"/>
    <cellStyle name="Normal 111 3 4" xfId="2869" xr:uid="{00000000-0005-0000-0000-0000111C0000}"/>
    <cellStyle name="Normal 111 3 4 2" xfId="7099" xr:uid="{00000000-0005-0000-0000-0000121C0000}"/>
    <cellStyle name="Normal 111 3 4 2 2" xfId="16280" xr:uid="{00000000-0005-0000-0000-0000131C0000}"/>
    <cellStyle name="Normal 111 3 4 2 2 2" xfId="32854" xr:uid="{00000000-0005-0000-0000-0000141C0000}"/>
    <cellStyle name="Normal 111 3 4 2 3" xfId="24807" xr:uid="{00000000-0005-0000-0000-0000151C0000}"/>
    <cellStyle name="Normal 111 3 4 3" xfId="12370" xr:uid="{00000000-0005-0000-0000-0000161C0000}"/>
    <cellStyle name="Normal 111 3 4 3 2" xfId="28895" xr:uid="{00000000-0005-0000-0000-0000171C0000}"/>
    <cellStyle name="Normal 111 3 4 4" xfId="20852" xr:uid="{00000000-0005-0000-0000-0000181C0000}"/>
    <cellStyle name="Normal 111 3 5" xfId="2870" xr:uid="{00000000-0005-0000-0000-0000191C0000}"/>
    <cellStyle name="Normal 111 3 5 2" xfId="12371" xr:uid="{00000000-0005-0000-0000-00001A1C0000}"/>
    <cellStyle name="Normal 111 3 5 2 2" xfId="28896" xr:uid="{00000000-0005-0000-0000-00001B1C0000}"/>
    <cellStyle name="Normal 111 3 5 3" xfId="20853" xr:uid="{00000000-0005-0000-0000-00001C1C0000}"/>
    <cellStyle name="Normal 111 4" xfId="2871" xr:uid="{00000000-0005-0000-0000-00001D1C0000}"/>
    <cellStyle name="Normal 111 4 2" xfId="2872" xr:uid="{00000000-0005-0000-0000-00001E1C0000}"/>
    <cellStyle name="Normal 111 4 2 2" xfId="2873" xr:uid="{00000000-0005-0000-0000-00001F1C0000}"/>
    <cellStyle name="Normal 111 4 2 2 2" xfId="2874" xr:uid="{00000000-0005-0000-0000-0000201C0000}"/>
    <cellStyle name="Normal 111 4 2 2 2 2" xfId="7100" xr:uid="{00000000-0005-0000-0000-0000211C0000}"/>
    <cellStyle name="Normal 111 4 2 2 2 2 2" xfId="16281" xr:uid="{00000000-0005-0000-0000-0000221C0000}"/>
    <cellStyle name="Normal 111 4 2 2 2 2 2 2" xfId="32855" xr:uid="{00000000-0005-0000-0000-0000231C0000}"/>
    <cellStyle name="Normal 111 4 2 2 2 2 3" xfId="24808" xr:uid="{00000000-0005-0000-0000-0000241C0000}"/>
    <cellStyle name="Normal 111 4 2 2 2 3" xfId="12375" xr:uid="{00000000-0005-0000-0000-0000251C0000}"/>
    <cellStyle name="Normal 111 4 2 2 2 3 2" xfId="28900" xr:uid="{00000000-0005-0000-0000-0000261C0000}"/>
    <cellStyle name="Normal 111 4 2 2 2 4" xfId="20857" xr:uid="{00000000-0005-0000-0000-0000271C0000}"/>
    <cellStyle name="Normal 111 4 2 2 3" xfId="7101" xr:uid="{00000000-0005-0000-0000-0000281C0000}"/>
    <cellStyle name="Normal 111 4 2 2 3 2" xfId="16282" xr:uid="{00000000-0005-0000-0000-0000291C0000}"/>
    <cellStyle name="Normal 111 4 2 2 3 2 2" xfId="32856" xr:uid="{00000000-0005-0000-0000-00002A1C0000}"/>
    <cellStyle name="Normal 111 4 2 2 3 3" xfId="24809" xr:uid="{00000000-0005-0000-0000-00002B1C0000}"/>
    <cellStyle name="Normal 111 4 2 2 4" xfId="12374" xr:uid="{00000000-0005-0000-0000-00002C1C0000}"/>
    <cellStyle name="Normal 111 4 2 2 4 2" xfId="28899" xr:uid="{00000000-0005-0000-0000-00002D1C0000}"/>
    <cellStyle name="Normal 111 4 2 2 5" xfId="20856" xr:uid="{00000000-0005-0000-0000-00002E1C0000}"/>
    <cellStyle name="Normal 111 4 2 3" xfId="2875" xr:uid="{00000000-0005-0000-0000-00002F1C0000}"/>
    <cellStyle name="Normal 111 4 2 3 2" xfId="7102" xr:uid="{00000000-0005-0000-0000-0000301C0000}"/>
    <cellStyle name="Normal 111 4 2 3 2 2" xfId="16283" xr:uid="{00000000-0005-0000-0000-0000311C0000}"/>
    <cellStyle name="Normal 111 4 2 3 2 2 2" xfId="32857" xr:uid="{00000000-0005-0000-0000-0000321C0000}"/>
    <cellStyle name="Normal 111 4 2 3 2 3" xfId="24810" xr:uid="{00000000-0005-0000-0000-0000331C0000}"/>
    <cellStyle name="Normal 111 4 2 3 3" xfId="12376" xr:uid="{00000000-0005-0000-0000-0000341C0000}"/>
    <cellStyle name="Normal 111 4 2 3 3 2" xfId="28901" xr:uid="{00000000-0005-0000-0000-0000351C0000}"/>
    <cellStyle name="Normal 111 4 2 3 4" xfId="20858" xr:uid="{00000000-0005-0000-0000-0000361C0000}"/>
    <cellStyle name="Normal 111 4 2 4" xfId="7103" xr:uid="{00000000-0005-0000-0000-0000371C0000}"/>
    <cellStyle name="Normal 111 4 2 4 2" xfId="16284" xr:uid="{00000000-0005-0000-0000-0000381C0000}"/>
    <cellStyle name="Normal 111 4 2 4 2 2" xfId="32858" xr:uid="{00000000-0005-0000-0000-0000391C0000}"/>
    <cellStyle name="Normal 111 4 2 4 3" xfId="24811" xr:uid="{00000000-0005-0000-0000-00003A1C0000}"/>
    <cellStyle name="Normal 111 4 2 5" xfId="12373" xr:uid="{00000000-0005-0000-0000-00003B1C0000}"/>
    <cellStyle name="Normal 111 4 2 5 2" xfId="28898" xr:uid="{00000000-0005-0000-0000-00003C1C0000}"/>
    <cellStyle name="Normal 111 4 2 6" xfId="20855" xr:uid="{00000000-0005-0000-0000-00003D1C0000}"/>
    <cellStyle name="Normal 111 4 3" xfId="2876" xr:uid="{00000000-0005-0000-0000-00003E1C0000}"/>
    <cellStyle name="Normal 111 4 3 2" xfId="2877" xr:uid="{00000000-0005-0000-0000-00003F1C0000}"/>
    <cellStyle name="Normal 111 4 3 2 2" xfId="7104" xr:uid="{00000000-0005-0000-0000-0000401C0000}"/>
    <cellStyle name="Normal 111 4 3 2 2 2" xfId="16285" xr:uid="{00000000-0005-0000-0000-0000411C0000}"/>
    <cellStyle name="Normal 111 4 3 2 2 2 2" xfId="32859" xr:uid="{00000000-0005-0000-0000-0000421C0000}"/>
    <cellStyle name="Normal 111 4 3 2 2 3" xfId="24812" xr:uid="{00000000-0005-0000-0000-0000431C0000}"/>
    <cellStyle name="Normal 111 4 3 2 3" xfId="12378" xr:uid="{00000000-0005-0000-0000-0000441C0000}"/>
    <cellStyle name="Normal 111 4 3 2 3 2" xfId="28903" xr:uid="{00000000-0005-0000-0000-0000451C0000}"/>
    <cellStyle name="Normal 111 4 3 2 4" xfId="20860" xr:uid="{00000000-0005-0000-0000-0000461C0000}"/>
    <cellStyle name="Normal 111 4 3 3" xfId="7105" xr:uid="{00000000-0005-0000-0000-0000471C0000}"/>
    <cellStyle name="Normal 111 4 3 3 2" xfId="16286" xr:uid="{00000000-0005-0000-0000-0000481C0000}"/>
    <cellStyle name="Normal 111 4 3 3 2 2" xfId="32860" xr:uid="{00000000-0005-0000-0000-0000491C0000}"/>
    <cellStyle name="Normal 111 4 3 3 3" xfId="24813" xr:uid="{00000000-0005-0000-0000-00004A1C0000}"/>
    <cellStyle name="Normal 111 4 3 4" xfId="12377" xr:uid="{00000000-0005-0000-0000-00004B1C0000}"/>
    <cellStyle name="Normal 111 4 3 4 2" xfId="28902" xr:uid="{00000000-0005-0000-0000-00004C1C0000}"/>
    <cellStyle name="Normal 111 4 3 5" xfId="20859" xr:uid="{00000000-0005-0000-0000-00004D1C0000}"/>
    <cellStyle name="Normal 111 4 4" xfId="2878" xr:uid="{00000000-0005-0000-0000-00004E1C0000}"/>
    <cellStyle name="Normal 111 4 4 2" xfId="7106" xr:uid="{00000000-0005-0000-0000-00004F1C0000}"/>
    <cellStyle name="Normal 111 4 4 2 2" xfId="16287" xr:uid="{00000000-0005-0000-0000-0000501C0000}"/>
    <cellStyle name="Normal 111 4 4 2 2 2" xfId="32861" xr:uid="{00000000-0005-0000-0000-0000511C0000}"/>
    <cellStyle name="Normal 111 4 4 2 3" xfId="24814" xr:uid="{00000000-0005-0000-0000-0000521C0000}"/>
    <cellStyle name="Normal 111 4 4 3" xfId="12379" xr:uid="{00000000-0005-0000-0000-0000531C0000}"/>
    <cellStyle name="Normal 111 4 4 3 2" xfId="28904" xr:uid="{00000000-0005-0000-0000-0000541C0000}"/>
    <cellStyle name="Normal 111 4 4 4" xfId="20861" xr:uid="{00000000-0005-0000-0000-0000551C0000}"/>
    <cellStyle name="Normal 111 4 5" xfId="7107" xr:uid="{00000000-0005-0000-0000-0000561C0000}"/>
    <cellStyle name="Normal 111 4 5 2" xfId="16288" xr:uid="{00000000-0005-0000-0000-0000571C0000}"/>
    <cellStyle name="Normal 111 4 5 2 2" xfId="32862" xr:uid="{00000000-0005-0000-0000-0000581C0000}"/>
    <cellStyle name="Normal 111 4 5 3" xfId="24815" xr:uid="{00000000-0005-0000-0000-0000591C0000}"/>
    <cellStyle name="Normal 111 4 6" xfId="12372" xr:uid="{00000000-0005-0000-0000-00005A1C0000}"/>
    <cellStyle name="Normal 111 4 6 2" xfId="28897" xr:uid="{00000000-0005-0000-0000-00005B1C0000}"/>
    <cellStyle name="Normal 111 4 7" xfId="20854" xr:uid="{00000000-0005-0000-0000-00005C1C0000}"/>
    <cellStyle name="Normal 111 5" xfId="2879" xr:uid="{00000000-0005-0000-0000-00005D1C0000}"/>
    <cellStyle name="Normal 111 5 2" xfId="2880" xr:uid="{00000000-0005-0000-0000-00005E1C0000}"/>
    <cellStyle name="Normal 111 5 2 2" xfId="2881" xr:uid="{00000000-0005-0000-0000-00005F1C0000}"/>
    <cellStyle name="Normal 111 5 2 2 2" xfId="2882" xr:uid="{00000000-0005-0000-0000-0000601C0000}"/>
    <cellStyle name="Normal 111 5 2 2 2 2" xfId="7108" xr:uid="{00000000-0005-0000-0000-0000611C0000}"/>
    <cellStyle name="Normal 111 5 2 2 2 2 2" xfId="16289" xr:uid="{00000000-0005-0000-0000-0000621C0000}"/>
    <cellStyle name="Normal 111 5 2 2 2 2 2 2" xfId="32863" xr:uid="{00000000-0005-0000-0000-0000631C0000}"/>
    <cellStyle name="Normal 111 5 2 2 2 2 3" xfId="24816" xr:uid="{00000000-0005-0000-0000-0000641C0000}"/>
    <cellStyle name="Normal 111 5 2 2 2 3" xfId="12383" xr:uid="{00000000-0005-0000-0000-0000651C0000}"/>
    <cellStyle name="Normal 111 5 2 2 2 3 2" xfId="28908" xr:uid="{00000000-0005-0000-0000-0000661C0000}"/>
    <cellStyle name="Normal 111 5 2 2 2 4" xfId="20865" xr:uid="{00000000-0005-0000-0000-0000671C0000}"/>
    <cellStyle name="Normal 111 5 2 2 3" xfId="7109" xr:uid="{00000000-0005-0000-0000-0000681C0000}"/>
    <cellStyle name="Normal 111 5 2 2 3 2" xfId="16290" xr:uid="{00000000-0005-0000-0000-0000691C0000}"/>
    <cellStyle name="Normal 111 5 2 2 3 2 2" xfId="32864" xr:uid="{00000000-0005-0000-0000-00006A1C0000}"/>
    <cellStyle name="Normal 111 5 2 2 3 3" xfId="24817" xr:uid="{00000000-0005-0000-0000-00006B1C0000}"/>
    <cellStyle name="Normal 111 5 2 2 4" xfId="12382" xr:uid="{00000000-0005-0000-0000-00006C1C0000}"/>
    <cellStyle name="Normal 111 5 2 2 4 2" xfId="28907" xr:uid="{00000000-0005-0000-0000-00006D1C0000}"/>
    <cellStyle name="Normal 111 5 2 2 5" xfId="20864" xr:uid="{00000000-0005-0000-0000-00006E1C0000}"/>
    <cellStyle name="Normal 111 5 2 3" xfId="2883" xr:uid="{00000000-0005-0000-0000-00006F1C0000}"/>
    <cellStyle name="Normal 111 5 2 3 2" xfId="7110" xr:uid="{00000000-0005-0000-0000-0000701C0000}"/>
    <cellStyle name="Normal 111 5 2 3 2 2" xfId="16291" xr:uid="{00000000-0005-0000-0000-0000711C0000}"/>
    <cellStyle name="Normal 111 5 2 3 2 2 2" xfId="32865" xr:uid="{00000000-0005-0000-0000-0000721C0000}"/>
    <cellStyle name="Normal 111 5 2 3 2 3" xfId="24818" xr:uid="{00000000-0005-0000-0000-0000731C0000}"/>
    <cellStyle name="Normal 111 5 2 3 3" xfId="12384" xr:uid="{00000000-0005-0000-0000-0000741C0000}"/>
    <cellStyle name="Normal 111 5 2 3 3 2" xfId="28909" xr:uid="{00000000-0005-0000-0000-0000751C0000}"/>
    <cellStyle name="Normal 111 5 2 3 4" xfId="20866" xr:uid="{00000000-0005-0000-0000-0000761C0000}"/>
    <cellStyle name="Normal 111 5 2 4" xfId="7111" xr:uid="{00000000-0005-0000-0000-0000771C0000}"/>
    <cellStyle name="Normal 111 5 2 4 2" xfId="16292" xr:uid="{00000000-0005-0000-0000-0000781C0000}"/>
    <cellStyle name="Normal 111 5 2 4 2 2" xfId="32866" xr:uid="{00000000-0005-0000-0000-0000791C0000}"/>
    <cellStyle name="Normal 111 5 2 4 3" xfId="24819" xr:uid="{00000000-0005-0000-0000-00007A1C0000}"/>
    <cellStyle name="Normal 111 5 2 5" xfId="12381" xr:uid="{00000000-0005-0000-0000-00007B1C0000}"/>
    <cellStyle name="Normal 111 5 2 5 2" xfId="28906" xr:uid="{00000000-0005-0000-0000-00007C1C0000}"/>
    <cellStyle name="Normal 111 5 2 6" xfId="20863" xr:uid="{00000000-0005-0000-0000-00007D1C0000}"/>
    <cellStyle name="Normal 111 5 3" xfId="2884" xr:uid="{00000000-0005-0000-0000-00007E1C0000}"/>
    <cellStyle name="Normal 111 5 3 2" xfId="2885" xr:uid="{00000000-0005-0000-0000-00007F1C0000}"/>
    <cellStyle name="Normal 111 5 3 2 2" xfId="7112" xr:uid="{00000000-0005-0000-0000-0000801C0000}"/>
    <cellStyle name="Normal 111 5 3 2 2 2" xfId="16293" xr:uid="{00000000-0005-0000-0000-0000811C0000}"/>
    <cellStyle name="Normal 111 5 3 2 2 2 2" xfId="32867" xr:uid="{00000000-0005-0000-0000-0000821C0000}"/>
    <cellStyle name="Normal 111 5 3 2 2 3" xfId="24820" xr:uid="{00000000-0005-0000-0000-0000831C0000}"/>
    <cellStyle name="Normal 111 5 3 2 3" xfId="12386" xr:uid="{00000000-0005-0000-0000-0000841C0000}"/>
    <cellStyle name="Normal 111 5 3 2 3 2" xfId="28911" xr:uid="{00000000-0005-0000-0000-0000851C0000}"/>
    <cellStyle name="Normal 111 5 3 2 4" xfId="20868" xr:uid="{00000000-0005-0000-0000-0000861C0000}"/>
    <cellStyle name="Normal 111 5 3 3" xfId="7113" xr:uid="{00000000-0005-0000-0000-0000871C0000}"/>
    <cellStyle name="Normal 111 5 3 3 2" xfId="16294" xr:uid="{00000000-0005-0000-0000-0000881C0000}"/>
    <cellStyle name="Normal 111 5 3 3 2 2" xfId="32868" xr:uid="{00000000-0005-0000-0000-0000891C0000}"/>
    <cellStyle name="Normal 111 5 3 3 3" xfId="24821" xr:uid="{00000000-0005-0000-0000-00008A1C0000}"/>
    <cellStyle name="Normal 111 5 3 4" xfId="12385" xr:uid="{00000000-0005-0000-0000-00008B1C0000}"/>
    <cellStyle name="Normal 111 5 3 4 2" xfId="28910" xr:uid="{00000000-0005-0000-0000-00008C1C0000}"/>
    <cellStyle name="Normal 111 5 3 5" xfId="20867" xr:uid="{00000000-0005-0000-0000-00008D1C0000}"/>
    <cellStyle name="Normal 111 5 4" xfId="2886" xr:uid="{00000000-0005-0000-0000-00008E1C0000}"/>
    <cellStyle name="Normal 111 5 4 2" xfId="7114" xr:uid="{00000000-0005-0000-0000-00008F1C0000}"/>
    <cellStyle name="Normal 111 5 4 2 2" xfId="16295" xr:uid="{00000000-0005-0000-0000-0000901C0000}"/>
    <cellStyle name="Normal 111 5 4 2 2 2" xfId="32869" xr:uid="{00000000-0005-0000-0000-0000911C0000}"/>
    <cellStyle name="Normal 111 5 4 2 3" xfId="24822" xr:uid="{00000000-0005-0000-0000-0000921C0000}"/>
    <cellStyle name="Normal 111 5 4 3" xfId="12387" xr:uid="{00000000-0005-0000-0000-0000931C0000}"/>
    <cellStyle name="Normal 111 5 4 3 2" xfId="28912" xr:uid="{00000000-0005-0000-0000-0000941C0000}"/>
    <cellStyle name="Normal 111 5 4 4" xfId="20869" xr:uid="{00000000-0005-0000-0000-0000951C0000}"/>
    <cellStyle name="Normal 111 5 5" xfId="7115" xr:uid="{00000000-0005-0000-0000-0000961C0000}"/>
    <cellStyle name="Normal 111 5 5 2" xfId="16296" xr:uid="{00000000-0005-0000-0000-0000971C0000}"/>
    <cellStyle name="Normal 111 5 5 2 2" xfId="32870" xr:uid="{00000000-0005-0000-0000-0000981C0000}"/>
    <cellStyle name="Normal 111 5 5 3" xfId="24823" xr:uid="{00000000-0005-0000-0000-0000991C0000}"/>
    <cellStyle name="Normal 111 5 6" xfId="12380" xr:uid="{00000000-0005-0000-0000-00009A1C0000}"/>
    <cellStyle name="Normal 111 5 6 2" xfId="28905" xr:uid="{00000000-0005-0000-0000-00009B1C0000}"/>
    <cellStyle name="Normal 111 5 7" xfId="20862" xr:uid="{00000000-0005-0000-0000-00009C1C0000}"/>
    <cellStyle name="Normal 111 6" xfId="2887" xr:uid="{00000000-0005-0000-0000-00009D1C0000}"/>
    <cellStyle name="Normal 111 6 2" xfId="2888" xr:uid="{00000000-0005-0000-0000-00009E1C0000}"/>
    <cellStyle name="Normal 111 6 2 2" xfId="2889" xr:uid="{00000000-0005-0000-0000-00009F1C0000}"/>
    <cellStyle name="Normal 111 6 2 2 2" xfId="7116" xr:uid="{00000000-0005-0000-0000-0000A01C0000}"/>
    <cellStyle name="Normal 111 6 2 2 2 2" xfId="16297" xr:uid="{00000000-0005-0000-0000-0000A11C0000}"/>
    <cellStyle name="Normal 111 6 2 2 2 2 2" xfId="32871" xr:uid="{00000000-0005-0000-0000-0000A21C0000}"/>
    <cellStyle name="Normal 111 6 2 2 2 3" xfId="24824" xr:uid="{00000000-0005-0000-0000-0000A31C0000}"/>
    <cellStyle name="Normal 111 6 2 2 3" xfId="12390" xr:uid="{00000000-0005-0000-0000-0000A41C0000}"/>
    <cellStyle name="Normal 111 6 2 2 3 2" xfId="28915" xr:uid="{00000000-0005-0000-0000-0000A51C0000}"/>
    <cellStyle name="Normal 111 6 2 2 4" xfId="20872" xr:uid="{00000000-0005-0000-0000-0000A61C0000}"/>
    <cellStyle name="Normal 111 6 2 3" xfId="7117" xr:uid="{00000000-0005-0000-0000-0000A71C0000}"/>
    <cellStyle name="Normal 111 6 2 3 2" xfId="16298" xr:uid="{00000000-0005-0000-0000-0000A81C0000}"/>
    <cellStyle name="Normal 111 6 2 3 2 2" xfId="32872" xr:uid="{00000000-0005-0000-0000-0000A91C0000}"/>
    <cellStyle name="Normal 111 6 2 3 3" xfId="24825" xr:uid="{00000000-0005-0000-0000-0000AA1C0000}"/>
    <cellStyle name="Normal 111 6 2 4" xfId="12389" xr:uid="{00000000-0005-0000-0000-0000AB1C0000}"/>
    <cellStyle name="Normal 111 6 2 4 2" xfId="28914" xr:uid="{00000000-0005-0000-0000-0000AC1C0000}"/>
    <cellStyle name="Normal 111 6 2 5" xfId="20871" xr:uid="{00000000-0005-0000-0000-0000AD1C0000}"/>
    <cellStyle name="Normal 111 6 3" xfId="2890" xr:uid="{00000000-0005-0000-0000-0000AE1C0000}"/>
    <cellStyle name="Normal 111 6 3 2" xfId="7118" xr:uid="{00000000-0005-0000-0000-0000AF1C0000}"/>
    <cellStyle name="Normal 111 6 3 2 2" xfId="16299" xr:uid="{00000000-0005-0000-0000-0000B01C0000}"/>
    <cellStyle name="Normal 111 6 3 2 2 2" xfId="32873" xr:uid="{00000000-0005-0000-0000-0000B11C0000}"/>
    <cellStyle name="Normal 111 6 3 2 3" xfId="24826" xr:uid="{00000000-0005-0000-0000-0000B21C0000}"/>
    <cellStyle name="Normal 111 6 3 3" xfId="12391" xr:uid="{00000000-0005-0000-0000-0000B31C0000}"/>
    <cellStyle name="Normal 111 6 3 3 2" xfId="28916" xr:uid="{00000000-0005-0000-0000-0000B41C0000}"/>
    <cellStyle name="Normal 111 6 3 4" xfId="20873" xr:uid="{00000000-0005-0000-0000-0000B51C0000}"/>
    <cellStyle name="Normal 111 6 4" xfId="7119" xr:uid="{00000000-0005-0000-0000-0000B61C0000}"/>
    <cellStyle name="Normal 111 6 4 2" xfId="16300" xr:uid="{00000000-0005-0000-0000-0000B71C0000}"/>
    <cellStyle name="Normal 111 6 4 2 2" xfId="32874" xr:uid="{00000000-0005-0000-0000-0000B81C0000}"/>
    <cellStyle name="Normal 111 6 4 3" xfId="24827" xr:uid="{00000000-0005-0000-0000-0000B91C0000}"/>
    <cellStyle name="Normal 111 6 5" xfId="12388" xr:uid="{00000000-0005-0000-0000-0000BA1C0000}"/>
    <cellStyle name="Normal 111 6 5 2" xfId="28913" xr:uid="{00000000-0005-0000-0000-0000BB1C0000}"/>
    <cellStyle name="Normal 111 6 6" xfId="20870" xr:uid="{00000000-0005-0000-0000-0000BC1C0000}"/>
    <cellStyle name="Normal 111 7" xfId="2891" xr:uid="{00000000-0005-0000-0000-0000BD1C0000}"/>
    <cellStyle name="Normal 111 7 2" xfId="2892" xr:uid="{00000000-0005-0000-0000-0000BE1C0000}"/>
    <cellStyle name="Normal 111 7 2 2" xfId="7120" xr:uid="{00000000-0005-0000-0000-0000BF1C0000}"/>
    <cellStyle name="Normal 111 7 2 2 2" xfId="16301" xr:uid="{00000000-0005-0000-0000-0000C01C0000}"/>
    <cellStyle name="Normal 111 7 2 2 2 2" xfId="32875" xr:uid="{00000000-0005-0000-0000-0000C11C0000}"/>
    <cellStyle name="Normal 111 7 2 2 3" xfId="24828" xr:uid="{00000000-0005-0000-0000-0000C21C0000}"/>
    <cellStyle name="Normal 111 7 2 3" xfId="12393" xr:uid="{00000000-0005-0000-0000-0000C31C0000}"/>
    <cellStyle name="Normal 111 7 2 3 2" xfId="28918" xr:uid="{00000000-0005-0000-0000-0000C41C0000}"/>
    <cellStyle name="Normal 111 7 2 4" xfId="20875" xr:uid="{00000000-0005-0000-0000-0000C51C0000}"/>
    <cellStyle name="Normal 111 7 3" xfId="7121" xr:uid="{00000000-0005-0000-0000-0000C61C0000}"/>
    <cellStyle name="Normal 111 7 3 2" xfId="16302" xr:uid="{00000000-0005-0000-0000-0000C71C0000}"/>
    <cellStyle name="Normal 111 7 3 2 2" xfId="32876" xr:uid="{00000000-0005-0000-0000-0000C81C0000}"/>
    <cellStyle name="Normal 111 7 3 3" xfId="24829" xr:uid="{00000000-0005-0000-0000-0000C91C0000}"/>
    <cellStyle name="Normal 111 7 4" xfId="12392" xr:uid="{00000000-0005-0000-0000-0000CA1C0000}"/>
    <cellStyle name="Normal 111 7 4 2" xfId="28917" xr:uid="{00000000-0005-0000-0000-0000CB1C0000}"/>
    <cellStyle name="Normal 111 7 5" xfId="20874" xr:uid="{00000000-0005-0000-0000-0000CC1C0000}"/>
    <cellStyle name="Normal 111 8" xfId="2893" xr:uid="{00000000-0005-0000-0000-0000CD1C0000}"/>
    <cellStyle name="Normal 111 8 2" xfId="7122" xr:uid="{00000000-0005-0000-0000-0000CE1C0000}"/>
    <cellStyle name="Normal 111 8 2 2" xfId="16303" xr:uid="{00000000-0005-0000-0000-0000CF1C0000}"/>
    <cellStyle name="Normal 111 8 2 2 2" xfId="32877" xr:uid="{00000000-0005-0000-0000-0000D01C0000}"/>
    <cellStyle name="Normal 111 8 2 3" xfId="24830" xr:uid="{00000000-0005-0000-0000-0000D11C0000}"/>
    <cellStyle name="Normal 111 8 3" xfId="12394" xr:uid="{00000000-0005-0000-0000-0000D21C0000}"/>
    <cellStyle name="Normal 111 8 3 2" xfId="28919" xr:uid="{00000000-0005-0000-0000-0000D31C0000}"/>
    <cellStyle name="Normal 111 8 4" xfId="20876" xr:uid="{00000000-0005-0000-0000-0000D41C0000}"/>
    <cellStyle name="Normal 111 9" xfId="7123" xr:uid="{00000000-0005-0000-0000-0000D51C0000}"/>
    <cellStyle name="Normal 111 9 2" xfId="16304" xr:uid="{00000000-0005-0000-0000-0000D61C0000}"/>
    <cellStyle name="Normal 111 9 2 2" xfId="32878" xr:uid="{00000000-0005-0000-0000-0000D71C0000}"/>
    <cellStyle name="Normal 111 9 3" xfId="24831" xr:uid="{00000000-0005-0000-0000-0000D81C0000}"/>
    <cellStyle name="Normal 112" xfId="2894" xr:uid="{00000000-0005-0000-0000-0000D91C0000}"/>
    <cellStyle name="Normal 112 10" xfId="12395" xr:uid="{00000000-0005-0000-0000-0000DA1C0000}"/>
    <cellStyle name="Normal 112 10 2" xfId="28920" xr:uid="{00000000-0005-0000-0000-0000DB1C0000}"/>
    <cellStyle name="Normal 112 11" xfId="20877" xr:uid="{00000000-0005-0000-0000-0000DC1C0000}"/>
    <cellStyle name="Normal 112 2" xfId="2895" xr:uid="{00000000-0005-0000-0000-0000DD1C0000}"/>
    <cellStyle name="Normal 112 2 2" xfId="2896" xr:uid="{00000000-0005-0000-0000-0000DE1C0000}"/>
    <cellStyle name="Normal 112 2 3" xfId="12396" xr:uid="{00000000-0005-0000-0000-0000DF1C0000}"/>
    <cellStyle name="Normal 112 2 3 2" xfId="28921" xr:uid="{00000000-0005-0000-0000-0000E01C0000}"/>
    <cellStyle name="Normal 112 2 4" xfId="20878" xr:uid="{00000000-0005-0000-0000-0000E11C0000}"/>
    <cellStyle name="Normal 112 3" xfId="2897" xr:uid="{00000000-0005-0000-0000-0000E21C0000}"/>
    <cellStyle name="Normal 112 3 2" xfId="2898" xr:uid="{00000000-0005-0000-0000-0000E31C0000}"/>
    <cellStyle name="Normal 112 3 2 2" xfId="2899" xr:uid="{00000000-0005-0000-0000-0000E41C0000}"/>
    <cellStyle name="Normal 112 3 2 2 2" xfId="2900" xr:uid="{00000000-0005-0000-0000-0000E51C0000}"/>
    <cellStyle name="Normal 112 3 2 2 2 2" xfId="7124" xr:uid="{00000000-0005-0000-0000-0000E61C0000}"/>
    <cellStyle name="Normal 112 3 2 2 2 2 2" xfId="16305" xr:uid="{00000000-0005-0000-0000-0000E71C0000}"/>
    <cellStyle name="Normal 112 3 2 2 2 2 2 2" xfId="32879" xr:uid="{00000000-0005-0000-0000-0000E81C0000}"/>
    <cellStyle name="Normal 112 3 2 2 2 2 3" xfId="24832" xr:uid="{00000000-0005-0000-0000-0000E91C0000}"/>
    <cellStyle name="Normal 112 3 2 2 2 3" xfId="12399" xr:uid="{00000000-0005-0000-0000-0000EA1C0000}"/>
    <cellStyle name="Normal 112 3 2 2 2 3 2" xfId="28924" xr:uid="{00000000-0005-0000-0000-0000EB1C0000}"/>
    <cellStyle name="Normal 112 3 2 2 2 4" xfId="20881" xr:uid="{00000000-0005-0000-0000-0000EC1C0000}"/>
    <cellStyle name="Normal 112 3 2 2 3" xfId="7125" xr:uid="{00000000-0005-0000-0000-0000ED1C0000}"/>
    <cellStyle name="Normal 112 3 2 2 3 2" xfId="16306" xr:uid="{00000000-0005-0000-0000-0000EE1C0000}"/>
    <cellStyle name="Normal 112 3 2 2 3 2 2" xfId="32880" xr:uid="{00000000-0005-0000-0000-0000EF1C0000}"/>
    <cellStyle name="Normal 112 3 2 2 3 3" xfId="24833" xr:uid="{00000000-0005-0000-0000-0000F01C0000}"/>
    <cellStyle name="Normal 112 3 2 2 4" xfId="12398" xr:uid="{00000000-0005-0000-0000-0000F11C0000}"/>
    <cellStyle name="Normal 112 3 2 2 4 2" xfId="28923" xr:uid="{00000000-0005-0000-0000-0000F21C0000}"/>
    <cellStyle name="Normal 112 3 2 2 5" xfId="20880" xr:uid="{00000000-0005-0000-0000-0000F31C0000}"/>
    <cellStyle name="Normal 112 3 2 3" xfId="2901" xr:uid="{00000000-0005-0000-0000-0000F41C0000}"/>
    <cellStyle name="Normal 112 3 2 3 2" xfId="7126" xr:uid="{00000000-0005-0000-0000-0000F51C0000}"/>
    <cellStyle name="Normal 112 3 2 3 2 2" xfId="16307" xr:uid="{00000000-0005-0000-0000-0000F61C0000}"/>
    <cellStyle name="Normal 112 3 2 3 2 2 2" xfId="32881" xr:uid="{00000000-0005-0000-0000-0000F71C0000}"/>
    <cellStyle name="Normal 112 3 2 3 2 3" xfId="24834" xr:uid="{00000000-0005-0000-0000-0000F81C0000}"/>
    <cellStyle name="Normal 112 3 2 3 3" xfId="12400" xr:uid="{00000000-0005-0000-0000-0000F91C0000}"/>
    <cellStyle name="Normal 112 3 2 3 3 2" xfId="28925" xr:uid="{00000000-0005-0000-0000-0000FA1C0000}"/>
    <cellStyle name="Normal 112 3 2 3 4" xfId="20882" xr:uid="{00000000-0005-0000-0000-0000FB1C0000}"/>
    <cellStyle name="Normal 112 3 2 4" xfId="7127" xr:uid="{00000000-0005-0000-0000-0000FC1C0000}"/>
    <cellStyle name="Normal 112 3 2 4 2" xfId="16308" xr:uid="{00000000-0005-0000-0000-0000FD1C0000}"/>
    <cellStyle name="Normal 112 3 2 4 2 2" xfId="32882" xr:uid="{00000000-0005-0000-0000-0000FE1C0000}"/>
    <cellStyle name="Normal 112 3 2 4 3" xfId="24835" xr:uid="{00000000-0005-0000-0000-0000FF1C0000}"/>
    <cellStyle name="Normal 112 3 2 5" xfId="12397" xr:uid="{00000000-0005-0000-0000-0000001D0000}"/>
    <cellStyle name="Normal 112 3 2 5 2" xfId="28922" xr:uid="{00000000-0005-0000-0000-0000011D0000}"/>
    <cellStyle name="Normal 112 3 2 6" xfId="20879" xr:uid="{00000000-0005-0000-0000-0000021D0000}"/>
    <cellStyle name="Normal 112 3 3" xfId="2902" xr:uid="{00000000-0005-0000-0000-0000031D0000}"/>
    <cellStyle name="Normal 112 3 3 2" xfId="2903" xr:uid="{00000000-0005-0000-0000-0000041D0000}"/>
    <cellStyle name="Normal 112 3 3 2 2" xfId="7128" xr:uid="{00000000-0005-0000-0000-0000051D0000}"/>
    <cellStyle name="Normal 112 3 3 2 2 2" xfId="16309" xr:uid="{00000000-0005-0000-0000-0000061D0000}"/>
    <cellStyle name="Normal 112 3 3 2 2 2 2" xfId="32883" xr:uid="{00000000-0005-0000-0000-0000071D0000}"/>
    <cellStyle name="Normal 112 3 3 2 2 3" xfId="24836" xr:uid="{00000000-0005-0000-0000-0000081D0000}"/>
    <cellStyle name="Normal 112 3 3 2 3" xfId="12402" xr:uid="{00000000-0005-0000-0000-0000091D0000}"/>
    <cellStyle name="Normal 112 3 3 2 3 2" xfId="28927" xr:uid="{00000000-0005-0000-0000-00000A1D0000}"/>
    <cellStyle name="Normal 112 3 3 2 4" xfId="20884" xr:uid="{00000000-0005-0000-0000-00000B1D0000}"/>
    <cellStyle name="Normal 112 3 3 3" xfId="7129" xr:uid="{00000000-0005-0000-0000-00000C1D0000}"/>
    <cellStyle name="Normal 112 3 3 3 2" xfId="16310" xr:uid="{00000000-0005-0000-0000-00000D1D0000}"/>
    <cellStyle name="Normal 112 3 3 3 2 2" xfId="32884" xr:uid="{00000000-0005-0000-0000-00000E1D0000}"/>
    <cellStyle name="Normal 112 3 3 3 3" xfId="24837" xr:uid="{00000000-0005-0000-0000-00000F1D0000}"/>
    <cellStyle name="Normal 112 3 3 4" xfId="12401" xr:uid="{00000000-0005-0000-0000-0000101D0000}"/>
    <cellStyle name="Normal 112 3 3 4 2" xfId="28926" xr:uid="{00000000-0005-0000-0000-0000111D0000}"/>
    <cellStyle name="Normal 112 3 3 5" xfId="20883" xr:uid="{00000000-0005-0000-0000-0000121D0000}"/>
    <cellStyle name="Normal 112 3 4" xfId="2904" xr:uid="{00000000-0005-0000-0000-0000131D0000}"/>
    <cellStyle name="Normal 112 3 4 2" xfId="7130" xr:uid="{00000000-0005-0000-0000-0000141D0000}"/>
    <cellStyle name="Normal 112 3 4 2 2" xfId="16311" xr:uid="{00000000-0005-0000-0000-0000151D0000}"/>
    <cellStyle name="Normal 112 3 4 2 2 2" xfId="32885" xr:uid="{00000000-0005-0000-0000-0000161D0000}"/>
    <cellStyle name="Normal 112 3 4 2 3" xfId="24838" xr:uid="{00000000-0005-0000-0000-0000171D0000}"/>
    <cellStyle name="Normal 112 3 4 3" xfId="12403" xr:uid="{00000000-0005-0000-0000-0000181D0000}"/>
    <cellStyle name="Normal 112 3 4 3 2" xfId="28928" xr:uid="{00000000-0005-0000-0000-0000191D0000}"/>
    <cellStyle name="Normal 112 3 4 4" xfId="20885" xr:uid="{00000000-0005-0000-0000-00001A1D0000}"/>
    <cellStyle name="Normal 112 3 5" xfId="2905" xr:uid="{00000000-0005-0000-0000-00001B1D0000}"/>
    <cellStyle name="Normal 112 3 5 2" xfId="12404" xr:uid="{00000000-0005-0000-0000-00001C1D0000}"/>
    <cellStyle name="Normal 112 3 5 2 2" xfId="28929" xr:uid="{00000000-0005-0000-0000-00001D1D0000}"/>
    <cellStyle name="Normal 112 3 5 3" xfId="20886" xr:uid="{00000000-0005-0000-0000-00001E1D0000}"/>
    <cellStyle name="Normal 112 4" xfId="2906" xr:uid="{00000000-0005-0000-0000-00001F1D0000}"/>
    <cellStyle name="Normal 112 4 2" xfId="2907" xr:uid="{00000000-0005-0000-0000-0000201D0000}"/>
    <cellStyle name="Normal 112 4 2 2" xfId="2908" xr:uid="{00000000-0005-0000-0000-0000211D0000}"/>
    <cellStyle name="Normal 112 4 2 2 2" xfId="2909" xr:uid="{00000000-0005-0000-0000-0000221D0000}"/>
    <cellStyle name="Normal 112 4 2 2 2 2" xfId="7131" xr:uid="{00000000-0005-0000-0000-0000231D0000}"/>
    <cellStyle name="Normal 112 4 2 2 2 2 2" xfId="16312" xr:uid="{00000000-0005-0000-0000-0000241D0000}"/>
    <cellStyle name="Normal 112 4 2 2 2 2 2 2" xfId="32886" xr:uid="{00000000-0005-0000-0000-0000251D0000}"/>
    <cellStyle name="Normal 112 4 2 2 2 2 3" xfId="24839" xr:uid="{00000000-0005-0000-0000-0000261D0000}"/>
    <cellStyle name="Normal 112 4 2 2 2 3" xfId="12408" xr:uid="{00000000-0005-0000-0000-0000271D0000}"/>
    <cellStyle name="Normal 112 4 2 2 2 3 2" xfId="28933" xr:uid="{00000000-0005-0000-0000-0000281D0000}"/>
    <cellStyle name="Normal 112 4 2 2 2 4" xfId="20890" xr:uid="{00000000-0005-0000-0000-0000291D0000}"/>
    <cellStyle name="Normal 112 4 2 2 3" xfId="7132" xr:uid="{00000000-0005-0000-0000-00002A1D0000}"/>
    <cellStyle name="Normal 112 4 2 2 3 2" xfId="16313" xr:uid="{00000000-0005-0000-0000-00002B1D0000}"/>
    <cellStyle name="Normal 112 4 2 2 3 2 2" xfId="32887" xr:uid="{00000000-0005-0000-0000-00002C1D0000}"/>
    <cellStyle name="Normal 112 4 2 2 3 3" xfId="24840" xr:uid="{00000000-0005-0000-0000-00002D1D0000}"/>
    <cellStyle name="Normal 112 4 2 2 4" xfId="12407" xr:uid="{00000000-0005-0000-0000-00002E1D0000}"/>
    <cellStyle name="Normal 112 4 2 2 4 2" xfId="28932" xr:uid="{00000000-0005-0000-0000-00002F1D0000}"/>
    <cellStyle name="Normal 112 4 2 2 5" xfId="20889" xr:uid="{00000000-0005-0000-0000-0000301D0000}"/>
    <cellStyle name="Normal 112 4 2 3" xfId="2910" xr:uid="{00000000-0005-0000-0000-0000311D0000}"/>
    <cellStyle name="Normal 112 4 2 3 2" xfId="7133" xr:uid="{00000000-0005-0000-0000-0000321D0000}"/>
    <cellStyle name="Normal 112 4 2 3 2 2" xfId="16314" xr:uid="{00000000-0005-0000-0000-0000331D0000}"/>
    <cellStyle name="Normal 112 4 2 3 2 2 2" xfId="32888" xr:uid="{00000000-0005-0000-0000-0000341D0000}"/>
    <cellStyle name="Normal 112 4 2 3 2 3" xfId="24841" xr:uid="{00000000-0005-0000-0000-0000351D0000}"/>
    <cellStyle name="Normal 112 4 2 3 3" xfId="12409" xr:uid="{00000000-0005-0000-0000-0000361D0000}"/>
    <cellStyle name="Normal 112 4 2 3 3 2" xfId="28934" xr:uid="{00000000-0005-0000-0000-0000371D0000}"/>
    <cellStyle name="Normal 112 4 2 3 4" xfId="20891" xr:uid="{00000000-0005-0000-0000-0000381D0000}"/>
    <cellStyle name="Normal 112 4 2 4" xfId="7134" xr:uid="{00000000-0005-0000-0000-0000391D0000}"/>
    <cellStyle name="Normal 112 4 2 4 2" xfId="16315" xr:uid="{00000000-0005-0000-0000-00003A1D0000}"/>
    <cellStyle name="Normal 112 4 2 4 2 2" xfId="32889" xr:uid="{00000000-0005-0000-0000-00003B1D0000}"/>
    <cellStyle name="Normal 112 4 2 4 3" xfId="24842" xr:uid="{00000000-0005-0000-0000-00003C1D0000}"/>
    <cellStyle name="Normal 112 4 2 5" xfId="12406" xr:uid="{00000000-0005-0000-0000-00003D1D0000}"/>
    <cellStyle name="Normal 112 4 2 5 2" xfId="28931" xr:uid="{00000000-0005-0000-0000-00003E1D0000}"/>
    <cellStyle name="Normal 112 4 2 6" xfId="20888" xr:uid="{00000000-0005-0000-0000-00003F1D0000}"/>
    <cellStyle name="Normal 112 4 3" xfId="2911" xr:uid="{00000000-0005-0000-0000-0000401D0000}"/>
    <cellStyle name="Normal 112 4 3 2" xfId="2912" xr:uid="{00000000-0005-0000-0000-0000411D0000}"/>
    <cellStyle name="Normal 112 4 3 2 2" xfId="7135" xr:uid="{00000000-0005-0000-0000-0000421D0000}"/>
    <cellStyle name="Normal 112 4 3 2 2 2" xfId="16316" xr:uid="{00000000-0005-0000-0000-0000431D0000}"/>
    <cellStyle name="Normal 112 4 3 2 2 2 2" xfId="32890" xr:uid="{00000000-0005-0000-0000-0000441D0000}"/>
    <cellStyle name="Normal 112 4 3 2 2 3" xfId="24843" xr:uid="{00000000-0005-0000-0000-0000451D0000}"/>
    <cellStyle name="Normal 112 4 3 2 3" xfId="12411" xr:uid="{00000000-0005-0000-0000-0000461D0000}"/>
    <cellStyle name="Normal 112 4 3 2 3 2" xfId="28936" xr:uid="{00000000-0005-0000-0000-0000471D0000}"/>
    <cellStyle name="Normal 112 4 3 2 4" xfId="20893" xr:uid="{00000000-0005-0000-0000-0000481D0000}"/>
    <cellStyle name="Normal 112 4 3 3" xfId="7136" xr:uid="{00000000-0005-0000-0000-0000491D0000}"/>
    <cellStyle name="Normal 112 4 3 3 2" xfId="16317" xr:uid="{00000000-0005-0000-0000-00004A1D0000}"/>
    <cellStyle name="Normal 112 4 3 3 2 2" xfId="32891" xr:uid="{00000000-0005-0000-0000-00004B1D0000}"/>
    <cellStyle name="Normal 112 4 3 3 3" xfId="24844" xr:uid="{00000000-0005-0000-0000-00004C1D0000}"/>
    <cellStyle name="Normal 112 4 3 4" xfId="12410" xr:uid="{00000000-0005-0000-0000-00004D1D0000}"/>
    <cellStyle name="Normal 112 4 3 4 2" xfId="28935" xr:uid="{00000000-0005-0000-0000-00004E1D0000}"/>
    <cellStyle name="Normal 112 4 3 5" xfId="20892" xr:uid="{00000000-0005-0000-0000-00004F1D0000}"/>
    <cellStyle name="Normal 112 4 4" xfId="2913" xr:uid="{00000000-0005-0000-0000-0000501D0000}"/>
    <cellStyle name="Normal 112 4 4 2" xfId="7137" xr:uid="{00000000-0005-0000-0000-0000511D0000}"/>
    <cellStyle name="Normal 112 4 4 2 2" xfId="16318" xr:uid="{00000000-0005-0000-0000-0000521D0000}"/>
    <cellStyle name="Normal 112 4 4 2 2 2" xfId="32892" xr:uid="{00000000-0005-0000-0000-0000531D0000}"/>
    <cellStyle name="Normal 112 4 4 2 3" xfId="24845" xr:uid="{00000000-0005-0000-0000-0000541D0000}"/>
    <cellStyle name="Normal 112 4 4 3" xfId="12412" xr:uid="{00000000-0005-0000-0000-0000551D0000}"/>
    <cellStyle name="Normal 112 4 4 3 2" xfId="28937" xr:uid="{00000000-0005-0000-0000-0000561D0000}"/>
    <cellStyle name="Normal 112 4 4 4" xfId="20894" xr:uid="{00000000-0005-0000-0000-0000571D0000}"/>
    <cellStyle name="Normal 112 4 5" xfId="7138" xr:uid="{00000000-0005-0000-0000-0000581D0000}"/>
    <cellStyle name="Normal 112 4 5 2" xfId="16319" xr:uid="{00000000-0005-0000-0000-0000591D0000}"/>
    <cellStyle name="Normal 112 4 5 2 2" xfId="32893" xr:uid="{00000000-0005-0000-0000-00005A1D0000}"/>
    <cellStyle name="Normal 112 4 5 3" xfId="24846" xr:uid="{00000000-0005-0000-0000-00005B1D0000}"/>
    <cellStyle name="Normal 112 4 6" xfId="12405" xr:uid="{00000000-0005-0000-0000-00005C1D0000}"/>
    <cellStyle name="Normal 112 4 6 2" xfId="28930" xr:uid="{00000000-0005-0000-0000-00005D1D0000}"/>
    <cellStyle name="Normal 112 4 7" xfId="20887" xr:uid="{00000000-0005-0000-0000-00005E1D0000}"/>
    <cellStyle name="Normal 112 5" xfId="2914" xr:uid="{00000000-0005-0000-0000-00005F1D0000}"/>
    <cellStyle name="Normal 112 5 2" xfId="2915" xr:uid="{00000000-0005-0000-0000-0000601D0000}"/>
    <cellStyle name="Normal 112 5 2 2" xfId="2916" xr:uid="{00000000-0005-0000-0000-0000611D0000}"/>
    <cellStyle name="Normal 112 5 2 2 2" xfId="2917" xr:uid="{00000000-0005-0000-0000-0000621D0000}"/>
    <cellStyle name="Normal 112 5 2 2 2 2" xfId="7139" xr:uid="{00000000-0005-0000-0000-0000631D0000}"/>
    <cellStyle name="Normal 112 5 2 2 2 2 2" xfId="16320" xr:uid="{00000000-0005-0000-0000-0000641D0000}"/>
    <cellStyle name="Normal 112 5 2 2 2 2 2 2" xfId="32894" xr:uid="{00000000-0005-0000-0000-0000651D0000}"/>
    <cellStyle name="Normal 112 5 2 2 2 2 3" xfId="24847" xr:uid="{00000000-0005-0000-0000-0000661D0000}"/>
    <cellStyle name="Normal 112 5 2 2 2 3" xfId="12416" xr:uid="{00000000-0005-0000-0000-0000671D0000}"/>
    <cellStyle name="Normal 112 5 2 2 2 3 2" xfId="28941" xr:uid="{00000000-0005-0000-0000-0000681D0000}"/>
    <cellStyle name="Normal 112 5 2 2 2 4" xfId="20898" xr:uid="{00000000-0005-0000-0000-0000691D0000}"/>
    <cellStyle name="Normal 112 5 2 2 3" xfId="7140" xr:uid="{00000000-0005-0000-0000-00006A1D0000}"/>
    <cellStyle name="Normal 112 5 2 2 3 2" xfId="16321" xr:uid="{00000000-0005-0000-0000-00006B1D0000}"/>
    <cellStyle name="Normal 112 5 2 2 3 2 2" xfId="32895" xr:uid="{00000000-0005-0000-0000-00006C1D0000}"/>
    <cellStyle name="Normal 112 5 2 2 3 3" xfId="24848" xr:uid="{00000000-0005-0000-0000-00006D1D0000}"/>
    <cellStyle name="Normal 112 5 2 2 4" xfId="12415" xr:uid="{00000000-0005-0000-0000-00006E1D0000}"/>
    <cellStyle name="Normal 112 5 2 2 4 2" xfId="28940" xr:uid="{00000000-0005-0000-0000-00006F1D0000}"/>
    <cellStyle name="Normal 112 5 2 2 5" xfId="20897" xr:uid="{00000000-0005-0000-0000-0000701D0000}"/>
    <cellStyle name="Normal 112 5 2 3" xfId="2918" xr:uid="{00000000-0005-0000-0000-0000711D0000}"/>
    <cellStyle name="Normal 112 5 2 3 2" xfId="7141" xr:uid="{00000000-0005-0000-0000-0000721D0000}"/>
    <cellStyle name="Normal 112 5 2 3 2 2" xfId="16322" xr:uid="{00000000-0005-0000-0000-0000731D0000}"/>
    <cellStyle name="Normal 112 5 2 3 2 2 2" xfId="32896" xr:uid="{00000000-0005-0000-0000-0000741D0000}"/>
    <cellStyle name="Normal 112 5 2 3 2 3" xfId="24849" xr:uid="{00000000-0005-0000-0000-0000751D0000}"/>
    <cellStyle name="Normal 112 5 2 3 3" xfId="12417" xr:uid="{00000000-0005-0000-0000-0000761D0000}"/>
    <cellStyle name="Normal 112 5 2 3 3 2" xfId="28942" xr:uid="{00000000-0005-0000-0000-0000771D0000}"/>
    <cellStyle name="Normal 112 5 2 3 4" xfId="20899" xr:uid="{00000000-0005-0000-0000-0000781D0000}"/>
    <cellStyle name="Normal 112 5 2 4" xfId="7142" xr:uid="{00000000-0005-0000-0000-0000791D0000}"/>
    <cellStyle name="Normal 112 5 2 4 2" xfId="16323" xr:uid="{00000000-0005-0000-0000-00007A1D0000}"/>
    <cellStyle name="Normal 112 5 2 4 2 2" xfId="32897" xr:uid="{00000000-0005-0000-0000-00007B1D0000}"/>
    <cellStyle name="Normal 112 5 2 4 3" xfId="24850" xr:uid="{00000000-0005-0000-0000-00007C1D0000}"/>
    <cellStyle name="Normal 112 5 2 5" xfId="12414" xr:uid="{00000000-0005-0000-0000-00007D1D0000}"/>
    <cellStyle name="Normal 112 5 2 5 2" xfId="28939" xr:uid="{00000000-0005-0000-0000-00007E1D0000}"/>
    <cellStyle name="Normal 112 5 2 6" xfId="20896" xr:uid="{00000000-0005-0000-0000-00007F1D0000}"/>
    <cellStyle name="Normal 112 5 3" xfId="2919" xr:uid="{00000000-0005-0000-0000-0000801D0000}"/>
    <cellStyle name="Normal 112 5 3 2" xfId="2920" xr:uid="{00000000-0005-0000-0000-0000811D0000}"/>
    <cellStyle name="Normal 112 5 3 2 2" xfId="7143" xr:uid="{00000000-0005-0000-0000-0000821D0000}"/>
    <cellStyle name="Normal 112 5 3 2 2 2" xfId="16324" xr:uid="{00000000-0005-0000-0000-0000831D0000}"/>
    <cellStyle name="Normal 112 5 3 2 2 2 2" xfId="32898" xr:uid="{00000000-0005-0000-0000-0000841D0000}"/>
    <cellStyle name="Normal 112 5 3 2 2 3" xfId="24851" xr:uid="{00000000-0005-0000-0000-0000851D0000}"/>
    <cellStyle name="Normal 112 5 3 2 3" xfId="12419" xr:uid="{00000000-0005-0000-0000-0000861D0000}"/>
    <cellStyle name="Normal 112 5 3 2 3 2" xfId="28944" xr:uid="{00000000-0005-0000-0000-0000871D0000}"/>
    <cellStyle name="Normal 112 5 3 2 4" xfId="20901" xr:uid="{00000000-0005-0000-0000-0000881D0000}"/>
    <cellStyle name="Normal 112 5 3 3" xfId="7144" xr:uid="{00000000-0005-0000-0000-0000891D0000}"/>
    <cellStyle name="Normal 112 5 3 3 2" xfId="16325" xr:uid="{00000000-0005-0000-0000-00008A1D0000}"/>
    <cellStyle name="Normal 112 5 3 3 2 2" xfId="32899" xr:uid="{00000000-0005-0000-0000-00008B1D0000}"/>
    <cellStyle name="Normal 112 5 3 3 3" xfId="24852" xr:uid="{00000000-0005-0000-0000-00008C1D0000}"/>
    <cellStyle name="Normal 112 5 3 4" xfId="12418" xr:uid="{00000000-0005-0000-0000-00008D1D0000}"/>
    <cellStyle name="Normal 112 5 3 4 2" xfId="28943" xr:uid="{00000000-0005-0000-0000-00008E1D0000}"/>
    <cellStyle name="Normal 112 5 3 5" xfId="20900" xr:uid="{00000000-0005-0000-0000-00008F1D0000}"/>
    <cellStyle name="Normal 112 5 4" xfId="2921" xr:uid="{00000000-0005-0000-0000-0000901D0000}"/>
    <cellStyle name="Normal 112 5 4 2" xfId="7145" xr:uid="{00000000-0005-0000-0000-0000911D0000}"/>
    <cellStyle name="Normal 112 5 4 2 2" xfId="16326" xr:uid="{00000000-0005-0000-0000-0000921D0000}"/>
    <cellStyle name="Normal 112 5 4 2 2 2" xfId="32900" xr:uid="{00000000-0005-0000-0000-0000931D0000}"/>
    <cellStyle name="Normal 112 5 4 2 3" xfId="24853" xr:uid="{00000000-0005-0000-0000-0000941D0000}"/>
    <cellStyle name="Normal 112 5 4 3" xfId="12420" xr:uid="{00000000-0005-0000-0000-0000951D0000}"/>
    <cellStyle name="Normal 112 5 4 3 2" xfId="28945" xr:uid="{00000000-0005-0000-0000-0000961D0000}"/>
    <cellStyle name="Normal 112 5 4 4" xfId="20902" xr:uid="{00000000-0005-0000-0000-0000971D0000}"/>
    <cellStyle name="Normal 112 5 5" xfId="7146" xr:uid="{00000000-0005-0000-0000-0000981D0000}"/>
    <cellStyle name="Normal 112 5 5 2" xfId="16327" xr:uid="{00000000-0005-0000-0000-0000991D0000}"/>
    <cellStyle name="Normal 112 5 5 2 2" xfId="32901" xr:uid="{00000000-0005-0000-0000-00009A1D0000}"/>
    <cellStyle name="Normal 112 5 5 3" xfId="24854" xr:uid="{00000000-0005-0000-0000-00009B1D0000}"/>
    <cellStyle name="Normal 112 5 6" xfId="12413" xr:uid="{00000000-0005-0000-0000-00009C1D0000}"/>
    <cellStyle name="Normal 112 5 6 2" xfId="28938" xr:uid="{00000000-0005-0000-0000-00009D1D0000}"/>
    <cellStyle name="Normal 112 5 7" xfId="20895" xr:uid="{00000000-0005-0000-0000-00009E1D0000}"/>
    <cellStyle name="Normal 112 6" xfId="2922" xr:uid="{00000000-0005-0000-0000-00009F1D0000}"/>
    <cellStyle name="Normal 112 6 2" xfId="2923" xr:uid="{00000000-0005-0000-0000-0000A01D0000}"/>
    <cellStyle name="Normal 112 6 2 2" xfId="2924" xr:uid="{00000000-0005-0000-0000-0000A11D0000}"/>
    <cellStyle name="Normal 112 6 2 2 2" xfId="7147" xr:uid="{00000000-0005-0000-0000-0000A21D0000}"/>
    <cellStyle name="Normal 112 6 2 2 2 2" xfId="16328" xr:uid="{00000000-0005-0000-0000-0000A31D0000}"/>
    <cellStyle name="Normal 112 6 2 2 2 2 2" xfId="32902" xr:uid="{00000000-0005-0000-0000-0000A41D0000}"/>
    <cellStyle name="Normal 112 6 2 2 2 3" xfId="24855" xr:uid="{00000000-0005-0000-0000-0000A51D0000}"/>
    <cellStyle name="Normal 112 6 2 2 3" xfId="12423" xr:uid="{00000000-0005-0000-0000-0000A61D0000}"/>
    <cellStyle name="Normal 112 6 2 2 3 2" xfId="28948" xr:uid="{00000000-0005-0000-0000-0000A71D0000}"/>
    <cellStyle name="Normal 112 6 2 2 4" xfId="20905" xr:uid="{00000000-0005-0000-0000-0000A81D0000}"/>
    <cellStyle name="Normal 112 6 2 3" xfId="7148" xr:uid="{00000000-0005-0000-0000-0000A91D0000}"/>
    <cellStyle name="Normal 112 6 2 3 2" xfId="16329" xr:uid="{00000000-0005-0000-0000-0000AA1D0000}"/>
    <cellStyle name="Normal 112 6 2 3 2 2" xfId="32903" xr:uid="{00000000-0005-0000-0000-0000AB1D0000}"/>
    <cellStyle name="Normal 112 6 2 3 3" xfId="24856" xr:uid="{00000000-0005-0000-0000-0000AC1D0000}"/>
    <cellStyle name="Normal 112 6 2 4" xfId="12422" xr:uid="{00000000-0005-0000-0000-0000AD1D0000}"/>
    <cellStyle name="Normal 112 6 2 4 2" xfId="28947" xr:uid="{00000000-0005-0000-0000-0000AE1D0000}"/>
    <cellStyle name="Normal 112 6 2 5" xfId="20904" xr:uid="{00000000-0005-0000-0000-0000AF1D0000}"/>
    <cellStyle name="Normal 112 6 3" xfId="2925" xr:uid="{00000000-0005-0000-0000-0000B01D0000}"/>
    <cellStyle name="Normal 112 6 3 2" xfId="7149" xr:uid="{00000000-0005-0000-0000-0000B11D0000}"/>
    <cellStyle name="Normal 112 6 3 2 2" xfId="16330" xr:uid="{00000000-0005-0000-0000-0000B21D0000}"/>
    <cellStyle name="Normal 112 6 3 2 2 2" xfId="32904" xr:uid="{00000000-0005-0000-0000-0000B31D0000}"/>
    <cellStyle name="Normal 112 6 3 2 3" xfId="24857" xr:uid="{00000000-0005-0000-0000-0000B41D0000}"/>
    <cellStyle name="Normal 112 6 3 3" xfId="12424" xr:uid="{00000000-0005-0000-0000-0000B51D0000}"/>
    <cellStyle name="Normal 112 6 3 3 2" xfId="28949" xr:uid="{00000000-0005-0000-0000-0000B61D0000}"/>
    <cellStyle name="Normal 112 6 3 4" xfId="20906" xr:uid="{00000000-0005-0000-0000-0000B71D0000}"/>
    <cellStyle name="Normal 112 6 4" xfId="7150" xr:uid="{00000000-0005-0000-0000-0000B81D0000}"/>
    <cellStyle name="Normal 112 6 4 2" xfId="16331" xr:uid="{00000000-0005-0000-0000-0000B91D0000}"/>
    <cellStyle name="Normal 112 6 4 2 2" xfId="32905" xr:uid="{00000000-0005-0000-0000-0000BA1D0000}"/>
    <cellStyle name="Normal 112 6 4 3" xfId="24858" xr:uid="{00000000-0005-0000-0000-0000BB1D0000}"/>
    <cellStyle name="Normal 112 6 5" xfId="12421" xr:uid="{00000000-0005-0000-0000-0000BC1D0000}"/>
    <cellStyle name="Normal 112 6 5 2" xfId="28946" xr:uid="{00000000-0005-0000-0000-0000BD1D0000}"/>
    <cellStyle name="Normal 112 6 6" xfId="20903" xr:uid="{00000000-0005-0000-0000-0000BE1D0000}"/>
    <cellStyle name="Normal 112 7" xfId="2926" xr:uid="{00000000-0005-0000-0000-0000BF1D0000}"/>
    <cellStyle name="Normal 112 7 2" xfId="2927" xr:uid="{00000000-0005-0000-0000-0000C01D0000}"/>
    <cellStyle name="Normal 112 7 2 2" xfId="7151" xr:uid="{00000000-0005-0000-0000-0000C11D0000}"/>
    <cellStyle name="Normal 112 7 2 2 2" xfId="16332" xr:uid="{00000000-0005-0000-0000-0000C21D0000}"/>
    <cellStyle name="Normal 112 7 2 2 2 2" xfId="32906" xr:uid="{00000000-0005-0000-0000-0000C31D0000}"/>
    <cellStyle name="Normal 112 7 2 2 3" xfId="24859" xr:uid="{00000000-0005-0000-0000-0000C41D0000}"/>
    <cellStyle name="Normal 112 7 2 3" xfId="12426" xr:uid="{00000000-0005-0000-0000-0000C51D0000}"/>
    <cellStyle name="Normal 112 7 2 3 2" xfId="28951" xr:uid="{00000000-0005-0000-0000-0000C61D0000}"/>
    <cellStyle name="Normal 112 7 2 4" xfId="20908" xr:uid="{00000000-0005-0000-0000-0000C71D0000}"/>
    <cellStyle name="Normal 112 7 3" xfId="7152" xr:uid="{00000000-0005-0000-0000-0000C81D0000}"/>
    <cellStyle name="Normal 112 7 3 2" xfId="16333" xr:uid="{00000000-0005-0000-0000-0000C91D0000}"/>
    <cellStyle name="Normal 112 7 3 2 2" xfId="32907" xr:uid="{00000000-0005-0000-0000-0000CA1D0000}"/>
    <cellStyle name="Normal 112 7 3 3" xfId="24860" xr:uid="{00000000-0005-0000-0000-0000CB1D0000}"/>
    <cellStyle name="Normal 112 7 4" xfId="12425" xr:uid="{00000000-0005-0000-0000-0000CC1D0000}"/>
    <cellStyle name="Normal 112 7 4 2" xfId="28950" xr:uid="{00000000-0005-0000-0000-0000CD1D0000}"/>
    <cellStyle name="Normal 112 7 5" xfId="20907" xr:uid="{00000000-0005-0000-0000-0000CE1D0000}"/>
    <cellStyle name="Normal 112 8" xfId="2928" xr:uid="{00000000-0005-0000-0000-0000CF1D0000}"/>
    <cellStyle name="Normal 112 8 2" xfId="7153" xr:uid="{00000000-0005-0000-0000-0000D01D0000}"/>
    <cellStyle name="Normal 112 8 2 2" xfId="16334" xr:uid="{00000000-0005-0000-0000-0000D11D0000}"/>
    <cellStyle name="Normal 112 8 2 2 2" xfId="32908" xr:uid="{00000000-0005-0000-0000-0000D21D0000}"/>
    <cellStyle name="Normal 112 8 2 3" xfId="24861" xr:uid="{00000000-0005-0000-0000-0000D31D0000}"/>
    <cellStyle name="Normal 112 8 3" xfId="12427" xr:uid="{00000000-0005-0000-0000-0000D41D0000}"/>
    <cellStyle name="Normal 112 8 3 2" xfId="28952" xr:uid="{00000000-0005-0000-0000-0000D51D0000}"/>
    <cellStyle name="Normal 112 8 4" xfId="20909" xr:uid="{00000000-0005-0000-0000-0000D61D0000}"/>
    <cellStyle name="Normal 112 9" xfId="7154" xr:uid="{00000000-0005-0000-0000-0000D71D0000}"/>
    <cellStyle name="Normal 112 9 2" xfId="16335" xr:uid="{00000000-0005-0000-0000-0000D81D0000}"/>
    <cellStyle name="Normal 112 9 2 2" xfId="32909" xr:uid="{00000000-0005-0000-0000-0000D91D0000}"/>
    <cellStyle name="Normal 112 9 3" xfId="24862" xr:uid="{00000000-0005-0000-0000-0000DA1D0000}"/>
    <cellStyle name="Normal 113" xfId="2929" xr:uid="{00000000-0005-0000-0000-0000DB1D0000}"/>
    <cellStyle name="Normal 113 10" xfId="12428" xr:uid="{00000000-0005-0000-0000-0000DC1D0000}"/>
    <cellStyle name="Normal 113 10 2" xfId="28953" xr:uid="{00000000-0005-0000-0000-0000DD1D0000}"/>
    <cellStyle name="Normal 113 11" xfId="20910" xr:uid="{00000000-0005-0000-0000-0000DE1D0000}"/>
    <cellStyle name="Normal 113 2" xfId="2930" xr:uid="{00000000-0005-0000-0000-0000DF1D0000}"/>
    <cellStyle name="Normal 113 2 2" xfId="2931" xr:uid="{00000000-0005-0000-0000-0000E01D0000}"/>
    <cellStyle name="Normal 113 2 3" xfId="12429" xr:uid="{00000000-0005-0000-0000-0000E11D0000}"/>
    <cellStyle name="Normal 113 2 3 2" xfId="28954" xr:uid="{00000000-0005-0000-0000-0000E21D0000}"/>
    <cellStyle name="Normal 113 2 4" xfId="20911" xr:uid="{00000000-0005-0000-0000-0000E31D0000}"/>
    <cellStyle name="Normal 113 3" xfId="2932" xr:uid="{00000000-0005-0000-0000-0000E41D0000}"/>
    <cellStyle name="Normal 113 3 2" xfId="2933" xr:uid="{00000000-0005-0000-0000-0000E51D0000}"/>
    <cellStyle name="Normal 113 3 2 2" xfId="2934" xr:uid="{00000000-0005-0000-0000-0000E61D0000}"/>
    <cellStyle name="Normal 113 3 2 2 2" xfId="2935" xr:uid="{00000000-0005-0000-0000-0000E71D0000}"/>
    <cellStyle name="Normal 113 3 2 2 2 2" xfId="7155" xr:uid="{00000000-0005-0000-0000-0000E81D0000}"/>
    <cellStyle name="Normal 113 3 2 2 2 2 2" xfId="16336" xr:uid="{00000000-0005-0000-0000-0000E91D0000}"/>
    <cellStyle name="Normal 113 3 2 2 2 2 2 2" xfId="32910" xr:uid="{00000000-0005-0000-0000-0000EA1D0000}"/>
    <cellStyle name="Normal 113 3 2 2 2 2 3" xfId="24863" xr:uid="{00000000-0005-0000-0000-0000EB1D0000}"/>
    <cellStyle name="Normal 113 3 2 2 2 3" xfId="12432" xr:uid="{00000000-0005-0000-0000-0000EC1D0000}"/>
    <cellStyle name="Normal 113 3 2 2 2 3 2" xfId="28957" xr:uid="{00000000-0005-0000-0000-0000ED1D0000}"/>
    <cellStyle name="Normal 113 3 2 2 2 4" xfId="20914" xr:uid="{00000000-0005-0000-0000-0000EE1D0000}"/>
    <cellStyle name="Normal 113 3 2 2 3" xfId="7156" xr:uid="{00000000-0005-0000-0000-0000EF1D0000}"/>
    <cellStyle name="Normal 113 3 2 2 3 2" xfId="16337" xr:uid="{00000000-0005-0000-0000-0000F01D0000}"/>
    <cellStyle name="Normal 113 3 2 2 3 2 2" xfId="32911" xr:uid="{00000000-0005-0000-0000-0000F11D0000}"/>
    <cellStyle name="Normal 113 3 2 2 3 3" xfId="24864" xr:uid="{00000000-0005-0000-0000-0000F21D0000}"/>
    <cellStyle name="Normal 113 3 2 2 4" xfId="12431" xr:uid="{00000000-0005-0000-0000-0000F31D0000}"/>
    <cellStyle name="Normal 113 3 2 2 4 2" xfId="28956" xr:uid="{00000000-0005-0000-0000-0000F41D0000}"/>
    <cellStyle name="Normal 113 3 2 2 5" xfId="20913" xr:uid="{00000000-0005-0000-0000-0000F51D0000}"/>
    <cellStyle name="Normal 113 3 2 3" xfId="2936" xr:uid="{00000000-0005-0000-0000-0000F61D0000}"/>
    <cellStyle name="Normal 113 3 2 3 2" xfId="7157" xr:uid="{00000000-0005-0000-0000-0000F71D0000}"/>
    <cellStyle name="Normal 113 3 2 3 2 2" xfId="16338" xr:uid="{00000000-0005-0000-0000-0000F81D0000}"/>
    <cellStyle name="Normal 113 3 2 3 2 2 2" xfId="32912" xr:uid="{00000000-0005-0000-0000-0000F91D0000}"/>
    <cellStyle name="Normal 113 3 2 3 2 3" xfId="24865" xr:uid="{00000000-0005-0000-0000-0000FA1D0000}"/>
    <cellStyle name="Normal 113 3 2 3 3" xfId="12433" xr:uid="{00000000-0005-0000-0000-0000FB1D0000}"/>
    <cellStyle name="Normal 113 3 2 3 3 2" xfId="28958" xr:uid="{00000000-0005-0000-0000-0000FC1D0000}"/>
    <cellStyle name="Normal 113 3 2 3 4" xfId="20915" xr:uid="{00000000-0005-0000-0000-0000FD1D0000}"/>
    <cellStyle name="Normal 113 3 2 4" xfId="7158" xr:uid="{00000000-0005-0000-0000-0000FE1D0000}"/>
    <cellStyle name="Normal 113 3 2 4 2" xfId="16339" xr:uid="{00000000-0005-0000-0000-0000FF1D0000}"/>
    <cellStyle name="Normal 113 3 2 4 2 2" xfId="32913" xr:uid="{00000000-0005-0000-0000-0000001E0000}"/>
    <cellStyle name="Normal 113 3 2 4 3" xfId="24866" xr:uid="{00000000-0005-0000-0000-0000011E0000}"/>
    <cellStyle name="Normal 113 3 2 5" xfId="12430" xr:uid="{00000000-0005-0000-0000-0000021E0000}"/>
    <cellStyle name="Normal 113 3 2 5 2" xfId="28955" xr:uid="{00000000-0005-0000-0000-0000031E0000}"/>
    <cellStyle name="Normal 113 3 2 6" xfId="20912" xr:uid="{00000000-0005-0000-0000-0000041E0000}"/>
    <cellStyle name="Normal 113 3 3" xfId="2937" xr:uid="{00000000-0005-0000-0000-0000051E0000}"/>
    <cellStyle name="Normal 113 3 3 2" xfId="2938" xr:uid="{00000000-0005-0000-0000-0000061E0000}"/>
    <cellStyle name="Normal 113 3 3 2 2" xfId="7159" xr:uid="{00000000-0005-0000-0000-0000071E0000}"/>
    <cellStyle name="Normal 113 3 3 2 2 2" xfId="16340" xr:uid="{00000000-0005-0000-0000-0000081E0000}"/>
    <cellStyle name="Normal 113 3 3 2 2 2 2" xfId="32914" xr:uid="{00000000-0005-0000-0000-0000091E0000}"/>
    <cellStyle name="Normal 113 3 3 2 2 3" xfId="24867" xr:uid="{00000000-0005-0000-0000-00000A1E0000}"/>
    <cellStyle name="Normal 113 3 3 2 3" xfId="12435" xr:uid="{00000000-0005-0000-0000-00000B1E0000}"/>
    <cellStyle name="Normal 113 3 3 2 3 2" xfId="28960" xr:uid="{00000000-0005-0000-0000-00000C1E0000}"/>
    <cellStyle name="Normal 113 3 3 2 4" xfId="20917" xr:uid="{00000000-0005-0000-0000-00000D1E0000}"/>
    <cellStyle name="Normal 113 3 3 3" xfId="7160" xr:uid="{00000000-0005-0000-0000-00000E1E0000}"/>
    <cellStyle name="Normal 113 3 3 3 2" xfId="16341" xr:uid="{00000000-0005-0000-0000-00000F1E0000}"/>
    <cellStyle name="Normal 113 3 3 3 2 2" xfId="32915" xr:uid="{00000000-0005-0000-0000-0000101E0000}"/>
    <cellStyle name="Normal 113 3 3 3 3" xfId="24868" xr:uid="{00000000-0005-0000-0000-0000111E0000}"/>
    <cellStyle name="Normal 113 3 3 4" xfId="12434" xr:uid="{00000000-0005-0000-0000-0000121E0000}"/>
    <cellStyle name="Normal 113 3 3 4 2" xfId="28959" xr:uid="{00000000-0005-0000-0000-0000131E0000}"/>
    <cellStyle name="Normal 113 3 3 5" xfId="20916" xr:uid="{00000000-0005-0000-0000-0000141E0000}"/>
    <cellStyle name="Normal 113 3 4" xfId="2939" xr:uid="{00000000-0005-0000-0000-0000151E0000}"/>
    <cellStyle name="Normal 113 3 4 2" xfId="7161" xr:uid="{00000000-0005-0000-0000-0000161E0000}"/>
    <cellStyle name="Normal 113 3 4 2 2" xfId="16342" xr:uid="{00000000-0005-0000-0000-0000171E0000}"/>
    <cellStyle name="Normal 113 3 4 2 2 2" xfId="32916" xr:uid="{00000000-0005-0000-0000-0000181E0000}"/>
    <cellStyle name="Normal 113 3 4 2 3" xfId="24869" xr:uid="{00000000-0005-0000-0000-0000191E0000}"/>
    <cellStyle name="Normal 113 3 4 3" xfId="12436" xr:uid="{00000000-0005-0000-0000-00001A1E0000}"/>
    <cellStyle name="Normal 113 3 4 3 2" xfId="28961" xr:uid="{00000000-0005-0000-0000-00001B1E0000}"/>
    <cellStyle name="Normal 113 3 4 4" xfId="20918" xr:uid="{00000000-0005-0000-0000-00001C1E0000}"/>
    <cellStyle name="Normal 113 3 5" xfId="2940" xr:uid="{00000000-0005-0000-0000-00001D1E0000}"/>
    <cellStyle name="Normal 113 3 5 2" xfId="12437" xr:uid="{00000000-0005-0000-0000-00001E1E0000}"/>
    <cellStyle name="Normal 113 3 5 2 2" xfId="28962" xr:uid="{00000000-0005-0000-0000-00001F1E0000}"/>
    <cellStyle name="Normal 113 3 5 3" xfId="20919" xr:uid="{00000000-0005-0000-0000-0000201E0000}"/>
    <cellStyle name="Normal 113 4" xfId="2941" xr:uid="{00000000-0005-0000-0000-0000211E0000}"/>
    <cellStyle name="Normal 113 4 2" xfId="2942" xr:uid="{00000000-0005-0000-0000-0000221E0000}"/>
    <cellStyle name="Normal 113 4 2 2" xfId="2943" xr:uid="{00000000-0005-0000-0000-0000231E0000}"/>
    <cellStyle name="Normal 113 4 2 2 2" xfId="2944" xr:uid="{00000000-0005-0000-0000-0000241E0000}"/>
    <cellStyle name="Normal 113 4 2 2 2 2" xfId="7162" xr:uid="{00000000-0005-0000-0000-0000251E0000}"/>
    <cellStyle name="Normal 113 4 2 2 2 2 2" xfId="16343" xr:uid="{00000000-0005-0000-0000-0000261E0000}"/>
    <cellStyle name="Normal 113 4 2 2 2 2 2 2" xfId="32917" xr:uid="{00000000-0005-0000-0000-0000271E0000}"/>
    <cellStyle name="Normal 113 4 2 2 2 2 3" xfId="24870" xr:uid="{00000000-0005-0000-0000-0000281E0000}"/>
    <cellStyle name="Normal 113 4 2 2 2 3" xfId="12441" xr:uid="{00000000-0005-0000-0000-0000291E0000}"/>
    <cellStyle name="Normal 113 4 2 2 2 3 2" xfId="28966" xr:uid="{00000000-0005-0000-0000-00002A1E0000}"/>
    <cellStyle name="Normal 113 4 2 2 2 4" xfId="20923" xr:uid="{00000000-0005-0000-0000-00002B1E0000}"/>
    <cellStyle name="Normal 113 4 2 2 3" xfId="7163" xr:uid="{00000000-0005-0000-0000-00002C1E0000}"/>
    <cellStyle name="Normal 113 4 2 2 3 2" xfId="16344" xr:uid="{00000000-0005-0000-0000-00002D1E0000}"/>
    <cellStyle name="Normal 113 4 2 2 3 2 2" xfId="32918" xr:uid="{00000000-0005-0000-0000-00002E1E0000}"/>
    <cellStyle name="Normal 113 4 2 2 3 3" xfId="24871" xr:uid="{00000000-0005-0000-0000-00002F1E0000}"/>
    <cellStyle name="Normal 113 4 2 2 4" xfId="12440" xr:uid="{00000000-0005-0000-0000-0000301E0000}"/>
    <cellStyle name="Normal 113 4 2 2 4 2" xfId="28965" xr:uid="{00000000-0005-0000-0000-0000311E0000}"/>
    <cellStyle name="Normal 113 4 2 2 5" xfId="20922" xr:uid="{00000000-0005-0000-0000-0000321E0000}"/>
    <cellStyle name="Normal 113 4 2 3" xfId="2945" xr:uid="{00000000-0005-0000-0000-0000331E0000}"/>
    <cellStyle name="Normal 113 4 2 3 2" xfId="7164" xr:uid="{00000000-0005-0000-0000-0000341E0000}"/>
    <cellStyle name="Normal 113 4 2 3 2 2" xfId="16345" xr:uid="{00000000-0005-0000-0000-0000351E0000}"/>
    <cellStyle name="Normal 113 4 2 3 2 2 2" xfId="32919" xr:uid="{00000000-0005-0000-0000-0000361E0000}"/>
    <cellStyle name="Normal 113 4 2 3 2 3" xfId="24872" xr:uid="{00000000-0005-0000-0000-0000371E0000}"/>
    <cellStyle name="Normal 113 4 2 3 3" xfId="12442" xr:uid="{00000000-0005-0000-0000-0000381E0000}"/>
    <cellStyle name="Normal 113 4 2 3 3 2" xfId="28967" xr:uid="{00000000-0005-0000-0000-0000391E0000}"/>
    <cellStyle name="Normal 113 4 2 3 4" xfId="20924" xr:uid="{00000000-0005-0000-0000-00003A1E0000}"/>
    <cellStyle name="Normal 113 4 2 4" xfId="7165" xr:uid="{00000000-0005-0000-0000-00003B1E0000}"/>
    <cellStyle name="Normal 113 4 2 4 2" xfId="16346" xr:uid="{00000000-0005-0000-0000-00003C1E0000}"/>
    <cellStyle name="Normal 113 4 2 4 2 2" xfId="32920" xr:uid="{00000000-0005-0000-0000-00003D1E0000}"/>
    <cellStyle name="Normal 113 4 2 4 3" xfId="24873" xr:uid="{00000000-0005-0000-0000-00003E1E0000}"/>
    <cellStyle name="Normal 113 4 2 5" xfId="12439" xr:uid="{00000000-0005-0000-0000-00003F1E0000}"/>
    <cellStyle name="Normal 113 4 2 5 2" xfId="28964" xr:uid="{00000000-0005-0000-0000-0000401E0000}"/>
    <cellStyle name="Normal 113 4 2 6" xfId="20921" xr:uid="{00000000-0005-0000-0000-0000411E0000}"/>
    <cellStyle name="Normal 113 4 3" xfId="2946" xr:uid="{00000000-0005-0000-0000-0000421E0000}"/>
    <cellStyle name="Normal 113 4 3 2" xfId="2947" xr:uid="{00000000-0005-0000-0000-0000431E0000}"/>
    <cellStyle name="Normal 113 4 3 2 2" xfId="7166" xr:uid="{00000000-0005-0000-0000-0000441E0000}"/>
    <cellStyle name="Normal 113 4 3 2 2 2" xfId="16347" xr:uid="{00000000-0005-0000-0000-0000451E0000}"/>
    <cellStyle name="Normal 113 4 3 2 2 2 2" xfId="32921" xr:uid="{00000000-0005-0000-0000-0000461E0000}"/>
    <cellStyle name="Normal 113 4 3 2 2 3" xfId="24874" xr:uid="{00000000-0005-0000-0000-0000471E0000}"/>
    <cellStyle name="Normal 113 4 3 2 3" xfId="12444" xr:uid="{00000000-0005-0000-0000-0000481E0000}"/>
    <cellStyle name="Normal 113 4 3 2 3 2" xfId="28969" xr:uid="{00000000-0005-0000-0000-0000491E0000}"/>
    <cellStyle name="Normal 113 4 3 2 4" xfId="20926" xr:uid="{00000000-0005-0000-0000-00004A1E0000}"/>
    <cellStyle name="Normal 113 4 3 3" xfId="7167" xr:uid="{00000000-0005-0000-0000-00004B1E0000}"/>
    <cellStyle name="Normal 113 4 3 3 2" xfId="16348" xr:uid="{00000000-0005-0000-0000-00004C1E0000}"/>
    <cellStyle name="Normal 113 4 3 3 2 2" xfId="32922" xr:uid="{00000000-0005-0000-0000-00004D1E0000}"/>
    <cellStyle name="Normal 113 4 3 3 3" xfId="24875" xr:uid="{00000000-0005-0000-0000-00004E1E0000}"/>
    <cellStyle name="Normal 113 4 3 4" xfId="12443" xr:uid="{00000000-0005-0000-0000-00004F1E0000}"/>
    <cellStyle name="Normal 113 4 3 4 2" xfId="28968" xr:uid="{00000000-0005-0000-0000-0000501E0000}"/>
    <cellStyle name="Normal 113 4 3 5" xfId="20925" xr:uid="{00000000-0005-0000-0000-0000511E0000}"/>
    <cellStyle name="Normal 113 4 4" xfId="2948" xr:uid="{00000000-0005-0000-0000-0000521E0000}"/>
    <cellStyle name="Normal 113 4 4 2" xfId="7168" xr:uid="{00000000-0005-0000-0000-0000531E0000}"/>
    <cellStyle name="Normal 113 4 4 2 2" xfId="16349" xr:uid="{00000000-0005-0000-0000-0000541E0000}"/>
    <cellStyle name="Normal 113 4 4 2 2 2" xfId="32923" xr:uid="{00000000-0005-0000-0000-0000551E0000}"/>
    <cellStyle name="Normal 113 4 4 2 3" xfId="24876" xr:uid="{00000000-0005-0000-0000-0000561E0000}"/>
    <cellStyle name="Normal 113 4 4 3" xfId="12445" xr:uid="{00000000-0005-0000-0000-0000571E0000}"/>
    <cellStyle name="Normal 113 4 4 3 2" xfId="28970" xr:uid="{00000000-0005-0000-0000-0000581E0000}"/>
    <cellStyle name="Normal 113 4 4 4" xfId="20927" xr:uid="{00000000-0005-0000-0000-0000591E0000}"/>
    <cellStyle name="Normal 113 4 5" xfId="7169" xr:uid="{00000000-0005-0000-0000-00005A1E0000}"/>
    <cellStyle name="Normal 113 4 5 2" xfId="16350" xr:uid="{00000000-0005-0000-0000-00005B1E0000}"/>
    <cellStyle name="Normal 113 4 5 2 2" xfId="32924" xr:uid="{00000000-0005-0000-0000-00005C1E0000}"/>
    <cellStyle name="Normal 113 4 5 3" xfId="24877" xr:uid="{00000000-0005-0000-0000-00005D1E0000}"/>
    <cellStyle name="Normal 113 4 6" xfId="12438" xr:uid="{00000000-0005-0000-0000-00005E1E0000}"/>
    <cellStyle name="Normal 113 4 6 2" xfId="28963" xr:uid="{00000000-0005-0000-0000-00005F1E0000}"/>
    <cellStyle name="Normal 113 4 7" xfId="20920" xr:uid="{00000000-0005-0000-0000-0000601E0000}"/>
    <cellStyle name="Normal 113 5" xfId="2949" xr:uid="{00000000-0005-0000-0000-0000611E0000}"/>
    <cellStyle name="Normal 113 5 2" xfId="2950" xr:uid="{00000000-0005-0000-0000-0000621E0000}"/>
    <cellStyle name="Normal 113 5 2 2" xfId="2951" xr:uid="{00000000-0005-0000-0000-0000631E0000}"/>
    <cellStyle name="Normal 113 5 2 2 2" xfId="2952" xr:uid="{00000000-0005-0000-0000-0000641E0000}"/>
    <cellStyle name="Normal 113 5 2 2 2 2" xfId="7170" xr:uid="{00000000-0005-0000-0000-0000651E0000}"/>
    <cellStyle name="Normal 113 5 2 2 2 2 2" xfId="16351" xr:uid="{00000000-0005-0000-0000-0000661E0000}"/>
    <cellStyle name="Normal 113 5 2 2 2 2 2 2" xfId="32925" xr:uid="{00000000-0005-0000-0000-0000671E0000}"/>
    <cellStyle name="Normal 113 5 2 2 2 2 3" xfId="24878" xr:uid="{00000000-0005-0000-0000-0000681E0000}"/>
    <cellStyle name="Normal 113 5 2 2 2 3" xfId="12449" xr:uid="{00000000-0005-0000-0000-0000691E0000}"/>
    <cellStyle name="Normal 113 5 2 2 2 3 2" xfId="28974" xr:uid="{00000000-0005-0000-0000-00006A1E0000}"/>
    <cellStyle name="Normal 113 5 2 2 2 4" xfId="20931" xr:uid="{00000000-0005-0000-0000-00006B1E0000}"/>
    <cellStyle name="Normal 113 5 2 2 3" xfId="7171" xr:uid="{00000000-0005-0000-0000-00006C1E0000}"/>
    <cellStyle name="Normal 113 5 2 2 3 2" xfId="16352" xr:uid="{00000000-0005-0000-0000-00006D1E0000}"/>
    <cellStyle name="Normal 113 5 2 2 3 2 2" xfId="32926" xr:uid="{00000000-0005-0000-0000-00006E1E0000}"/>
    <cellStyle name="Normal 113 5 2 2 3 3" xfId="24879" xr:uid="{00000000-0005-0000-0000-00006F1E0000}"/>
    <cellStyle name="Normal 113 5 2 2 4" xfId="12448" xr:uid="{00000000-0005-0000-0000-0000701E0000}"/>
    <cellStyle name="Normal 113 5 2 2 4 2" xfId="28973" xr:uid="{00000000-0005-0000-0000-0000711E0000}"/>
    <cellStyle name="Normal 113 5 2 2 5" xfId="20930" xr:uid="{00000000-0005-0000-0000-0000721E0000}"/>
    <cellStyle name="Normal 113 5 2 3" xfId="2953" xr:uid="{00000000-0005-0000-0000-0000731E0000}"/>
    <cellStyle name="Normal 113 5 2 3 2" xfId="7172" xr:uid="{00000000-0005-0000-0000-0000741E0000}"/>
    <cellStyle name="Normal 113 5 2 3 2 2" xfId="16353" xr:uid="{00000000-0005-0000-0000-0000751E0000}"/>
    <cellStyle name="Normal 113 5 2 3 2 2 2" xfId="32927" xr:uid="{00000000-0005-0000-0000-0000761E0000}"/>
    <cellStyle name="Normal 113 5 2 3 2 3" xfId="24880" xr:uid="{00000000-0005-0000-0000-0000771E0000}"/>
    <cellStyle name="Normal 113 5 2 3 3" xfId="12450" xr:uid="{00000000-0005-0000-0000-0000781E0000}"/>
    <cellStyle name="Normal 113 5 2 3 3 2" xfId="28975" xr:uid="{00000000-0005-0000-0000-0000791E0000}"/>
    <cellStyle name="Normal 113 5 2 3 4" xfId="20932" xr:uid="{00000000-0005-0000-0000-00007A1E0000}"/>
    <cellStyle name="Normal 113 5 2 4" xfId="7173" xr:uid="{00000000-0005-0000-0000-00007B1E0000}"/>
    <cellStyle name="Normal 113 5 2 4 2" xfId="16354" xr:uid="{00000000-0005-0000-0000-00007C1E0000}"/>
    <cellStyle name="Normal 113 5 2 4 2 2" xfId="32928" xr:uid="{00000000-0005-0000-0000-00007D1E0000}"/>
    <cellStyle name="Normal 113 5 2 4 3" xfId="24881" xr:uid="{00000000-0005-0000-0000-00007E1E0000}"/>
    <cellStyle name="Normal 113 5 2 5" xfId="12447" xr:uid="{00000000-0005-0000-0000-00007F1E0000}"/>
    <cellStyle name="Normal 113 5 2 5 2" xfId="28972" xr:uid="{00000000-0005-0000-0000-0000801E0000}"/>
    <cellStyle name="Normal 113 5 2 6" xfId="20929" xr:uid="{00000000-0005-0000-0000-0000811E0000}"/>
    <cellStyle name="Normal 113 5 3" xfId="2954" xr:uid="{00000000-0005-0000-0000-0000821E0000}"/>
    <cellStyle name="Normal 113 5 3 2" xfId="2955" xr:uid="{00000000-0005-0000-0000-0000831E0000}"/>
    <cellStyle name="Normal 113 5 3 2 2" xfId="7174" xr:uid="{00000000-0005-0000-0000-0000841E0000}"/>
    <cellStyle name="Normal 113 5 3 2 2 2" xfId="16355" xr:uid="{00000000-0005-0000-0000-0000851E0000}"/>
    <cellStyle name="Normal 113 5 3 2 2 2 2" xfId="32929" xr:uid="{00000000-0005-0000-0000-0000861E0000}"/>
    <cellStyle name="Normal 113 5 3 2 2 3" xfId="24882" xr:uid="{00000000-0005-0000-0000-0000871E0000}"/>
    <cellStyle name="Normal 113 5 3 2 3" xfId="12452" xr:uid="{00000000-0005-0000-0000-0000881E0000}"/>
    <cellStyle name="Normal 113 5 3 2 3 2" xfId="28977" xr:uid="{00000000-0005-0000-0000-0000891E0000}"/>
    <cellStyle name="Normal 113 5 3 2 4" xfId="20934" xr:uid="{00000000-0005-0000-0000-00008A1E0000}"/>
    <cellStyle name="Normal 113 5 3 3" xfId="7175" xr:uid="{00000000-0005-0000-0000-00008B1E0000}"/>
    <cellStyle name="Normal 113 5 3 3 2" xfId="16356" xr:uid="{00000000-0005-0000-0000-00008C1E0000}"/>
    <cellStyle name="Normal 113 5 3 3 2 2" xfId="32930" xr:uid="{00000000-0005-0000-0000-00008D1E0000}"/>
    <cellStyle name="Normal 113 5 3 3 3" xfId="24883" xr:uid="{00000000-0005-0000-0000-00008E1E0000}"/>
    <cellStyle name="Normal 113 5 3 4" xfId="12451" xr:uid="{00000000-0005-0000-0000-00008F1E0000}"/>
    <cellStyle name="Normal 113 5 3 4 2" xfId="28976" xr:uid="{00000000-0005-0000-0000-0000901E0000}"/>
    <cellStyle name="Normal 113 5 3 5" xfId="20933" xr:uid="{00000000-0005-0000-0000-0000911E0000}"/>
    <cellStyle name="Normal 113 5 4" xfId="2956" xr:uid="{00000000-0005-0000-0000-0000921E0000}"/>
    <cellStyle name="Normal 113 5 4 2" xfId="7176" xr:uid="{00000000-0005-0000-0000-0000931E0000}"/>
    <cellStyle name="Normal 113 5 4 2 2" xfId="16357" xr:uid="{00000000-0005-0000-0000-0000941E0000}"/>
    <cellStyle name="Normal 113 5 4 2 2 2" xfId="32931" xr:uid="{00000000-0005-0000-0000-0000951E0000}"/>
    <cellStyle name="Normal 113 5 4 2 3" xfId="24884" xr:uid="{00000000-0005-0000-0000-0000961E0000}"/>
    <cellStyle name="Normal 113 5 4 3" xfId="12453" xr:uid="{00000000-0005-0000-0000-0000971E0000}"/>
    <cellStyle name="Normal 113 5 4 3 2" xfId="28978" xr:uid="{00000000-0005-0000-0000-0000981E0000}"/>
    <cellStyle name="Normal 113 5 4 4" xfId="20935" xr:uid="{00000000-0005-0000-0000-0000991E0000}"/>
    <cellStyle name="Normal 113 5 5" xfId="7177" xr:uid="{00000000-0005-0000-0000-00009A1E0000}"/>
    <cellStyle name="Normal 113 5 5 2" xfId="16358" xr:uid="{00000000-0005-0000-0000-00009B1E0000}"/>
    <cellStyle name="Normal 113 5 5 2 2" xfId="32932" xr:uid="{00000000-0005-0000-0000-00009C1E0000}"/>
    <cellStyle name="Normal 113 5 5 3" xfId="24885" xr:uid="{00000000-0005-0000-0000-00009D1E0000}"/>
    <cellStyle name="Normal 113 5 6" xfId="12446" xr:uid="{00000000-0005-0000-0000-00009E1E0000}"/>
    <cellStyle name="Normal 113 5 6 2" xfId="28971" xr:uid="{00000000-0005-0000-0000-00009F1E0000}"/>
    <cellStyle name="Normal 113 5 7" xfId="20928" xr:uid="{00000000-0005-0000-0000-0000A01E0000}"/>
    <cellStyle name="Normal 113 6" xfId="2957" xr:uid="{00000000-0005-0000-0000-0000A11E0000}"/>
    <cellStyle name="Normal 113 6 2" xfId="2958" xr:uid="{00000000-0005-0000-0000-0000A21E0000}"/>
    <cellStyle name="Normal 113 6 2 2" xfId="2959" xr:uid="{00000000-0005-0000-0000-0000A31E0000}"/>
    <cellStyle name="Normal 113 6 2 2 2" xfId="7178" xr:uid="{00000000-0005-0000-0000-0000A41E0000}"/>
    <cellStyle name="Normal 113 6 2 2 2 2" xfId="16359" xr:uid="{00000000-0005-0000-0000-0000A51E0000}"/>
    <cellStyle name="Normal 113 6 2 2 2 2 2" xfId="32933" xr:uid="{00000000-0005-0000-0000-0000A61E0000}"/>
    <cellStyle name="Normal 113 6 2 2 2 3" xfId="24886" xr:uid="{00000000-0005-0000-0000-0000A71E0000}"/>
    <cellStyle name="Normal 113 6 2 2 3" xfId="12456" xr:uid="{00000000-0005-0000-0000-0000A81E0000}"/>
    <cellStyle name="Normal 113 6 2 2 3 2" xfId="28981" xr:uid="{00000000-0005-0000-0000-0000A91E0000}"/>
    <cellStyle name="Normal 113 6 2 2 4" xfId="20938" xr:uid="{00000000-0005-0000-0000-0000AA1E0000}"/>
    <cellStyle name="Normal 113 6 2 3" xfId="7179" xr:uid="{00000000-0005-0000-0000-0000AB1E0000}"/>
    <cellStyle name="Normal 113 6 2 3 2" xfId="16360" xr:uid="{00000000-0005-0000-0000-0000AC1E0000}"/>
    <cellStyle name="Normal 113 6 2 3 2 2" xfId="32934" xr:uid="{00000000-0005-0000-0000-0000AD1E0000}"/>
    <cellStyle name="Normal 113 6 2 3 3" xfId="24887" xr:uid="{00000000-0005-0000-0000-0000AE1E0000}"/>
    <cellStyle name="Normal 113 6 2 4" xfId="12455" xr:uid="{00000000-0005-0000-0000-0000AF1E0000}"/>
    <cellStyle name="Normal 113 6 2 4 2" xfId="28980" xr:uid="{00000000-0005-0000-0000-0000B01E0000}"/>
    <cellStyle name="Normal 113 6 2 5" xfId="20937" xr:uid="{00000000-0005-0000-0000-0000B11E0000}"/>
    <cellStyle name="Normal 113 6 3" xfId="2960" xr:uid="{00000000-0005-0000-0000-0000B21E0000}"/>
    <cellStyle name="Normal 113 6 3 2" xfId="7180" xr:uid="{00000000-0005-0000-0000-0000B31E0000}"/>
    <cellStyle name="Normal 113 6 3 2 2" xfId="16361" xr:uid="{00000000-0005-0000-0000-0000B41E0000}"/>
    <cellStyle name="Normal 113 6 3 2 2 2" xfId="32935" xr:uid="{00000000-0005-0000-0000-0000B51E0000}"/>
    <cellStyle name="Normal 113 6 3 2 3" xfId="24888" xr:uid="{00000000-0005-0000-0000-0000B61E0000}"/>
    <cellStyle name="Normal 113 6 3 3" xfId="12457" xr:uid="{00000000-0005-0000-0000-0000B71E0000}"/>
    <cellStyle name="Normal 113 6 3 3 2" xfId="28982" xr:uid="{00000000-0005-0000-0000-0000B81E0000}"/>
    <cellStyle name="Normal 113 6 3 4" xfId="20939" xr:uid="{00000000-0005-0000-0000-0000B91E0000}"/>
    <cellStyle name="Normal 113 6 4" xfId="7181" xr:uid="{00000000-0005-0000-0000-0000BA1E0000}"/>
    <cellStyle name="Normal 113 6 4 2" xfId="16362" xr:uid="{00000000-0005-0000-0000-0000BB1E0000}"/>
    <cellStyle name="Normal 113 6 4 2 2" xfId="32936" xr:uid="{00000000-0005-0000-0000-0000BC1E0000}"/>
    <cellStyle name="Normal 113 6 4 3" xfId="24889" xr:uid="{00000000-0005-0000-0000-0000BD1E0000}"/>
    <cellStyle name="Normal 113 6 5" xfId="12454" xr:uid="{00000000-0005-0000-0000-0000BE1E0000}"/>
    <cellStyle name="Normal 113 6 5 2" xfId="28979" xr:uid="{00000000-0005-0000-0000-0000BF1E0000}"/>
    <cellStyle name="Normal 113 6 6" xfId="20936" xr:uid="{00000000-0005-0000-0000-0000C01E0000}"/>
    <cellStyle name="Normal 113 7" xfId="2961" xr:uid="{00000000-0005-0000-0000-0000C11E0000}"/>
    <cellStyle name="Normal 113 7 2" xfId="2962" xr:uid="{00000000-0005-0000-0000-0000C21E0000}"/>
    <cellStyle name="Normal 113 7 2 2" xfId="7182" xr:uid="{00000000-0005-0000-0000-0000C31E0000}"/>
    <cellStyle name="Normal 113 7 2 2 2" xfId="16363" xr:uid="{00000000-0005-0000-0000-0000C41E0000}"/>
    <cellStyle name="Normal 113 7 2 2 2 2" xfId="32937" xr:uid="{00000000-0005-0000-0000-0000C51E0000}"/>
    <cellStyle name="Normal 113 7 2 2 3" xfId="24890" xr:uid="{00000000-0005-0000-0000-0000C61E0000}"/>
    <cellStyle name="Normal 113 7 2 3" xfId="12459" xr:uid="{00000000-0005-0000-0000-0000C71E0000}"/>
    <cellStyle name="Normal 113 7 2 3 2" xfId="28984" xr:uid="{00000000-0005-0000-0000-0000C81E0000}"/>
    <cellStyle name="Normal 113 7 2 4" xfId="20941" xr:uid="{00000000-0005-0000-0000-0000C91E0000}"/>
    <cellStyle name="Normal 113 7 3" xfId="7183" xr:uid="{00000000-0005-0000-0000-0000CA1E0000}"/>
    <cellStyle name="Normal 113 7 3 2" xfId="16364" xr:uid="{00000000-0005-0000-0000-0000CB1E0000}"/>
    <cellStyle name="Normal 113 7 3 2 2" xfId="32938" xr:uid="{00000000-0005-0000-0000-0000CC1E0000}"/>
    <cellStyle name="Normal 113 7 3 3" xfId="24891" xr:uid="{00000000-0005-0000-0000-0000CD1E0000}"/>
    <cellStyle name="Normal 113 7 4" xfId="12458" xr:uid="{00000000-0005-0000-0000-0000CE1E0000}"/>
    <cellStyle name="Normal 113 7 4 2" xfId="28983" xr:uid="{00000000-0005-0000-0000-0000CF1E0000}"/>
    <cellStyle name="Normal 113 7 5" xfId="20940" xr:uid="{00000000-0005-0000-0000-0000D01E0000}"/>
    <cellStyle name="Normal 113 8" xfId="2963" xr:uid="{00000000-0005-0000-0000-0000D11E0000}"/>
    <cellStyle name="Normal 113 8 2" xfId="7184" xr:uid="{00000000-0005-0000-0000-0000D21E0000}"/>
    <cellStyle name="Normal 113 8 2 2" xfId="16365" xr:uid="{00000000-0005-0000-0000-0000D31E0000}"/>
    <cellStyle name="Normal 113 8 2 2 2" xfId="32939" xr:uid="{00000000-0005-0000-0000-0000D41E0000}"/>
    <cellStyle name="Normal 113 8 2 3" xfId="24892" xr:uid="{00000000-0005-0000-0000-0000D51E0000}"/>
    <cellStyle name="Normal 113 8 3" xfId="12460" xr:uid="{00000000-0005-0000-0000-0000D61E0000}"/>
    <cellStyle name="Normal 113 8 3 2" xfId="28985" xr:uid="{00000000-0005-0000-0000-0000D71E0000}"/>
    <cellStyle name="Normal 113 8 4" xfId="20942" xr:uid="{00000000-0005-0000-0000-0000D81E0000}"/>
    <cellStyle name="Normal 113 9" xfId="7185" xr:uid="{00000000-0005-0000-0000-0000D91E0000}"/>
    <cellStyle name="Normal 113 9 2" xfId="16366" xr:uid="{00000000-0005-0000-0000-0000DA1E0000}"/>
    <cellStyle name="Normal 113 9 2 2" xfId="32940" xr:uid="{00000000-0005-0000-0000-0000DB1E0000}"/>
    <cellStyle name="Normal 113 9 3" xfId="24893" xr:uid="{00000000-0005-0000-0000-0000DC1E0000}"/>
    <cellStyle name="Normal 114" xfId="2964" xr:uid="{00000000-0005-0000-0000-0000DD1E0000}"/>
    <cellStyle name="Normal 114 2" xfId="2965" xr:uid="{00000000-0005-0000-0000-0000DE1E0000}"/>
    <cellStyle name="Normal 114 2 2" xfId="2966" xr:uid="{00000000-0005-0000-0000-0000DF1E0000}"/>
    <cellStyle name="Normal 114 2 2 2" xfId="2967" xr:uid="{00000000-0005-0000-0000-0000E01E0000}"/>
    <cellStyle name="Normal 114 2 2 2 2" xfId="7186" xr:uid="{00000000-0005-0000-0000-0000E11E0000}"/>
    <cellStyle name="Normal 114 2 2 2 2 2" xfId="16367" xr:uid="{00000000-0005-0000-0000-0000E21E0000}"/>
    <cellStyle name="Normal 114 2 2 2 2 2 2" xfId="32941" xr:uid="{00000000-0005-0000-0000-0000E31E0000}"/>
    <cellStyle name="Normal 114 2 2 2 2 3" xfId="24894" xr:uid="{00000000-0005-0000-0000-0000E41E0000}"/>
    <cellStyle name="Normal 114 2 2 2 3" xfId="12462" xr:uid="{00000000-0005-0000-0000-0000E51E0000}"/>
    <cellStyle name="Normal 114 2 2 2 3 2" xfId="28987" xr:uid="{00000000-0005-0000-0000-0000E61E0000}"/>
    <cellStyle name="Normal 114 2 2 2 4" xfId="20944" xr:uid="{00000000-0005-0000-0000-0000E71E0000}"/>
    <cellStyle name="Normal 114 2 2 3" xfId="7187" xr:uid="{00000000-0005-0000-0000-0000E81E0000}"/>
    <cellStyle name="Normal 114 2 2 3 2" xfId="16368" xr:uid="{00000000-0005-0000-0000-0000E91E0000}"/>
    <cellStyle name="Normal 114 2 2 3 2 2" xfId="32942" xr:uid="{00000000-0005-0000-0000-0000EA1E0000}"/>
    <cellStyle name="Normal 114 2 2 3 3" xfId="24895" xr:uid="{00000000-0005-0000-0000-0000EB1E0000}"/>
    <cellStyle name="Normal 114 2 2 4" xfId="12461" xr:uid="{00000000-0005-0000-0000-0000EC1E0000}"/>
    <cellStyle name="Normal 114 2 2 4 2" xfId="28986" xr:uid="{00000000-0005-0000-0000-0000ED1E0000}"/>
    <cellStyle name="Normal 114 2 2 5" xfId="20943" xr:uid="{00000000-0005-0000-0000-0000EE1E0000}"/>
    <cellStyle name="Normal 114 2 3" xfId="2968" xr:uid="{00000000-0005-0000-0000-0000EF1E0000}"/>
    <cellStyle name="Normal 114 2 3 2" xfId="7188" xr:uid="{00000000-0005-0000-0000-0000F01E0000}"/>
    <cellStyle name="Normal 114 2 3 2 2" xfId="16369" xr:uid="{00000000-0005-0000-0000-0000F11E0000}"/>
    <cellStyle name="Normal 114 2 3 2 2 2" xfId="32943" xr:uid="{00000000-0005-0000-0000-0000F21E0000}"/>
    <cellStyle name="Normal 114 2 3 2 3" xfId="24896" xr:uid="{00000000-0005-0000-0000-0000F31E0000}"/>
    <cellStyle name="Normal 114 2 3 3" xfId="12463" xr:uid="{00000000-0005-0000-0000-0000F41E0000}"/>
    <cellStyle name="Normal 114 2 3 3 2" xfId="28988" xr:uid="{00000000-0005-0000-0000-0000F51E0000}"/>
    <cellStyle name="Normal 114 2 3 4" xfId="20945" xr:uid="{00000000-0005-0000-0000-0000F61E0000}"/>
    <cellStyle name="Normal 114 2 4" xfId="2969" xr:uid="{00000000-0005-0000-0000-0000F71E0000}"/>
    <cellStyle name="Normal 114 2 4 2" xfId="12464" xr:uid="{00000000-0005-0000-0000-0000F81E0000}"/>
    <cellStyle name="Normal 114 2 4 2 2" xfId="28989" xr:uid="{00000000-0005-0000-0000-0000F91E0000}"/>
    <cellStyle name="Normal 114 2 4 3" xfId="20946" xr:uid="{00000000-0005-0000-0000-0000FA1E0000}"/>
    <cellStyle name="Normal 114 3" xfId="2970" xr:uid="{00000000-0005-0000-0000-0000FB1E0000}"/>
    <cellStyle name="Normal 114 3 2" xfId="2971" xr:uid="{00000000-0005-0000-0000-0000FC1E0000}"/>
    <cellStyle name="Normal 114 3 2 2" xfId="7189" xr:uid="{00000000-0005-0000-0000-0000FD1E0000}"/>
    <cellStyle name="Normal 114 3 2 2 2" xfId="16370" xr:uid="{00000000-0005-0000-0000-0000FE1E0000}"/>
    <cellStyle name="Normal 114 3 2 2 2 2" xfId="32944" xr:uid="{00000000-0005-0000-0000-0000FF1E0000}"/>
    <cellStyle name="Normal 114 3 2 2 3" xfId="24897" xr:uid="{00000000-0005-0000-0000-0000001F0000}"/>
    <cellStyle name="Normal 114 3 2 3" xfId="12466" xr:uid="{00000000-0005-0000-0000-0000011F0000}"/>
    <cellStyle name="Normal 114 3 2 3 2" xfId="28991" xr:uid="{00000000-0005-0000-0000-0000021F0000}"/>
    <cellStyle name="Normal 114 3 2 4" xfId="20948" xr:uid="{00000000-0005-0000-0000-0000031F0000}"/>
    <cellStyle name="Normal 114 3 3" xfId="7190" xr:uid="{00000000-0005-0000-0000-0000041F0000}"/>
    <cellStyle name="Normal 114 3 3 2" xfId="16371" xr:uid="{00000000-0005-0000-0000-0000051F0000}"/>
    <cellStyle name="Normal 114 3 3 2 2" xfId="32945" xr:uid="{00000000-0005-0000-0000-0000061F0000}"/>
    <cellStyle name="Normal 114 3 3 3" xfId="24898" xr:uid="{00000000-0005-0000-0000-0000071F0000}"/>
    <cellStyle name="Normal 114 3 4" xfId="12465" xr:uid="{00000000-0005-0000-0000-0000081F0000}"/>
    <cellStyle name="Normal 114 3 4 2" xfId="28990" xr:uid="{00000000-0005-0000-0000-0000091F0000}"/>
    <cellStyle name="Normal 114 3 5" xfId="20947" xr:uid="{00000000-0005-0000-0000-00000A1F0000}"/>
    <cellStyle name="Normal 114 4" xfId="2972" xr:uid="{00000000-0005-0000-0000-00000B1F0000}"/>
    <cellStyle name="Normal 114 4 2" xfId="7191" xr:uid="{00000000-0005-0000-0000-00000C1F0000}"/>
    <cellStyle name="Normal 114 4 2 2" xfId="16372" xr:uid="{00000000-0005-0000-0000-00000D1F0000}"/>
    <cellStyle name="Normal 114 4 2 2 2" xfId="32946" xr:uid="{00000000-0005-0000-0000-00000E1F0000}"/>
    <cellStyle name="Normal 114 4 2 3" xfId="24899" xr:uid="{00000000-0005-0000-0000-00000F1F0000}"/>
    <cellStyle name="Normal 114 4 3" xfId="12467" xr:uid="{00000000-0005-0000-0000-0000101F0000}"/>
    <cellStyle name="Normal 114 4 3 2" xfId="28992" xr:uid="{00000000-0005-0000-0000-0000111F0000}"/>
    <cellStyle name="Normal 114 4 4" xfId="20949" xr:uid="{00000000-0005-0000-0000-0000121F0000}"/>
    <cellStyle name="Normal 114 5" xfId="2973" xr:uid="{00000000-0005-0000-0000-0000131F0000}"/>
    <cellStyle name="Normal 114 5 2" xfId="12468" xr:uid="{00000000-0005-0000-0000-0000141F0000}"/>
    <cellStyle name="Normal 114 5 2 2" xfId="28993" xr:uid="{00000000-0005-0000-0000-0000151F0000}"/>
    <cellStyle name="Normal 114 5 3" xfId="20950" xr:uid="{00000000-0005-0000-0000-0000161F0000}"/>
    <cellStyle name="Normal 114 6" xfId="7192" xr:uid="{00000000-0005-0000-0000-0000171F0000}"/>
    <cellStyle name="Normal 114 6 2" xfId="16373" xr:uid="{00000000-0005-0000-0000-0000181F0000}"/>
    <cellStyle name="Normal 114 6 2 2" xfId="32947" xr:uid="{00000000-0005-0000-0000-0000191F0000}"/>
    <cellStyle name="Normal 114 6 3" xfId="24900" xr:uid="{00000000-0005-0000-0000-00001A1F0000}"/>
    <cellStyle name="Normal 115" xfId="2974" xr:uid="{00000000-0005-0000-0000-00001B1F0000}"/>
    <cellStyle name="Normal 115 10" xfId="12469" xr:uid="{00000000-0005-0000-0000-00001C1F0000}"/>
    <cellStyle name="Normal 115 10 2" xfId="28994" xr:uid="{00000000-0005-0000-0000-00001D1F0000}"/>
    <cellStyle name="Normal 115 11" xfId="20951" xr:uid="{00000000-0005-0000-0000-00001E1F0000}"/>
    <cellStyle name="Normal 115 2" xfId="2975" xr:uid="{00000000-0005-0000-0000-00001F1F0000}"/>
    <cellStyle name="Normal 115 2 2" xfId="2976" xr:uid="{00000000-0005-0000-0000-0000201F0000}"/>
    <cellStyle name="Normal 115 2 3" xfId="12470" xr:uid="{00000000-0005-0000-0000-0000211F0000}"/>
    <cellStyle name="Normal 115 2 3 2" xfId="28995" xr:uid="{00000000-0005-0000-0000-0000221F0000}"/>
    <cellStyle name="Normal 115 2 4" xfId="20952" xr:uid="{00000000-0005-0000-0000-0000231F0000}"/>
    <cellStyle name="Normal 115 3" xfId="2977" xr:uid="{00000000-0005-0000-0000-0000241F0000}"/>
    <cellStyle name="Normal 115 3 2" xfId="2978" xr:uid="{00000000-0005-0000-0000-0000251F0000}"/>
    <cellStyle name="Normal 115 3 2 2" xfId="2979" xr:uid="{00000000-0005-0000-0000-0000261F0000}"/>
    <cellStyle name="Normal 115 3 2 2 2" xfId="2980" xr:uid="{00000000-0005-0000-0000-0000271F0000}"/>
    <cellStyle name="Normal 115 3 2 2 2 2" xfId="7193" xr:uid="{00000000-0005-0000-0000-0000281F0000}"/>
    <cellStyle name="Normal 115 3 2 2 2 2 2" xfId="16374" xr:uid="{00000000-0005-0000-0000-0000291F0000}"/>
    <cellStyle name="Normal 115 3 2 2 2 2 2 2" xfId="32948" xr:uid="{00000000-0005-0000-0000-00002A1F0000}"/>
    <cellStyle name="Normal 115 3 2 2 2 2 3" xfId="24901" xr:uid="{00000000-0005-0000-0000-00002B1F0000}"/>
    <cellStyle name="Normal 115 3 2 2 2 3" xfId="12473" xr:uid="{00000000-0005-0000-0000-00002C1F0000}"/>
    <cellStyle name="Normal 115 3 2 2 2 3 2" xfId="28998" xr:uid="{00000000-0005-0000-0000-00002D1F0000}"/>
    <cellStyle name="Normal 115 3 2 2 2 4" xfId="20955" xr:uid="{00000000-0005-0000-0000-00002E1F0000}"/>
    <cellStyle name="Normal 115 3 2 2 3" xfId="7194" xr:uid="{00000000-0005-0000-0000-00002F1F0000}"/>
    <cellStyle name="Normal 115 3 2 2 3 2" xfId="16375" xr:uid="{00000000-0005-0000-0000-0000301F0000}"/>
    <cellStyle name="Normal 115 3 2 2 3 2 2" xfId="32949" xr:uid="{00000000-0005-0000-0000-0000311F0000}"/>
    <cellStyle name="Normal 115 3 2 2 3 3" xfId="24902" xr:uid="{00000000-0005-0000-0000-0000321F0000}"/>
    <cellStyle name="Normal 115 3 2 2 4" xfId="12472" xr:uid="{00000000-0005-0000-0000-0000331F0000}"/>
    <cellStyle name="Normal 115 3 2 2 4 2" xfId="28997" xr:uid="{00000000-0005-0000-0000-0000341F0000}"/>
    <cellStyle name="Normal 115 3 2 2 5" xfId="20954" xr:uid="{00000000-0005-0000-0000-0000351F0000}"/>
    <cellStyle name="Normal 115 3 2 3" xfId="2981" xr:uid="{00000000-0005-0000-0000-0000361F0000}"/>
    <cellStyle name="Normal 115 3 2 3 2" xfId="7195" xr:uid="{00000000-0005-0000-0000-0000371F0000}"/>
    <cellStyle name="Normal 115 3 2 3 2 2" xfId="16376" xr:uid="{00000000-0005-0000-0000-0000381F0000}"/>
    <cellStyle name="Normal 115 3 2 3 2 2 2" xfId="32950" xr:uid="{00000000-0005-0000-0000-0000391F0000}"/>
    <cellStyle name="Normal 115 3 2 3 2 3" xfId="24903" xr:uid="{00000000-0005-0000-0000-00003A1F0000}"/>
    <cellStyle name="Normal 115 3 2 3 3" xfId="12474" xr:uid="{00000000-0005-0000-0000-00003B1F0000}"/>
    <cellStyle name="Normal 115 3 2 3 3 2" xfId="28999" xr:uid="{00000000-0005-0000-0000-00003C1F0000}"/>
    <cellStyle name="Normal 115 3 2 3 4" xfId="20956" xr:uid="{00000000-0005-0000-0000-00003D1F0000}"/>
    <cellStyle name="Normal 115 3 2 4" xfId="7196" xr:uid="{00000000-0005-0000-0000-00003E1F0000}"/>
    <cellStyle name="Normal 115 3 2 4 2" xfId="16377" xr:uid="{00000000-0005-0000-0000-00003F1F0000}"/>
    <cellStyle name="Normal 115 3 2 4 2 2" xfId="32951" xr:uid="{00000000-0005-0000-0000-0000401F0000}"/>
    <cellStyle name="Normal 115 3 2 4 3" xfId="24904" xr:uid="{00000000-0005-0000-0000-0000411F0000}"/>
    <cellStyle name="Normal 115 3 2 5" xfId="12471" xr:uid="{00000000-0005-0000-0000-0000421F0000}"/>
    <cellStyle name="Normal 115 3 2 5 2" xfId="28996" xr:uid="{00000000-0005-0000-0000-0000431F0000}"/>
    <cellStyle name="Normal 115 3 2 6" xfId="20953" xr:uid="{00000000-0005-0000-0000-0000441F0000}"/>
    <cellStyle name="Normal 115 3 3" xfId="2982" xr:uid="{00000000-0005-0000-0000-0000451F0000}"/>
    <cellStyle name="Normal 115 3 3 2" xfId="2983" xr:uid="{00000000-0005-0000-0000-0000461F0000}"/>
    <cellStyle name="Normal 115 3 3 2 2" xfId="7197" xr:uid="{00000000-0005-0000-0000-0000471F0000}"/>
    <cellStyle name="Normal 115 3 3 2 2 2" xfId="16378" xr:uid="{00000000-0005-0000-0000-0000481F0000}"/>
    <cellStyle name="Normal 115 3 3 2 2 2 2" xfId="32952" xr:uid="{00000000-0005-0000-0000-0000491F0000}"/>
    <cellStyle name="Normal 115 3 3 2 2 3" xfId="24905" xr:uid="{00000000-0005-0000-0000-00004A1F0000}"/>
    <cellStyle name="Normal 115 3 3 2 3" xfId="12476" xr:uid="{00000000-0005-0000-0000-00004B1F0000}"/>
    <cellStyle name="Normal 115 3 3 2 3 2" xfId="29001" xr:uid="{00000000-0005-0000-0000-00004C1F0000}"/>
    <cellStyle name="Normal 115 3 3 2 4" xfId="20958" xr:uid="{00000000-0005-0000-0000-00004D1F0000}"/>
    <cellStyle name="Normal 115 3 3 3" xfId="7198" xr:uid="{00000000-0005-0000-0000-00004E1F0000}"/>
    <cellStyle name="Normal 115 3 3 3 2" xfId="16379" xr:uid="{00000000-0005-0000-0000-00004F1F0000}"/>
    <cellStyle name="Normal 115 3 3 3 2 2" xfId="32953" xr:uid="{00000000-0005-0000-0000-0000501F0000}"/>
    <cellStyle name="Normal 115 3 3 3 3" xfId="24906" xr:uid="{00000000-0005-0000-0000-0000511F0000}"/>
    <cellStyle name="Normal 115 3 3 4" xfId="12475" xr:uid="{00000000-0005-0000-0000-0000521F0000}"/>
    <cellStyle name="Normal 115 3 3 4 2" xfId="29000" xr:uid="{00000000-0005-0000-0000-0000531F0000}"/>
    <cellStyle name="Normal 115 3 3 5" xfId="20957" xr:uid="{00000000-0005-0000-0000-0000541F0000}"/>
    <cellStyle name="Normal 115 3 4" xfId="2984" xr:uid="{00000000-0005-0000-0000-0000551F0000}"/>
    <cellStyle name="Normal 115 3 4 2" xfId="7199" xr:uid="{00000000-0005-0000-0000-0000561F0000}"/>
    <cellStyle name="Normal 115 3 4 2 2" xfId="16380" xr:uid="{00000000-0005-0000-0000-0000571F0000}"/>
    <cellStyle name="Normal 115 3 4 2 2 2" xfId="32954" xr:uid="{00000000-0005-0000-0000-0000581F0000}"/>
    <cellStyle name="Normal 115 3 4 2 3" xfId="24907" xr:uid="{00000000-0005-0000-0000-0000591F0000}"/>
    <cellStyle name="Normal 115 3 4 3" xfId="12477" xr:uid="{00000000-0005-0000-0000-00005A1F0000}"/>
    <cellStyle name="Normal 115 3 4 3 2" xfId="29002" xr:uid="{00000000-0005-0000-0000-00005B1F0000}"/>
    <cellStyle name="Normal 115 3 4 4" xfId="20959" xr:uid="{00000000-0005-0000-0000-00005C1F0000}"/>
    <cellStyle name="Normal 115 3 5" xfId="2985" xr:uid="{00000000-0005-0000-0000-00005D1F0000}"/>
    <cellStyle name="Normal 115 3 5 2" xfId="12478" xr:uid="{00000000-0005-0000-0000-00005E1F0000}"/>
    <cellStyle name="Normal 115 3 5 2 2" xfId="29003" xr:uid="{00000000-0005-0000-0000-00005F1F0000}"/>
    <cellStyle name="Normal 115 3 5 3" xfId="20960" xr:uid="{00000000-0005-0000-0000-0000601F0000}"/>
    <cellStyle name="Normal 115 4" xfId="2986" xr:uid="{00000000-0005-0000-0000-0000611F0000}"/>
    <cellStyle name="Normal 115 4 2" xfId="2987" xr:uid="{00000000-0005-0000-0000-0000621F0000}"/>
    <cellStyle name="Normal 115 4 2 2" xfId="2988" xr:uid="{00000000-0005-0000-0000-0000631F0000}"/>
    <cellStyle name="Normal 115 4 2 2 2" xfId="2989" xr:uid="{00000000-0005-0000-0000-0000641F0000}"/>
    <cellStyle name="Normal 115 4 2 2 2 2" xfId="7200" xr:uid="{00000000-0005-0000-0000-0000651F0000}"/>
    <cellStyle name="Normal 115 4 2 2 2 2 2" xfId="16381" xr:uid="{00000000-0005-0000-0000-0000661F0000}"/>
    <cellStyle name="Normal 115 4 2 2 2 2 2 2" xfId="32955" xr:uid="{00000000-0005-0000-0000-0000671F0000}"/>
    <cellStyle name="Normal 115 4 2 2 2 2 3" xfId="24908" xr:uid="{00000000-0005-0000-0000-0000681F0000}"/>
    <cellStyle name="Normal 115 4 2 2 2 3" xfId="12482" xr:uid="{00000000-0005-0000-0000-0000691F0000}"/>
    <cellStyle name="Normal 115 4 2 2 2 3 2" xfId="29007" xr:uid="{00000000-0005-0000-0000-00006A1F0000}"/>
    <cellStyle name="Normal 115 4 2 2 2 4" xfId="20964" xr:uid="{00000000-0005-0000-0000-00006B1F0000}"/>
    <cellStyle name="Normal 115 4 2 2 3" xfId="7201" xr:uid="{00000000-0005-0000-0000-00006C1F0000}"/>
    <cellStyle name="Normal 115 4 2 2 3 2" xfId="16382" xr:uid="{00000000-0005-0000-0000-00006D1F0000}"/>
    <cellStyle name="Normal 115 4 2 2 3 2 2" xfId="32956" xr:uid="{00000000-0005-0000-0000-00006E1F0000}"/>
    <cellStyle name="Normal 115 4 2 2 3 3" xfId="24909" xr:uid="{00000000-0005-0000-0000-00006F1F0000}"/>
    <cellStyle name="Normal 115 4 2 2 4" xfId="12481" xr:uid="{00000000-0005-0000-0000-0000701F0000}"/>
    <cellStyle name="Normal 115 4 2 2 4 2" xfId="29006" xr:uid="{00000000-0005-0000-0000-0000711F0000}"/>
    <cellStyle name="Normal 115 4 2 2 5" xfId="20963" xr:uid="{00000000-0005-0000-0000-0000721F0000}"/>
    <cellStyle name="Normal 115 4 2 3" xfId="2990" xr:uid="{00000000-0005-0000-0000-0000731F0000}"/>
    <cellStyle name="Normal 115 4 2 3 2" xfId="7202" xr:uid="{00000000-0005-0000-0000-0000741F0000}"/>
    <cellStyle name="Normal 115 4 2 3 2 2" xfId="16383" xr:uid="{00000000-0005-0000-0000-0000751F0000}"/>
    <cellStyle name="Normal 115 4 2 3 2 2 2" xfId="32957" xr:uid="{00000000-0005-0000-0000-0000761F0000}"/>
    <cellStyle name="Normal 115 4 2 3 2 3" xfId="24910" xr:uid="{00000000-0005-0000-0000-0000771F0000}"/>
    <cellStyle name="Normal 115 4 2 3 3" xfId="12483" xr:uid="{00000000-0005-0000-0000-0000781F0000}"/>
    <cellStyle name="Normal 115 4 2 3 3 2" xfId="29008" xr:uid="{00000000-0005-0000-0000-0000791F0000}"/>
    <cellStyle name="Normal 115 4 2 3 4" xfId="20965" xr:uid="{00000000-0005-0000-0000-00007A1F0000}"/>
    <cellStyle name="Normal 115 4 2 4" xfId="7203" xr:uid="{00000000-0005-0000-0000-00007B1F0000}"/>
    <cellStyle name="Normal 115 4 2 4 2" xfId="16384" xr:uid="{00000000-0005-0000-0000-00007C1F0000}"/>
    <cellStyle name="Normal 115 4 2 4 2 2" xfId="32958" xr:uid="{00000000-0005-0000-0000-00007D1F0000}"/>
    <cellStyle name="Normal 115 4 2 4 3" xfId="24911" xr:uid="{00000000-0005-0000-0000-00007E1F0000}"/>
    <cellStyle name="Normal 115 4 2 5" xfId="12480" xr:uid="{00000000-0005-0000-0000-00007F1F0000}"/>
    <cellStyle name="Normal 115 4 2 5 2" xfId="29005" xr:uid="{00000000-0005-0000-0000-0000801F0000}"/>
    <cellStyle name="Normal 115 4 2 6" xfId="20962" xr:uid="{00000000-0005-0000-0000-0000811F0000}"/>
    <cellStyle name="Normal 115 4 3" xfId="2991" xr:uid="{00000000-0005-0000-0000-0000821F0000}"/>
    <cellStyle name="Normal 115 4 3 2" xfId="2992" xr:uid="{00000000-0005-0000-0000-0000831F0000}"/>
    <cellStyle name="Normal 115 4 3 2 2" xfId="7204" xr:uid="{00000000-0005-0000-0000-0000841F0000}"/>
    <cellStyle name="Normal 115 4 3 2 2 2" xfId="16385" xr:uid="{00000000-0005-0000-0000-0000851F0000}"/>
    <cellStyle name="Normal 115 4 3 2 2 2 2" xfId="32959" xr:uid="{00000000-0005-0000-0000-0000861F0000}"/>
    <cellStyle name="Normal 115 4 3 2 2 3" xfId="24912" xr:uid="{00000000-0005-0000-0000-0000871F0000}"/>
    <cellStyle name="Normal 115 4 3 2 3" xfId="12485" xr:uid="{00000000-0005-0000-0000-0000881F0000}"/>
    <cellStyle name="Normal 115 4 3 2 3 2" xfId="29010" xr:uid="{00000000-0005-0000-0000-0000891F0000}"/>
    <cellStyle name="Normal 115 4 3 2 4" xfId="20967" xr:uid="{00000000-0005-0000-0000-00008A1F0000}"/>
    <cellStyle name="Normal 115 4 3 3" xfId="7205" xr:uid="{00000000-0005-0000-0000-00008B1F0000}"/>
    <cellStyle name="Normal 115 4 3 3 2" xfId="16386" xr:uid="{00000000-0005-0000-0000-00008C1F0000}"/>
    <cellStyle name="Normal 115 4 3 3 2 2" xfId="32960" xr:uid="{00000000-0005-0000-0000-00008D1F0000}"/>
    <cellStyle name="Normal 115 4 3 3 3" xfId="24913" xr:uid="{00000000-0005-0000-0000-00008E1F0000}"/>
    <cellStyle name="Normal 115 4 3 4" xfId="12484" xr:uid="{00000000-0005-0000-0000-00008F1F0000}"/>
    <cellStyle name="Normal 115 4 3 4 2" xfId="29009" xr:uid="{00000000-0005-0000-0000-0000901F0000}"/>
    <cellStyle name="Normal 115 4 3 5" xfId="20966" xr:uid="{00000000-0005-0000-0000-0000911F0000}"/>
    <cellStyle name="Normal 115 4 4" xfId="2993" xr:uid="{00000000-0005-0000-0000-0000921F0000}"/>
    <cellStyle name="Normal 115 4 4 2" xfId="7206" xr:uid="{00000000-0005-0000-0000-0000931F0000}"/>
    <cellStyle name="Normal 115 4 4 2 2" xfId="16387" xr:uid="{00000000-0005-0000-0000-0000941F0000}"/>
    <cellStyle name="Normal 115 4 4 2 2 2" xfId="32961" xr:uid="{00000000-0005-0000-0000-0000951F0000}"/>
    <cellStyle name="Normal 115 4 4 2 3" xfId="24914" xr:uid="{00000000-0005-0000-0000-0000961F0000}"/>
    <cellStyle name="Normal 115 4 4 3" xfId="12486" xr:uid="{00000000-0005-0000-0000-0000971F0000}"/>
    <cellStyle name="Normal 115 4 4 3 2" xfId="29011" xr:uid="{00000000-0005-0000-0000-0000981F0000}"/>
    <cellStyle name="Normal 115 4 4 4" xfId="20968" xr:uid="{00000000-0005-0000-0000-0000991F0000}"/>
    <cellStyle name="Normal 115 4 5" xfId="7207" xr:uid="{00000000-0005-0000-0000-00009A1F0000}"/>
    <cellStyle name="Normal 115 4 5 2" xfId="16388" xr:uid="{00000000-0005-0000-0000-00009B1F0000}"/>
    <cellStyle name="Normal 115 4 5 2 2" xfId="32962" xr:uid="{00000000-0005-0000-0000-00009C1F0000}"/>
    <cellStyle name="Normal 115 4 5 3" xfId="24915" xr:uid="{00000000-0005-0000-0000-00009D1F0000}"/>
    <cellStyle name="Normal 115 4 6" xfId="12479" xr:uid="{00000000-0005-0000-0000-00009E1F0000}"/>
    <cellStyle name="Normal 115 4 6 2" xfId="29004" xr:uid="{00000000-0005-0000-0000-00009F1F0000}"/>
    <cellStyle name="Normal 115 4 7" xfId="20961" xr:uid="{00000000-0005-0000-0000-0000A01F0000}"/>
    <cellStyle name="Normal 115 5" xfId="2994" xr:uid="{00000000-0005-0000-0000-0000A11F0000}"/>
    <cellStyle name="Normal 115 5 2" xfId="2995" xr:uid="{00000000-0005-0000-0000-0000A21F0000}"/>
    <cellStyle name="Normal 115 5 2 2" xfId="2996" xr:uid="{00000000-0005-0000-0000-0000A31F0000}"/>
    <cellStyle name="Normal 115 5 2 2 2" xfId="2997" xr:uid="{00000000-0005-0000-0000-0000A41F0000}"/>
    <cellStyle name="Normal 115 5 2 2 2 2" xfId="7208" xr:uid="{00000000-0005-0000-0000-0000A51F0000}"/>
    <cellStyle name="Normal 115 5 2 2 2 2 2" xfId="16389" xr:uid="{00000000-0005-0000-0000-0000A61F0000}"/>
    <cellStyle name="Normal 115 5 2 2 2 2 2 2" xfId="32963" xr:uid="{00000000-0005-0000-0000-0000A71F0000}"/>
    <cellStyle name="Normal 115 5 2 2 2 2 3" xfId="24916" xr:uid="{00000000-0005-0000-0000-0000A81F0000}"/>
    <cellStyle name="Normal 115 5 2 2 2 3" xfId="12490" xr:uid="{00000000-0005-0000-0000-0000A91F0000}"/>
    <cellStyle name="Normal 115 5 2 2 2 3 2" xfId="29015" xr:uid="{00000000-0005-0000-0000-0000AA1F0000}"/>
    <cellStyle name="Normal 115 5 2 2 2 4" xfId="20972" xr:uid="{00000000-0005-0000-0000-0000AB1F0000}"/>
    <cellStyle name="Normal 115 5 2 2 3" xfId="7209" xr:uid="{00000000-0005-0000-0000-0000AC1F0000}"/>
    <cellStyle name="Normal 115 5 2 2 3 2" xfId="16390" xr:uid="{00000000-0005-0000-0000-0000AD1F0000}"/>
    <cellStyle name="Normal 115 5 2 2 3 2 2" xfId="32964" xr:uid="{00000000-0005-0000-0000-0000AE1F0000}"/>
    <cellStyle name="Normal 115 5 2 2 3 3" xfId="24917" xr:uid="{00000000-0005-0000-0000-0000AF1F0000}"/>
    <cellStyle name="Normal 115 5 2 2 4" xfId="12489" xr:uid="{00000000-0005-0000-0000-0000B01F0000}"/>
    <cellStyle name="Normal 115 5 2 2 4 2" xfId="29014" xr:uid="{00000000-0005-0000-0000-0000B11F0000}"/>
    <cellStyle name="Normal 115 5 2 2 5" xfId="20971" xr:uid="{00000000-0005-0000-0000-0000B21F0000}"/>
    <cellStyle name="Normal 115 5 2 3" xfId="2998" xr:uid="{00000000-0005-0000-0000-0000B31F0000}"/>
    <cellStyle name="Normal 115 5 2 3 2" xfId="7210" xr:uid="{00000000-0005-0000-0000-0000B41F0000}"/>
    <cellStyle name="Normal 115 5 2 3 2 2" xfId="16391" xr:uid="{00000000-0005-0000-0000-0000B51F0000}"/>
    <cellStyle name="Normal 115 5 2 3 2 2 2" xfId="32965" xr:uid="{00000000-0005-0000-0000-0000B61F0000}"/>
    <cellStyle name="Normal 115 5 2 3 2 3" xfId="24918" xr:uid="{00000000-0005-0000-0000-0000B71F0000}"/>
    <cellStyle name="Normal 115 5 2 3 3" xfId="12491" xr:uid="{00000000-0005-0000-0000-0000B81F0000}"/>
    <cellStyle name="Normal 115 5 2 3 3 2" xfId="29016" xr:uid="{00000000-0005-0000-0000-0000B91F0000}"/>
    <cellStyle name="Normal 115 5 2 3 4" xfId="20973" xr:uid="{00000000-0005-0000-0000-0000BA1F0000}"/>
    <cellStyle name="Normal 115 5 2 4" xfId="7211" xr:uid="{00000000-0005-0000-0000-0000BB1F0000}"/>
    <cellStyle name="Normal 115 5 2 4 2" xfId="16392" xr:uid="{00000000-0005-0000-0000-0000BC1F0000}"/>
    <cellStyle name="Normal 115 5 2 4 2 2" xfId="32966" xr:uid="{00000000-0005-0000-0000-0000BD1F0000}"/>
    <cellStyle name="Normal 115 5 2 4 3" xfId="24919" xr:uid="{00000000-0005-0000-0000-0000BE1F0000}"/>
    <cellStyle name="Normal 115 5 2 5" xfId="12488" xr:uid="{00000000-0005-0000-0000-0000BF1F0000}"/>
    <cellStyle name="Normal 115 5 2 5 2" xfId="29013" xr:uid="{00000000-0005-0000-0000-0000C01F0000}"/>
    <cellStyle name="Normal 115 5 2 6" xfId="20970" xr:uid="{00000000-0005-0000-0000-0000C11F0000}"/>
    <cellStyle name="Normal 115 5 3" xfId="2999" xr:uid="{00000000-0005-0000-0000-0000C21F0000}"/>
    <cellStyle name="Normal 115 5 3 2" xfId="3000" xr:uid="{00000000-0005-0000-0000-0000C31F0000}"/>
    <cellStyle name="Normal 115 5 3 2 2" xfId="7212" xr:uid="{00000000-0005-0000-0000-0000C41F0000}"/>
    <cellStyle name="Normal 115 5 3 2 2 2" xfId="16393" xr:uid="{00000000-0005-0000-0000-0000C51F0000}"/>
    <cellStyle name="Normal 115 5 3 2 2 2 2" xfId="32967" xr:uid="{00000000-0005-0000-0000-0000C61F0000}"/>
    <cellStyle name="Normal 115 5 3 2 2 3" xfId="24920" xr:uid="{00000000-0005-0000-0000-0000C71F0000}"/>
    <cellStyle name="Normal 115 5 3 2 3" xfId="12493" xr:uid="{00000000-0005-0000-0000-0000C81F0000}"/>
    <cellStyle name="Normal 115 5 3 2 3 2" xfId="29018" xr:uid="{00000000-0005-0000-0000-0000C91F0000}"/>
    <cellStyle name="Normal 115 5 3 2 4" xfId="20975" xr:uid="{00000000-0005-0000-0000-0000CA1F0000}"/>
    <cellStyle name="Normal 115 5 3 3" xfId="7213" xr:uid="{00000000-0005-0000-0000-0000CB1F0000}"/>
    <cellStyle name="Normal 115 5 3 3 2" xfId="16394" xr:uid="{00000000-0005-0000-0000-0000CC1F0000}"/>
    <cellStyle name="Normal 115 5 3 3 2 2" xfId="32968" xr:uid="{00000000-0005-0000-0000-0000CD1F0000}"/>
    <cellStyle name="Normal 115 5 3 3 3" xfId="24921" xr:uid="{00000000-0005-0000-0000-0000CE1F0000}"/>
    <cellStyle name="Normal 115 5 3 4" xfId="12492" xr:uid="{00000000-0005-0000-0000-0000CF1F0000}"/>
    <cellStyle name="Normal 115 5 3 4 2" xfId="29017" xr:uid="{00000000-0005-0000-0000-0000D01F0000}"/>
    <cellStyle name="Normal 115 5 3 5" xfId="20974" xr:uid="{00000000-0005-0000-0000-0000D11F0000}"/>
    <cellStyle name="Normal 115 5 4" xfId="3001" xr:uid="{00000000-0005-0000-0000-0000D21F0000}"/>
    <cellStyle name="Normal 115 5 4 2" xfId="7214" xr:uid="{00000000-0005-0000-0000-0000D31F0000}"/>
    <cellStyle name="Normal 115 5 4 2 2" xfId="16395" xr:uid="{00000000-0005-0000-0000-0000D41F0000}"/>
    <cellStyle name="Normal 115 5 4 2 2 2" xfId="32969" xr:uid="{00000000-0005-0000-0000-0000D51F0000}"/>
    <cellStyle name="Normal 115 5 4 2 3" xfId="24922" xr:uid="{00000000-0005-0000-0000-0000D61F0000}"/>
    <cellStyle name="Normal 115 5 4 3" xfId="12494" xr:uid="{00000000-0005-0000-0000-0000D71F0000}"/>
    <cellStyle name="Normal 115 5 4 3 2" xfId="29019" xr:uid="{00000000-0005-0000-0000-0000D81F0000}"/>
    <cellStyle name="Normal 115 5 4 4" xfId="20976" xr:uid="{00000000-0005-0000-0000-0000D91F0000}"/>
    <cellStyle name="Normal 115 5 5" xfId="7215" xr:uid="{00000000-0005-0000-0000-0000DA1F0000}"/>
    <cellStyle name="Normal 115 5 5 2" xfId="16396" xr:uid="{00000000-0005-0000-0000-0000DB1F0000}"/>
    <cellStyle name="Normal 115 5 5 2 2" xfId="32970" xr:uid="{00000000-0005-0000-0000-0000DC1F0000}"/>
    <cellStyle name="Normal 115 5 5 3" xfId="24923" xr:uid="{00000000-0005-0000-0000-0000DD1F0000}"/>
    <cellStyle name="Normal 115 5 6" xfId="12487" xr:uid="{00000000-0005-0000-0000-0000DE1F0000}"/>
    <cellStyle name="Normal 115 5 6 2" xfId="29012" xr:uid="{00000000-0005-0000-0000-0000DF1F0000}"/>
    <cellStyle name="Normal 115 5 7" xfId="20969" xr:uid="{00000000-0005-0000-0000-0000E01F0000}"/>
    <cellStyle name="Normal 115 6" xfId="3002" xr:uid="{00000000-0005-0000-0000-0000E11F0000}"/>
    <cellStyle name="Normal 115 6 2" xfId="3003" xr:uid="{00000000-0005-0000-0000-0000E21F0000}"/>
    <cellStyle name="Normal 115 6 2 2" xfId="3004" xr:uid="{00000000-0005-0000-0000-0000E31F0000}"/>
    <cellStyle name="Normal 115 6 2 2 2" xfId="7216" xr:uid="{00000000-0005-0000-0000-0000E41F0000}"/>
    <cellStyle name="Normal 115 6 2 2 2 2" xfId="16397" xr:uid="{00000000-0005-0000-0000-0000E51F0000}"/>
    <cellStyle name="Normal 115 6 2 2 2 2 2" xfId="32971" xr:uid="{00000000-0005-0000-0000-0000E61F0000}"/>
    <cellStyle name="Normal 115 6 2 2 2 3" xfId="24924" xr:uid="{00000000-0005-0000-0000-0000E71F0000}"/>
    <cellStyle name="Normal 115 6 2 2 3" xfId="12497" xr:uid="{00000000-0005-0000-0000-0000E81F0000}"/>
    <cellStyle name="Normal 115 6 2 2 3 2" xfId="29022" xr:uid="{00000000-0005-0000-0000-0000E91F0000}"/>
    <cellStyle name="Normal 115 6 2 2 4" xfId="20979" xr:uid="{00000000-0005-0000-0000-0000EA1F0000}"/>
    <cellStyle name="Normal 115 6 2 3" xfId="7217" xr:uid="{00000000-0005-0000-0000-0000EB1F0000}"/>
    <cellStyle name="Normal 115 6 2 3 2" xfId="16398" xr:uid="{00000000-0005-0000-0000-0000EC1F0000}"/>
    <cellStyle name="Normal 115 6 2 3 2 2" xfId="32972" xr:uid="{00000000-0005-0000-0000-0000ED1F0000}"/>
    <cellStyle name="Normal 115 6 2 3 3" xfId="24925" xr:uid="{00000000-0005-0000-0000-0000EE1F0000}"/>
    <cellStyle name="Normal 115 6 2 4" xfId="12496" xr:uid="{00000000-0005-0000-0000-0000EF1F0000}"/>
    <cellStyle name="Normal 115 6 2 4 2" xfId="29021" xr:uid="{00000000-0005-0000-0000-0000F01F0000}"/>
    <cellStyle name="Normal 115 6 2 5" xfId="20978" xr:uid="{00000000-0005-0000-0000-0000F11F0000}"/>
    <cellStyle name="Normal 115 6 3" xfId="3005" xr:uid="{00000000-0005-0000-0000-0000F21F0000}"/>
    <cellStyle name="Normal 115 6 3 2" xfId="7218" xr:uid="{00000000-0005-0000-0000-0000F31F0000}"/>
    <cellStyle name="Normal 115 6 3 2 2" xfId="16399" xr:uid="{00000000-0005-0000-0000-0000F41F0000}"/>
    <cellStyle name="Normal 115 6 3 2 2 2" xfId="32973" xr:uid="{00000000-0005-0000-0000-0000F51F0000}"/>
    <cellStyle name="Normal 115 6 3 2 3" xfId="24926" xr:uid="{00000000-0005-0000-0000-0000F61F0000}"/>
    <cellStyle name="Normal 115 6 3 3" xfId="12498" xr:uid="{00000000-0005-0000-0000-0000F71F0000}"/>
    <cellStyle name="Normal 115 6 3 3 2" xfId="29023" xr:uid="{00000000-0005-0000-0000-0000F81F0000}"/>
    <cellStyle name="Normal 115 6 3 4" xfId="20980" xr:uid="{00000000-0005-0000-0000-0000F91F0000}"/>
    <cellStyle name="Normal 115 6 4" xfId="7219" xr:uid="{00000000-0005-0000-0000-0000FA1F0000}"/>
    <cellStyle name="Normal 115 6 4 2" xfId="16400" xr:uid="{00000000-0005-0000-0000-0000FB1F0000}"/>
    <cellStyle name="Normal 115 6 4 2 2" xfId="32974" xr:uid="{00000000-0005-0000-0000-0000FC1F0000}"/>
    <cellStyle name="Normal 115 6 4 3" xfId="24927" xr:uid="{00000000-0005-0000-0000-0000FD1F0000}"/>
    <cellStyle name="Normal 115 6 5" xfId="12495" xr:uid="{00000000-0005-0000-0000-0000FE1F0000}"/>
    <cellStyle name="Normal 115 6 5 2" xfId="29020" xr:uid="{00000000-0005-0000-0000-0000FF1F0000}"/>
    <cellStyle name="Normal 115 6 6" xfId="20977" xr:uid="{00000000-0005-0000-0000-000000200000}"/>
    <cellStyle name="Normal 115 7" xfId="3006" xr:uid="{00000000-0005-0000-0000-000001200000}"/>
    <cellStyle name="Normal 115 7 2" xfId="3007" xr:uid="{00000000-0005-0000-0000-000002200000}"/>
    <cellStyle name="Normal 115 7 2 2" xfId="7220" xr:uid="{00000000-0005-0000-0000-000003200000}"/>
    <cellStyle name="Normal 115 7 2 2 2" xfId="16401" xr:uid="{00000000-0005-0000-0000-000004200000}"/>
    <cellStyle name="Normal 115 7 2 2 2 2" xfId="32975" xr:uid="{00000000-0005-0000-0000-000005200000}"/>
    <cellStyle name="Normal 115 7 2 2 3" xfId="24928" xr:uid="{00000000-0005-0000-0000-000006200000}"/>
    <cellStyle name="Normal 115 7 2 3" xfId="12500" xr:uid="{00000000-0005-0000-0000-000007200000}"/>
    <cellStyle name="Normal 115 7 2 3 2" xfId="29025" xr:uid="{00000000-0005-0000-0000-000008200000}"/>
    <cellStyle name="Normal 115 7 2 4" xfId="20982" xr:uid="{00000000-0005-0000-0000-000009200000}"/>
    <cellStyle name="Normal 115 7 3" xfId="7221" xr:uid="{00000000-0005-0000-0000-00000A200000}"/>
    <cellStyle name="Normal 115 7 3 2" xfId="16402" xr:uid="{00000000-0005-0000-0000-00000B200000}"/>
    <cellStyle name="Normal 115 7 3 2 2" xfId="32976" xr:uid="{00000000-0005-0000-0000-00000C200000}"/>
    <cellStyle name="Normal 115 7 3 3" xfId="24929" xr:uid="{00000000-0005-0000-0000-00000D200000}"/>
    <cellStyle name="Normal 115 7 4" xfId="12499" xr:uid="{00000000-0005-0000-0000-00000E200000}"/>
    <cellStyle name="Normal 115 7 4 2" xfId="29024" xr:uid="{00000000-0005-0000-0000-00000F200000}"/>
    <cellStyle name="Normal 115 7 5" xfId="20981" xr:uid="{00000000-0005-0000-0000-000010200000}"/>
    <cellStyle name="Normal 115 8" xfId="3008" xr:uid="{00000000-0005-0000-0000-000011200000}"/>
    <cellStyle name="Normal 115 8 2" xfId="7222" xr:uid="{00000000-0005-0000-0000-000012200000}"/>
    <cellStyle name="Normal 115 8 2 2" xfId="16403" xr:uid="{00000000-0005-0000-0000-000013200000}"/>
    <cellStyle name="Normal 115 8 2 2 2" xfId="32977" xr:uid="{00000000-0005-0000-0000-000014200000}"/>
    <cellStyle name="Normal 115 8 2 3" xfId="24930" xr:uid="{00000000-0005-0000-0000-000015200000}"/>
    <cellStyle name="Normal 115 8 3" xfId="12501" xr:uid="{00000000-0005-0000-0000-000016200000}"/>
    <cellStyle name="Normal 115 8 3 2" xfId="29026" xr:uid="{00000000-0005-0000-0000-000017200000}"/>
    <cellStyle name="Normal 115 8 4" xfId="20983" xr:uid="{00000000-0005-0000-0000-000018200000}"/>
    <cellStyle name="Normal 115 9" xfId="7223" xr:uid="{00000000-0005-0000-0000-000019200000}"/>
    <cellStyle name="Normal 115 9 2" xfId="16404" xr:uid="{00000000-0005-0000-0000-00001A200000}"/>
    <cellStyle name="Normal 115 9 2 2" xfId="32978" xr:uid="{00000000-0005-0000-0000-00001B200000}"/>
    <cellStyle name="Normal 115 9 3" xfId="24931" xr:uid="{00000000-0005-0000-0000-00001C200000}"/>
    <cellStyle name="Normal 116" xfId="3009" xr:uid="{00000000-0005-0000-0000-00001D200000}"/>
    <cellStyle name="Normal 116 10" xfId="12502" xr:uid="{00000000-0005-0000-0000-00001E200000}"/>
    <cellStyle name="Normal 116 10 2" xfId="29027" xr:uid="{00000000-0005-0000-0000-00001F200000}"/>
    <cellStyle name="Normal 116 11" xfId="20984" xr:uid="{00000000-0005-0000-0000-000020200000}"/>
    <cellStyle name="Normal 116 2" xfId="3010" xr:uid="{00000000-0005-0000-0000-000021200000}"/>
    <cellStyle name="Normal 116 2 2" xfId="3011" xr:uid="{00000000-0005-0000-0000-000022200000}"/>
    <cellStyle name="Normal 116 2 3" xfId="12503" xr:uid="{00000000-0005-0000-0000-000023200000}"/>
    <cellStyle name="Normal 116 2 3 2" xfId="29028" xr:uid="{00000000-0005-0000-0000-000024200000}"/>
    <cellStyle name="Normal 116 2 4" xfId="20985" xr:uid="{00000000-0005-0000-0000-000025200000}"/>
    <cellStyle name="Normal 116 3" xfId="3012" xr:uid="{00000000-0005-0000-0000-000026200000}"/>
    <cellStyle name="Normal 116 3 2" xfId="3013" xr:uid="{00000000-0005-0000-0000-000027200000}"/>
    <cellStyle name="Normal 116 3 2 2" xfId="3014" xr:uid="{00000000-0005-0000-0000-000028200000}"/>
    <cellStyle name="Normal 116 3 2 2 2" xfId="3015" xr:uid="{00000000-0005-0000-0000-000029200000}"/>
    <cellStyle name="Normal 116 3 2 2 2 2" xfId="7224" xr:uid="{00000000-0005-0000-0000-00002A200000}"/>
    <cellStyle name="Normal 116 3 2 2 2 2 2" xfId="16405" xr:uid="{00000000-0005-0000-0000-00002B200000}"/>
    <cellStyle name="Normal 116 3 2 2 2 2 2 2" xfId="32979" xr:uid="{00000000-0005-0000-0000-00002C200000}"/>
    <cellStyle name="Normal 116 3 2 2 2 2 3" xfId="24932" xr:uid="{00000000-0005-0000-0000-00002D200000}"/>
    <cellStyle name="Normal 116 3 2 2 2 3" xfId="12506" xr:uid="{00000000-0005-0000-0000-00002E200000}"/>
    <cellStyle name="Normal 116 3 2 2 2 3 2" xfId="29031" xr:uid="{00000000-0005-0000-0000-00002F200000}"/>
    <cellStyle name="Normal 116 3 2 2 2 4" xfId="20988" xr:uid="{00000000-0005-0000-0000-000030200000}"/>
    <cellStyle name="Normal 116 3 2 2 3" xfId="7225" xr:uid="{00000000-0005-0000-0000-000031200000}"/>
    <cellStyle name="Normal 116 3 2 2 3 2" xfId="16406" xr:uid="{00000000-0005-0000-0000-000032200000}"/>
    <cellStyle name="Normal 116 3 2 2 3 2 2" xfId="32980" xr:uid="{00000000-0005-0000-0000-000033200000}"/>
    <cellStyle name="Normal 116 3 2 2 3 3" xfId="24933" xr:uid="{00000000-0005-0000-0000-000034200000}"/>
    <cellStyle name="Normal 116 3 2 2 4" xfId="12505" xr:uid="{00000000-0005-0000-0000-000035200000}"/>
    <cellStyle name="Normal 116 3 2 2 4 2" xfId="29030" xr:uid="{00000000-0005-0000-0000-000036200000}"/>
    <cellStyle name="Normal 116 3 2 2 5" xfId="20987" xr:uid="{00000000-0005-0000-0000-000037200000}"/>
    <cellStyle name="Normal 116 3 2 3" xfId="3016" xr:uid="{00000000-0005-0000-0000-000038200000}"/>
    <cellStyle name="Normal 116 3 2 3 2" xfId="7226" xr:uid="{00000000-0005-0000-0000-000039200000}"/>
    <cellStyle name="Normal 116 3 2 3 2 2" xfId="16407" xr:uid="{00000000-0005-0000-0000-00003A200000}"/>
    <cellStyle name="Normal 116 3 2 3 2 2 2" xfId="32981" xr:uid="{00000000-0005-0000-0000-00003B200000}"/>
    <cellStyle name="Normal 116 3 2 3 2 3" xfId="24934" xr:uid="{00000000-0005-0000-0000-00003C200000}"/>
    <cellStyle name="Normal 116 3 2 3 3" xfId="12507" xr:uid="{00000000-0005-0000-0000-00003D200000}"/>
    <cellStyle name="Normal 116 3 2 3 3 2" xfId="29032" xr:uid="{00000000-0005-0000-0000-00003E200000}"/>
    <cellStyle name="Normal 116 3 2 3 4" xfId="20989" xr:uid="{00000000-0005-0000-0000-00003F200000}"/>
    <cellStyle name="Normal 116 3 2 4" xfId="7227" xr:uid="{00000000-0005-0000-0000-000040200000}"/>
    <cellStyle name="Normal 116 3 2 4 2" xfId="16408" xr:uid="{00000000-0005-0000-0000-000041200000}"/>
    <cellStyle name="Normal 116 3 2 4 2 2" xfId="32982" xr:uid="{00000000-0005-0000-0000-000042200000}"/>
    <cellStyle name="Normal 116 3 2 4 3" xfId="24935" xr:uid="{00000000-0005-0000-0000-000043200000}"/>
    <cellStyle name="Normal 116 3 2 5" xfId="12504" xr:uid="{00000000-0005-0000-0000-000044200000}"/>
    <cellStyle name="Normal 116 3 2 5 2" xfId="29029" xr:uid="{00000000-0005-0000-0000-000045200000}"/>
    <cellStyle name="Normal 116 3 2 6" xfId="20986" xr:uid="{00000000-0005-0000-0000-000046200000}"/>
    <cellStyle name="Normal 116 3 3" xfId="3017" xr:uid="{00000000-0005-0000-0000-000047200000}"/>
    <cellStyle name="Normal 116 3 3 2" xfId="3018" xr:uid="{00000000-0005-0000-0000-000048200000}"/>
    <cellStyle name="Normal 116 3 3 2 2" xfId="7228" xr:uid="{00000000-0005-0000-0000-000049200000}"/>
    <cellStyle name="Normal 116 3 3 2 2 2" xfId="16409" xr:uid="{00000000-0005-0000-0000-00004A200000}"/>
    <cellStyle name="Normal 116 3 3 2 2 2 2" xfId="32983" xr:uid="{00000000-0005-0000-0000-00004B200000}"/>
    <cellStyle name="Normal 116 3 3 2 2 3" xfId="24936" xr:uid="{00000000-0005-0000-0000-00004C200000}"/>
    <cellStyle name="Normal 116 3 3 2 3" xfId="12509" xr:uid="{00000000-0005-0000-0000-00004D200000}"/>
    <cellStyle name="Normal 116 3 3 2 3 2" xfId="29034" xr:uid="{00000000-0005-0000-0000-00004E200000}"/>
    <cellStyle name="Normal 116 3 3 2 4" xfId="20991" xr:uid="{00000000-0005-0000-0000-00004F200000}"/>
    <cellStyle name="Normal 116 3 3 3" xfId="7229" xr:uid="{00000000-0005-0000-0000-000050200000}"/>
    <cellStyle name="Normal 116 3 3 3 2" xfId="16410" xr:uid="{00000000-0005-0000-0000-000051200000}"/>
    <cellStyle name="Normal 116 3 3 3 2 2" xfId="32984" xr:uid="{00000000-0005-0000-0000-000052200000}"/>
    <cellStyle name="Normal 116 3 3 3 3" xfId="24937" xr:uid="{00000000-0005-0000-0000-000053200000}"/>
    <cellStyle name="Normal 116 3 3 4" xfId="12508" xr:uid="{00000000-0005-0000-0000-000054200000}"/>
    <cellStyle name="Normal 116 3 3 4 2" xfId="29033" xr:uid="{00000000-0005-0000-0000-000055200000}"/>
    <cellStyle name="Normal 116 3 3 5" xfId="20990" xr:uid="{00000000-0005-0000-0000-000056200000}"/>
    <cellStyle name="Normal 116 3 4" xfId="3019" xr:uid="{00000000-0005-0000-0000-000057200000}"/>
    <cellStyle name="Normal 116 3 4 2" xfId="7230" xr:uid="{00000000-0005-0000-0000-000058200000}"/>
    <cellStyle name="Normal 116 3 4 2 2" xfId="16411" xr:uid="{00000000-0005-0000-0000-000059200000}"/>
    <cellStyle name="Normal 116 3 4 2 2 2" xfId="32985" xr:uid="{00000000-0005-0000-0000-00005A200000}"/>
    <cellStyle name="Normal 116 3 4 2 3" xfId="24938" xr:uid="{00000000-0005-0000-0000-00005B200000}"/>
    <cellStyle name="Normal 116 3 4 3" xfId="12510" xr:uid="{00000000-0005-0000-0000-00005C200000}"/>
    <cellStyle name="Normal 116 3 4 3 2" xfId="29035" xr:uid="{00000000-0005-0000-0000-00005D200000}"/>
    <cellStyle name="Normal 116 3 4 4" xfId="20992" xr:uid="{00000000-0005-0000-0000-00005E200000}"/>
    <cellStyle name="Normal 116 3 5" xfId="3020" xr:uid="{00000000-0005-0000-0000-00005F200000}"/>
    <cellStyle name="Normal 116 3 5 2" xfId="12511" xr:uid="{00000000-0005-0000-0000-000060200000}"/>
    <cellStyle name="Normal 116 3 5 2 2" xfId="29036" xr:uid="{00000000-0005-0000-0000-000061200000}"/>
    <cellStyle name="Normal 116 3 5 3" xfId="20993" xr:uid="{00000000-0005-0000-0000-000062200000}"/>
    <cellStyle name="Normal 116 4" xfId="3021" xr:uid="{00000000-0005-0000-0000-000063200000}"/>
    <cellStyle name="Normal 116 4 2" xfId="3022" xr:uid="{00000000-0005-0000-0000-000064200000}"/>
    <cellStyle name="Normal 116 4 2 2" xfId="3023" xr:uid="{00000000-0005-0000-0000-000065200000}"/>
    <cellStyle name="Normal 116 4 2 2 2" xfId="3024" xr:uid="{00000000-0005-0000-0000-000066200000}"/>
    <cellStyle name="Normal 116 4 2 2 2 2" xfId="7231" xr:uid="{00000000-0005-0000-0000-000067200000}"/>
    <cellStyle name="Normal 116 4 2 2 2 2 2" xfId="16412" xr:uid="{00000000-0005-0000-0000-000068200000}"/>
    <cellStyle name="Normal 116 4 2 2 2 2 2 2" xfId="32986" xr:uid="{00000000-0005-0000-0000-000069200000}"/>
    <cellStyle name="Normal 116 4 2 2 2 2 3" xfId="24939" xr:uid="{00000000-0005-0000-0000-00006A200000}"/>
    <cellStyle name="Normal 116 4 2 2 2 3" xfId="12515" xr:uid="{00000000-0005-0000-0000-00006B200000}"/>
    <cellStyle name="Normal 116 4 2 2 2 3 2" xfId="29040" xr:uid="{00000000-0005-0000-0000-00006C200000}"/>
    <cellStyle name="Normal 116 4 2 2 2 4" xfId="20997" xr:uid="{00000000-0005-0000-0000-00006D200000}"/>
    <cellStyle name="Normal 116 4 2 2 3" xfId="7232" xr:uid="{00000000-0005-0000-0000-00006E200000}"/>
    <cellStyle name="Normal 116 4 2 2 3 2" xfId="16413" xr:uid="{00000000-0005-0000-0000-00006F200000}"/>
    <cellStyle name="Normal 116 4 2 2 3 2 2" xfId="32987" xr:uid="{00000000-0005-0000-0000-000070200000}"/>
    <cellStyle name="Normal 116 4 2 2 3 3" xfId="24940" xr:uid="{00000000-0005-0000-0000-000071200000}"/>
    <cellStyle name="Normal 116 4 2 2 4" xfId="12514" xr:uid="{00000000-0005-0000-0000-000072200000}"/>
    <cellStyle name="Normal 116 4 2 2 4 2" xfId="29039" xr:uid="{00000000-0005-0000-0000-000073200000}"/>
    <cellStyle name="Normal 116 4 2 2 5" xfId="20996" xr:uid="{00000000-0005-0000-0000-000074200000}"/>
    <cellStyle name="Normal 116 4 2 3" xfId="3025" xr:uid="{00000000-0005-0000-0000-000075200000}"/>
    <cellStyle name="Normal 116 4 2 3 2" xfId="7233" xr:uid="{00000000-0005-0000-0000-000076200000}"/>
    <cellStyle name="Normal 116 4 2 3 2 2" xfId="16414" xr:uid="{00000000-0005-0000-0000-000077200000}"/>
    <cellStyle name="Normal 116 4 2 3 2 2 2" xfId="32988" xr:uid="{00000000-0005-0000-0000-000078200000}"/>
    <cellStyle name="Normal 116 4 2 3 2 3" xfId="24941" xr:uid="{00000000-0005-0000-0000-000079200000}"/>
    <cellStyle name="Normal 116 4 2 3 3" xfId="12516" xr:uid="{00000000-0005-0000-0000-00007A200000}"/>
    <cellStyle name="Normal 116 4 2 3 3 2" xfId="29041" xr:uid="{00000000-0005-0000-0000-00007B200000}"/>
    <cellStyle name="Normal 116 4 2 3 4" xfId="20998" xr:uid="{00000000-0005-0000-0000-00007C200000}"/>
    <cellStyle name="Normal 116 4 2 4" xfId="7234" xr:uid="{00000000-0005-0000-0000-00007D200000}"/>
    <cellStyle name="Normal 116 4 2 4 2" xfId="16415" xr:uid="{00000000-0005-0000-0000-00007E200000}"/>
    <cellStyle name="Normal 116 4 2 4 2 2" xfId="32989" xr:uid="{00000000-0005-0000-0000-00007F200000}"/>
    <cellStyle name="Normal 116 4 2 4 3" xfId="24942" xr:uid="{00000000-0005-0000-0000-000080200000}"/>
    <cellStyle name="Normal 116 4 2 5" xfId="12513" xr:uid="{00000000-0005-0000-0000-000081200000}"/>
    <cellStyle name="Normal 116 4 2 5 2" xfId="29038" xr:uid="{00000000-0005-0000-0000-000082200000}"/>
    <cellStyle name="Normal 116 4 2 6" xfId="20995" xr:uid="{00000000-0005-0000-0000-000083200000}"/>
    <cellStyle name="Normal 116 4 3" xfId="3026" xr:uid="{00000000-0005-0000-0000-000084200000}"/>
    <cellStyle name="Normal 116 4 3 2" xfId="3027" xr:uid="{00000000-0005-0000-0000-000085200000}"/>
    <cellStyle name="Normal 116 4 3 2 2" xfId="7235" xr:uid="{00000000-0005-0000-0000-000086200000}"/>
    <cellStyle name="Normal 116 4 3 2 2 2" xfId="16416" xr:uid="{00000000-0005-0000-0000-000087200000}"/>
    <cellStyle name="Normal 116 4 3 2 2 2 2" xfId="32990" xr:uid="{00000000-0005-0000-0000-000088200000}"/>
    <cellStyle name="Normal 116 4 3 2 2 3" xfId="24943" xr:uid="{00000000-0005-0000-0000-000089200000}"/>
    <cellStyle name="Normal 116 4 3 2 3" xfId="12518" xr:uid="{00000000-0005-0000-0000-00008A200000}"/>
    <cellStyle name="Normal 116 4 3 2 3 2" xfId="29043" xr:uid="{00000000-0005-0000-0000-00008B200000}"/>
    <cellStyle name="Normal 116 4 3 2 4" xfId="21000" xr:uid="{00000000-0005-0000-0000-00008C200000}"/>
    <cellStyle name="Normal 116 4 3 3" xfId="7236" xr:uid="{00000000-0005-0000-0000-00008D200000}"/>
    <cellStyle name="Normal 116 4 3 3 2" xfId="16417" xr:uid="{00000000-0005-0000-0000-00008E200000}"/>
    <cellStyle name="Normal 116 4 3 3 2 2" xfId="32991" xr:uid="{00000000-0005-0000-0000-00008F200000}"/>
    <cellStyle name="Normal 116 4 3 3 3" xfId="24944" xr:uid="{00000000-0005-0000-0000-000090200000}"/>
    <cellStyle name="Normal 116 4 3 4" xfId="12517" xr:uid="{00000000-0005-0000-0000-000091200000}"/>
    <cellStyle name="Normal 116 4 3 4 2" xfId="29042" xr:uid="{00000000-0005-0000-0000-000092200000}"/>
    <cellStyle name="Normal 116 4 3 5" xfId="20999" xr:uid="{00000000-0005-0000-0000-000093200000}"/>
    <cellStyle name="Normal 116 4 4" xfId="3028" xr:uid="{00000000-0005-0000-0000-000094200000}"/>
    <cellStyle name="Normal 116 4 4 2" xfId="7237" xr:uid="{00000000-0005-0000-0000-000095200000}"/>
    <cellStyle name="Normal 116 4 4 2 2" xfId="16418" xr:uid="{00000000-0005-0000-0000-000096200000}"/>
    <cellStyle name="Normal 116 4 4 2 2 2" xfId="32992" xr:uid="{00000000-0005-0000-0000-000097200000}"/>
    <cellStyle name="Normal 116 4 4 2 3" xfId="24945" xr:uid="{00000000-0005-0000-0000-000098200000}"/>
    <cellStyle name="Normal 116 4 4 3" xfId="12519" xr:uid="{00000000-0005-0000-0000-000099200000}"/>
    <cellStyle name="Normal 116 4 4 3 2" xfId="29044" xr:uid="{00000000-0005-0000-0000-00009A200000}"/>
    <cellStyle name="Normal 116 4 4 4" xfId="21001" xr:uid="{00000000-0005-0000-0000-00009B200000}"/>
    <cellStyle name="Normal 116 4 5" xfId="7238" xr:uid="{00000000-0005-0000-0000-00009C200000}"/>
    <cellStyle name="Normal 116 4 5 2" xfId="16419" xr:uid="{00000000-0005-0000-0000-00009D200000}"/>
    <cellStyle name="Normal 116 4 5 2 2" xfId="32993" xr:uid="{00000000-0005-0000-0000-00009E200000}"/>
    <cellStyle name="Normal 116 4 5 3" xfId="24946" xr:uid="{00000000-0005-0000-0000-00009F200000}"/>
    <cellStyle name="Normal 116 4 6" xfId="12512" xr:uid="{00000000-0005-0000-0000-0000A0200000}"/>
    <cellStyle name="Normal 116 4 6 2" xfId="29037" xr:uid="{00000000-0005-0000-0000-0000A1200000}"/>
    <cellStyle name="Normal 116 4 7" xfId="20994" xr:uid="{00000000-0005-0000-0000-0000A2200000}"/>
    <cellStyle name="Normal 116 5" xfId="3029" xr:uid="{00000000-0005-0000-0000-0000A3200000}"/>
    <cellStyle name="Normal 116 5 2" xfId="3030" xr:uid="{00000000-0005-0000-0000-0000A4200000}"/>
    <cellStyle name="Normal 116 5 2 2" xfId="3031" xr:uid="{00000000-0005-0000-0000-0000A5200000}"/>
    <cellStyle name="Normal 116 5 2 2 2" xfId="3032" xr:uid="{00000000-0005-0000-0000-0000A6200000}"/>
    <cellStyle name="Normal 116 5 2 2 2 2" xfId="7239" xr:uid="{00000000-0005-0000-0000-0000A7200000}"/>
    <cellStyle name="Normal 116 5 2 2 2 2 2" xfId="16420" xr:uid="{00000000-0005-0000-0000-0000A8200000}"/>
    <cellStyle name="Normal 116 5 2 2 2 2 2 2" xfId="32994" xr:uid="{00000000-0005-0000-0000-0000A9200000}"/>
    <cellStyle name="Normal 116 5 2 2 2 2 3" xfId="24947" xr:uid="{00000000-0005-0000-0000-0000AA200000}"/>
    <cellStyle name="Normal 116 5 2 2 2 3" xfId="12523" xr:uid="{00000000-0005-0000-0000-0000AB200000}"/>
    <cellStyle name="Normal 116 5 2 2 2 3 2" xfId="29048" xr:uid="{00000000-0005-0000-0000-0000AC200000}"/>
    <cellStyle name="Normal 116 5 2 2 2 4" xfId="21005" xr:uid="{00000000-0005-0000-0000-0000AD200000}"/>
    <cellStyle name="Normal 116 5 2 2 3" xfId="7240" xr:uid="{00000000-0005-0000-0000-0000AE200000}"/>
    <cellStyle name="Normal 116 5 2 2 3 2" xfId="16421" xr:uid="{00000000-0005-0000-0000-0000AF200000}"/>
    <cellStyle name="Normal 116 5 2 2 3 2 2" xfId="32995" xr:uid="{00000000-0005-0000-0000-0000B0200000}"/>
    <cellStyle name="Normal 116 5 2 2 3 3" xfId="24948" xr:uid="{00000000-0005-0000-0000-0000B1200000}"/>
    <cellStyle name="Normal 116 5 2 2 4" xfId="12522" xr:uid="{00000000-0005-0000-0000-0000B2200000}"/>
    <cellStyle name="Normal 116 5 2 2 4 2" xfId="29047" xr:uid="{00000000-0005-0000-0000-0000B3200000}"/>
    <cellStyle name="Normal 116 5 2 2 5" xfId="21004" xr:uid="{00000000-0005-0000-0000-0000B4200000}"/>
    <cellStyle name="Normal 116 5 2 3" xfId="3033" xr:uid="{00000000-0005-0000-0000-0000B5200000}"/>
    <cellStyle name="Normal 116 5 2 3 2" xfId="7241" xr:uid="{00000000-0005-0000-0000-0000B6200000}"/>
    <cellStyle name="Normal 116 5 2 3 2 2" xfId="16422" xr:uid="{00000000-0005-0000-0000-0000B7200000}"/>
    <cellStyle name="Normal 116 5 2 3 2 2 2" xfId="32996" xr:uid="{00000000-0005-0000-0000-0000B8200000}"/>
    <cellStyle name="Normal 116 5 2 3 2 3" xfId="24949" xr:uid="{00000000-0005-0000-0000-0000B9200000}"/>
    <cellStyle name="Normal 116 5 2 3 3" xfId="12524" xr:uid="{00000000-0005-0000-0000-0000BA200000}"/>
    <cellStyle name="Normal 116 5 2 3 3 2" xfId="29049" xr:uid="{00000000-0005-0000-0000-0000BB200000}"/>
    <cellStyle name="Normal 116 5 2 3 4" xfId="21006" xr:uid="{00000000-0005-0000-0000-0000BC200000}"/>
    <cellStyle name="Normal 116 5 2 4" xfId="7242" xr:uid="{00000000-0005-0000-0000-0000BD200000}"/>
    <cellStyle name="Normal 116 5 2 4 2" xfId="16423" xr:uid="{00000000-0005-0000-0000-0000BE200000}"/>
    <cellStyle name="Normal 116 5 2 4 2 2" xfId="32997" xr:uid="{00000000-0005-0000-0000-0000BF200000}"/>
    <cellStyle name="Normal 116 5 2 4 3" xfId="24950" xr:uid="{00000000-0005-0000-0000-0000C0200000}"/>
    <cellStyle name="Normal 116 5 2 5" xfId="12521" xr:uid="{00000000-0005-0000-0000-0000C1200000}"/>
    <cellStyle name="Normal 116 5 2 5 2" xfId="29046" xr:uid="{00000000-0005-0000-0000-0000C2200000}"/>
    <cellStyle name="Normal 116 5 2 6" xfId="21003" xr:uid="{00000000-0005-0000-0000-0000C3200000}"/>
    <cellStyle name="Normal 116 5 3" xfId="3034" xr:uid="{00000000-0005-0000-0000-0000C4200000}"/>
    <cellStyle name="Normal 116 5 3 2" xfId="3035" xr:uid="{00000000-0005-0000-0000-0000C5200000}"/>
    <cellStyle name="Normal 116 5 3 2 2" xfId="7243" xr:uid="{00000000-0005-0000-0000-0000C6200000}"/>
    <cellStyle name="Normal 116 5 3 2 2 2" xfId="16424" xr:uid="{00000000-0005-0000-0000-0000C7200000}"/>
    <cellStyle name="Normal 116 5 3 2 2 2 2" xfId="32998" xr:uid="{00000000-0005-0000-0000-0000C8200000}"/>
    <cellStyle name="Normal 116 5 3 2 2 3" xfId="24951" xr:uid="{00000000-0005-0000-0000-0000C9200000}"/>
    <cellStyle name="Normal 116 5 3 2 3" xfId="12526" xr:uid="{00000000-0005-0000-0000-0000CA200000}"/>
    <cellStyle name="Normal 116 5 3 2 3 2" xfId="29051" xr:uid="{00000000-0005-0000-0000-0000CB200000}"/>
    <cellStyle name="Normal 116 5 3 2 4" xfId="21008" xr:uid="{00000000-0005-0000-0000-0000CC200000}"/>
    <cellStyle name="Normal 116 5 3 3" xfId="7244" xr:uid="{00000000-0005-0000-0000-0000CD200000}"/>
    <cellStyle name="Normal 116 5 3 3 2" xfId="16425" xr:uid="{00000000-0005-0000-0000-0000CE200000}"/>
    <cellStyle name="Normal 116 5 3 3 2 2" xfId="32999" xr:uid="{00000000-0005-0000-0000-0000CF200000}"/>
    <cellStyle name="Normal 116 5 3 3 3" xfId="24952" xr:uid="{00000000-0005-0000-0000-0000D0200000}"/>
    <cellStyle name="Normal 116 5 3 4" xfId="12525" xr:uid="{00000000-0005-0000-0000-0000D1200000}"/>
    <cellStyle name="Normal 116 5 3 4 2" xfId="29050" xr:uid="{00000000-0005-0000-0000-0000D2200000}"/>
    <cellStyle name="Normal 116 5 3 5" xfId="21007" xr:uid="{00000000-0005-0000-0000-0000D3200000}"/>
    <cellStyle name="Normal 116 5 4" xfId="3036" xr:uid="{00000000-0005-0000-0000-0000D4200000}"/>
    <cellStyle name="Normal 116 5 4 2" xfId="7245" xr:uid="{00000000-0005-0000-0000-0000D5200000}"/>
    <cellStyle name="Normal 116 5 4 2 2" xfId="16426" xr:uid="{00000000-0005-0000-0000-0000D6200000}"/>
    <cellStyle name="Normal 116 5 4 2 2 2" xfId="33000" xr:uid="{00000000-0005-0000-0000-0000D7200000}"/>
    <cellStyle name="Normal 116 5 4 2 3" xfId="24953" xr:uid="{00000000-0005-0000-0000-0000D8200000}"/>
    <cellStyle name="Normal 116 5 4 3" xfId="12527" xr:uid="{00000000-0005-0000-0000-0000D9200000}"/>
    <cellStyle name="Normal 116 5 4 3 2" xfId="29052" xr:uid="{00000000-0005-0000-0000-0000DA200000}"/>
    <cellStyle name="Normal 116 5 4 4" xfId="21009" xr:uid="{00000000-0005-0000-0000-0000DB200000}"/>
    <cellStyle name="Normal 116 5 5" xfId="7246" xr:uid="{00000000-0005-0000-0000-0000DC200000}"/>
    <cellStyle name="Normal 116 5 5 2" xfId="16427" xr:uid="{00000000-0005-0000-0000-0000DD200000}"/>
    <cellStyle name="Normal 116 5 5 2 2" xfId="33001" xr:uid="{00000000-0005-0000-0000-0000DE200000}"/>
    <cellStyle name="Normal 116 5 5 3" xfId="24954" xr:uid="{00000000-0005-0000-0000-0000DF200000}"/>
    <cellStyle name="Normal 116 5 6" xfId="12520" xr:uid="{00000000-0005-0000-0000-0000E0200000}"/>
    <cellStyle name="Normal 116 5 6 2" xfId="29045" xr:uid="{00000000-0005-0000-0000-0000E1200000}"/>
    <cellStyle name="Normal 116 5 7" xfId="21002" xr:uid="{00000000-0005-0000-0000-0000E2200000}"/>
    <cellStyle name="Normal 116 6" xfId="3037" xr:uid="{00000000-0005-0000-0000-0000E3200000}"/>
    <cellStyle name="Normal 116 6 2" xfId="3038" xr:uid="{00000000-0005-0000-0000-0000E4200000}"/>
    <cellStyle name="Normal 116 6 2 2" xfId="3039" xr:uid="{00000000-0005-0000-0000-0000E5200000}"/>
    <cellStyle name="Normal 116 6 2 2 2" xfId="7247" xr:uid="{00000000-0005-0000-0000-0000E6200000}"/>
    <cellStyle name="Normal 116 6 2 2 2 2" xfId="16428" xr:uid="{00000000-0005-0000-0000-0000E7200000}"/>
    <cellStyle name="Normal 116 6 2 2 2 2 2" xfId="33002" xr:uid="{00000000-0005-0000-0000-0000E8200000}"/>
    <cellStyle name="Normal 116 6 2 2 2 3" xfId="24955" xr:uid="{00000000-0005-0000-0000-0000E9200000}"/>
    <cellStyle name="Normal 116 6 2 2 3" xfId="12530" xr:uid="{00000000-0005-0000-0000-0000EA200000}"/>
    <cellStyle name="Normal 116 6 2 2 3 2" xfId="29055" xr:uid="{00000000-0005-0000-0000-0000EB200000}"/>
    <cellStyle name="Normal 116 6 2 2 4" xfId="21012" xr:uid="{00000000-0005-0000-0000-0000EC200000}"/>
    <cellStyle name="Normal 116 6 2 3" xfId="7248" xr:uid="{00000000-0005-0000-0000-0000ED200000}"/>
    <cellStyle name="Normal 116 6 2 3 2" xfId="16429" xr:uid="{00000000-0005-0000-0000-0000EE200000}"/>
    <cellStyle name="Normal 116 6 2 3 2 2" xfId="33003" xr:uid="{00000000-0005-0000-0000-0000EF200000}"/>
    <cellStyle name="Normal 116 6 2 3 3" xfId="24956" xr:uid="{00000000-0005-0000-0000-0000F0200000}"/>
    <cellStyle name="Normal 116 6 2 4" xfId="12529" xr:uid="{00000000-0005-0000-0000-0000F1200000}"/>
    <cellStyle name="Normal 116 6 2 4 2" xfId="29054" xr:uid="{00000000-0005-0000-0000-0000F2200000}"/>
    <cellStyle name="Normal 116 6 2 5" xfId="21011" xr:uid="{00000000-0005-0000-0000-0000F3200000}"/>
    <cellStyle name="Normal 116 6 3" xfId="3040" xr:uid="{00000000-0005-0000-0000-0000F4200000}"/>
    <cellStyle name="Normal 116 6 3 2" xfId="7249" xr:uid="{00000000-0005-0000-0000-0000F5200000}"/>
    <cellStyle name="Normal 116 6 3 2 2" xfId="16430" xr:uid="{00000000-0005-0000-0000-0000F6200000}"/>
    <cellStyle name="Normal 116 6 3 2 2 2" xfId="33004" xr:uid="{00000000-0005-0000-0000-0000F7200000}"/>
    <cellStyle name="Normal 116 6 3 2 3" xfId="24957" xr:uid="{00000000-0005-0000-0000-0000F8200000}"/>
    <cellStyle name="Normal 116 6 3 3" xfId="12531" xr:uid="{00000000-0005-0000-0000-0000F9200000}"/>
    <cellStyle name="Normal 116 6 3 3 2" xfId="29056" xr:uid="{00000000-0005-0000-0000-0000FA200000}"/>
    <cellStyle name="Normal 116 6 3 4" xfId="21013" xr:uid="{00000000-0005-0000-0000-0000FB200000}"/>
    <cellStyle name="Normal 116 6 4" xfId="7250" xr:uid="{00000000-0005-0000-0000-0000FC200000}"/>
    <cellStyle name="Normal 116 6 4 2" xfId="16431" xr:uid="{00000000-0005-0000-0000-0000FD200000}"/>
    <cellStyle name="Normal 116 6 4 2 2" xfId="33005" xr:uid="{00000000-0005-0000-0000-0000FE200000}"/>
    <cellStyle name="Normal 116 6 4 3" xfId="24958" xr:uid="{00000000-0005-0000-0000-0000FF200000}"/>
    <cellStyle name="Normal 116 6 5" xfId="12528" xr:uid="{00000000-0005-0000-0000-000000210000}"/>
    <cellStyle name="Normal 116 6 5 2" xfId="29053" xr:uid="{00000000-0005-0000-0000-000001210000}"/>
    <cellStyle name="Normal 116 6 6" xfId="21010" xr:uid="{00000000-0005-0000-0000-000002210000}"/>
    <cellStyle name="Normal 116 7" xfId="3041" xr:uid="{00000000-0005-0000-0000-000003210000}"/>
    <cellStyle name="Normal 116 7 2" xfId="3042" xr:uid="{00000000-0005-0000-0000-000004210000}"/>
    <cellStyle name="Normal 116 7 2 2" xfId="7251" xr:uid="{00000000-0005-0000-0000-000005210000}"/>
    <cellStyle name="Normal 116 7 2 2 2" xfId="16432" xr:uid="{00000000-0005-0000-0000-000006210000}"/>
    <cellStyle name="Normal 116 7 2 2 2 2" xfId="33006" xr:uid="{00000000-0005-0000-0000-000007210000}"/>
    <cellStyle name="Normal 116 7 2 2 3" xfId="24959" xr:uid="{00000000-0005-0000-0000-000008210000}"/>
    <cellStyle name="Normal 116 7 2 3" xfId="12533" xr:uid="{00000000-0005-0000-0000-000009210000}"/>
    <cellStyle name="Normal 116 7 2 3 2" xfId="29058" xr:uid="{00000000-0005-0000-0000-00000A210000}"/>
    <cellStyle name="Normal 116 7 2 4" xfId="21015" xr:uid="{00000000-0005-0000-0000-00000B210000}"/>
    <cellStyle name="Normal 116 7 3" xfId="7252" xr:uid="{00000000-0005-0000-0000-00000C210000}"/>
    <cellStyle name="Normal 116 7 3 2" xfId="16433" xr:uid="{00000000-0005-0000-0000-00000D210000}"/>
    <cellStyle name="Normal 116 7 3 2 2" xfId="33007" xr:uid="{00000000-0005-0000-0000-00000E210000}"/>
    <cellStyle name="Normal 116 7 3 3" xfId="24960" xr:uid="{00000000-0005-0000-0000-00000F210000}"/>
    <cellStyle name="Normal 116 7 4" xfId="12532" xr:uid="{00000000-0005-0000-0000-000010210000}"/>
    <cellStyle name="Normal 116 7 4 2" xfId="29057" xr:uid="{00000000-0005-0000-0000-000011210000}"/>
    <cellStyle name="Normal 116 7 5" xfId="21014" xr:uid="{00000000-0005-0000-0000-000012210000}"/>
    <cellStyle name="Normal 116 8" xfId="3043" xr:uid="{00000000-0005-0000-0000-000013210000}"/>
    <cellStyle name="Normal 116 8 2" xfId="7253" xr:uid="{00000000-0005-0000-0000-000014210000}"/>
    <cellStyle name="Normal 116 8 2 2" xfId="16434" xr:uid="{00000000-0005-0000-0000-000015210000}"/>
    <cellStyle name="Normal 116 8 2 2 2" xfId="33008" xr:uid="{00000000-0005-0000-0000-000016210000}"/>
    <cellStyle name="Normal 116 8 2 3" xfId="24961" xr:uid="{00000000-0005-0000-0000-000017210000}"/>
    <cellStyle name="Normal 116 8 3" xfId="12534" xr:uid="{00000000-0005-0000-0000-000018210000}"/>
    <cellStyle name="Normal 116 8 3 2" xfId="29059" xr:uid="{00000000-0005-0000-0000-000019210000}"/>
    <cellStyle name="Normal 116 8 4" xfId="21016" xr:uid="{00000000-0005-0000-0000-00001A210000}"/>
    <cellStyle name="Normal 116 9" xfId="7254" xr:uid="{00000000-0005-0000-0000-00001B210000}"/>
    <cellStyle name="Normal 116 9 2" xfId="16435" xr:uid="{00000000-0005-0000-0000-00001C210000}"/>
    <cellStyle name="Normal 116 9 2 2" xfId="33009" xr:uid="{00000000-0005-0000-0000-00001D210000}"/>
    <cellStyle name="Normal 116 9 3" xfId="24962" xr:uid="{00000000-0005-0000-0000-00001E210000}"/>
    <cellStyle name="Normal 117" xfId="3044" xr:uid="{00000000-0005-0000-0000-00001F210000}"/>
    <cellStyle name="Normal 117 10" xfId="12535" xr:uid="{00000000-0005-0000-0000-000020210000}"/>
    <cellStyle name="Normal 117 10 2" xfId="29060" xr:uid="{00000000-0005-0000-0000-000021210000}"/>
    <cellStyle name="Normal 117 11" xfId="21017" xr:uid="{00000000-0005-0000-0000-000022210000}"/>
    <cellStyle name="Normal 117 2" xfId="3045" xr:uid="{00000000-0005-0000-0000-000023210000}"/>
    <cellStyle name="Normal 117 2 2" xfId="3046" xr:uid="{00000000-0005-0000-0000-000024210000}"/>
    <cellStyle name="Normal 117 2 3" xfId="12536" xr:uid="{00000000-0005-0000-0000-000025210000}"/>
    <cellStyle name="Normal 117 2 3 2" xfId="29061" xr:uid="{00000000-0005-0000-0000-000026210000}"/>
    <cellStyle name="Normal 117 2 4" xfId="21018" xr:uid="{00000000-0005-0000-0000-000027210000}"/>
    <cellStyle name="Normal 117 3" xfId="3047" xr:uid="{00000000-0005-0000-0000-000028210000}"/>
    <cellStyle name="Normal 117 3 2" xfId="3048" xr:uid="{00000000-0005-0000-0000-000029210000}"/>
    <cellStyle name="Normal 117 3 2 2" xfId="3049" xr:uid="{00000000-0005-0000-0000-00002A210000}"/>
    <cellStyle name="Normal 117 3 2 2 2" xfId="3050" xr:uid="{00000000-0005-0000-0000-00002B210000}"/>
    <cellStyle name="Normal 117 3 2 2 2 2" xfId="7255" xr:uid="{00000000-0005-0000-0000-00002C210000}"/>
    <cellStyle name="Normal 117 3 2 2 2 2 2" xfId="16436" xr:uid="{00000000-0005-0000-0000-00002D210000}"/>
    <cellStyle name="Normal 117 3 2 2 2 2 2 2" xfId="33010" xr:uid="{00000000-0005-0000-0000-00002E210000}"/>
    <cellStyle name="Normal 117 3 2 2 2 2 3" xfId="24963" xr:uid="{00000000-0005-0000-0000-00002F210000}"/>
    <cellStyle name="Normal 117 3 2 2 2 3" xfId="12539" xr:uid="{00000000-0005-0000-0000-000030210000}"/>
    <cellStyle name="Normal 117 3 2 2 2 3 2" xfId="29064" xr:uid="{00000000-0005-0000-0000-000031210000}"/>
    <cellStyle name="Normal 117 3 2 2 2 4" xfId="21021" xr:uid="{00000000-0005-0000-0000-000032210000}"/>
    <cellStyle name="Normal 117 3 2 2 3" xfId="7256" xr:uid="{00000000-0005-0000-0000-000033210000}"/>
    <cellStyle name="Normal 117 3 2 2 3 2" xfId="16437" xr:uid="{00000000-0005-0000-0000-000034210000}"/>
    <cellStyle name="Normal 117 3 2 2 3 2 2" xfId="33011" xr:uid="{00000000-0005-0000-0000-000035210000}"/>
    <cellStyle name="Normal 117 3 2 2 3 3" xfId="24964" xr:uid="{00000000-0005-0000-0000-000036210000}"/>
    <cellStyle name="Normal 117 3 2 2 4" xfId="12538" xr:uid="{00000000-0005-0000-0000-000037210000}"/>
    <cellStyle name="Normal 117 3 2 2 4 2" xfId="29063" xr:uid="{00000000-0005-0000-0000-000038210000}"/>
    <cellStyle name="Normal 117 3 2 2 5" xfId="21020" xr:uid="{00000000-0005-0000-0000-000039210000}"/>
    <cellStyle name="Normal 117 3 2 3" xfId="3051" xr:uid="{00000000-0005-0000-0000-00003A210000}"/>
    <cellStyle name="Normal 117 3 2 3 2" xfId="7257" xr:uid="{00000000-0005-0000-0000-00003B210000}"/>
    <cellStyle name="Normal 117 3 2 3 2 2" xfId="16438" xr:uid="{00000000-0005-0000-0000-00003C210000}"/>
    <cellStyle name="Normal 117 3 2 3 2 2 2" xfId="33012" xr:uid="{00000000-0005-0000-0000-00003D210000}"/>
    <cellStyle name="Normal 117 3 2 3 2 3" xfId="24965" xr:uid="{00000000-0005-0000-0000-00003E210000}"/>
    <cellStyle name="Normal 117 3 2 3 3" xfId="12540" xr:uid="{00000000-0005-0000-0000-00003F210000}"/>
    <cellStyle name="Normal 117 3 2 3 3 2" xfId="29065" xr:uid="{00000000-0005-0000-0000-000040210000}"/>
    <cellStyle name="Normal 117 3 2 3 4" xfId="21022" xr:uid="{00000000-0005-0000-0000-000041210000}"/>
    <cellStyle name="Normal 117 3 2 4" xfId="7258" xr:uid="{00000000-0005-0000-0000-000042210000}"/>
    <cellStyle name="Normal 117 3 2 4 2" xfId="16439" xr:uid="{00000000-0005-0000-0000-000043210000}"/>
    <cellStyle name="Normal 117 3 2 4 2 2" xfId="33013" xr:uid="{00000000-0005-0000-0000-000044210000}"/>
    <cellStyle name="Normal 117 3 2 4 3" xfId="24966" xr:uid="{00000000-0005-0000-0000-000045210000}"/>
    <cellStyle name="Normal 117 3 2 5" xfId="12537" xr:uid="{00000000-0005-0000-0000-000046210000}"/>
    <cellStyle name="Normal 117 3 2 5 2" xfId="29062" xr:uid="{00000000-0005-0000-0000-000047210000}"/>
    <cellStyle name="Normal 117 3 2 6" xfId="21019" xr:uid="{00000000-0005-0000-0000-000048210000}"/>
    <cellStyle name="Normal 117 3 3" xfId="3052" xr:uid="{00000000-0005-0000-0000-000049210000}"/>
    <cellStyle name="Normal 117 3 3 2" xfId="3053" xr:uid="{00000000-0005-0000-0000-00004A210000}"/>
    <cellStyle name="Normal 117 3 3 2 2" xfId="7259" xr:uid="{00000000-0005-0000-0000-00004B210000}"/>
    <cellStyle name="Normal 117 3 3 2 2 2" xfId="16440" xr:uid="{00000000-0005-0000-0000-00004C210000}"/>
    <cellStyle name="Normal 117 3 3 2 2 2 2" xfId="33014" xr:uid="{00000000-0005-0000-0000-00004D210000}"/>
    <cellStyle name="Normal 117 3 3 2 2 3" xfId="24967" xr:uid="{00000000-0005-0000-0000-00004E210000}"/>
    <cellStyle name="Normal 117 3 3 2 3" xfId="12542" xr:uid="{00000000-0005-0000-0000-00004F210000}"/>
    <cellStyle name="Normal 117 3 3 2 3 2" xfId="29067" xr:uid="{00000000-0005-0000-0000-000050210000}"/>
    <cellStyle name="Normal 117 3 3 2 4" xfId="21024" xr:uid="{00000000-0005-0000-0000-000051210000}"/>
    <cellStyle name="Normal 117 3 3 3" xfId="7260" xr:uid="{00000000-0005-0000-0000-000052210000}"/>
    <cellStyle name="Normal 117 3 3 3 2" xfId="16441" xr:uid="{00000000-0005-0000-0000-000053210000}"/>
    <cellStyle name="Normal 117 3 3 3 2 2" xfId="33015" xr:uid="{00000000-0005-0000-0000-000054210000}"/>
    <cellStyle name="Normal 117 3 3 3 3" xfId="24968" xr:uid="{00000000-0005-0000-0000-000055210000}"/>
    <cellStyle name="Normal 117 3 3 4" xfId="12541" xr:uid="{00000000-0005-0000-0000-000056210000}"/>
    <cellStyle name="Normal 117 3 3 4 2" xfId="29066" xr:uid="{00000000-0005-0000-0000-000057210000}"/>
    <cellStyle name="Normal 117 3 3 5" xfId="21023" xr:uid="{00000000-0005-0000-0000-000058210000}"/>
    <cellStyle name="Normal 117 3 4" xfId="3054" xr:uid="{00000000-0005-0000-0000-000059210000}"/>
    <cellStyle name="Normal 117 3 4 2" xfId="7261" xr:uid="{00000000-0005-0000-0000-00005A210000}"/>
    <cellStyle name="Normal 117 3 4 2 2" xfId="16442" xr:uid="{00000000-0005-0000-0000-00005B210000}"/>
    <cellStyle name="Normal 117 3 4 2 2 2" xfId="33016" xr:uid="{00000000-0005-0000-0000-00005C210000}"/>
    <cellStyle name="Normal 117 3 4 2 3" xfId="24969" xr:uid="{00000000-0005-0000-0000-00005D210000}"/>
    <cellStyle name="Normal 117 3 4 3" xfId="12543" xr:uid="{00000000-0005-0000-0000-00005E210000}"/>
    <cellStyle name="Normal 117 3 4 3 2" xfId="29068" xr:uid="{00000000-0005-0000-0000-00005F210000}"/>
    <cellStyle name="Normal 117 3 4 4" xfId="21025" xr:uid="{00000000-0005-0000-0000-000060210000}"/>
    <cellStyle name="Normal 117 3 5" xfId="3055" xr:uid="{00000000-0005-0000-0000-000061210000}"/>
    <cellStyle name="Normal 117 3 5 2" xfId="12544" xr:uid="{00000000-0005-0000-0000-000062210000}"/>
    <cellStyle name="Normal 117 3 5 2 2" xfId="29069" xr:uid="{00000000-0005-0000-0000-000063210000}"/>
    <cellStyle name="Normal 117 3 5 3" xfId="21026" xr:uid="{00000000-0005-0000-0000-000064210000}"/>
    <cellStyle name="Normal 117 4" xfId="3056" xr:uid="{00000000-0005-0000-0000-000065210000}"/>
    <cellStyle name="Normal 117 4 2" xfId="3057" xr:uid="{00000000-0005-0000-0000-000066210000}"/>
    <cellStyle name="Normal 117 4 2 2" xfId="3058" xr:uid="{00000000-0005-0000-0000-000067210000}"/>
    <cellStyle name="Normal 117 4 2 2 2" xfId="3059" xr:uid="{00000000-0005-0000-0000-000068210000}"/>
    <cellStyle name="Normal 117 4 2 2 2 2" xfId="7262" xr:uid="{00000000-0005-0000-0000-000069210000}"/>
    <cellStyle name="Normal 117 4 2 2 2 2 2" xfId="16443" xr:uid="{00000000-0005-0000-0000-00006A210000}"/>
    <cellStyle name="Normal 117 4 2 2 2 2 2 2" xfId="33017" xr:uid="{00000000-0005-0000-0000-00006B210000}"/>
    <cellStyle name="Normal 117 4 2 2 2 2 3" xfId="24970" xr:uid="{00000000-0005-0000-0000-00006C210000}"/>
    <cellStyle name="Normal 117 4 2 2 2 3" xfId="12548" xr:uid="{00000000-0005-0000-0000-00006D210000}"/>
    <cellStyle name="Normal 117 4 2 2 2 3 2" xfId="29073" xr:uid="{00000000-0005-0000-0000-00006E210000}"/>
    <cellStyle name="Normal 117 4 2 2 2 4" xfId="21030" xr:uid="{00000000-0005-0000-0000-00006F210000}"/>
    <cellStyle name="Normal 117 4 2 2 3" xfId="7263" xr:uid="{00000000-0005-0000-0000-000070210000}"/>
    <cellStyle name="Normal 117 4 2 2 3 2" xfId="16444" xr:uid="{00000000-0005-0000-0000-000071210000}"/>
    <cellStyle name="Normal 117 4 2 2 3 2 2" xfId="33018" xr:uid="{00000000-0005-0000-0000-000072210000}"/>
    <cellStyle name="Normal 117 4 2 2 3 3" xfId="24971" xr:uid="{00000000-0005-0000-0000-000073210000}"/>
    <cellStyle name="Normal 117 4 2 2 4" xfId="12547" xr:uid="{00000000-0005-0000-0000-000074210000}"/>
    <cellStyle name="Normal 117 4 2 2 4 2" xfId="29072" xr:uid="{00000000-0005-0000-0000-000075210000}"/>
    <cellStyle name="Normal 117 4 2 2 5" xfId="21029" xr:uid="{00000000-0005-0000-0000-000076210000}"/>
    <cellStyle name="Normal 117 4 2 3" xfId="3060" xr:uid="{00000000-0005-0000-0000-000077210000}"/>
    <cellStyle name="Normal 117 4 2 3 2" xfId="7264" xr:uid="{00000000-0005-0000-0000-000078210000}"/>
    <cellStyle name="Normal 117 4 2 3 2 2" xfId="16445" xr:uid="{00000000-0005-0000-0000-000079210000}"/>
    <cellStyle name="Normal 117 4 2 3 2 2 2" xfId="33019" xr:uid="{00000000-0005-0000-0000-00007A210000}"/>
    <cellStyle name="Normal 117 4 2 3 2 3" xfId="24972" xr:uid="{00000000-0005-0000-0000-00007B210000}"/>
    <cellStyle name="Normal 117 4 2 3 3" xfId="12549" xr:uid="{00000000-0005-0000-0000-00007C210000}"/>
    <cellStyle name="Normal 117 4 2 3 3 2" xfId="29074" xr:uid="{00000000-0005-0000-0000-00007D210000}"/>
    <cellStyle name="Normal 117 4 2 3 4" xfId="21031" xr:uid="{00000000-0005-0000-0000-00007E210000}"/>
    <cellStyle name="Normal 117 4 2 4" xfId="7265" xr:uid="{00000000-0005-0000-0000-00007F210000}"/>
    <cellStyle name="Normal 117 4 2 4 2" xfId="16446" xr:uid="{00000000-0005-0000-0000-000080210000}"/>
    <cellStyle name="Normal 117 4 2 4 2 2" xfId="33020" xr:uid="{00000000-0005-0000-0000-000081210000}"/>
    <cellStyle name="Normal 117 4 2 4 3" xfId="24973" xr:uid="{00000000-0005-0000-0000-000082210000}"/>
    <cellStyle name="Normal 117 4 2 5" xfId="12546" xr:uid="{00000000-0005-0000-0000-000083210000}"/>
    <cellStyle name="Normal 117 4 2 5 2" xfId="29071" xr:uid="{00000000-0005-0000-0000-000084210000}"/>
    <cellStyle name="Normal 117 4 2 6" xfId="21028" xr:uid="{00000000-0005-0000-0000-000085210000}"/>
    <cellStyle name="Normal 117 4 3" xfId="3061" xr:uid="{00000000-0005-0000-0000-000086210000}"/>
    <cellStyle name="Normal 117 4 3 2" xfId="3062" xr:uid="{00000000-0005-0000-0000-000087210000}"/>
    <cellStyle name="Normal 117 4 3 2 2" xfId="7266" xr:uid="{00000000-0005-0000-0000-000088210000}"/>
    <cellStyle name="Normal 117 4 3 2 2 2" xfId="16447" xr:uid="{00000000-0005-0000-0000-000089210000}"/>
    <cellStyle name="Normal 117 4 3 2 2 2 2" xfId="33021" xr:uid="{00000000-0005-0000-0000-00008A210000}"/>
    <cellStyle name="Normal 117 4 3 2 2 3" xfId="24974" xr:uid="{00000000-0005-0000-0000-00008B210000}"/>
    <cellStyle name="Normal 117 4 3 2 3" xfId="12551" xr:uid="{00000000-0005-0000-0000-00008C210000}"/>
    <cellStyle name="Normal 117 4 3 2 3 2" xfId="29076" xr:uid="{00000000-0005-0000-0000-00008D210000}"/>
    <cellStyle name="Normal 117 4 3 2 4" xfId="21033" xr:uid="{00000000-0005-0000-0000-00008E210000}"/>
    <cellStyle name="Normal 117 4 3 3" xfId="7267" xr:uid="{00000000-0005-0000-0000-00008F210000}"/>
    <cellStyle name="Normal 117 4 3 3 2" xfId="16448" xr:uid="{00000000-0005-0000-0000-000090210000}"/>
    <cellStyle name="Normal 117 4 3 3 2 2" xfId="33022" xr:uid="{00000000-0005-0000-0000-000091210000}"/>
    <cellStyle name="Normal 117 4 3 3 3" xfId="24975" xr:uid="{00000000-0005-0000-0000-000092210000}"/>
    <cellStyle name="Normal 117 4 3 4" xfId="12550" xr:uid="{00000000-0005-0000-0000-000093210000}"/>
    <cellStyle name="Normal 117 4 3 4 2" xfId="29075" xr:uid="{00000000-0005-0000-0000-000094210000}"/>
    <cellStyle name="Normal 117 4 3 5" xfId="21032" xr:uid="{00000000-0005-0000-0000-000095210000}"/>
    <cellStyle name="Normal 117 4 4" xfId="3063" xr:uid="{00000000-0005-0000-0000-000096210000}"/>
    <cellStyle name="Normal 117 4 4 2" xfId="7268" xr:uid="{00000000-0005-0000-0000-000097210000}"/>
    <cellStyle name="Normal 117 4 4 2 2" xfId="16449" xr:uid="{00000000-0005-0000-0000-000098210000}"/>
    <cellStyle name="Normal 117 4 4 2 2 2" xfId="33023" xr:uid="{00000000-0005-0000-0000-000099210000}"/>
    <cellStyle name="Normal 117 4 4 2 3" xfId="24976" xr:uid="{00000000-0005-0000-0000-00009A210000}"/>
    <cellStyle name="Normal 117 4 4 3" xfId="12552" xr:uid="{00000000-0005-0000-0000-00009B210000}"/>
    <cellStyle name="Normal 117 4 4 3 2" xfId="29077" xr:uid="{00000000-0005-0000-0000-00009C210000}"/>
    <cellStyle name="Normal 117 4 4 4" xfId="21034" xr:uid="{00000000-0005-0000-0000-00009D210000}"/>
    <cellStyle name="Normal 117 4 5" xfId="7269" xr:uid="{00000000-0005-0000-0000-00009E210000}"/>
    <cellStyle name="Normal 117 4 5 2" xfId="16450" xr:uid="{00000000-0005-0000-0000-00009F210000}"/>
    <cellStyle name="Normal 117 4 5 2 2" xfId="33024" xr:uid="{00000000-0005-0000-0000-0000A0210000}"/>
    <cellStyle name="Normal 117 4 5 3" xfId="24977" xr:uid="{00000000-0005-0000-0000-0000A1210000}"/>
    <cellStyle name="Normal 117 4 6" xfId="12545" xr:uid="{00000000-0005-0000-0000-0000A2210000}"/>
    <cellStyle name="Normal 117 4 6 2" xfId="29070" xr:uid="{00000000-0005-0000-0000-0000A3210000}"/>
    <cellStyle name="Normal 117 4 7" xfId="21027" xr:uid="{00000000-0005-0000-0000-0000A4210000}"/>
    <cellStyle name="Normal 117 5" xfId="3064" xr:uid="{00000000-0005-0000-0000-0000A5210000}"/>
    <cellStyle name="Normal 117 5 2" xfId="3065" xr:uid="{00000000-0005-0000-0000-0000A6210000}"/>
    <cellStyle name="Normal 117 5 2 2" xfId="3066" xr:uid="{00000000-0005-0000-0000-0000A7210000}"/>
    <cellStyle name="Normal 117 5 2 2 2" xfId="3067" xr:uid="{00000000-0005-0000-0000-0000A8210000}"/>
    <cellStyle name="Normal 117 5 2 2 2 2" xfId="7270" xr:uid="{00000000-0005-0000-0000-0000A9210000}"/>
    <cellStyle name="Normal 117 5 2 2 2 2 2" xfId="16451" xr:uid="{00000000-0005-0000-0000-0000AA210000}"/>
    <cellStyle name="Normal 117 5 2 2 2 2 2 2" xfId="33025" xr:uid="{00000000-0005-0000-0000-0000AB210000}"/>
    <cellStyle name="Normal 117 5 2 2 2 2 3" xfId="24978" xr:uid="{00000000-0005-0000-0000-0000AC210000}"/>
    <cellStyle name="Normal 117 5 2 2 2 3" xfId="12556" xr:uid="{00000000-0005-0000-0000-0000AD210000}"/>
    <cellStyle name="Normal 117 5 2 2 2 3 2" xfId="29081" xr:uid="{00000000-0005-0000-0000-0000AE210000}"/>
    <cellStyle name="Normal 117 5 2 2 2 4" xfId="21038" xr:uid="{00000000-0005-0000-0000-0000AF210000}"/>
    <cellStyle name="Normal 117 5 2 2 3" xfId="7271" xr:uid="{00000000-0005-0000-0000-0000B0210000}"/>
    <cellStyle name="Normal 117 5 2 2 3 2" xfId="16452" xr:uid="{00000000-0005-0000-0000-0000B1210000}"/>
    <cellStyle name="Normal 117 5 2 2 3 2 2" xfId="33026" xr:uid="{00000000-0005-0000-0000-0000B2210000}"/>
    <cellStyle name="Normal 117 5 2 2 3 3" xfId="24979" xr:uid="{00000000-0005-0000-0000-0000B3210000}"/>
    <cellStyle name="Normal 117 5 2 2 4" xfId="12555" xr:uid="{00000000-0005-0000-0000-0000B4210000}"/>
    <cellStyle name="Normal 117 5 2 2 4 2" xfId="29080" xr:uid="{00000000-0005-0000-0000-0000B5210000}"/>
    <cellStyle name="Normal 117 5 2 2 5" xfId="21037" xr:uid="{00000000-0005-0000-0000-0000B6210000}"/>
    <cellStyle name="Normal 117 5 2 3" xfId="3068" xr:uid="{00000000-0005-0000-0000-0000B7210000}"/>
    <cellStyle name="Normal 117 5 2 3 2" xfId="7272" xr:uid="{00000000-0005-0000-0000-0000B8210000}"/>
    <cellStyle name="Normal 117 5 2 3 2 2" xfId="16453" xr:uid="{00000000-0005-0000-0000-0000B9210000}"/>
    <cellStyle name="Normal 117 5 2 3 2 2 2" xfId="33027" xr:uid="{00000000-0005-0000-0000-0000BA210000}"/>
    <cellStyle name="Normal 117 5 2 3 2 3" xfId="24980" xr:uid="{00000000-0005-0000-0000-0000BB210000}"/>
    <cellStyle name="Normal 117 5 2 3 3" xfId="12557" xr:uid="{00000000-0005-0000-0000-0000BC210000}"/>
    <cellStyle name="Normal 117 5 2 3 3 2" xfId="29082" xr:uid="{00000000-0005-0000-0000-0000BD210000}"/>
    <cellStyle name="Normal 117 5 2 3 4" xfId="21039" xr:uid="{00000000-0005-0000-0000-0000BE210000}"/>
    <cellStyle name="Normal 117 5 2 4" xfId="7273" xr:uid="{00000000-0005-0000-0000-0000BF210000}"/>
    <cellStyle name="Normal 117 5 2 4 2" xfId="16454" xr:uid="{00000000-0005-0000-0000-0000C0210000}"/>
    <cellStyle name="Normal 117 5 2 4 2 2" xfId="33028" xr:uid="{00000000-0005-0000-0000-0000C1210000}"/>
    <cellStyle name="Normal 117 5 2 4 3" xfId="24981" xr:uid="{00000000-0005-0000-0000-0000C2210000}"/>
    <cellStyle name="Normal 117 5 2 5" xfId="12554" xr:uid="{00000000-0005-0000-0000-0000C3210000}"/>
    <cellStyle name="Normal 117 5 2 5 2" xfId="29079" xr:uid="{00000000-0005-0000-0000-0000C4210000}"/>
    <cellStyle name="Normal 117 5 2 6" xfId="21036" xr:uid="{00000000-0005-0000-0000-0000C5210000}"/>
    <cellStyle name="Normal 117 5 3" xfId="3069" xr:uid="{00000000-0005-0000-0000-0000C6210000}"/>
    <cellStyle name="Normal 117 5 3 2" xfId="3070" xr:uid="{00000000-0005-0000-0000-0000C7210000}"/>
    <cellStyle name="Normal 117 5 3 2 2" xfId="7274" xr:uid="{00000000-0005-0000-0000-0000C8210000}"/>
    <cellStyle name="Normal 117 5 3 2 2 2" xfId="16455" xr:uid="{00000000-0005-0000-0000-0000C9210000}"/>
    <cellStyle name="Normal 117 5 3 2 2 2 2" xfId="33029" xr:uid="{00000000-0005-0000-0000-0000CA210000}"/>
    <cellStyle name="Normal 117 5 3 2 2 3" xfId="24982" xr:uid="{00000000-0005-0000-0000-0000CB210000}"/>
    <cellStyle name="Normal 117 5 3 2 3" xfId="12559" xr:uid="{00000000-0005-0000-0000-0000CC210000}"/>
    <cellStyle name="Normal 117 5 3 2 3 2" xfId="29084" xr:uid="{00000000-0005-0000-0000-0000CD210000}"/>
    <cellStyle name="Normal 117 5 3 2 4" xfId="21041" xr:uid="{00000000-0005-0000-0000-0000CE210000}"/>
    <cellStyle name="Normal 117 5 3 3" xfId="7275" xr:uid="{00000000-0005-0000-0000-0000CF210000}"/>
    <cellStyle name="Normal 117 5 3 3 2" xfId="16456" xr:uid="{00000000-0005-0000-0000-0000D0210000}"/>
    <cellStyle name="Normal 117 5 3 3 2 2" xfId="33030" xr:uid="{00000000-0005-0000-0000-0000D1210000}"/>
    <cellStyle name="Normal 117 5 3 3 3" xfId="24983" xr:uid="{00000000-0005-0000-0000-0000D2210000}"/>
    <cellStyle name="Normal 117 5 3 4" xfId="12558" xr:uid="{00000000-0005-0000-0000-0000D3210000}"/>
    <cellStyle name="Normal 117 5 3 4 2" xfId="29083" xr:uid="{00000000-0005-0000-0000-0000D4210000}"/>
    <cellStyle name="Normal 117 5 3 5" xfId="21040" xr:uid="{00000000-0005-0000-0000-0000D5210000}"/>
    <cellStyle name="Normal 117 5 4" xfId="3071" xr:uid="{00000000-0005-0000-0000-0000D6210000}"/>
    <cellStyle name="Normal 117 5 4 2" xfId="7276" xr:uid="{00000000-0005-0000-0000-0000D7210000}"/>
    <cellStyle name="Normal 117 5 4 2 2" xfId="16457" xr:uid="{00000000-0005-0000-0000-0000D8210000}"/>
    <cellStyle name="Normal 117 5 4 2 2 2" xfId="33031" xr:uid="{00000000-0005-0000-0000-0000D9210000}"/>
    <cellStyle name="Normal 117 5 4 2 3" xfId="24984" xr:uid="{00000000-0005-0000-0000-0000DA210000}"/>
    <cellStyle name="Normal 117 5 4 3" xfId="12560" xr:uid="{00000000-0005-0000-0000-0000DB210000}"/>
    <cellStyle name="Normal 117 5 4 3 2" xfId="29085" xr:uid="{00000000-0005-0000-0000-0000DC210000}"/>
    <cellStyle name="Normal 117 5 4 4" xfId="21042" xr:uid="{00000000-0005-0000-0000-0000DD210000}"/>
    <cellStyle name="Normal 117 5 5" xfId="7277" xr:uid="{00000000-0005-0000-0000-0000DE210000}"/>
    <cellStyle name="Normal 117 5 5 2" xfId="16458" xr:uid="{00000000-0005-0000-0000-0000DF210000}"/>
    <cellStyle name="Normal 117 5 5 2 2" xfId="33032" xr:uid="{00000000-0005-0000-0000-0000E0210000}"/>
    <cellStyle name="Normal 117 5 5 3" xfId="24985" xr:uid="{00000000-0005-0000-0000-0000E1210000}"/>
    <cellStyle name="Normal 117 5 6" xfId="12553" xr:uid="{00000000-0005-0000-0000-0000E2210000}"/>
    <cellStyle name="Normal 117 5 6 2" xfId="29078" xr:uid="{00000000-0005-0000-0000-0000E3210000}"/>
    <cellStyle name="Normal 117 5 7" xfId="21035" xr:uid="{00000000-0005-0000-0000-0000E4210000}"/>
    <cellStyle name="Normal 117 6" xfId="3072" xr:uid="{00000000-0005-0000-0000-0000E5210000}"/>
    <cellStyle name="Normal 117 6 2" xfId="3073" xr:uid="{00000000-0005-0000-0000-0000E6210000}"/>
    <cellStyle name="Normal 117 6 2 2" xfId="3074" xr:uid="{00000000-0005-0000-0000-0000E7210000}"/>
    <cellStyle name="Normal 117 6 2 2 2" xfId="7278" xr:uid="{00000000-0005-0000-0000-0000E8210000}"/>
    <cellStyle name="Normal 117 6 2 2 2 2" xfId="16459" xr:uid="{00000000-0005-0000-0000-0000E9210000}"/>
    <cellStyle name="Normal 117 6 2 2 2 2 2" xfId="33033" xr:uid="{00000000-0005-0000-0000-0000EA210000}"/>
    <cellStyle name="Normal 117 6 2 2 2 3" xfId="24986" xr:uid="{00000000-0005-0000-0000-0000EB210000}"/>
    <cellStyle name="Normal 117 6 2 2 3" xfId="12563" xr:uid="{00000000-0005-0000-0000-0000EC210000}"/>
    <cellStyle name="Normal 117 6 2 2 3 2" xfId="29088" xr:uid="{00000000-0005-0000-0000-0000ED210000}"/>
    <cellStyle name="Normal 117 6 2 2 4" xfId="21045" xr:uid="{00000000-0005-0000-0000-0000EE210000}"/>
    <cellStyle name="Normal 117 6 2 3" xfId="7279" xr:uid="{00000000-0005-0000-0000-0000EF210000}"/>
    <cellStyle name="Normal 117 6 2 3 2" xfId="16460" xr:uid="{00000000-0005-0000-0000-0000F0210000}"/>
    <cellStyle name="Normal 117 6 2 3 2 2" xfId="33034" xr:uid="{00000000-0005-0000-0000-0000F1210000}"/>
    <cellStyle name="Normal 117 6 2 3 3" xfId="24987" xr:uid="{00000000-0005-0000-0000-0000F2210000}"/>
    <cellStyle name="Normal 117 6 2 4" xfId="12562" xr:uid="{00000000-0005-0000-0000-0000F3210000}"/>
    <cellStyle name="Normal 117 6 2 4 2" xfId="29087" xr:uid="{00000000-0005-0000-0000-0000F4210000}"/>
    <cellStyle name="Normal 117 6 2 5" xfId="21044" xr:uid="{00000000-0005-0000-0000-0000F5210000}"/>
    <cellStyle name="Normal 117 6 3" xfId="3075" xr:uid="{00000000-0005-0000-0000-0000F6210000}"/>
    <cellStyle name="Normal 117 6 3 2" xfId="7280" xr:uid="{00000000-0005-0000-0000-0000F7210000}"/>
    <cellStyle name="Normal 117 6 3 2 2" xfId="16461" xr:uid="{00000000-0005-0000-0000-0000F8210000}"/>
    <cellStyle name="Normal 117 6 3 2 2 2" xfId="33035" xr:uid="{00000000-0005-0000-0000-0000F9210000}"/>
    <cellStyle name="Normal 117 6 3 2 3" xfId="24988" xr:uid="{00000000-0005-0000-0000-0000FA210000}"/>
    <cellStyle name="Normal 117 6 3 3" xfId="12564" xr:uid="{00000000-0005-0000-0000-0000FB210000}"/>
    <cellStyle name="Normal 117 6 3 3 2" xfId="29089" xr:uid="{00000000-0005-0000-0000-0000FC210000}"/>
    <cellStyle name="Normal 117 6 3 4" xfId="21046" xr:uid="{00000000-0005-0000-0000-0000FD210000}"/>
    <cellStyle name="Normal 117 6 4" xfId="7281" xr:uid="{00000000-0005-0000-0000-0000FE210000}"/>
    <cellStyle name="Normal 117 6 4 2" xfId="16462" xr:uid="{00000000-0005-0000-0000-0000FF210000}"/>
    <cellStyle name="Normal 117 6 4 2 2" xfId="33036" xr:uid="{00000000-0005-0000-0000-000000220000}"/>
    <cellStyle name="Normal 117 6 4 3" xfId="24989" xr:uid="{00000000-0005-0000-0000-000001220000}"/>
    <cellStyle name="Normal 117 6 5" xfId="12561" xr:uid="{00000000-0005-0000-0000-000002220000}"/>
    <cellStyle name="Normal 117 6 5 2" xfId="29086" xr:uid="{00000000-0005-0000-0000-000003220000}"/>
    <cellStyle name="Normal 117 6 6" xfId="21043" xr:uid="{00000000-0005-0000-0000-000004220000}"/>
    <cellStyle name="Normal 117 7" xfId="3076" xr:uid="{00000000-0005-0000-0000-000005220000}"/>
    <cellStyle name="Normal 117 7 2" xfId="3077" xr:uid="{00000000-0005-0000-0000-000006220000}"/>
    <cellStyle name="Normal 117 7 2 2" xfId="7282" xr:uid="{00000000-0005-0000-0000-000007220000}"/>
    <cellStyle name="Normal 117 7 2 2 2" xfId="16463" xr:uid="{00000000-0005-0000-0000-000008220000}"/>
    <cellStyle name="Normal 117 7 2 2 2 2" xfId="33037" xr:uid="{00000000-0005-0000-0000-000009220000}"/>
    <cellStyle name="Normal 117 7 2 2 3" xfId="24990" xr:uid="{00000000-0005-0000-0000-00000A220000}"/>
    <cellStyle name="Normal 117 7 2 3" xfId="12566" xr:uid="{00000000-0005-0000-0000-00000B220000}"/>
    <cellStyle name="Normal 117 7 2 3 2" xfId="29091" xr:uid="{00000000-0005-0000-0000-00000C220000}"/>
    <cellStyle name="Normal 117 7 2 4" xfId="21048" xr:uid="{00000000-0005-0000-0000-00000D220000}"/>
    <cellStyle name="Normal 117 7 3" xfId="7283" xr:uid="{00000000-0005-0000-0000-00000E220000}"/>
    <cellStyle name="Normal 117 7 3 2" xfId="16464" xr:uid="{00000000-0005-0000-0000-00000F220000}"/>
    <cellStyle name="Normal 117 7 3 2 2" xfId="33038" xr:uid="{00000000-0005-0000-0000-000010220000}"/>
    <cellStyle name="Normal 117 7 3 3" xfId="24991" xr:uid="{00000000-0005-0000-0000-000011220000}"/>
    <cellStyle name="Normal 117 7 4" xfId="12565" xr:uid="{00000000-0005-0000-0000-000012220000}"/>
    <cellStyle name="Normal 117 7 4 2" xfId="29090" xr:uid="{00000000-0005-0000-0000-000013220000}"/>
    <cellStyle name="Normal 117 7 5" xfId="21047" xr:uid="{00000000-0005-0000-0000-000014220000}"/>
    <cellStyle name="Normal 117 8" xfId="3078" xr:uid="{00000000-0005-0000-0000-000015220000}"/>
    <cellStyle name="Normal 117 8 2" xfId="7284" xr:uid="{00000000-0005-0000-0000-000016220000}"/>
    <cellStyle name="Normal 117 8 2 2" xfId="16465" xr:uid="{00000000-0005-0000-0000-000017220000}"/>
    <cellStyle name="Normal 117 8 2 2 2" xfId="33039" xr:uid="{00000000-0005-0000-0000-000018220000}"/>
    <cellStyle name="Normal 117 8 2 3" xfId="24992" xr:uid="{00000000-0005-0000-0000-000019220000}"/>
    <cellStyle name="Normal 117 8 3" xfId="12567" xr:uid="{00000000-0005-0000-0000-00001A220000}"/>
    <cellStyle name="Normal 117 8 3 2" xfId="29092" xr:uid="{00000000-0005-0000-0000-00001B220000}"/>
    <cellStyle name="Normal 117 8 4" xfId="21049" xr:uid="{00000000-0005-0000-0000-00001C220000}"/>
    <cellStyle name="Normal 117 9" xfId="7285" xr:uid="{00000000-0005-0000-0000-00001D220000}"/>
    <cellStyle name="Normal 117 9 2" xfId="16466" xr:uid="{00000000-0005-0000-0000-00001E220000}"/>
    <cellStyle name="Normal 117 9 2 2" xfId="33040" xr:uid="{00000000-0005-0000-0000-00001F220000}"/>
    <cellStyle name="Normal 117 9 3" xfId="24993" xr:uid="{00000000-0005-0000-0000-000020220000}"/>
    <cellStyle name="Normal 118" xfId="3079" xr:uid="{00000000-0005-0000-0000-000021220000}"/>
    <cellStyle name="Normal 118 10" xfId="12568" xr:uid="{00000000-0005-0000-0000-000022220000}"/>
    <cellStyle name="Normal 118 10 2" xfId="29093" xr:uid="{00000000-0005-0000-0000-000023220000}"/>
    <cellStyle name="Normal 118 11" xfId="21050" xr:uid="{00000000-0005-0000-0000-000024220000}"/>
    <cellStyle name="Normal 118 2" xfId="3080" xr:uid="{00000000-0005-0000-0000-000025220000}"/>
    <cellStyle name="Normal 118 2 2" xfId="3081" xr:uid="{00000000-0005-0000-0000-000026220000}"/>
    <cellStyle name="Normal 118 2 3" xfId="12569" xr:uid="{00000000-0005-0000-0000-000027220000}"/>
    <cellStyle name="Normal 118 2 3 2" xfId="29094" xr:uid="{00000000-0005-0000-0000-000028220000}"/>
    <cellStyle name="Normal 118 2 4" xfId="21051" xr:uid="{00000000-0005-0000-0000-000029220000}"/>
    <cellStyle name="Normal 118 3" xfId="3082" xr:uid="{00000000-0005-0000-0000-00002A220000}"/>
    <cellStyle name="Normal 118 3 2" xfId="3083" xr:uid="{00000000-0005-0000-0000-00002B220000}"/>
    <cellStyle name="Normal 118 3 2 2" xfId="3084" xr:uid="{00000000-0005-0000-0000-00002C220000}"/>
    <cellStyle name="Normal 118 3 2 2 2" xfId="3085" xr:uid="{00000000-0005-0000-0000-00002D220000}"/>
    <cellStyle name="Normal 118 3 2 2 2 2" xfId="7286" xr:uid="{00000000-0005-0000-0000-00002E220000}"/>
    <cellStyle name="Normal 118 3 2 2 2 2 2" xfId="16467" xr:uid="{00000000-0005-0000-0000-00002F220000}"/>
    <cellStyle name="Normal 118 3 2 2 2 2 2 2" xfId="33041" xr:uid="{00000000-0005-0000-0000-000030220000}"/>
    <cellStyle name="Normal 118 3 2 2 2 2 3" xfId="24994" xr:uid="{00000000-0005-0000-0000-000031220000}"/>
    <cellStyle name="Normal 118 3 2 2 2 3" xfId="12572" xr:uid="{00000000-0005-0000-0000-000032220000}"/>
    <cellStyle name="Normal 118 3 2 2 2 3 2" xfId="29097" xr:uid="{00000000-0005-0000-0000-000033220000}"/>
    <cellStyle name="Normal 118 3 2 2 2 4" xfId="21054" xr:uid="{00000000-0005-0000-0000-000034220000}"/>
    <cellStyle name="Normal 118 3 2 2 3" xfId="7287" xr:uid="{00000000-0005-0000-0000-000035220000}"/>
    <cellStyle name="Normal 118 3 2 2 3 2" xfId="16468" xr:uid="{00000000-0005-0000-0000-000036220000}"/>
    <cellStyle name="Normal 118 3 2 2 3 2 2" xfId="33042" xr:uid="{00000000-0005-0000-0000-000037220000}"/>
    <cellStyle name="Normal 118 3 2 2 3 3" xfId="24995" xr:uid="{00000000-0005-0000-0000-000038220000}"/>
    <cellStyle name="Normal 118 3 2 2 4" xfId="12571" xr:uid="{00000000-0005-0000-0000-000039220000}"/>
    <cellStyle name="Normal 118 3 2 2 4 2" xfId="29096" xr:uid="{00000000-0005-0000-0000-00003A220000}"/>
    <cellStyle name="Normal 118 3 2 2 5" xfId="21053" xr:uid="{00000000-0005-0000-0000-00003B220000}"/>
    <cellStyle name="Normal 118 3 2 3" xfId="3086" xr:uid="{00000000-0005-0000-0000-00003C220000}"/>
    <cellStyle name="Normal 118 3 2 3 2" xfId="7288" xr:uid="{00000000-0005-0000-0000-00003D220000}"/>
    <cellStyle name="Normal 118 3 2 3 2 2" xfId="16469" xr:uid="{00000000-0005-0000-0000-00003E220000}"/>
    <cellStyle name="Normal 118 3 2 3 2 2 2" xfId="33043" xr:uid="{00000000-0005-0000-0000-00003F220000}"/>
    <cellStyle name="Normal 118 3 2 3 2 3" xfId="24996" xr:uid="{00000000-0005-0000-0000-000040220000}"/>
    <cellStyle name="Normal 118 3 2 3 3" xfId="12573" xr:uid="{00000000-0005-0000-0000-000041220000}"/>
    <cellStyle name="Normal 118 3 2 3 3 2" xfId="29098" xr:uid="{00000000-0005-0000-0000-000042220000}"/>
    <cellStyle name="Normal 118 3 2 3 4" xfId="21055" xr:uid="{00000000-0005-0000-0000-000043220000}"/>
    <cellStyle name="Normal 118 3 2 4" xfId="7289" xr:uid="{00000000-0005-0000-0000-000044220000}"/>
    <cellStyle name="Normal 118 3 2 4 2" xfId="16470" xr:uid="{00000000-0005-0000-0000-000045220000}"/>
    <cellStyle name="Normal 118 3 2 4 2 2" xfId="33044" xr:uid="{00000000-0005-0000-0000-000046220000}"/>
    <cellStyle name="Normal 118 3 2 4 3" xfId="24997" xr:uid="{00000000-0005-0000-0000-000047220000}"/>
    <cellStyle name="Normal 118 3 2 5" xfId="12570" xr:uid="{00000000-0005-0000-0000-000048220000}"/>
    <cellStyle name="Normal 118 3 2 5 2" xfId="29095" xr:uid="{00000000-0005-0000-0000-000049220000}"/>
    <cellStyle name="Normal 118 3 2 6" xfId="21052" xr:uid="{00000000-0005-0000-0000-00004A220000}"/>
    <cellStyle name="Normal 118 3 3" xfId="3087" xr:uid="{00000000-0005-0000-0000-00004B220000}"/>
    <cellStyle name="Normal 118 3 3 2" xfId="3088" xr:uid="{00000000-0005-0000-0000-00004C220000}"/>
    <cellStyle name="Normal 118 3 3 2 2" xfId="7290" xr:uid="{00000000-0005-0000-0000-00004D220000}"/>
    <cellStyle name="Normal 118 3 3 2 2 2" xfId="16471" xr:uid="{00000000-0005-0000-0000-00004E220000}"/>
    <cellStyle name="Normal 118 3 3 2 2 2 2" xfId="33045" xr:uid="{00000000-0005-0000-0000-00004F220000}"/>
    <cellStyle name="Normal 118 3 3 2 2 3" xfId="24998" xr:uid="{00000000-0005-0000-0000-000050220000}"/>
    <cellStyle name="Normal 118 3 3 2 3" xfId="12575" xr:uid="{00000000-0005-0000-0000-000051220000}"/>
    <cellStyle name="Normal 118 3 3 2 3 2" xfId="29100" xr:uid="{00000000-0005-0000-0000-000052220000}"/>
    <cellStyle name="Normal 118 3 3 2 4" xfId="21057" xr:uid="{00000000-0005-0000-0000-000053220000}"/>
    <cellStyle name="Normal 118 3 3 3" xfId="7291" xr:uid="{00000000-0005-0000-0000-000054220000}"/>
    <cellStyle name="Normal 118 3 3 3 2" xfId="16472" xr:uid="{00000000-0005-0000-0000-000055220000}"/>
    <cellStyle name="Normal 118 3 3 3 2 2" xfId="33046" xr:uid="{00000000-0005-0000-0000-000056220000}"/>
    <cellStyle name="Normal 118 3 3 3 3" xfId="24999" xr:uid="{00000000-0005-0000-0000-000057220000}"/>
    <cellStyle name="Normal 118 3 3 4" xfId="12574" xr:uid="{00000000-0005-0000-0000-000058220000}"/>
    <cellStyle name="Normal 118 3 3 4 2" xfId="29099" xr:uid="{00000000-0005-0000-0000-000059220000}"/>
    <cellStyle name="Normal 118 3 3 5" xfId="21056" xr:uid="{00000000-0005-0000-0000-00005A220000}"/>
    <cellStyle name="Normal 118 3 4" xfId="3089" xr:uid="{00000000-0005-0000-0000-00005B220000}"/>
    <cellStyle name="Normal 118 3 4 2" xfId="7292" xr:uid="{00000000-0005-0000-0000-00005C220000}"/>
    <cellStyle name="Normal 118 3 4 2 2" xfId="16473" xr:uid="{00000000-0005-0000-0000-00005D220000}"/>
    <cellStyle name="Normal 118 3 4 2 2 2" xfId="33047" xr:uid="{00000000-0005-0000-0000-00005E220000}"/>
    <cellStyle name="Normal 118 3 4 2 3" xfId="25000" xr:uid="{00000000-0005-0000-0000-00005F220000}"/>
    <cellStyle name="Normal 118 3 4 3" xfId="12576" xr:uid="{00000000-0005-0000-0000-000060220000}"/>
    <cellStyle name="Normal 118 3 4 3 2" xfId="29101" xr:uid="{00000000-0005-0000-0000-000061220000}"/>
    <cellStyle name="Normal 118 3 4 4" xfId="21058" xr:uid="{00000000-0005-0000-0000-000062220000}"/>
    <cellStyle name="Normal 118 3 5" xfId="3090" xr:uid="{00000000-0005-0000-0000-000063220000}"/>
    <cellStyle name="Normal 118 3 5 2" xfId="12577" xr:uid="{00000000-0005-0000-0000-000064220000}"/>
    <cellStyle name="Normal 118 3 5 2 2" xfId="29102" xr:uid="{00000000-0005-0000-0000-000065220000}"/>
    <cellStyle name="Normal 118 3 5 3" xfId="21059" xr:uid="{00000000-0005-0000-0000-000066220000}"/>
    <cellStyle name="Normal 118 4" xfId="3091" xr:uid="{00000000-0005-0000-0000-000067220000}"/>
    <cellStyle name="Normal 118 4 2" xfId="3092" xr:uid="{00000000-0005-0000-0000-000068220000}"/>
    <cellStyle name="Normal 118 4 2 2" xfId="3093" xr:uid="{00000000-0005-0000-0000-000069220000}"/>
    <cellStyle name="Normal 118 4 2 2 2" xfId="3094" xr:uid="{00000000-0005-0000-0000-00006A220000}"/>
    <cellStyle name="Normal 118 4 2 2 2 2" xfId="7293" xr:uid="{00000000-0005-0000-0000-00006B220000}"/>
    <cellStyle name="Normal 118 4 2 2 2 2 2" xfId="16474" xr:uid="{00000000-0005-0000-0000-00006C220000}"/>
    <cellStyle name="Normal 118 4 2 2 2 2 2 2" xfId="33048" xr:uid="{00000000-0005-0000-0000-00006D220000}"/>
    <cellStyle name="Normal 118 4 2 2 2 2 3" xfId="25001" xr:uid="{00000000-0005-0000-0000-00006E220000}"/>
    <cellStyle name="Normal 118 4 2 2 2 3" xfId="12581" xr:uid="{00000000-0005-0000-0000-00006F220000}"/>
    <cellStyle name="Normal 118 4 2 2 2 3 2" xfId="29106" xr:uid="{00000000-0005-0000-0000-000070220000}"/>
    <cellStyle name="Normal 118 4 2 2 2 4" xfId="21063" xr:uid="{00000000-0005-0000-0000-000071220000}"/>
    <cellStyle name="Normal 118 4 2 2 3" xfId="7294" xr:uid="{00000000-0005-0000-0000-000072220000}"/>
    <cellStyle name="Normal 118 4 2 2 3 2" xfId="16475" xr:uid="{00000000-0005-0000-0000-000073220000}"/>
    <cellStyle name="Normal 118 4 2 2 3 2 2" xfId="33049" xr:uid="{00000000-0005-0000-0000-000074220000}"/>
    <cellStyle name="Normal 118 4 2 2 3 3" xfId="25002" xr:uid="{00000000-0005-0000-0000-000075220000}"/>
    <cellStyle name="Normal 118 4 2 2 4" xfId="12580" xr:uid="{00000000-0005-0000-0000-000076220000}"/>
    <cellStyle name="Normal 118 4 2 2 4 2" xfId="29105" xr:uid="{00000000-0005-0000-0000-000077220000}"/>
    <cellStyle name="Normal 118 4 2 2 5" xfId="21062" xr:uid="{00000000-0005-0000-0000-000078220000}"/>
    <cellStyle name="Normal 118 4 2 3" xfId="3095" xr:uid="{00000000-0005-0000-0000-000079220000}"/>
    <cellStyle name="Normal 118 4 2 3 2" xfId="7295" xr:uid="{00000000-0005-0000-0000-00007A220000}"/>
    <cellStyle name="Normal 118 4 2 3 2 2" xfId="16476" xr:uid="{00000000-0005-0000-0000-00007B220000}"/>
    <cellStyle name="Normal 118 4 2 3 2 2 2" xfId="33050" xr:uid="{00000000-0005-0000-0000-00007C220000}"/>
    <cellStyle name="Normal 118 4 2 3 2 3" xfId="25003" xr:uid="{00000000-0005-0000-0000-00007D220000}"/>
    <cellStyle name="Normal 118 4 2 3 3" xfId="12582" xr:uid="{00000000-0005-0000-0000-00007E220000}"/>
    <cellStyle name="Normal 118 4 2 3 3 2" xfId="29107" xr:uid="{00000000-0005-0000-0000-00007F220000}"/>
    <cellStyle name="Normal 118 4 2 3 4" xfId="21064" xr:uid="{00000000-0005-0000-0000-000080220000}"/>
    <cellStyle name="Normal 118 4 2 4" xfId="7296" xr:uid="{00000000-0005-0000-0000-000081220000}"/>
    <cellStyle name="Normal 118 4 2 4 2" xfId="16477" xr:uid="{00000000-0005-0000-0000-000082220000}"/>
    <cellStyle name="Normal 118 4 2 4 2 2" xfId="33051" xr:uid="{00000000-0005-0000-0000-000083220000}"/>
    <cellStyle name="Normal 118 4 2 4 3" xfId="25004" xr:uid="{00000000-0005-0000-0000-000084220000}"/>
    <cellStyle name="Normal 118 4 2 5" xfId="12579" xr:uid="{00000000-0005-0000-0000-000085220000}"/>
    <cellStyle name="Normal 118 4 2 5 2" xfId="29104" xr:uid="{00000000-0005-0000-0000-000086220000}"/>
    <cellStyle name="Normal 118 4 2 6" xfId="21061" xr:uid="{00000000-0005-0000-0000-000087220000}"/>
    <cellStyle name="Normal 118 4 3" xfId="3096" xr:uid="{00000000-0005-0000-0000-000088220000}"/>
    <cellStyle name="Normal 118 4 3 2" xfId="3097" xr:uid="{00000000-0005-0000-0000-000089220000}"/>
    <cellStyle name="Normal 118 4 3 2 2" xfId="7297" xr:uid="{00000000-0005-0000-0000-00008A220000}"/>
    <cellStyle name="Normal 118 4 3 2 2 2" xfId="16478" xr:uid="{00000000-0005-0000-0000-00008B220000}"/>
    <cellStyle name="Normal 118 4 3 2 2 2 2" xfId="33052" xr:uid="{00000000-0005-0000-0000-00008C220000}"/>
    <cellStyle name="Normal 118 4 3 2 2 3" xfId="25005" xr:uid="{00000000-0005-0000-0000-00008D220000}"/>
    <cellStyle name="Normal 118 4 3 2 3" xfId="12584" xr:uid="{00000000-0005-0000-0000-00008E220000}"/>
    <cellStyle name="Normal 118 4 3 2 3 2" xfId="29109" xr:uid="{00000000-0005-0000-0000-00008F220000}"/>
    <cellStyle name="Normal 118 4 3 2 4" xfId="21066" xr:uid="{00000000-0005-0000-0000-000090220000}"/>
    <cellStyle name="Normal 118 4 3 3" xfId="7298" xr:uid="{00000000-0005-0000-0000-000091220000}"/>
    <cellStyle name="Normal 118 4 3 3 2" xfId="16479" xr:uid="{00000000-0005-0000-0000-000092220000}"/>
    <cellStyle name="Normal 118 4 3 3 2 2" xfId="33053" xr:uid="{00000000-0005-0000-0000-000093220000}"/>
    <cellStyle name="Normal 118 4 3 3 3" xfId="25006" xr:uid="{00000000-0005-0000-0000-000094220000}"/>
    <cellStyle name="Normal 118 4 3 4" xfId="12583" xr:uid="{00000000-0005-0000-0000-000095220000}"/>
    <cellStyle name="Normal 118 4 3 4 2" xfId="29108" xr:uid="{00000000-0005-0000-0000-000096220000}"/>
    <cellStyle name="Normal 118 4 3 5" xfId="21065" xr:uid="{00000000-0005-0000-0000-000097220000}"/>
    <cellStyle name="Normal 118 4 4" xfId="3098" xr:uid="{00000000-0005-0000-0000-000098220000}"/>
    <cellStyle name="Normal 118 4 4 2" xfId="7299" xr:uid="{00000000-0005-0000-0000-000099220000}"/>
    <cellStyle name="Normal 118 4 4 2 2" xfId="16480" xr:uid="{00000000-0005-0000-0000-00009A220000}"/>
    <cellStyle name="Normal 118 4 4 2 2 2" xfId="33054" xr:uid="{00000000-0005-0000-0000-00009B220000}"/>
    <cellStyle name="Normal 118 4 4 2 3" xfId="25007" xr:uid="{00000000-0005-0000-0000-00009C220000}"/>
    <cellStyle name="Normal 118 4 4 3" xfId="12585" xr:uid="{00000000-0005-0000-0000-00009D220000}"/>
    <cellStyle name="Normal 118 4 4 3 2" xfId="29110" xr:uid="{00000000-0005-0000-0000-00009E220000}"/>
    <cellStyle name="Normal 118 4 4 4" xfId="21067" xr:uid="{00000000-0005-0000-0000-00009F220000}"/>
    <cellStyle name="Normal 118 4 5" xfId="7300" xr:uid="{00000000-0005-0000-0000-0000A0220000}"/>
    <cellStyle name="Normal 118 4 5 2" xfId="16481" xr:uid="{00000000-0005-0000-0000-0000A1220000}"/>
    <cellStyle name="Normal 118 4 5 2 2" xfId="33055" xr:uid="{00000000-0005-0000-0000-0000A2220000}"/>
    <cellStyle name="Normal 118 4 5 3" xfId="25008" xr:uid="{00000000-0005-0000-0000-0000A3220000}"/>
    <cellStyle name="Normal 118 4 6" xfId="12578" xr:uid="{00000000-0005-0000-0000-0000A4220000}"/>
    <cellStyle name="Normal 118 4 6 2" xfId="29103" xr:uid="{00000000-0005-0000-0000-0000A5220000}"/>
    <cellStyle name="Normal 118 4 7" xfId="21060" xr:uid="{00000000-0005-0000-0000-0000A6220000}"/>
    <cellStyle name="Normal 118 5" xfId="3099" xr:uid="{00000000-0005-0000-0000-0000A7220000}"/>
    <cellStyle name="Normal 118 5 2" xfId="3100" xr:uid="{00000000-0005-0000-0000-0000A8220000}"/>
    <cellStyle name="Normal 118 5 2 2" xfId="3101" xr:uid="{00000000-0005-0000-0000-0000A9220000}"/>
    <cellStyle name="Normal 118 5 2 2 2" xfId="3102" xr:uid="{00000000-0005-0000-0000-0000AA220000}"/>
    <cellStyle name="Normal 118 5 2 2 2 2" xfId="7301" xr:uid="{00000000-0005-0000-0000-0000AB220000}"/>
    <cellStyle name="Normal 118 5 2 2 2 2 2" xfId="16482" xr:uid="{00000000-0005-0000-0000-0000AC220000}"/>
    <cellStyle name="Normal 118 5 2 2 2 2 2 2" xfId="33056" xr:uid="{00000000-0005-0000-0000-0000AD220000}"/>
    <cellStyle name="Normal 118 5 2 2 2 2 3" xfId="25009" xr:uid="{00000000-0005-0000-0000-0000AE220000}"/>
    <cellStyle name="Normal 118 5 2 2 2 3" xfId="12589" xr:uid="{00000000-0005-0000-0000-0000AF220000}"/>
    <cellStyle name="Normal 118 5 2 2 2 3 2" xfId="29114" xr:uid="{00000000-0005-0000-0000-0000B0220000}"/>
    <cellStyle name="Normal 118 5 2 2 2 4" xfId="21071" xr:uid="{00000000-0005-0000-0000-0000B1220000}"/>
    <cellStyle name="Normal 118 5 2 2 3" xfId="7302" xr:uid="{00000000-0005-0000-0000-0000B2220000}"/>
    <cellStyle name="Normal 118 5 2 2 3 2" xfId="16483" xr:uid="{00000000-0005-0000-0000-0000B3220000}"/>
    <cellStyle name="Normal 118 5 2 2 3 2 2" xfId="33057" xr:uid="{00000000-0005-0000-0000-0000B4220000}"/>
    <cellStyle name="Normal 118 5 2 2 3 3" xfId="25010" xr:uid="{00000000-0005-0000-0000-0000B5220000}"/>
    <cellStyle name="Normal 118 5 2 2 4" xfId="12588" xr:uid="{00000000-0005-0000-0000-0000B6220000}"/>
    <cellStyle name="Normal 118 5 2 2 4 2" xfId="29113" xr:uid="{00000000-0005-0000-0000-0000B7220000}"/>
    <cellStyle name="Normal 118 5 2 2 5" xfId="21070" xr:uid="{00000000-0005-0000-0000-0000B8220000}"/>
    <cellStyle name="Normal 118 5 2 3" xfId="3103" xr:uid="{00000000-0005-0000-0000-0000B9220000}"/>
    <cellStyle name="Normal 118 5 2 3 2" xfId="7303" xr:uid="{00000000-0005-0000-0000-0000BA220000}"/>
    <cellStyle name="Normal 118 5 2 3 2 2" xfId="16484" xr:uid="{00000000-0005-0000-0000-0000BB220000}"/>
    <cellStyle name="Normal 118 5 2 3 2 2 2" xfId="33058" xr:uid="{00000000-0005-0000-0000-0000BC220000}"/>
    <cellStyle name="Normal 118 5 2 3 2 3" xfId="25011" xr:uid="{00000000-0005-0000-0000-0000BD220000}"/>
    <cellStyle name="Normal 118 5 2 3 3" xfId="12590" xr:uid="{00000000-0005-0000-0000-0000BE220000}"/>
    <cellStyle name="Normal 118 5 2 3 3 2" xfId="29115" xr:uid="{00000000-0005-0000-0000-0000BF220000}"/>
    <cellStyle name="Normal 118 5 2 3 4" xfId="21072" xr:uid="{00000000-0005-0000-0000-0000C0220000}"/>
    <cellStyle name="Normal 118 5 2 4" xfId="7304" xr:uid="{00000000-0005-0000-0000-0000C1220000}"/>
    <cellStyle name="Normal 118 5 2 4 2" xfId="16485" xr:uid="{00000000-0005-0000-0000-0000C2220000}"/>
    <cellStyle name="Normal 118 5 2 4 2 2" xfId="33059" xr:uid="{00000000-0005-0000-0000-0000C3220000}"/>
    <cellStyle name="Normal 118 5 2 4 3" xfId="25012" xr:uid="{00000000-0005-0000-0000-0000C4220000}"/>
    <cellStyle name="Normal 118 5 2 5" xfId="12587" xr:uid="{00000000-0005-0000-0000-0000C5220000}"/>
    <cellStyle name="Normal 118 5 2 5 2" xfId="29112" xr:uid="{00000000-0005-0000-0000-0000C6220000}"/>
    <cellStyle name="Normal 118 5 2 6" xfId="21069" xr:uid="{00000000-0005-0000-0000-0000C7220000}"/>
    <cellStyle name="Normal 118 5 3" xfId="3104" xr:uid="{00000000-0005-0000-0000-0000C8220000}"/>
    <cellStyle name="Normal 118 5 3 2" xfId="3105" xr:uid="{00000000-0005-0000-0000-0000C9220000}"/>
    <cellStyle name="Normal 118 5 3 2 2" xfId="7305" xr:uid="{00000000-0005-0000-0000-0000CA220000}"/>
    <cellStyle name="Normal 118 5 3 2 2 2" xfId="16486" xr:uid="{00000000-0005-0000-0000-0000CB220000}"/>
    <cellStyle name="Normal 118 5 3 2 2 2 2" xfId="33060" xr:uid="{00000000-0005-0000-0000-0000CC220000}"/>
    <cellStyle name="Normal 118 5 3 2 2 3" xfId="25013" xr:uid="{00000000-0005-0000-0000-0000CD220000}"/>
    <cellStyle name="Normal 118 5 3 2 3" xfId="12592" xr:uid="{00000000-0005-0000-0000-0000CE220000}"/>
    <cellStyle name="Normal 118 5 3 2 3 2" xfId="29117" xr:uid="{00000000-0005-0000-0000-0000CF220000}"/>
    <cellStyle name="Normal 118 5 3 2 4" xfId="21074" xr:uid="{00000000-0005-0000-0000-0000D0220000}"/>
    <cellStyle name="Normal 118 5 3 3" xfId="7306" xr:uid="{00000000-0005-0000-0000-0000D1220000}"/>
    <cellStyle name="Normal 118 5 3 3 2" xfId="16487" xr:uid="{00000000-0005-0000-0000-0000D2220000}"/>
    <cellStyle name="Normal 118 5 3 3 2 2" xfId="33061" xr:uid="{00000000-0005-0000-0000-0000D3220000}"/>
    <cellStyle name="Normal 118 5 3 3 3" xfId="25014" xr:uid="{00000000-0005-0000-0000-0000D4220000}"/>
    <cellStyle name="Normal 118 5 3 4" xfId="12591" xr:uid="{00000000-0005-0000-0000-0000D5220000}"/>
    <cellStyle name="Normal 118 5 3 4 2" xfId="29116" xr:uid="{00000000-0005-0000-0000-0000D6220000}"/>
    <cellStyle name="Normal 118 5 3 5" xfId="21073" xr:uid="{00000000-0005-0000-0000-0000D7220000}"/>
    <cellStyle name="Normal 118 5 4" xfId="3106" xr:uid="{00000000-0005-0000-0000-0000D8220000}"/>
    <cellStyle name="Normal 118 5 4 2" xfId="7307" xr:uid="{00000000-0005-0000-0000-0000D9220000}"/>
    <cellStyle name="Normal 118 5 4 2 2" xfId="16488" xr:uid="{00000000-0005-0000-0000-0000DA220000}"/>
    <cellStyle name="Normal 118 5 4 2 2 2" xfId="33062" xr:uid="{00000000-0005-0000-0000-0000DB220000}"/>
    <cellStyle name="Normal 118 5 4 2 3" xfId="25015" xr:uid="{00000000-0005-0000-0000-0000DC220000}"/>
    <cellStyle name="Normal 118 5 4 3" xfId="12593" xr:uid="{00000000-0005-0000-0000-0000DD220000}"/>
    <cellStyle name="Normal 118 5 4 3 2" xfId="29118" xr:uid="{00000000-0005-0000-0000-0000DE220000}"/>
    <cellStyle name="Normal 118 5 4 4" xfId="21075" xr:uid="{00000000-0005-0000-0000-0000DF220000}"/>
    <cellStyle name="Normal 118 5 5" xfId="7308" xr:uid="{00000000-0005-0000-0000-0000E0220000}"/>
    <cellStyle name="Normal 118 5 5 2" xfId="16489" xr:uid="{00000000-0005-0000-0000-0000E1220000}"/>
    <cellStyle name="Normal 118 5 5 2 2" xfId="33063" xr:uid="{00000000-0005-0000-0000-0000E2220000}"/>
    <cellStyle name="Normal 118 5 5 3" xfId="25016" xr:uid="{00000000-0005-0000-0000-0000E3220000}"/>
    <cellStyle name="Normal 118 5 6" xfId="12586" xr:uid="{00000000-0005-0000-0000-0000E4220000}"/>
    <cellStyle name="Normal 118 5 6 2" xfId="29111" xr:uid="{00000000-0005-0000-0000-0000E5220000}"/>
    <cellStyle name="Normal 118 5 7" xfId="21068" xr:uid="{00000000-0005-0000-0000-0000E6220000}"/>
    <cellStyle name="Normal 118 6" xfId="3107" xr:uid="{00000000-0005-0000-0000-0000E7220000}"/>
    <cellStyle name="Normal 118 6 2" xfId="3108" xr:uid="{00000000-0005-0000-0000-0000E8220000}"/>
    <cellStyle name="Normal 118 6 2 2" xfId="3109" xr:uid="{00000000-0005-0000-0000-0000E9220000}"/>
    <cellStyle name="Normal 118 6 2 2 2" xfId="7309" xr:uid="{00000000-0005-0000-0000-0000EA220000}"/>
    <cellStyle name="Normal 118 6 2 2 2 2" xfId="16490" xr:uid="{00000000-0005-0000-0000-0000EB220000}"/>
    <cellStyle name="Normal 118 6 2 2 2 2 2" xfId="33064" xr:uid="{00000000-0005-0000-0000-0000EC220000}"/>
    <cellStyle name="Normal 118 6 2 2 2 3" xfId="25017" xr:uid="{00000000-0005-0000-0000-0000ED220000}"/>
    <cellStyle name="Normal 118 6 2 2 3" xfId="12596" xr:uid="{00000000-0005-0000-0000-0000EE220000}"/>
    <cellStyle name="Normal 118 6 2 2 3 2" xfId="29121" xr:uid="{00000000-0005-0000-0000-0000EF220000}"/>
    <cellStyle name="Normal 118 6 2 2 4" xfId="21078" xr:uid="{00000000-0005-0000-0000-0000F0220000}"/>
    <cellStyle name="Normal 118 6 2 3" xfId="7310" xr:uid="{00000000-0005-0000-0000-0000F1220000}"/>
    <cellStyle name="Normal 118 6 2 3 2" xfId="16491" xr:uid="{00000000-0005-0000-0000-0000F2220000}"/>
    <cellStyle name="Normal 118 6 2 3 2 2" xfId="33065" xr:uid="{00000000-0005-0000-0000-0000F3220000}"/>
    <cellStyle name="Normal 118 6 2 3 3" xfId="25018" xr:uid="{00000000-0005-0000-0000-0000F4220000}"/>
    <cellStyle name="Normal 118 6 2 4" xfId="12595" xr:uid="{00000000-0005-0000-0000-0000F5220000}"/>
    <cellStyle name="Normal 118 6 2 4 2" xfId="29120" xr:uid="{00000000-0005-0000-0000-0000F6220000}"/>
    <cellStyle name="Normal 118 6 2 5" xfId="21077" xr:uid="{00000000-0005-0000-0000-0000F7220000}"/>
    <cellStyle name="Normal 118 6 3" xfId="3110" xr:uid="{00000000-0005-0000-0000-0000F8220000}"/>
    <cellStyle name="Normal 118 6 3 2" xfId="7311" xr:uid="{00000000-0005-0000-0000-0000F9220000}"/>
    <cellStyle name="Normal 118 6 3 2 2" xfId="16492" xr:uid="{00000000-0005-0000-0000-0000FA220000}"/>
    <cellStyle name="Normal 118 6 3 2 2 2" xfId="33066" xr:uid="{00000000-0005-0000-0000-0000FB220000}"/>
    <cellStyle name="Normal 118 6 3 2 3" xfId="25019" xr:uid="{00000000-0005-0000-0000-0000FC220000}"/>
    <cellStyle name="Normal 118 6 3 3" xfId="12597" xr:uid="{00000000-0005-0000-0000-0000FD220000}"/>
    <cellStyle name="Normal 118 6 3 3 2" xfId="29122" xr:uid="{00000000-0005-0000-0000-0000FE220000}"/>
    <cellStyle name="Normal 118 6 3 4" xfId="21079" xr:uid="{00000000-0005-0000-0000-0000FF220000}"/>
    <cellStyle name="Normal 118 6 4" xfId="7312" xr:uid="{00000000-0005-0000-0000-000000230000}"/>
    <cellStyle name="Normal 118 6 4 2" xfId="16493" xr:uid="{00000000-0005-0000-0000-000001230000}"/>
    <cellStyle name="Normal 118 6 4 2 2" xfId="33067" xr:uid="{00000000-0005-0000-0000-000002230000}"/>
    <cellStyle name="Normal 118 6 4 3" xfId="25020" xr:uid="{00000000-0005-0000-0000-000003230000}"/>
    <cellStyle name="Normal 118 6 5" xfId="12594" xr:uid="{00000000-0005-0000-0000-000004230000}"/>
    <cellStyle name="Normal 118 6 5 2" xfId="29119" xr:uid="{00000000-0005-0000-0000-000005230000}"/>
    <cellStyle name="Normal 118 6 6" xfId="21076" xr:uid="{00000000-0005-0000-0000-000006230000}"/>
    <cellStyle name="Normal 118 7" xfId="3111" xr:uid="{00000000-0005-0000-0000-000007230000}"/>
    <cellStyle name="Normal 118 7 2" xfId="3112" xr:uid="{00000000-0005-0000-0000-000008230000}"/>
    <cellStyle name="Normal 118 7 2 2" xfId="7313" xr:uid="{00000000-0005-0000-0000-000009230000}"/>
    <cellStyle name="Normal 118 7 2 2 2" xfId="16494" xr:uid="{00000000-0005-0000-0000-00000A230000}"/>
    <cellStyle name="Normal 118 7 2 2 2 2" xfId="33068" xr:uid="{00000000-0005-0000-0000-00000B230000}"/>
    <cellStyle name="Normal 118 7 2 2 3" xfId="25021" xr:uid="{00000000-0005-0000-0000-00000C230000}"/>
    <cellStyle name="Normal 118 7 2 3" xfId="12599" xr:uid="{00000000-0005-0000-0000-00000D230000}"/>
    <cellStyle name="Normal 118 7 2 3 2" xfId="29124" xr:uid="{00000000-0005-0000-0000-00000E230000}"/>
    <cellStyle name="Normal 118 7 2 4" xfId="21081" xr:uid="{00000000-0005-0000-0000-00000F230000}"/>
    <cellStyle name="Normal 118 7 3" xfId="7314" xr:uid="{00000000-0005-0000-0000-000010230000}"/>
    <cellStyle name="Normal 118 7 3 2" xfId="16495" xr:uid="{00000000-0005-0000-0000-000011230000}"/>
    <cellStyle name="Normal 118 7 3 2 2" xfId="33069" xr:uid="{00000000-0005-0000-0000-000012230000}"/>
    <cellStyle name="Normal 118 7 3 3" xfId="25022" xr:uid="{00000000-0005-0000-0000-000013230000}"/>
    <cellStyle name="Normal 118 7 4" xfId="12598" xr:uid="{00000000-0005-0000-0000-000014230000}"/>
    <cellStyle name="Normal 118 7 4 2" xfId="29123" xr:uid="{00000000-0005-0000-0000-000015230000}"/>
    <cellStyle name="Normal 118 7 5" xfId="21080" xr:uid="{00000000-0005-0000-0000-000016230000}"/>
    <cellStyle name="Normal 118 8" xfId="3113" xr:uid="{00000000-0005-0000-0000-000017230000}"/>
    <cellStyle name="Normal 118 8 2" xfId="7315" xr:uid="{00000000-0005-0000-0000-000018230000}"/>
    <cellStyle name="Normal 118 8 2 2" xfId="16496" xr:uid="{00000000-0005-0000-0000-000019230000}"/>
    <cellStyle name="Normal 118 8 2 2 2" xfId="33070" xr:uid="{00000000-0005-0000-0000-00001A230000}"/>
    <cellStyle name="Normal 118 8 2 3" xfId="25023" xr:uid="{00000000-0005-0000-0000-00001B230000}"/>
    <cellStyle name="Normal 118 8 3" xfId="12600" xr:uid="{00000000-0005-0000-0000-00001C230000}"/>
    <cellStyle name="Normal 118 8 3 2" xfId="29125" xr:uid="{00000000-0005-0000-0000-00001D230000}"/>
    <cellStyle name="Normal 118 8 4" xfId="21082" xr:uid="{00000000-0005-0000-0000-00001E230000}"/>
    <cellStyle name="Normal 118 9" xfId="7316" xr:uid="{00000000-0005-0000-0000-00001F230000}"/>
    <cellStyle name="Normal 118 9 2" xfId="16497" xr:uid="{00000000-0005-0000-0000-000020230000}"/>
    <cellStyle name="Normal 118 9 2 2" xfId="33071" xr:uid="{00000000-0005-0000-0000-000021230000}"/>
    <cellStyle name="Normal 118 9 3" xfId="25024" xr:uid="{00000000-0005-0000-0000-000022230000}"/>
    <cellStyle name="Normal 119" xfId="3114" xr:uid="{00000000-0005-0000-0000-000023230000}"/>
    <cellStyle name="Normal 119 10" xfId="12601" xr:uid="{00000000-0005-0000-0000-000024230000}"/>
    <cellStyle name="Normal 119 10 2" xfId="29126" xr:uid="{00000000-0005-0000-0000-000025230000}"/>
    <cellStyle name="Normal 119 11" xfId="21083" xr:uid="{00000000-0005-0000-0000-000026230000}"/>
    <cellStyle name="Normal 119 2" xfId="3115" xr:uid="{00000000-0005-0000-0000-000027230000}"/>
    <cellStyle name="Normal 119 2 2" xfId="3116" xr:uid="{00000000-0005-0000-0000-000028230000}"/>
    <cellStyle name="Normal 119 2 3" xfId="12602" xr:uid="{00000000-0005-0000-0000-000029230000}"/>
    <cellStyle name="Normal 119 2 3 2" xfId="29127" xr:uid="{00000000-0005-0000-0000-00002A230000}"/>
    <cellStyle name="Normal 119 2 4" xfId="21084" xr:uid="{00000000-0005-0000-0000-00002B230000}"/>
    <cellStyle name="Normal 119 3" xfId="3117" xr:uid="{00000000-0005-0000-0000-00002C230000}"/>
    <cellStyle name="Normal 119 3 2" xfId="3118" xr:uid="{00000000-0005-0000-0000-00002D230000}"/>
    <cellStyle name="Normal 119 3 2 2" xfId="3119" xr:uid="{00000000-0005-0000-0000-00002E230000}"/>
    <cellStyle name="Normal 119 3 2 2 2" xfId="3120" xr:uid="{00000000-0005-0000-0000-00002F230000}"/>
    <cellStyle name="Normal 119 3 2 2 2 2" xfId="7317" xr:uid="{00000000-0005-0000-0000-000030230000}"/>
    <cellStyle name="Normal 119 3 2 2 2 2 2" xfId="16498" xr:uid="{00000000-0005-0000-0000-000031230000}"/>
    <cellStyle name="Normal 119 3 2 2 2 2 2 2" xfId="33072" xr:uid="{00000000-0005-0000-0000-000032230000}"/>
    <cellStyle name="Normal 119 3 2 2 2 2 3" xfId="25025" xr:uid="{00000000-0005-0000-0000-000033230000}"/>
    <cellStyle name="Normal 119 3 2 2 2 3" xfId="12605" xr:uid="{00000000-0005-0000-0000-000034230000}"/>
    <cellStyle name="Normal 119 3 2 2 2 3 2" xfId="29130" xr:uid="{00000000-0005-0000-0000-000035230000}"/>
    <cellStyle name="Normal 119 3 2 2 2 4" xfId="21087" xr:uid="{00000000-0005-0000-0000-000036230000}"/>
    <cellStyle name="Normal 119 3 2 2 3" xfId="7318" xr:uid="{00000000-0005-0000-0000-000037230000}"/>
    <cellStyle name="Normal 119 3 2 2 3 2" xfId="16499" xr:uid="{00000000-0005-0000-0000-000038230000}"/>
    <cellStyle name="Normal 119 3 2 2 3 2 2" xfId="33073" xr:uid="{00000000-0005-0000-0000-000039230000}"/>
    <cellStyle name="Normal 119 3 2 2 3 3" xfId="25026" xr:uid="{00000000-0005-0000-0000-00003A230000}"/>
    <cellStyle name="Normal 119 3 2 2 4" xfId="12604" xr:uid="{00000000-0005-0000-0000-00003B230000}"/>
    <cellStyle name="Normal 119 3 2 2 4 2" xfId="29129" xr:uid="{00000000-0005-0000-0000-00003C230000}"/>
    <cellStyle name="Normal 119 3 2 2 5" xfId="21086" xr:uid="{00000000-0005-0000-0000-00003D230000}"/>
    <cellStyle name="Normal 119 3 2 3" xfId="3121" xr:uid="{00000000-0005-0000-0000-00003E230000}"/>
    <cellStyle name="Normal 119 3 2 3 2" xfId="7319" xr:uid="{00000000-0005-0000-0000-00003F230000}"/>
    <cellStyle name="Normal 119 3 2 3 2 2" xfId="16500" xr:uid="{00000000-0005-0000-0000-000040230000}"/>
    <cellStyle name="Normal 119 3 2 3 2 2 2" xfId="33074" xr:uid="{00000000-0005-0000-0000-000041230000}"/>
    <cellStyle name="Normal 119 3 2 3 2 3" xfId="25027" xr:uid="{00000000-0005-0000-0000-000042230000}"/>
    <cellStyle name="Normal 119 3 2 3 3" xfId="12606" xr:uid="{00000000-0005-0000-0000-000043230000}"/>
    <cellStyle name="Normal 119 3 2 3 3 2" xfId="29131" xr:uid="{00000000-0005-0000-0000-000044230000}"/>
    <cellStyle name="Normal 119 3 2 3 4" xfId="21088" xr:uid="{00000000-0005-0000-0000-000045230000}"/>
    <cellStyle name="Normal 119 3 2 4" xfId="7320" xr:uid="{00000000-0005-0000-0000-000046230000}"/>
    <cellStyle name="Normal 119 3 2 4 2" xfId="16501" xr:uid="{00000000-0005-0000-0000-000047230000}"/>
    <cellStyle name="Normal 119 3 2 4 2 2" xfId="33075" xr:uid="{00000000-0005-0000-0000-000048230000}"/>
    <cellStyle name="Normal 119 3 2 4 3" xfId="25028" xr:uid="{00000000-0005-0000-0000-000049230000}"/>
    <cellStyle name="Normal 119 3 2 5" xfId="12603" xr:uid="{00000000-0005-0000-0000-00004A230000}"/>
    <cellStyle name="Normal 119 3 2 5 2" xfId="29128" xr:uid="{00000000-0005-0000-0000-00004B230000}"/>
    <cellStyle name="Normal 119 3 2 6" xfId="21085" xr:uid="{00000000-0005-0000-0000-00004C230000}"/>
    <cellStyle name="Normal 119 3 3" xfId="3122" xr:uid="{00000000-0005-0000-0000-00004D230000}"/>
    <cellStyle name="Normal 119 3 3 2" xfId="3123" xr:uid="{00000000-0005-0000-0000-00004E230000}"/>
    <cellStyle name="Normal 119 3 3 2 2" xfId="7321" xr:uid="{00000000-0005-0000-0000-00004F230000}"/>
    <cellStyle name="Normal 119 3 3 2 2 2" xfId="16502" xr:uid="{00000000-0005-0000-0000-000050230000}"/>
    <cellStyle name="Normal 119 3 3 2 2 2 2" xfId="33076" xr:uid="{00000000-0005-0000-0000-000051230000}"/>
    <cellStyle name="Normal 119 3 3 2 2 3" xfId="25029" xr:uid="{00000000-0005-0000-0000-000052230000}"/>
    <cellStyle name="Normal 119 3 3 2 3" xfId="12608" xr:uid="{00000000-0005-0000-0000-000053230000}"/>
    <cellStyle name="Normal 119 3 3 2 3 2" xfId="29133" xr:uid="{00000000-0005-0000-0000-000054230000}"/>
    <cellStyle name="Normal 119 3 3 2 4" xfId="21090" xr:uid="{00000000-0005-0000-0000-000055230000}"/>
    <cellStyle name="Normal 119 3 3 3" xfId="7322" xr:uid="{00000000-0005-0000-0000-000056230000}"/>
    <cellStyle name="Normal 119 3 3 3 2" xfId="16503" xr:uid="{00000000-0005-0000-0000-000057230000}"/>
    <cellStyle name="Normal 119 3 3 3 2 2" xfId="33077" xr:uid="{00000000-0005-0000-0000-000058230000}"/>
    <cellStyle name="Normal 119 3 3 3 3" xfId="25030" xr:uid="{00000000-0005-0000-0000-000059230000}"/>
    <cellStyle name="Normal 119 3 3 4" xfId="12607" xr:uid="{00000000-0005-0000-0000-00005A230000}"/>
    <cellStyle name="Normal 119 3 3 4 2" xfId="29132" xr:uid="{00000000-0005-0000-0000-00005B230000}"/>
    <cellStyle name="Normal 119 3 3 5" xfId="21089" xr:uid="{00000000-0005-0000-0000-00005C230000}"/>
    <cellStyle name="Normal 119 3 4" xfId="3124" xr:uid="{00000000-0005-0000-0000-00005D230000}"/>
    <cellStyle name="Normal 119 3 4 2" xfId="7323" xr:uid="{00000000-0005-0000-0000-00005E230000}"/>
    <cellStyle name="Normal 119 3 4 2 2" xfId="16504" xr:uid="{00000000-0005-0000-0000-00005F230000}"/>
    <cellStyle name="Normal 119 3 4 2 2 2" xfId="33078" xr:uid="{00000000-0005-0000-0000-000060230000}"/>
    <cellStyle name="Normal 119 3 4 2 3" xfId="25031" xr:uid="{00000000-0005-0000-0000-000061230000}"/>
    <cellStyle name="Normal 119 3 4 3" xfId="12609" xr:uid="{00000000-0005-0000-0000-000062230000}"/>
    <cellStyle name="Normal 119 3 4 3 2" xfId="29134" xr:uid="{00000000-0005-0000-0000-000063230000}"/>
    <cellStyle name="Normal 119 3 4 4" xfId="21091" xr:uid="{00000000-0005-0000-0000-000064230000}"/>
    <cellStyle name="Normal 119 3 5" xfId="3125" xr:uid="{00000000-0005-0000-0000-000065230000}"/>
    <cellStyle name="Normal 119 3 5 2" xfId="12610" xr:uid="{00000000-0005-0000-0000-000066230000}"/>
    <cellStyle name="Normal 119 3 5 2 2" xfId="29135" xr:uid="{00000000-0005-0000-0000-000067230000}"/>
    <cellStyle name="Normal 119 3 5 3" xfId="21092" xr:uid="{00000000-0005-0000-0000-000068230000}"/>
    <cellStyle name="Normal 119 4" xfId="3126" xr:uid="{00000000-0005-0000-0000-000069230000}"/>
    <cellStyle name="Normal 119 4 2" xfId="3127" xr:uid="{00000000-0005-0000-0000-00006A230000}"/>
    <cellStyle name="Normal 119 4 2 2" xfId="3128" xr:uid="{00000000-0005-0000-0000-00006B230000}"/>
    <cellStyle name="Normal 119 4 2 2 2" xfId="3129" xr:uid="{00000000-0005-0000-0000-00006C230000}"/>
    <cellStyle name="Normal 119 4 2 2 2 2" xfId="7324" xr:uid="{00000000-0005-0000-0000-00006D230000}"/>
    <cellStyle name="Normal 119 4 2 2 2 2 2" xfId="16505" xr:uid="{00000000-0005-0000-0000-00006E230000}"/>
    <cellStyle name="Normal 119 4 2 2 2 2 2 2" xfId="33079" xr:uid="{00000000-0005-0000-0000-00006F230000}"/>
    <cellStyle name="Normal 119 4 2 2 2 2 3" xfId="25032" xr:uid="{00000000-0005-0000-0000-000070230000}"/>
    <cellStyle name="Normal 119 4 2 2 2 3" xfId="12614" xr:uid="{00000000-0005-0000-0000-000071230000}"/>
    <cellStyle name="Normal 119 4 2 2 2 3 2" xfId="29139" xr:uid="{00000000-0005-0000-0000-000072230000}"/>
    <cellStyle name="Normal 119 4 2 2 2 4" xfId="21096" xr:uid="{00000000-0005-0000-0000-000073230000}"/>
    <cellStyle name="Normal 119 4 2 2 3" xfId="7325" xr:uid="{00000000-0005-0000-0000-000074230000}"/>
    <cellStyle name="Normal 119 4 2 2 3 2" xfId="16506" xr:uid="{00000000-0005-0000-0000-000075230000}"/>
    <cellStyle name="Normal 119 4 2 2 3 2 2" xfId="33080" xr:uid="{00000000-0005-0000-0000-000076230000}"/>
    <cellStyle name="Normal 119 4 2 2 3 3" xfId="25033" xr:uid="{00000000-0005-0000-0000-000077230000}"/>
    <cellStyle name="Normal 119 4 2 2 4" xfId="12613" xr:uid="{00000000-0005-0000-0000-000078230000}"/>
    <cellStyle name="Normal 119 4 2 2 4 2" xfId="29138" xr:uid="{00000000-0005-0000-0000-000079230000}"/>
    <cellStyle name="Normal 119 4 2 2 5" xfId="21095" xr:uid="{00000000-0005-0000-0000-00007A230000}"/>
    <cellStyle name="Normal 119 4 2 3" xfId="3130" xr:uid="{00000000-0005-0000-0000-00007B230000}"/>
    <cellStyle name="Normal 119 4 2 3 2" xfId="7326" xr:uid="{00000000-0005-0000-0000-00007C230000}"/>
    <cellStyle name="Normal 119 4 2 3 2 2" xfId="16507" xr:uid="{00000000-0005-0000-0000-00007D230000}"/>
    <cellStyle name="Normal 119 4 2 3 2 2 2" xfId="33081" xr:uid="{00000000-0005-0000-0000-00007E230000}"/>
    <cellStyle name="Normal 119 4 2 3 2 3" xfId="25034" xr:uid="{00000000-0005-0000-0000-00007F230000}"/>
    <cellStyle name="Normal 119 4 2 3 3" xfId="12615" xr:uid="{00000000-0005-0000-0000-000080230000}"/>
    <cellStyle name="Normal 119 4 2 3 3 2" xfId="29140" xr:uid="{00000000-0005-0000-0000-000081230000}"/>
    <cellStyle name="Normal 119 4 2 3 4" xfId="21097" xr:uid="{00000000-0005-0000-0000-000082230000}"/>
    <cellStyle name="Normal 119 4 2 4" xfId="7327" xr:uid="{00000000-0005-0000-0000-000083230000}"/>
    <cellStyle name="Normal 119 4 2 4 2" xfId="16508" xr:uid="{00000000-0005-0000-0000-000084230000}"/>
    <cellStyle name="Normal 119 4 2 4 2 2" xfId="33082" xr:uid="{00000000-0005-0000-0000-000085230000}"/>
    <cellStyle name="Normal 119 4 2 4 3" xfId="25035" xr:uid="{00000000-0005-0000-0000-000086230000}"/>
    <cellStyle name="Normal 119 4 2 5" xfId="12612" xr:uid="{00000000-0005-0000-0000-000087230000}"/>
    <cellStyle name="Normal 119 4 2 5 2" xfId="29137" xr:uid="{00000000-0005-0000-0000-000088230000}"/>
    <cellStyle name="Normal 119 4 2 6" xfId="21094" xr:uid="{00000000-0005-0000-0000-000089230000}"/>
    <cellStyle name="Normal 119 4 3" xfId="3131" xr:uid="{00000000-0005-0000-0000-00008A230000}"/>
    <cellStyle name="Normal 119 4 3 2" xfId="3132" xr:uid="{00000000-0005-0000-0000-00008B230000}"/>
    <cellStyle name="Normal 119 4 3 2 2" xfId="7328" xr:uid="{00000000-0005-0000-0000-00008C230000}"/>
    <cellStyle name="Normal 119 4 3 2 2 2" xfId="16509" xr:uid="{00000000-0005-0000-0000-00008D230000}"/>
    <cellStyle name="Normal 119 4 3 2 2 2 2" xfId="33083" xr:uid="{00000000-0005-0000-0000-00008E230000}"/>
    <cellStyle name="Normal 119 4 3 2 2 3" xfId="25036" xr:uid="{00000000-0005-0000-0000-00008F230000}"/>
    <cellStyle name="Normal 119 4 3 2 3" xfId="12617" xr:uid="{00000000-0005-0000-0000-000090230000}"/>
    <cellStyle name="Normal 119 4 3 2 3 2" xfId="29142" xr:uid="{00000000-0005-0000-0000-000091230000}"/>
    <cellStyle name="Normal 119 4 3 2 4" xfId="21099" xr:uid="{00000000-0005-0000-0000-000092230000}"/>
    <cellStyle name="Normal 119 4 3 3" xfId="7329" xr:uid="{00000000-0005-0000-0000-000093230000}"/>
    <cellStyle name="Normal 119 4 3 3 2" xfId="16510" xr:uid="{00000000-0005-0000-0000-000094230000}"/>
    <cellStyle name="Normal 119 4 3 3 2 2" xfId="33084" xr:uid="{00000000-0005-0000-0000-000095230000}"/>
    <cellStyle name="Normal 119 4 3 3 3" xfId="25037" xr:uid="{00000000-0005-0000-0000-000096230000}"/>
    <cellStyle name="Normal 119 4 3 4" xfId="12616" xr:uid="{00000000-0005-0000-0000-000097230000}"/>
    <cellStyle name="Normal 119 4 3 4 2" xfId="29141" xr:uid="{00000000-0005-0000-0000-000098230000}"/>
    <cellStyle name="Normal 119 4 3 5" xfId="21098" xr:uid="{00000000-0005-0000-0000-000099230000}"/>
    <cellStyle name="Normal 119 4 4" xfId="3133" xr:uid="{00000000-0005-0000-0000-00009A230000}"/>
    <cellStyle name="Normal 119 4 4 2" xfId="7330" xr:uid="{00000000-0005-0000-0000-00009B230000}"/>
    <cellStyle name="Normal 119 4 4 2 2" xfId="16511" xr:uid="{00000000-0005-0000-0000-00009C230000}"/>
    <cellStyle name="Normal 119 4 4 2 2 2" xfId="33085" xr:uid="{00000000-0005-0000-0000-00009D230000}"/>
    <cellStyle name="Normal 119 4 4 2 3" xfId="25038" xr:uid="{00000000-0005-0000-0000-00009E230000}"/>
    <cellStyle name="Normal 119 4 4 3" xfId="12618" xr:uid="{00000000-0005-0000-0000-00009F230000}"/>
    <cellStyle name="Normal 119 4 4 3 2" xfId="29143" xr:uid="{00000000-0005-0000-0000-0000A0230000}"/>
    <cellStyle name="Normal 119 4 4 4" xfId="21100" xr:uid="{00000000-0005-0000-0000-0000A1230000}"/>
    <cellStyle name="Normal 119 4 5" xfId="7331" xr:uid="{00000000-0005-0000-0000-0000A2230000}"/>
    <cellStyle name="Normal 119 4 5 2" xfId="16512" xr:uid="{00000000-0005-0000-0000-0000A3230000}"/>
    <cellStyle name="Normal 119 4 5 2 2" xfId="33086" xr:uid="{00000000-0005-0000-0000-0000A4230000}"/>
    <cellStyle name="Normal 119 4 5 3" xfId="25039" xr:uid="{00000000-0005-0000-0000-0000A5230000}"/>
    <cellStyle name="Normal 119 4 6" xfId="12611" xr:uid="{00000000-0005-0000-0000-0000A6230000}"/>
    <cellStyle name="Normal 119 4 6 2" xfId="29136" xr:uid="{00000000-0005-0000-0000-0000A7230000}"/>
    <cellStyle name="Normal 119 4 7" xfId="21093" xr:uid="{00000000-0005-0000-0000-0000A8230000}"/>
    <cellStyle name="Normal 119 5" xfId="3134" xr:uid="{00000000-0005-0000-0000-0000A9230000}"/>
    <cellStyle name="Normal 119 5 2" xfId="3135" xr:uid="{00000000-0005-0000-0000-0000AA230000}"/>
    <cellStyle name="Normal 119 5 2 2" xfId="3136" xr:uid="{00000000-0005-0000-0000-0000AB230000}"/>
    <cellStyle name="Normal 119 5 2 2 2" xfId="3137" xr:uid="{00000000-0005-0000-0000-0000AC230000}"/>
    <cellStyle name="Normal 119 5 2 2 2 2" xfId="7332" xr:uid="{00000000-0005-0000-0000-0000AD230000}"/>
    <cellStyle name="Normal 119 5 2 2 2 2 2" xfId="16513" xr:uid="{00000000-0005-0000-0000-0000AE230000}"/>
    <cellStyle name="Normal 119 5 2 2 2 2 2 2" xfId="33087" xr:uid="{00000000-0005-0000-0000-0000AF230000}"/>
    <cellStyle name="Normal 119 5 2 2 2 2 3" xfId="25040" xr:uid="{00000000-0005-0000-0000-0000B0230000}"/>
    <cellStyle name="Normal 119 5 2 2 2 3" xfId="12622" xr:uid="{00000000-0005-0000-0000-0000B1230000}"/>
    <cellStyle name="Normal 119 5 2 2 2 3 2" xfId="29147" xr:uid="{00000000-0005-0000-0000-0000B2230000}"/>
    <cellStyle name="Normal 119 5 2 2 2 4" xfId="21104" xr:uid="{00000000-0005-0000-0000-0000B3230000}"/>
    <cellStyle name="Normal 119 5 2 2 3" xfId="7333" xr:uid="{00000000-0005-0000-0000-0000B4230000}"/>
    <cellStyle name="Normal 119 5 2 2 3 2" xfId="16514" xr:uid="{00000000-0005-0000-0000-0000B5230000}"/>
    <cellStyle name="Normal 119 5 2 2 3 2 2" xfId="33088" xr:uid="{00000000-0005-0000-0000-0000B6230000}"/>
    <cellStyle name="Normal 119 5 2 2 3 3" xfId="25041" xr:uid="{00000000-0005-0000-0000-0000B7230000}"/>
    <cellStyle name="Normal 119 5 2 2 4" xfId="12621" xr:uid="{00000000-0005-0000-0000-0000B8230000}"/>
    <cellStyle name="Normal 119 5 2 2 4 2" xfId="29146" xr:uid="{00000000-0005-0000-0000-0000B9230000}"/>
    <cellStyle name="Normal 119 5 2 2 5" xfId="21103" xr:uid="{00000000-0005-0000-0000-0000BA230000}"/>
    <cellStyle name="Normal 119 5 2 3" xfId="3138" xr:uid="{00000000-0005-0000-0000-0000BB230000}"/>
    <cellStyle name="Normal 119 5 2 3 2" xfId="7334" xr:uid="{00000000-0005-0000-0000-0000BC230000}"/>
    <cellStyle name="Normal 119 5 2 3 2 2" xfId="16515" xr:uid="{00000000-0005-0000-0000-0000BD230000}"/>
    <cellStyle name="Normal 119 5 2 3 2 2 2" xfId="33089" xr:uid="{00000000-0005-0000-0000-0000BE230000}"/>
    <cellStyle name="Normal 119 5 2 3 2 3" xfId="25042" xr:uid="{00000000-0005-0000-0000-0000BF230000}"/>
    <cellStyle name="Normal 119 5 2 3 3" xfId="12623" xr:uid="{00000000-0005-0000-0000-0000C0230000}"/>
    <cellStyle name="Normal 119 5 2 3 3 2" xfId="29148" xr:uid="{00000000-0005-0000-0000-0000C1230000}"/>
    <cellStyle name="Normal 119 5 2 3 4" xfId="21105" xr:uid="{00000000-0005-0000-0000-0000C2230000}"/>
    <cellStyle name="Normal 119 5 2 4" xfId="7335" xr:uid="{00000000-0005-0000-0000-0000C3230000}"/>
    <cellStyle name="Normal 119 5 2 4 2" xfId="16516" xr:uid="{00000000-0005-0000-0000-0000C4230000}"/>
    <cellStyle name="Normal 119 5 2 4 2 2" xfId="33090" xr:uid="{00000000-0005-0000-0000-0000C5230000}"/>
    <cellStyle name="Normal 119 5 2 4 3" xfId="25043" xr:uid="{00000000-0005-0000-0000-0000C6230000}"/>
    <cellStyle name="Normal 119 5 2 5" xfId="12620" xr:uid="{00000000-0005-0000-0000-0000C7230000}"/>
    <cellStyle name="Normal 119 5 2 5 2" xfId="29145" xr:uid="{00000000-0005-0000-0000-0000C8230000}"/>
    <cellStyle name="Normal 119 5 2 6" xfId="21102" xr:uid="{00000000-0005-0000-0000-0000C9230000}"/>
    <cellStyle name="Normal 119 5 3" xfId="3139" xr:uid="{00000000-0005-0000-0000-0000CA230000}"/>
    <cellStyle name="Normal 119 5 3 2" xfId="3140" xr:uid="{00000000-0005-0000-0000-0000CB230000}"/>
    <cellStyle name="Normal 119 5 3 2 2" xfId="7336" xr:uid="{00000000-0005-0000-0000-0000CC230000}"/>
    <cellStyle name="Normal 119 5 3 2 2 2" xfId="16517" xr:uid="{00000000-0005-0000-0000-0000CD230000}"/>
    <cellStyle name="Normal 119 5 3 2 2 2 2" xfId="33091" xr:uid="{00000000-0005-0000-0000-0000CE230000}"/>
    <cellStyle name="Normal 119 5 3 2 2 3" xfId="25044" xr:uid="{00000000-0005-0000-0000-0000CF230000}"/>
    <cellStyle name="Normal 119 5 3 2 3" xfId="12625" xr:uid="{00000000-0005-0000-0000-0000D0230000}"/>
    <cellStyle name="Normal 119 5 3 2 3 2" xfId="29150" xr:uid="{00000000-0005-0000-0000-0000D1230000}"/>
    <cellStyle name="Normal 119 5 3 2 4" xfId="21107" xr:uid="{00000000-0005-0000-0000-0000D2230000}"/>
    <cellStyle name="Normal 119 5 3 3" xfId="7337" xr:uid="{00000000-0005-0000-0000-0000D3230000}"/>
    <cellStyle name="Normal 119 5 3 3 2" xfId="16518" xr:uid="{00000000-0005-0000-0000-0000D4230000}"/>
    <cellStyle name="Normal 119 5 3 3 2 2" xfId="33092" xr:uid="{00000000-0005-0000-0000-0000D5230000}"/>
    <cellStyle name="Normal 119 5 3 3 3" xfId="25045" xr:uid="{00000000-0005-0000-0000-0000D6230000}"/>
    <cellStyle name="Normal 119 5 3 4" xfId="12624" xr:uid="{00000000-0005-0000-0000-0000D7230000}"/>
    <cellStyle name="Normal 119 5 3 4 2" xfId="29149" xr:uid="{00000000-0005-0000-0000-0000D8230000}"/>
    <cellStyle name="Normal 119 5 3 5" xfId="21106" xr:uid="{00000000-0005-0000-0000-0000D9230000}"/>
    <cellStyle name="Normal 119 5 4" xfId="3141" xr:uid="{00000000-0005-0000-0000-0000DA230000}"/>
    <cellStyle name="Normal 119 5 4 2" xfId="7338" xr:uid="{00000000-0005-0000-0000-0000DB230000}"/>
    <cellStyle name="Normal 119 5 4 2 2" xfId="16519" xr:uid="{00000000-0005-0000-0000-0000DC230000}"/>
    <cellStyle name="Normal 119 5 4 2 2 2" xfId="33093" xr:uid="{00000000-0005-0000-0000-0000DD230000}"/>
    <cellStyle name="Normal 119 5 4 2 3" xfId="25046" xr:uid="{00000000-0005-0000-0000-0000DE230000}"/>
    <cellStyle name="Normal 119 5 4 3" xfId="12626" xr:uid="{00000000-0005-0000-0000-0000DF230000}"/>
    <cellStyle name="Normal 119 5 4 3 2" xfId="29151" xr:uid="{00000000-0005-0000-0000-0000E0230000}"/>
    <cellStyle name="Normal 119 5 4 4" xfId="21108" xr:uid="{00000000-0005-0000-0000-0000E1230000}"/>
    <cellStyle name="Normal 119 5 5" xfId="7339" xr:uid="{00000000-0005-0000-0000-0000E2230000}"/>
    <cellStyle name="Normal 119 5 5 2" xfId="16520" xr:uid="{00000000-0005-0000-0000-0000E3230000}"/>
    <cellStyle name="Normal 119 5 5 2 2" xfId="33094" xr:uid="{00000000-0005-0000-0000-0000E4230000}"/>
    <cellStyle name="Normal 119 5 5 3" xfId="25047" xr:uid="{00000000-0005-0000-0000-0000E5230000}"/>
    <cellStyle name="Normal 119 5 6" xfId="12619" xr:uid="{00000000-0005-0000-0000-0000E6230000}"/>
    <cellStyle name="Normal 119 5 6 2" xfId="29144" xr:uid="{00000000-0005-0000-0000-0000E7230000}"/>
    <cellStyle name="Normal 119 5 7" xfId="21101" xr:uid="{00000000-0005-0000-0000-0000E8230000}"/>
    <cellStyle name="Normal 119 6" xfId="3142" xr:uid="{00000000-0005-0000-0000-0000E9230000}"/>
    <cellStyle name="Normal 119 6 2" xfId="3143" xr:uid="{00000000-0005-0000-0000-0000EA230000}"/>
    <cellStyle name="Normal 119 6 2 2" xfId="3144" xr:uid="{00000000-0005-0000-0000-0000EB230000}"/>
    <cellStyle name="Normal 119 6 2 2 2" xfId="7340" xr:uid="{00000000-0005-0000-0000-0000EC230000}"/>
    <cellStyle name="Normal 119 6 2 2 2 2" xfId="16521" xr:uid="{00000000-0005-0000-0000-0000ED230000}"/>
    <cellStyle name="Normal 119 6 2 2 2 2 2" xfId="33095" xr:uid="{00000000-0005-0000-0000-0000EE230000}"/>
    <cellStyle name="Normal 119 6 2 2 2 3" xfId="25048" xr:uid="{00000000-0005-0000-0000-0000EF230000}"/>
    <cellStyle name="Normal 119 6 2 2 3" xfId="12629" xr:uid="{00000000-0005-0000-0000-0000F0230000}"/>
    <cellStyle name="Normal 119 6 2 2 3 2" xfId="29154" xr:uid="{00000000-0005-0000-0000-0000F1230000}"/>
    <cellStyle name="Normal 119 6 2 2 4" xfId="21111" xr:uid="{00000000-0005-0000-0000-0000F2230000}"/>
    <cellStyle name="Normal 119 6 2 3" xfId="7341" xr:uid="{00000000-0005-0000-0000-0000F3230000}"/>
    <cellStyle name="Normal 119 6 2 3 2" xfId="16522" xr:uid="{00000000-0005-0000-0000-0000F4230000}"/>
    <cellStyle name="Normal 119 6 2 3 2 2" xfId="33096" xr:uid="{00000000-0005-0000-0000-0000F5230000}"/>
    <cellStyle name="Normal 119 6 2 3 3" xfId="25049" xr:uid="{00000000-0005-0000-0000-0000F6230000}"/>
    <cellStyle name="Normal 119 6 2 4" xfId="12628" xr:uid="{00000000-0005-0000-0000-0000F7230000}"/>
    <cellStyle name="Normal 119 6 2 4 2" xfId="29153" xr:uid="{00000000-0005-0000-0000-0000F8230000}"/>
    <cellStyle name="Normal 119 6 2 5" xfId="21110" xr:uid="{00000000-0005-0000-0000-0000F9230000}"/>
    <cellStyle name="Normal 119 6 3" xfId="3145" xr:uid="{00000000-0005-0000-0000-0000FA230000}"/>
    <cellStyle name="Normal 119 6 3 2" xfId="7342" xr:uid="{00000000-0005-0000-0000-0000FB230000}"/>
    <cellStyle name="Normal 119 6 3 2 2" xfId="16523" xr:uid="{00000000-0005-0000-0000-0000FC230000}"/>
    <cellStyle name="Normal 119 6 3 2 2 2" xfId="33097" xr:uid="{00000000-0005-0000-0000-0000FD230000}"/>
    <cellStyle name="Normal 119 6 3 2 3" xfId="25050" xr:uid="{00000000-0005-0000-0000-0000FE230000}"/>
    <cellStyle name="Normal 119 6 3 3" xfId="12630" xr:uid="{00000000-0005-0000-0000-0000FF230000}"/>
    <cellStyle name="Normal 119 6 3 3 2" xfId="29155" xr:uid="{00000000-0005-0000-0000-000000240000}"/>
    <cellStyle name="Normal 119 6 3 4" xfId="21112" xr:uid="{00000000-0005-0000-0000-000001240000}"/>
    <cellStyle name="Normal 119 6 4" xfId="7343" xr:uid="{00000000-0005-0000-0000-000002240000}"/>
    <cellStyle name="Normal 119 6 4 2" xfId="16524" xr:uid="{00000000-0005-0000-0000-000003240000}"/>
    <cellStyle name="Normal 119 6 4 2 2" xfId="33098" xr:uid="{00000000-0005-0000-0000-000004240000}"/>
    <cellStyle name="Normal 119 6 4 3" xfId="25051" xr:uid="{00000000-0005-0000-0000-000005240000}"/>
    <cellStyle name="Normal 119 6 5" xfId="12627" xr:uid="{00000000-0005-0000-0000-000006240000}"/>
    <cellStyle name="Normal 119 6 5 2" xfId="29152" xr:uid="{00000000-0005-0000-0000-000007240000}"/>
    <cellStyle name="Normal 119 6 6" xfId="21109" xr:uid="{00000000-0005-0000-0000-000008240000}"/>
    <cellStyle name="Normal 119 7" xfId="3146" xr:uid="{00000000-0005-0000-0000-000009240000}"/>
    <cellStyle name="Normal 119 7 2" xfId="3147" xr:uid="{00000000-0005-0000-0000-00000A240000}"/>
    <cellStyle name="Normal 119 7 2 2" xfId="7344" xr:uid="{00000000-0005-0000-0000-00000B240000}"/>
    <cellStyle name="Normal 119 7 2 2 2" xfId="16525" xr:uid="{00000000-0005-0000-0000-00000C240000}"/>
    <cellStyle name="Normal 119 7 2 2 2 2" xfId="33099" xr:uid="{00000000-0005-0000-0000-00000D240000}"/>
    <cellStyle name="Normal 119 7 2 2 3" xfId="25052" xr:uid="{00000000-0005-0000-0000-00000E240000}"/>
    <cellStyle name="Normal 119 7 2 3" xfId="12632" xr:uid="{00000000-0005-0000-0000-00000F240000}"/>
    <cellStyle name="Normal 119 7 2 3 2" xfId="29157" xr:uid="{00000000-0005-0000-0000-000010240000}"/>
    <cellStyle name="Normal 119 7 2 4" xfId="21114" xr:uid="{00000000-0005-0000-0000-000011240000}"/>
    <cellStyle name="Normal 119 7 3" xfId="7345" xr:uid="{00000000-0005-0000-0000-000012240000}"/>
    <cellStyle name="Normal 119 7 3 2" xfId="16526" xr:uid="{00000000-0005-0000-0000-000013240000}"/>
    <cellStyle name="Normal 119 7 3 2 2" xfId="33100" xr:uid="{00000000-0005-0000-0000-000014240000}"/>
    <cellStyle name="Normal 119 7 3 3" xfId="25053" xr:uid="{00000000-0005-0000-0000-000015240000}"/>
    <cellStyle name="Normal 119 7 4" xfId="12631" xr:uid="{00000000-0005-0000-0000-000016240000}"/>
    <cellStyle name="Normal 119 7 4 2" xfId="29156" xr:uid="{00000000-0005-0000-0000-000017240000}"/>
    <cellStyle name="Normal 119 7 5" xfId="21113" xr:uid="{00000000-0005-0000-0000-000018240000}"/>
    <cellStyle name="Normal 119 8" xfId="3148" xr:uid="{00000000-0005-0000-0000-000019240000}"/>
    <cellStyle name="Normal 119 8 2" xfId="7346" xr:uid="{00000000-0005-0000-0000-00001A240000}"/>
    <cellStyle name="Normal 119 8 2 2" xfId="16527" xr:uid="{00000000-0005-0000-0000-00001B240000}"/>
    <cellStyle name="Normal 119 8 2 2 2" xfId="33101" xr:uid="{00000000-0005-0000-0000-00001C240000}"/>
    <cellStyle name="Normal 119 8 2 3" xfId="25054" xr:uid="{00000000-0005-0000-0000-00001D240000}"/>
    <cellStyle name="Normal 119 8 3" xfId="12633" xr:uid="{00000000-0005-0000-0000-00001E240000}"/>
    <cellStyle name="Normal 119 8 3 2" xfId="29158" xr:uid="{00000000-0005-0000-0000-00001F240000}"/>
    <cellStyle name="Normal 119 8 4" xfId="21115" xr:uid="{00000000-0005-0000-0000-000020240000}"/>
    <cellStyle name="Normal 119 9" xfId="7347" xr:uid="{00000000-0005-0000-0000-000021240000}"/>
    <cellStyle name="Normal 119 9 2" xfId="16528" xr:uid="{00000000-0005-0000-0000-000022240000}"/>
    <cellStyle name="Normal 119 9 2 2" xfId="33102" xr:uid="{00000000-0005-0000-0000-000023240000}"/>
    <cellStyle name="Normal 119 9 3" xfId="25055" xr:uid="{00000000-0005-0000-0000-000024240000}"/>
    <cellStyle name="Normal 12" xfId="408" xr:uid="{00000000-0005-0000-0000-000025240000}"/>
    <cellStyle name="Normal 12 10" xfId="3149" xr:uid="{00000000-0005-0000-0000-000026240000}"/>
    <cellStyle name="Normal 12 10 2" xfId="29159" xr:uid="{00000000-0005-0000-0000-000027240000}"/>
    <cellStyle name="Normal 12 11" xfId="21116" xr:uid="{00000000-0005-0000-0000-000028240000}"/>
    <cellStyle name="Normal 12 2" xfId="1597" xr:uid="{00000000-0005-0000-0000-000029240000}"/>
    <cellStyle name="Normal 12 2 2" xfId="3151" xr:uid="{00000000-0005-0000-0000-00002A240000}"/>
    <cellStyle name="Normal 12 2 3" xfId="3150" xr:uid="{00000000-0005-0000-0000-00002B240000}"/>
    <cellStyle name="Normal 12 2 3 2" xfId="29160" xr:uid="{00000000-0005-0000-0000-00002C240000}"/>
    <cellStyle name="Normal 12 2 4" xfId="21117" xr:uid="{00000000-0005-0000-0000-00002D240000}"/>
    <cellStyle name="Normal 12 3" xfId="3152" xr:uid="{00000000-0005-0000-0000-00002E240000}"/>
    <cellStyle name="Normal 12 3 2" xfId="3153" xr:uid="{00000000-0005-0000-0000-00002F240000}"/>
    <cellStyle name="Normal 12 3 2 2" xfId="3154" xr:uid="{00000000-0005-0000-0000-000030240000}"/>
    <cellStyle name="Normal 12 3 2 2 2" xfId="3155" xr:uid="{00000000-0005-0000-0000-000031240000}"/>
    <cellStyle name="Normal 12 3 2 2 2 2" xfId="3156" xr:uid="{00000000-0005-0000-0000-000032240000}"/>
    <cellStyle name="Normal 12 3 2 2 2 2 2" xfId="12637" xr:uid="{00000000-0005-0000-0000-000033240000}"/>
    <cellStyle name="Normal 12 3 2 2 2 2 2 2" xfId="29164" xr:uid="{00000000-0005-0000-0000-000034240000}"/>
    <cellStyle name="Normal 12 3 2 2 2 2 3" xfId="21121" xr:uid="{00000000-0005-0000-0000-000035240000}"/>
    <cellStyle name="Normal 12 3 2 2 2 3" xfId="12636" xr:uid="{00000000-0005-0000-0000-000036240000}"/>
    <cellStyle name="Normal 12 3 2 2 2 3 2" xfId="29163" xr:uid="{00000000-0005-0000-0000-000037240000}"/>
    <cellStyle name="Normal 12 3 2 2 2 4" xfId="21120" xr:uid="{00000000-0005-0000-0000-000038240000}"/>
    <cellStyle name="Normal 12 3 2 2 3" xfId="7348" xr:uid="{00000000-0005-0000-0000-000039240000}"/>
    <cellStyle name="Normal 12 3 2 2 3 2" xfId="16529" xr:uid="{00000000-0005-0000-0000-00003A240000}"/>
    <cellStyle name="Normal 12 3 2 2 3 2 2" xfId="33103" xr:uid="{00000000-0005-0000-0000-00003B240000}"/>
    <cellStyle name="Normal 12 3 2 2 3 3" xfId="25056" xr:uid="{00000000-0005-0000-0000-00003C240000}"/>
    <cellStyle name="Normal 12 3 2 2 4" xfId="12635" xr:uid="{00000000-0005-0000-0000-00003D240000}"/>
    <cellStyle name="Normal 12 3 2 2 4 2" xfId="29162" xr:uid="{00000000-0005-0000-0000-00003E240000}"/>
    <cellStyle name="Normal 12 3 2 2 5" xfId="21119" xr:uid="{00000000-0005-0000-0000-00003F240000}"/>
    <cellStyle name="Normal 12 3 2 3" xfId="3157" xr:uid="{00000000-0005-0000-0000-000040240000}"/>
    <cellStyle name="Normal 12 3 2 3 2" xfId="7349" xr:uid="{00000000-0005-0000-0000-000041240000}"/>
    <cellStyle name="Normal 12 3 2 3 2 2" xfId="16530" xr:uid="{00000000-0005-0000-0000-000042240000}"/>
    <cellStyle name="Normal 12 3 2 3 2 2 2" xfId="33104" xr:uid="{00000000-0005-0000-0000-000043240000}"/>
    <cellStyle name="Normal 12 3 2 3 2 3" xfId="25057" xr:uid="{00000000-0005-0000-0000-000044240000}"/>
    <cellStyle name="Normal 12 3 2 3 3" xfId="12638" xr:uid="{00000000-0005-0000-0000-000045240000}"/>
    <cellStyle name="Normal 12 3 2 3 3 2" xfId="29165" xr:uid="{00000000-0005-0000-0000-000046240000}"/>
    <cellStyle name="Normal 12 3 2 3 4" xfId="21122" xr:uid="{00000000-0005-0000-0000-000047240000}"/>
    <cellStyle name="Normal 12 3 2 4" xfId="7350" xr:uid="{00000000-0005-0000-0000-000048240000}"/>
    <cellStyle name="Normal 12 3 2 4 2" xfId="16531" xr:uid="{00000000-0005-0000-0000-000049240000}"/>
    <cellStyle name="Normal 12 3 2 4 2 2" xfId="33105" xr:uid="{00000000-0005-0000-0000-00004A240000}"/>
    <cellStyle name="Normal 12 3 2 4 3" xfId="25058" xr:uid="{00000000-0005-0000-0000-00004B240000}"/>
    <cellStyle name="Normal 12 3 2 5" xfId="12634" xr:uid="{00000000-0005-0000-0000-00004C240000}"/>
    <cellStyle name="Normal 12 3 2 5 2" xfId="29161" xr:uid="{00000000-0005-0000-0000-00004D240000}"/>
    <cellStyle name="Normal 12 3 2 6" xfId="21118" xr:uid="{00000000-0005-0000-0000-00004E240000}"/>
    <cellStyle name="Normal 12 3 3" xfId="3158" xr:uid="{00000000-0005-0000-0000-00004F240000}"/>
    <cellStyle name="Normal 12 3 3 2" xfId="3159" xr:uid="{00000000-0005-0000-0000-000050240000}"/>
    <cellStyle name="Normal 12 3 3 2 2" xfId="7351" xr:uid="{00000000-0005-0000-0000-000051240000}"/>
    <cellStyle name="Normal 12 3 3 2 2 2" xfId="16532" xr:uid="{00000000-0005-0000-0000-000052240000}"/>
    <cellStyle name="Normal 12 3 3 2 2 2 2" xfId="33106" xr:uid="{00000000-0005-0000-0000-000053240000}"/>
    <cellStyle name="Normal 12 3 3 2 2 3" xfId="25059" xr:uid="{00000000-0005-0000-0000-000054240000}"/>
    <cellStyle name="Normal 12 3 3 2 3" xfId="12640" xr:uid="{00000000-0005-0000-0000-000055240000}"/>
    <cellStyle name="Normal 12 3 3 2 3 2" xfId="29167" xr:uid="{00000000-0005-0000-0000-000056240000}"/>
    <cellStyle name="Normal 12 3 3 2 4" xfId="21124" xr:uid="{00000000-0005-0000-0000-000057240000}"/>
    <cellStyle name="Normal 12 3 3 3" xfId="7352" xr:uid="{00000000-0005-0000-0000-000058240000}"/>
    <cellStyle name="Normal 12 3 3 3 2" xfId="16533" xr:uid="{00000000-0005-0000-0000-000059240000}"/>
    <cellStyle name="Normal 12 3 3 3 2 2" xfId="33107" xr:uid="{00000000-0005-0000-0000-00005A240000}"/>
    <cellStyle name="Normal 12 3 3 3 3" xfId="25060" xr:uid="{00000000-0005-0000-0000-00005B240000}"/>
    <cellStyle name="Normal 12 3 3 4" xfId="12639" xr:uid="{00000000-0005-0000-0000-00005C240000}"/>
    <cellStyle name="Normal 12 3 3 4 2" xfId="29166" xr:uid="{00000000-0005-0000-0000-00005D240000}"/>
    <cellStyle name="Normal 12 3 3 5" xfId="21123" xr:uid="{00000000-0005-0000-0000-00005E240000}"/>
    <cellStyle name="Normal 12 3 4" xfId="3160" xr:uid="{00000000-0005-0000-0000-00005F240000}"/>
    <cellStyle name="Normal 12 3 4 2" xfId="7353" xr:uid="{00000000-0005-0000-0000-000060240000}"/>
    <cellStyle name="Normal 12 3 4 2 2" xfId="16534" xr:uid="{00000000-0005-0000-0000-000061240000}"/>
    <cellStyle name="Normal 12 3 4 2 2 2" xfId="33108" xr:uid="{00000000-0005-0000-0000-000062240000}"/>
    <cellStyle name="Normal 12 3 4 2 3" xfId="25061" xr:uid="{00000000-0005-0000-0000-000063240000}"/>
    <cellStyle name="Normal 12 3 4 3" xfId="12641" xr:uid="{00000000-0005-0000-0000-000064240000}"/>
    <cellStyle name="Normal 12 3 4 3 2" xfId="29168" xr:uid="{00000000-0005-0000-0000-000065240000}"/>
    <cellStyle name="Normal 12 3 4 4" xfId="21125" xr:uid="{00000000-0005-0000-0000-000066240000}"/>
    <cellStyle name="Normal 12 3 5" xfId="7354" xr:uid="{00000000-0005-0000-0000-000067240000}"/>
    <cellStyle name="Normal 12 3 5 2" xfId="16535" xr:uid="{00000000-0005-0000-0000-000068240000}"/>
    <cellStyle name="Normal 12 3 5 2 2" xfId="33109" xr:uid="{00000000-0005-0000-0000-000069240000}"/>
    <cellStyle name="Normal 12 3 5 3" xfId="25062" xr:uid="{00000000-0005-0000-0000-00006A240000}"/>
    <cellStyle name="Normal 12 4" xfId="3161" xr:uid="{00000000-0005-0000-0000-00006B240000}"/>
    <cellStyle name="Normal 12 4 2" xfId="3162" xr:uid="{00000000-0005-0000-0000-00006C240000}"/>
    <cellStyle name="Normal 12 4 2 2" xfId="3163" xr:uid="{00000000-0005-0000-0000-00006D240000}"/>
    <cellStyle name="Normal 12 4 2 2 2" xfId="3164" xr:uid="{00000000-0005-0000-0000-00006E240000}"/>
    <cellStyle name="Normal 12 4 2 2 2 2" xfId="7355" xr:uid="{00000000-0005-0000-0000-00006F240000}"/>
    <cellStyle name="Normal 12 4 2 2 2 2 2" xfId="16536" xr:uid="{00000000-0005-0000-0000-000070240000}"/>
    <cellStyle name="Normal 12 4 2 2 2 2 2 2" xfId="33110" xr:uid="{00000000-0005-0000-0000-000071240000}"/>
    <cellStyle name="Normal 12 4 2 2 2 2 3" xfId="25063" xr:uid="{00000000-0005-0000-0000-000072240000}"/>
    <cellStyle name="Normal 12 4 2 2 2 3" xfId="12645" xr:uid="{00000000-0005-0000-0000-000073240000}"/>
    <cellStyle name="Normal 12 4 2 2 2 3 2" xfId="29172" xr:uid="{00000000-0005-0000-0000-000074240000}"/>
    <cellStyle name="Normal 12 4 2 2 2 4" xfId="21129" xr:uid="{00000000-0005-0000-0000-000075240000}"/>
    <cellStyle name="Normal 12 4 2 2 3" xfId="7356" xr:uid="{00000000-0005-0000-0000-000076240000}"/>
    <cellStyle name="Normal 12 4 2 2 3 2" xfId="16537" xr:uid="{00000000-0005-0000-0000-000077240000}"/>
    <cellStyle name="Normal 12 4 2 2 3 2 2" xfId="33111" xr:uid="{00000000-0005-0000-0000-000078240000}"/>
    <cellStyle name="Normal 12 4 2 2 3 3" xfId="25064" xr:uid="{00000000-0005-0000-0000-000079240000}"/>
    <cellStyle name="Normal 12 4 2 2 4" xfId="12644" xr:uid="{00000000-0005-0000-0000-00007A240000}"/>
    <cellStyle name="Normal 12 4 2 2 4 2" xfId="29171" xr:uid="{00000000-0005-0000-0000-00007B240000}"/>
    <cellStyle name="Normal 12 4 2 2 5" xfId="21128" xr:uid="{00000000-0005-0000-0000-00007C240000}"/>
    <cellStyle name="Normal 12 4 2 3" xfId="3165" xr:uid="{00000000-0005-0000-0000-00007D240000}"/>
    <cellStyle name="Normal 12 4 2 3 2" xfId="7357" xr:uid="{00000000-0005-0000-0000-00007E240000}"/>
    <cellStyle name="Normal 12 4 2 3 2 2" xfId="16538" xr:uid="{00000000-0005-0000-0000-00007F240000}"/>
    <cellStyle name="Normal 12 4 2 3 2 2 2" xfId="33112" xr:uid="{00000000-0005-0000-0000-000080240000}"/>
    <cellStyle name="Normal 12 4 2 3 2 3" xfId="25065" xr:uid="{00000000-0005-0000-0000-000081240000}"/>
    <cellStyle name="Normal 12 4 2 3 3" xfId="12646" xr:uid="{00000000-0005-0000-0000-000082240000}"/>
    <cellStyle name="Normal 12 4 2 3 3 2" xfId="29173" xr:uid="{00000000-0005-0000-0000-000083240000}"/>
    <cellStyle name="Normal 12 4 2 3 4" xfId="21130" xr:uid="{00000000-0005-0000-0000-000084240000}"/>
    <cellStyle name="Normal 12 4 2 4" xfId="7358" xr:uid="{00000000-0005-0000-0000-000085240000}"/>
    <cellStyle name="Normal 12 4 2 4 2" xfId="16539" xr:uid="{00000000-0005-0000-0000-000086240000}"/>
    <cellStyle name="Normal 12 4 2 4 2 2" xfId="33113" xr:uid="{00000000-0005-0000-0000-000087240000}"/>
    <cellStyle name="Normal 12 4 2 4 3" xfId="25066" xr:uid="{00000000-0005-0000-0000-000088240000}"/>
    <cellStyle name="Normal 12 4 2 5" xfId="12643" xr:uid="{00000000-0005-0000-0000-000089240000}"/>
    <cellStyle name="Normal 12 4 2 5 2" xfId="29170" xr:uid="{00000000-0005-0000-0000-00008A240000}"/>
    <cellStyle name="Normal 12 4 2 6" xfId="21127" xr:uid="{00000000-0005-0000-0000-00008B240000}"/>
    <cellStyle name="Normal 12 4 3" xfId="3166" xr:uid="{00000000-0005-0000-0000-00008C240000}"/>
    <cellStyle name="Normal 12 4 3 2" xfId="3167" xr:uid="{00000000-0005-0000-0000-00008D240000}"/>
    <cellStyle name="Normal 12 4 3 2 2" xfId="7359" xr:uid="{00000000-0005-0000-0000-00008E240000}"/>
    <cellStyle name="Normal 12 4 3 2 2 2" xfId="16540" xr:uid="{00000000-0005-0000-0000-00008F240000}"/>
    <cellStyle name="Normal 12 4 3 2 2 2 2" xfId="33114" xr:uid="{00000000-0005-0000-0000-000090240000}"/>
    <cellStyle name="Normal 12 4 3 2 2 3" xfId="25067" xr:uid="{00000000-0005-0000-0000-000091240000}"/>
    <cellStyle name="Normal 12 4 3 2 3" xfId="12648" xr:uid="{00000000-0005-0000-0000-000092240000}"/>
    <cellStyle name="Normal 12 4 3 2 3 2" xfId="29175" xr:uid="{00000000-0005-0000-0000-000093240000}"/>
    <cellStyle name="Normal 12 4 3 2 4" xfId="21132" xr:uid="{00000000-0005-0000-0000-000094240000}"/>
    <cellStyle name="Normal 12 4 3 3" xfId="7360" xr:uid="{00000000-0005-0000-0000-000095240000}"/>
    <cellStyle name="Normal 12 4 3 3 2" xfId="16541" xr:uid="{00000000-0005-0000-0000-000096240000}"/>
    <cellStyle name="Normal 12 4 3 3 2 2" xfId="33115" xr:uid="{00000000-0005-0000-0000-000097240000}"/>
    <cellStyle name="Normal 12 4 3 3 3" xfId="25068" xr:uid="{00000000-0005-0000-0000-000098240000}"/>
    <cellStyle name="Normal 12 4 3 4" xfId="12647" xr:uid="{00000000-0005-0000-0000-000099240000}"/>
    <cellStyle name="Normal 12 4 3 4 2" xfId="29174" xr:uid="{00000000-0005-0000-0000-00009A240000}"/>
    <cellStyle name="Normal 12 4 3 5" xfId="21131" xr:uid="{00000000-0005-0000-0000-00009B240000}"/>
    <cellStyle name="Normal 12 4 4" xfId="3168" xr:uid="{00000000-0005-0000-0000-00009C240000}"/>
    <cellStyle name="Normal 12 4 4 2" xfId="7361" xr:uid="{00000000-0005-0000-0000-00009D240000}"/>
    <cellStyle name="Normal 12 4 4 2 2" xfId="16542" xr:uid="{00000000-0005-0000-0000-00009E240000}"/>
    <cellStyle name="Normal 12 4 4 2 2 2" xfId="33116" xr:uid="{00000000-0005-0000-0000-00009F240000}"/>
    <cellStyle name="Normal 12 4 4 2 3" xfId="25069" xr:uid="{00000000-0005-0000-0000-0000A0240000}"/>
    <cellStyle name="Normal 12 4 4 3" xfId="12649" xr:uid="{00000000-0005-0000-0000-0000A1240000}"/>
    <cellStyle name="Normal 12 4 4 3 2" xfId="29176" xr:uid="{00000000-0005-0000-0000-0000A2240000}"/>
    <cellStyle name="Normal 12 4 4 4" xfId="21133" xr:uid="{00000000-0005-0000-0000-0000A3240000}"/>
    <cellStyle name="Normal 12 4 5" xfId="7362" xr:uid="{00000000-0005-0000-0000-0000A4240000}"/>
    <cellStyle name="Normal 12 4 5 2" xfId="16543" xr:uid="{00000000-0005-0000-0000-0000A5240000}"/>
    <cellStyle name="Normal 12 4 5 2 2" xfId="33117" xr:uid="{00000000-0005-0000-0000-0000A6240000}"/>
    <cellStyle name="Normal 12 4 5 3" xfId="25070" xr:uid="{00000000-0005-0000-0000-0000A7240000}"/>
    <cellStyle name="Normal 12 4 6" xfId="12642" xr:uid="{00000000-0005-0000-0000-0000A8240000}"/>
    <cellStyle name="Normal 12 4 6 2" xfId="29169" xr:uid="{00000000-0005-0000-0000-0000A9240000}"/>
    <cellStyle name="Normal 12 4 7" xfId="21126" xr:uid="{00000000-0005-0000-0000-0000AA240000}"/>
    <cellStyle name="Normal 12 5" xfId="3169" xr:uid="{00000000-0005-0000-0000-0000AB240000}"/>
    <cellStyle name="Normal 12 5 2" xfId="3170" xr:uid="{00000000-0005-0000-0000-0000AC240000}"/>
    <cellStyle name="Normal 12 5 2 2" xfId="3171" xr:uid="{00000000-0005-0000-0000-0000AD240000}"/>
    <cellStyle name="Normal 12 5 2 2 2" xfId="3172" xr:uid="{00000000-0005-0000-0000-0000AE240000}"/>
    <cellStyle name="Normal 12 5 2 2 2 2" xfId="7363" xr:uid="{00000000-0005-0000-0000-0000AF240000}"/>
    <cellStyle name="Normal 12 5 2 2 2 2 2" xfId="16544" xr:uid="{00000000-0005-0000-0000-0000B0240000}"/>
    <cellStyle name="Normal 12 5 2 2 2 2 2 2" xfId="33118" xr:uid="{00000000-0005-0000-0000-0000B1240000}"/>
    <cellStyle name="Normal 12 5 2 2 2 2 3" xfId="25071" xr:uid="{00000000-0005-0000-0000-0000B2240000}"/>
    <cellStyle name="Normal 12 5 2 2 2 3" xfId="12653" xr:uid="{00000000-0005-0000-0000-0000B3240000}"/>
    <cellStyle name="Normal 12 5 2 2 2 3 2" xfId="29180" xr:uid="{00000000-0005-0000-0000-0000B4240000}"/>
    <cellStyle name="Normal 12 5 2 2 2 4" xfId="21137" xr:uid="{00000000-0005-0000-0000-0000B5240000}"/>
    <cellStyle name="Normal 12 5 2 2 3" xfId="7364" xr:uid="{00000000-0005-0000-0000-0000B6240000}"/>
    <cellStyle name="Normal 12 5 2 2 3 2" xfId="16545" xr:uid="{00000000-0005-0000-0000-0000B7240000}"/>
    <cellStyle name="Normal 12 5 2 2 3 2 2" xfId="33119" xr:uid="{00000000-0005-0000-0000-0000B8240000}"/>
    <cellStyle name="Normal 12 5 2 2 3 3" xfId="25072" xr:uid="{00000000-0005-0000-0000-0000B9240000}"/>
    <cellStyle name="Normal 12 5 2 2 4" xfId="12652" xr:uid="{00000000-0005-0000-0000-0000BA240000}"/>
    <cellStyle name="Normal 12 5 2 2 4 2" xfId="29179" xr:uid="{00000000-0005-0000-0000-0000BB240000}"/>
    <cellStyle name="Normal 12 5 2 2 5" xfId="21136" xr:uid="{00000000-0005-0000-0000-0000BC240000}"/>
    <cellStyle name="Normal 12 5 2 3" xfId="3173" xr:uid="{00000000-0005-0000-0000-0000BD240000}"/>
    <cellStyle name="Normal 12 5 2 3 2" xfId="7365" xr:uid="{00000000-0005-0000-0000-0000BE240000}"/>
    <cellStyle name="Normal 12 5 2 3 2 2" xfId="16546" xr:uid="{00000000-0005-0000-0000-0000BF240000}"/>
    <cellStyle name="Normal 12 5 2 3 2 2 2" xfId="33120" xr:uid="{00000000-0005-0000-0000-0000C0240000}"/>
    <cellStyle name="Normal 12 5 2 3 2 3" xfId="25073" xr:uid="{00000000-0005-0000-0000-0000C1240000}"/>
    <cellStyle name="Normal 12 5 2 3 3" xfId="12654" xr:uid="{00000000-0005-0000-0000-0000C2240000}"/>
    <cellStyle name="Normal 12 5 2 3 3 2" xfId="29181" xr:uid="{00000000-0005-0000-0000-0000C3240000}"/>
    <cellStyle name="Normal 12 5 2 3 4" xfId="21138" xr:uid="{00000000-0005-0000-0000-0000C4240000}"/>
    <cellStyle name="Normal 12 5 2 4" xfId="7366" xr:uid="{00000000-0005-0000-0000-0000C5240000}"/>
    <cellStyle name="Normal 12 5 2 4 2" xfId="16547" xr:uid="{00000000-0005-0000-0000-0000C6240000}"/>
    <cellStyle name="Normal 12 5 2 4 2 2" xfId="33121" xr:uid="{00000000-0005-0000-0000-0000C7240000}"/>
    <cellStyle name="Normal 12 5 2 4 3" xfId="25074" xr:uid="{00000000-0005-0000-0000-0000C8240000}"/>
    <cellStyle name="Normal 12 5 2 5" xfId="12651" xr:uid="{00000000-0005-0000-0000-0000C9240000}"/>
    <cellStyle name="Normal 12 5 2 5 2" xfId="29178" xr:uid="{00000000-0005-0000-0000-0000CA240000}"/>
    <cellStyle name="Normal 12 5 2 6" xfId="21135" xr:uid="{00000000-0005-0000-0000-0000CB240000}"/>
    <cellStyle name="Normal 12 5 3" xfId="3174" xr:uid="{00000000-0005-0000-0000-0000CC240000}"/>
    <cellStyle name="Normal 12 5 3 2" xfId="3175" xr:uid="{00000000-0005-0000-0000-0000CD240000}"/>
    <cellStyle name="Normal 12 5 3 2 2" xfId="7367" xr:uid="{00000000-0005-0000-0000-0000CE240000}"/>
    <cellStyle name="Normal 12 5 3 2 2 2" xfId="16548" xr:uid="{00000000-0005-0000-0000-0000CF240000}"/>
    <cellStyle name="Normal 12 5 3 2 2 2 2" xfId="33122" xr:uid="{00000000-0005-0000-0000-0000D0240000}"/>
    <cellStyle name="Normal 12 5 3 2 2 3" xfId="25075" xr:uid="{00000000-0005-0000-0000-0000D1240000}"/>
    <cellStyle name="Normal 12 5 3 2 3" xfId="12656" xr:uid="{00000000-0005-0000-0000-0000D2240000}"/>
    <cellStyle name="Normal 12 5 3 2 3 2" xfId="29183" xr:uid="{00000000-0005-0000-0000-0000D3240000}"/>
    <cellStyle name="Normal 12 5 3 2 4" xfId="21140" xr:uid="{00000000-0005-0000-0000-0000D4240000}"/>
    <cellStyle name="Normal 12 5 3 3" xfId="7368" xr:uid="{00000000-0005-0000-0000-0000D5240000}"/>
    <cellStyle name="Normal 12 5 3 3 2" xfId="16549" xr:uid="{00000000-0005-0000-0000-0000D6240000}"/>
    <cellStyle name="Normal 12 5 3 3 2 2" xfId="33123" xr:uid="{00000000-0005-0000-0000-0000D7240000}"/>
    <cellStyle name="Normal 12 5 3 3 3" xfId="25076" xr:uid="{00000000-0005-0000-0000-0000D8240000}"/>
    <cellStyle name="Normal 12 5 3 4" xfId="12655" xr:uid="{00000000-0005-0000-0000-0000D9240000}"/>
    <cellStyle name="Normal 12 5 3 4 2" xfId="29182" xr:uid="{00000000-0005-0000-0000-0000DA240000}"/>
    <cellStyle name="Normal 12 5 3 5" xfId="21139" xr:uid="{00000000-0005-0000-0000-0000DB240000}"/>
    <cellStyle name="Normal 12 5 4" xfId="3176" xr:uid="{00000000-0005-0000-0000-0000DC240000}"/>
    <cellStyle name="Normal 12 5 4 2" xfId="7369" xr:uid="{00000000-0005-0000-0000-0000DD240000}"/>
    <cellStyle name="Normal 12 5 4 2 2" xfId="16550" xr:uid="{00000000-0005-0000-0000-0000DE240000}"/>
    <cellStyle name="Normal 12 5 4 2 2 2" xfId="33124" xr:uid="{00000000-0005-0000-0000-0000DF240000}"/>
    <cellStyle name="Normal 12 5 4 2 3" xfId="25077" xr:uid="{00000000-0005-0000-0000-0000E0240000}"/>
    <cellStyle name="Normal 12 5 4 3" xfId="12657" xr:uid="{00000000-0005-0000-0000-0000E1240000}"/>
    <cellStyle name="Normal 12 5 4 3 2" xfId="29184" xr:uid="{00000000-0005-0000-0000-0000E2240000}"/>
    <cellStyle name="Normal 12 5 4 4" xfId="21141" xr:uid="{00000000-0005-0000-0000-0000E3240000}"/>
    <cellStyle name="Normal 12 5 5" xfId="7370" xr:uid="{00000000-0005-0000-0000-0000E4240000}"/>
    <cellStyle name="Normal 12 5 5 2" xfId="16551" xr:uid="{00000000-0005-0000-0000-0000E5240000}"/>
    <cellStyle name="Normal 12 5 5 2 2" xfId="33125" xr:uid="{00000000-0005-0000-0000-0000E6240000}"/>
    <cellStyle name="Normal 12 5 5 3" xfId="25078" xr:uid="{00000000-0005-0000-0000-0000E7240000}"/>
    <cellStyle name="Normal 12 5 6" xfId="12650" xr:uid="{00000000-0005-0000-0000-0000E8240000}"/>
    <cellStyle name="Normal 12 5 6 2" xfId="29177" xr:uid="{00000000-0005-0000-0000-0000E9240000}"/>
    <cellStyle name="Normal 12 5 7" xfId="21134" xr:uid="{00000000-0005-0000-0000-0000EA240000}"/>
    <cellStyle name="Normal 12 6" xfId="3177" xr:uid="{00000000-0005-0000-0000-0000EB240000}"/>
    <cellStyle name="Normal 12 6 2" xfId="3178" xr:uid="{00000000-0005-0000-0000-0000EC240000}"/>
    <cellStyle name="Normal 12 6 2 2" xfId="3179" xr:uid="{00000000-0005-0000-0000-0000ED240000}"/>
    <cellStyle name="Normal 12 6 2 2 2" xfId="7371" xr:uid="{00000000-0005-0000-0000-0000EE240000}"/>
    <cellStyle name="Normal 12 6 2 2 2 2" xfId="16552" xr:uid="{00000000-0005-0000-0000-0000EF240000}"/>
    <cellStyle name="Normal 12 6 2 2 2 2 2" xfId="33126" xr:uid="{00000000-0005-0000-0000-0000F0240000}"/>
    <cellStyle name="Normal 12 6 2 2 2 3" xfId="25079" xr:uid="{00000000-0005-0000-0000-0000F1240000}"/>
    <cellStyle name="Normal 12 6 2 2 3" xfId="12660" xr:uid="{00000000-0005-0000-0000-0000F2240000}"/>
    <cellStyle name="Normal 12 6 2 2 3 2" xfId="29187" xr:uid="{00000000-0005-0000-0000-0000F3240000}"/>
    <cellStyle name="Normal 12 6 2 2 4" xfId="21144" xr:uid="{00000000-0005-0000-0000-0000F4240000}"/>
    <cellStyle name="Normal 12 6 2 3" xfId="7372" xr:uid="{00000000-0005-0000-0000-0000F5240000}"/>
    <cellStyle name="Normal 12 6 2 3 2" xfId="16553" xr:uid="{00000000-0005-0000-0000-0000F6240000}"/>
    <cellStyle name="Normal 12 6 2 3 2 2" xfId="33127" xr:uid="{00000000-0005-0000-0000-0000F7240000}"/>
    <cellStyle name="Normal 12 6 2 3 3" xfId="25080" xr:uid="{00000000-0005-0000-0000-0000F8240000}"/>
    <cellStyle name="Normal 12 6 2 4" xfId="12659" xr:uid="{00000000-0005-0000-0000-0000F9240000}"/>
    <cellStyle name="Normal 12 6 2 4 2" xfId="29186" xr:uid="{00000000-0005-0000-0000-0000FA240000}"/>
    <cellStyle name="Normal 12 6 2 5" xfId="21143" xr:uid="{00000000-0005-0000-0000-0000FB240000}"/>
    <cellStyle name="Normal 12 6 3" xfId="3180" xr:uid="{00000000-0005-0000-0000-0000FC240000}"/>
    <cellStyle name="Normal 12 6 3 2" xfId="7373" xr:uid="{00000000-0005-0000-0000-0000FD240000}"/>
    <cellStyle name="Normal 12 6 3 2 2" xfId="16554" xr:uid="{00000000-0005-0000-0000-0000FE240000}"/>
    <cellStyle name="Normal 12 6 3 2 2 2" xfId="33128" xr:uid="{00000000-0005-0000-0000-0000FF240000}"/>
    <cellStyle name="Normal 12 6 3 2 3" xfId="25081" xr:uid="{00000000-0005-0000-0000-000000250000}"/>
    <cellStyle name="Normal 12 6 3 3" xfId="12661" xr:uid="{00000000-0005-0000-0000-000001250000}"/>
    <cellStyle name="Normal 12 6 3 3 2" xfId="29188" xr:uid="{00000000-0005-0000-0000-000002250000}"/>
    <cellStyle name="Normal 12 6 3 4" xfId="21145" xr:uid="{00000000-0005-0000-0000-000003250000}"/>
    <cellStyle name="Normal 12 6 4" xfId="7374" xr:uid="{00000000-0005-0000-0000-000004250000}"/>
    <cellStyle name="Normal 12 6 4 2" xfId="16555" xr:uid="{00000000-0005-0000-0000-000005250000}"/>
    <cellStyle name="Normal 12 6 4 2 2" xfId="33129" xr:uid="{00000000-0005-0000-0000-000006250000}"/>
    <cellStyle name="Normal 12 6 4 3" xfId="25082" xr:uid="{00000000-0005-0000-0000-000007250000}"/>
    <cellStyle name="Normal 12 6 5" xfId="12658" xr:uid="{00000000-0005-0000-0000-000008250000}"/>
    <cellStyle name="Normal 12 6 5 2" xfId="29185" xr:uid="{00000000-0005-0000-0000-000009250000}"/>
    <cellStyle name="Normal 12 6 6" xfId="21142" xr:uid="{00000000-0005-0000-0000-00000A250000}"/>
    <cellStyle name="Normal 12 7" xfId="3181" xr:uid="{00000000-0005-0000-0000-00000B250000}"/>
    <cellStyle name="Normal 12 7 2" xfId="3182" xr:uid="{00000000-0005-0000-0000-00000C250000}"/>
    <cellStyle name="Normal 12 7 2 2" xfId="7375" xr:uid="{00000000-0005-0000-0000-00000D250000}"/>
    <cellStyle name="Normal 12 7 2 2 2" xfId="16556" xr:uid="{00000000-0005-0000-0000-00000E250000}"/>
    <cellStyle name="Normal 12 7 2 2 2 2" xfId="33130" xr:uid="{00000000-0005-0000-0000-00000F250000}"/>
    <cellStyle name="Normal 12 7 2 2 3" xfId="25083" xr:uid="{00000000-0005-0000-0000-000010250000}"/>
    <cellStyle name="Normal 12 7 2 3" xfId="12663" xr:uid="{00000000-0005-0000-0000-000011250000}"/>
    <cellStyle name="Normal 12 7 2 3 2" xfId="29190" xr:uid="{00000000-0005-0000-0000-000012250000}"/>
    <cellStyle name="Normal 12 7 2 4" xfId="21147" xr:uid="{00000000-0005-0000-0000-000013250000}"/>
    <cellStyle name="Normal 12 7 3" xfId="7376" xr:uid="{00000000-0005-0000-0000-000014250000}"/>
    <cellStyle name="Normal 12 7 3 2" xfId="16557" xr:uid="{00000000-0005-0000-0000-000015250000}"/>
    <cellStyle name="Normal 12 7 3 2 2" xfId="33131" xr:uid="{00000000-0005-0000-0000-000016250000}"/>
    <cellStyle name="Normal 12 7 3 3" xfId="25084" xr:uid="{00000000-0005-0000-0000-000017250000}"/>
    <cellStyle name="Normal 12 7 4" xfId="12662" xr:uid="{00000000-0005-0000-0000-000018250000}"/>
    <cellStyle name="Normal 12 7 4 2" xfId="29189" xr:uid="{00000000-0005-0000-0000-000019250000}"/>
    <cellStyle name="Normal 12 7 5" xfId="21146" xr:uid="{00000000-0005-0000-0000-00001A250000}"/>
    <cellStyle name="Normal 12 8" xfId="3183" xr:uid="{00000000-0005-0000-0000-00001B250000}"/>
    <cellStyle name="Normal 12 8 2" xfId="7377" xr:uid="{00000000-0005-0000-0000-00001C250000}"/>
    <cellStyle name="Normal 12 8 2 2" xfId="16558" xr:uid="{00000000-0005-0000-0000-00001D250000}"/>
    <cellStyle name="Normal 12 8 2 2 2" xfId="33132" xr:uid="{00000000-0005-0000-0000-00001E250000}"/>
    <cellStyle name="Normal 12 8 2 3" xfId="25085" xr:uid="{00000000-0005-0000-0000-00001F250000}"/>
    <cellStyle name="Normal 12 8 3" xfId="12664" xr:uid="{00000000-0005-0000-0000-000020250000}"/>
    <cellStyle name="Normal 12 8 3 2" xfId="29191" xr:uid="{00000000-0005-0000-0000-000021250000}"/>
    <cellStyle name="Normal 12 8 4" xfId="21148" xr:uid="{00000000-0005-0000-0000-000022250000}"/>
    <cellStyle name="Normal 12 9" xfId="7378" xr:uid="{00000000-0005-0000-0000-000023250000}"/>
    <cellStyle name="Normal 12 9 2" xfId="16559" xr:uid="{00000000-0005-0000-0000-000024250000}"/>
    <cellStyle name="Normal 12 9 2 2" xfId="33133" xr:uid="{00000000-0005-0000-0000-000025250000}"/>
    <cellStyle name="Normal 12 9 3" xfId="25086" xr:uid="{00000000-0005-0000-0000-000026250000}"/>
    <cellStyle name="Normal 120" xfId="3184" xr:uid="{00000000-0005-0000-0000-000027250000}"/>
    <cellStyle name="Normal 120 10" xfId="12665" xr:uid="{00000000-0005-0000-0000-000028250000}"/>
    <cellStyle name="Normal 120 10 2" xfId="29192" xr:uid="{00000000-0005-0000-0000-000029250000}"/>
    <cellStyle name="Normal 120 11" xfId="21149" xr:uid="{00000000-0005-0000-0000-00002A250000}"/>
    <cellStyle name="Normal 120 2" xfId="3185" xr:uid="{00000000-0005-0000-0000-00002B250000}"/>
    <cellStyle name="Normal 120 2 2" xfId="3186" xr:uid="{00000000-0005-0000-0000-00002C250000}"/>
    <cellStyle name="Normal 120 2 3" xfId="12666" xr:uid="{00000000-0005-0000-0000-00002D250000}"/>
    <cellStyle name="Normal 120 2 3 2" xfId="29193" xr:uid="{00000000-0005-0000-0000-00002E250000}"/>
    <cellStyle name="Normal 120 2 4" xfId="21150" xr:uid="{00000000-0005-0000-0000-00002F250000}"/>
    <cellStyle name="Normal 120 3" xfId="3187" xr:uid="{00000000-0005-0000-0000-000030250000}"/>
    <cellStyle name="Normal 120 3 2" xfId="3188" xr:uid="{00000000-0005-0000-0000-000031250000}"/>
    <cellStyle name="Normal 120 3 2 2" xfId="3189" xr:uid="{00000000-0005-0000-0000-000032250000}"/>
    <cellStyle name="Normal 120 3 2 2 2" xfId="3190" xr:uid="{00000000-0005-0000-0000-000033250000}"/>
    <cellStyle name="Normal 120 3 2 2 2 2" xfId="7379" xr:uid="{00000000-0005-0000-0000-000034250000}"/>
    <cellStyle name="Normal 120 3 2 2 2 2 2" xfId="16560" xr:uid="{00000000-0005-0000-0000-000035250000}"/>
    <cellStyle name="Normal 120 3 2 2 2 2 2 2" xfId="33134" xr:uid="{00000000-0005-0000-0000-000036250000}"/>
    <cellStyle name="Normal 120 3 2 2 2 2 3" xfId="25087" xr:uid="{00000000-0005-0000-0000-000037250000}"/>
    <cellStyle name="Normal 120 3 2 2 2 3" xfId="12669" xr:uid="{00000000-0005-0000-0000-000038250000}"/>
    <cellStyle name="Normal 120 3 2 2 2 3 2" xfId="29196" xr:uid="{00000000-0005-0000-0000-000039250000}"/>
    <cellStyle name="Normal 120 3 2 2 2 4" xfId="21153" xr:uid="{00000000-0005-0000-0000-00003A250000}"/>
    <cellStyle name="Normal 120 3 2 2 3" xfId="7380" xr:uid="{00000000-0005-0000-0000-00003B250000}"/>
    <cellStyle name="Normal 120 3 2 2 3 2" xfId="16561" xr:uid="{00000000-0005-0000-0000-00003C250000}"/>
    <cellStyle name="Normal 120 3 2 2 3 2 2" xfId="33135" xr:uid="{00000000-0005-0000-0000-00003D250000}"/>
    <cellStyle name="Normal 120 3 2 2 3 3" xfId="25088" xr:uid="{00000000-0005-0000-0000-00003E250000}"/>
    <cellStyle name="Normal 120 3 2 2 4" xfId="12668" xr:uid="{00000000-0005-0000-0000-00003F250000}"/>
    <cellStyle name="Normal 120 3 2 2 4 2" xfId="29195" xr:uid="{00000000-0005-0000-0000-000040250000}"/>
    <cellStyle name="Normal 120 3 2 2 5" xfId="21152" xr:uid="{00000000-0005-0000-0000-000041250000}"/>
    <cellStyle name="Normal 120 3 2 3" xfId="3191" xr:uid="{00000000-0005-0000-0000-000042250000}"/>
    <cellStyle name="Normal 120 3 2 3 2" xfId="7381" xr:uid="{00000000-0005-0000-0000-000043250000}"/>
    <cellStyle name="Normal 120 3 2 3 2 2" xfId="16562" xr:uid="{00000000-0005-0000-0000-000044250000}"/>
    <cellStyle name="Normal 120 3 2 3 2 2 2" xfId="33136" xr:uid="{00000000-0005-0000-0000-000045250000}"/>
    <cellStyle name="Normal 120 3 2 3 2 3" xfId="25089" xr:uid="{00000000-0005-0000-0000-000046250000}"/>
    <cellStyle name="Normal 120 3 2 3 3" xfId="12670" xr:uid="{00000000-0005-0000-0000-000047250000}"/>
    <cellStyle name="Normal 120 3 2 3 3 2" xfId="29197" xr:uid="{00000000-0005-0000-0000-000048250000}"/>
    <cellStyle name="Normal 120 3 2 3 4" xfId="21154" xr:uid="{00000000-0005-0000-0000-000049250000}"/>
    <cellStyle name="Normal 120 3 2 4" xfId="7382" xr:uid="{00000000-0005-0000-0000-00004A250000}"/>
    <cellStyle name="Normal 120 3 2 4 2" xfId="16563" xr:uid="{00000000-0005-0000-0000-00004B250000}"/>
    <cellStyle name="Normal 120 3 2 4 2 2" xfId="33137" xr:uid="{00000000-0005-0000-0000-00004C250000}"/>
    <cellStyle name="Normal 120 3 2 4 3" xfId="25090" xr:uid="{00000000-0005-0000-0000-00004D250000}"/>
    <cellStyle name="Normal 120 3 2 5" xfId="12667" xr:uid="{00000000-0005-0000-0000-00004E250000}"/>
    <cellStyle name="Normal 120 3 2 5 2" xfId="29194" xr:uid="{00000000-0005-0000-0000-00004F250000}"/>
    <cellStyle name="Normal 120 3 2 6" xfId="21151" xr:uid="{00000000-0005-0000-0000-000050250000}"/>
    <cellStyle name="Normal 120 3 3" xfId="3192" xr:uid="{00000000-0005-0000-0000-000051250000}"/>
    <cellStyle name="Normal 120 3 3 2" xfId="3193" xr:uid="{00000000-0005-0000-0000-000052250000}"/>
    <cellStyle name="Normal 120 3 3 2 2" xfId="7383" xr:uid="{00000000-0005-0000-0000-000053250000}"/>
    <cellStyle name="Normal 120 3 3 2 2 2" xfId="16564" xr:uid="{00000000-0005-0000-0000-000054250000}"/>
    <cellStyle name="Normal 120 3 3 2 2 2 2" xfId="33138" xr:uid="{00000000-0005-0000-0000-000055250000}"/>
    <cellStyle name="Normal 120 3 3 2 2 3" xfId="25091" xr:uid="{00000000-0005-0000-0000-000056250000}"/>
    <cellStyle name="Normal 120 3 3 2 3" xfId="12672" xr:uid="{00000000-0005-0000-0000-000057250000}"/>
    <cellStyle name="Normal 120 3 3 2 3 2" xfId="29199" xr:uid="{00000000-0005-0000-0000-000058250000}"/>
    <cellStyle name="Normal 120 3 3 2 4" xfId="21156" xr:uid="{00000000-0005-0000-0000-000059250000}"/>
    <cellStyle name="Normal 120 3 3 3" xfId="7384" xr:uid="{00000000-0005-0000-0000-00005A250000}"/>
    <cellStyle name="Normal 120 3 3 3 2" xfId="16565" xr:uid="{00000000-0005-0000-0000-00005B250000}"/>
    <cellStyle name="Normal 120 3 3 3 2 2" xfId="33139" xr:uid="{00000000-0005-0000-0000-00005C250000}"/>
    <cellStyle name="Normal 120 3 3 3 3" xfId="25092" xr:uid="{00000000-0005-0000-0000-00005D250000}"/>
    <cellStyle name="Normal 120 3 3 4" xfId="12671" xr:uid="{00000000-0005-0000-0000-00005E250000}"/>
    <cellStyle name="Normal 120 3 3 4 2" xfId="29198" xr:uid="{00000000-0005-0000-0000-00005F250000}"/>
    <cellStyle name="Normal 120 3 3 5" xfId="21155" xr:uid="{00000000-0005-0000-0000-000060250000}"/>
    <cellStyle name="Normal 120 3 4" xfId="3194" xr:uid="{00000000-0005-0000-0000-000061250000}"/>
    <cellStyle name="Normal 120 3 4 2" xfId="7385" xr:uid="{00000000-0005-0000-0000-000062250000}"/>
    <cellStyle name="Normal 120 3 4 2 2" xfId="16566" xr:uid="{00000000-0005-0000-0000-000063250000}"/>
    <cellStyle name="Normal 120 3 4 2 2 2" xfId="33140" xr:uid="{00000000-0005-0000-0000-000064250000}"/>
    <cellStyle name="Normal 120 3 4 2 3" xfId="25093" xr:uid="{00000000-0005-0000-0000-000065250000}"/>
    <cellStyle name="Normal 120 3 4 3" xfId="12673" xr:uid="{00000000-0005-0000-0000-000066250000}"/>
    <cellStyle name="Normal 120 3 4 3 2" xfId="29200" xr:uid="{00000000-0005-0000-0000-000067250000}"/>
    <cellStyle name="Normal 120 3 4 4" xfId="21157" xr:uid="{00000000-0005-0000-0000-000068250000}"/>
    <cellStyle name="Normal 120 3 5" xfId="3195" xr:uid="{00000000-0005-0000-0000-000069250000}"/>
    <cellStyle name="Normal 120 3 5 2" xfId="12674" xr:uid="{00000000-0005-0000-0000-00006A250000}"/>
    <cellStyle name="Normal 120 3 5 2 2" xfId="29201" xr:uid="{00000000-0005-0000-0000-00006B250000}"/>
    <cellStyle name="Normal 120 3 5 3" xfId="21158" xr:uid="{00000000-0005-0000-0000-00006C250000}"/>
    <cellStyle name="Normal 120 4" xfId="3196" xr:uid="{00000000-0005-0000-0000-00006D250000}"/>
    <cellStyle name="Normal 120 4 2" xfId="3197" xr:uid="{00000000-0005-0000-0000-00006E250000}"/>
    <cellStyle name="Normal 120 4 2 2" xfId="3198" xr:uid="{00000000-0005-0000-0000-00006F250000}"/>
    <cellStyle name="Normal 120 4 2 2 2" xfId="3199" xr:uid="{00000000-0005-0000-0000-000070250000}"/>
    <cellStyle name="Normal 120 4 2 2 2 2" xfId="7386" xr:uid="{00000000-0005-0000-0000-000071250000}"/>
    <cellStyle name="Normal 120 4 2 2 2 2 2" xfId="16567" xr:uid="{00000000-0005-0000-0000-000072250000}"/>
    <cellStyle name="Normal 120 4 2 2 2 2 2 2" xfId="33141" xr:uid="{00000000-0005-0000-0000-000073250000}"/>
    <cellStyle name="Normal 120 4 2 2 2 2 3" xfId="25094" xr:uid="{00000000-0005-0000-0000-000074250000}"/>
    <cellStyle name="Normal 120 4 2 2 2 3" xfId="12678" xr:uid="{00000000-0005-0000-0000-000075250000}"/>
    <cellStyle name="Normal 120 4 2 2 2 3 2" xfId="29205" xr:uid="{00000000-0005-0000-0000-000076250000}"/>
    <cellStyle name="Normal 120 4 2 2 2 4" xfId="21162" xr:uid="{00000000-0005-0000-0000-000077250000}"/>
    <cellStyle name="Normal 120 4 2 2 3" xfId="7387" xr:uid="{00000000-0005-0000-0000-000078250000}"/>
    <cellStyle name="Normal 120 4 2 2 3 2" xfId="16568" xr:uid="{00000000-0005-0000-0000-000079250000}"/>
    <cellStyle name="Normal 120 4 2 2 3 2 2" xfId="33142" xr:uid="{00000000-0005-0000-0000-00007A250000}"/>
    <cellStyle name="Normal 120 4 2 2 3 3" xfId="25095" xr:uid="{00000000-0005-0000-0000-00007B250000}"/>
    <cellStyle name="Normal 120 4 2 2 4" xfId="12677" xr:uid="{00000000-0005-0000-0000-00007C250000}"/>
    <cellStyle name="Normal 120 4 2 2 4 2" xfId="29204" xr:uid="{00000000-0005-0000-0000-00007D250000}"/>
    <cellStyle name="Normal 120 4 2 2 5" xfId="21161" xr:uid="{00000000-0005-0000-0000-00007E250000}"/>
    <cellStyle name="Normal 120 4 2 3" xfId="3200" xr:uid="{00000000-0005-0000-0000-00007F250000}"/>
    <cellStyle name="Normal 120 4 2 3 2" xfId="7388" xr:uid="{00000000-0005-0000-0000-000080250000}"/>
    <cellStyle name="Normal 120 4 2 3 2 2" xfId="16569" xr:uid="{00000000-0005-0000-0000-000081250000}"/>
    <cellStyle name="Normal 120 4 2 3 2 2 2" xfId="33143" xr:uid="{00000000-0005-0000-0000-000082250000}"/>
    <cellStyle name="Normal 120 4 2 3 2 3" xfId="25096" xr:uid="{00000000-0005-0000-0000-000083250000}"/>
    <cellStyle name="Normal 120 4 2 3 3" xfId="12679" xr:uid="{00000000-0005-0000-0000-000084250000}"/>
    <cellStyle name="Normal 120 4 2 3 3 2" xfId="29206" xr:uid="{00000000-0005-0000-0000-000085250000}"/>
    <cellStyle name="Normal 120 4 2 3 4" xfId="21163" xr:uid="{00000000-0005-0000-0000-000086250000}"/>
    <cellStyle name="Normal 120 4 2 4" xfId="7389" xr:uid="{00000000-0005-0000-0000-000087250000}"/>
    <cellStyle name="Normal 120 4 2 4 2" xfId="16570" xr:uid="{00000000-0005-0000-0000-000088250000}"/>
    <cellStyle name="Normal 120 4 2 4 2 2" xfId="33144" xr:uid="{00000000-0005-0000-0000-000089250000}"/>
    <cellStyle name="Normal 120 4 2 4 3" xfId="25097" xr:uid="{00000000-0005-0000-0000-00008A250000}"/>
    <cellStyle name="Normal 120 4 2 5" xfId="12676" xr:uid="{00000000-0005-0000-0000-00008B250000}"/>
    <cellStyle name="Normal 120 4 2 5 2" xfId="29203" xr:uid="{00000000-0005-0000-0000-00008C250000}"/>
    <cellStyle name="Normal 120 4 2 6" xfId="21160" xr:uid="{00000000-0005-0000-0000-00008D250000}"/>
    <cellStyle name="Normal 120 4 3" xfId="3201" xr:uid="{00000000-0005-0000-0000-00008E250000}"/>
    <cellStyle name="Normal 120 4 3 2" xfId="3202" xr:uid="{00000000-0005-0000-0000-00008F250000}"/>
    <cellStyle name="Normal 120 4 3 2 2" xfId="7390" xr:uid="{00000000-0005-0000-0000-000090250000}"/>
    <cellStyle name="Normal 120 4 3 2 2 2" xfId="16571" xr:uid="{00000000-0005-0000-0000-000091250000}"/>
    <cellStyle name="Normal 120 4 3 2 2 2 2" xfId="33145" xr:uid="{00000000-0005-0000-0000-000092250000}"/>
    <cellStyle name="Normal 120 4 3 2 2 3" xfId="25098" xr:uid="{00000000-0005-0000-0000-000093250000}"/>
    <cellStyle name="Normal 120 4 3 2 3" xfId="12681" xr:uid="{00000000-0005-0000-0000-000094250000}"/>
    <cellStyle name="Normal 120 4 3 2 3 2" xfId="29208" xr:uid="{00000000-0005-0000-0000-000095250000}"/>
    <cellStyle name="Normal 120 4 3 2 4" xfId="21165" xr:uid="{00000000-0005-0000-0000-000096250000}"/>
    <cellStyle name="Normal 120 4 3 3" xfId="7391" xr:uid="{00000000-0005-0000-0000-000097250000}"/>
    <cellStyle name="Normal 120 4 3 3 2" xfId="16572" xr:uid="{00000000-0005-0000-0000-000098250000}"/>
    <cellStyle name="Normal 120 4 3 3 2 2" xfId="33146" xr:uid="{00000000-0005-0000-0000-000099250000}"/>
    <cellStyle name="Normal 120 4 3 3 3" xfId="25099" xr:uid="{00000000-0005-0000-0000-00009A250000}"/>
    <cellStyle name="Normal 120 4 3 4" xfId="12680" xr:uid="{00000000-0005-0000-0000-00009B250000}"/>
    <cellStyle name="Normal 120 4 3 4 2" xfId="29207" xr:uid="{00000000-0005-0000-0000-00009C250000}"/>
    <cellStyle name="Normal 120 4 3 5" xfId="21164" xr:uid="{00000000-0005-0000-0000-00009D250000}"/>
    <cellStyle name="Normal 120 4 4" xfId="3203" xr:uid="{00000000-0005-0000-0000-00009E250000}"/>
    <cellStyle name="Normal 120 4 4 2" xfId="7392" xr:uid="{00000000-0005-0000-0000-00009F250000}"/>
    <cellStyle name="Normal 120 4 4 2 2" xfId="16573" xr:uid="{00000000-0005-0000-0000-0000A0250000}"/>
    <cellStyle name="Normal 120 4 4 2 2 2" xfId="33147" xr:uid="{00000000-0005-0000-0000-0000A1250000}"/>
    <cellStyle name="Normal 120 4 4 2 3" xfId="25100" xr:uid="{00000000-0005-0000-0000-0000A2250000}"/>
    <cellStyle name="Normal 120 4 4 3" xfId="12682" xr:uid="{00000000-0005-0000-0000-0000A3250000}"/>
    <cellStyle name="Normal 120 4 4 3 2" xfId="29209" xr:uid="{00000000-0005-0000-0000-0000A4250000}"/>
    <cellStyle name="Normal 120 4 4 4" xfId="21166" xr:uid="{00000000-0005-0000-0000-0000A5250000}"/>
    <cellStyle name="Normal 120 4 5" xfId="7393" xr:uid="{00000000-0005-0000-0000-0000A6250000}"/>
    <cellStyle name="Normal 120 4 5 2" xfId="16574" xr:uid="{00000000-0005-0000-0000-0000A7250000}"/>
    <cellStyle name="Normal 120 4 5 2 2" xfId="33148" xr:uid="{00000000-0005-0000-0000-0000A8250000}"/>
    <cellStyle name="Normal 120 4 5 3" xfId="25101" xr:uid="{00000000-0005-0000-0000-0000A9250000}"/>
    <cellStyle name="Normal 120 4 6" xfId="12675" xr:uid="{00000000-0005-0000-0000-0000AA250000}"/>
    <cellStyle name="Normal 120 4 6 2" xfId="29202" xr:uid="{00000000-0005-0000-0000-0000AB250000}"/>
    <cellStyle name="Normal 120 4 7" xfId="21159" xr:uid="{00000000-0005-0000-0000-0000AC250000}"/>
    <cellStyle name="Normal 120 5" xfId="3204" xr:uid="{00000000-0005-0000-0000-0000AD250000}"/>
    <cellStyle name="Normal 120 5 2" xfId="3205" xr:uid="{00000000-0005-0000-0000-0000AE250000}"/>
    <cellStyle name="Normal 120 5 2 2" xfId="3206" xr:uid="{00000000-0005-0000-0000-0000AF250000}"/>
    <cellStyle name="Normal 120 5 2 2 2" xfId="3207" xr:uid="{00000000-0005-0000-0000-0000B0250000}"/>
    <cellStyle name="Normal 120 5 2 2 2 2" xfId="7394" xr:uid="{00000000-0005-0000-0000-0000B1250000}"/>
    <cellStyle name="Normal 120 5 2 2 2 2 2" xfId="16575" xr:uid="{00000000-0005-0000-0000-0000B2250000}"/>
    <cellStyle name="Normal 120 5 2 2 2 2 2 2" xfId="33149" xr:uid="{00000000-0005-0000-0000-0000B3250000}"/>
    <cellStyle name="Normal 120 5 2 2 2 2 3" xfId="25102" xr:uid="{00000000-0005-0000-0000-0000B4250000}"/>
    <cellStyle name="Normal 120 5 2 2 2 3" xfId="12686" xr:uid="{00000000-0005-0000-0000-0000B5250000}"/>
    <cellStyle name="Normal 120 5 2 2 2 3 2" xfId="29213" xr:uid="{00000000-0005-0000-0000-0000B6250000}"/>
    <cellStyle name="Normal 120 5 2 2 2 4" xfId="21170" xr:uid="{00000000-0005-0000-0000-0000B7250000}"/>
    <cellStyle name="Normal 120 5 2 2 3" xfId="7395" xr:uid="{00000000-0005-0000-0000-0000B8250000}"/>
    <cellStyle name="Normal 120 5 2 2 3 2" xfId="16576" xr:uid="{00000000-0005-0000-0000-0000B9250000}"/>
    <cellStyle name="Normal 120 5 2 2 3 2 2" xfId="33150" xr:uid="{00000000-0005-0000-0000-0000BA250000}"/>
    <cellStyle name="Normal 120 5 2 2 3 3" xfId="25103" xr:uid="{00000000-0005-0000-0000-0000BB250000}"/>
    <cellStyle name="Normal 120 5 2 2 4" xfId="12685" xr:uid="{00000000-0005-0000-0000-0000BC250000}"/>
    <cellStyle name="Normal 120 5 2 2 4 2" xfId="29212" xr:uid="{00000000-0005-0000-0000-0000BD250000}"/>
    <cellStyle name="Normal 120 5 2 2 5" xfId="21169" xr:uid="{00000000-0005-0000-0000-0000BE250000}"/>
    <cellStyle name="Normal 120 5 2 3" xfId="3208" xr:uid="{00000000-0005-0000-0000-0000BF250000}"/>
    <cellStyle name="Normal 120 5 2 3 2" xfId="7396" xr:uid="{00000000-0005-0000-0000-0000C0250000}"/>
    <cellStyle name="Normal 120 5 2 3 2 2" xfId="16577" xr:uid="{00000000-0005-0000-0000-0000C1250000}"/>
    <cellStyle name="Normal 120 5 2 3 2 2 2" xfId="33151" xr:uid="{00000000-0005-0000-0000-0000C2250000}"/>
    <cellStyle name="Normal 120 5 2 3 2 3" xfId="25104" xr:uid="{00000000-0005-0000-0000-0000C3250000}"/>
    <cellStyle name="Normal 120 5 2 3 3" xfId="12687" xr:uid="{00000000-0005-0000-0000-0000C4250000}"/>
    <cellStyle name="Normal 120 5 2 3 3 2" xfId="29214" xr:uid="{00000000-0005-0000-0000-0000C5250000}"/>
    <cellStyle name="Normal 120 5 2 3 4" xfId="21171" xr:uid="{00000000-0005-0000-0000-0000C6250000}"/>
    <cellStyle name="Normal 120 5 2 4" xfId="7397" xr:uid="{00000000-0005-0000-0000-0000C7250000}"/>
    <cellStyle name="Normal 120 5 2 4 2" xfId="16578" xr:uid="{00000000-0005-0000-0000-0000C8250000}"/>
    <cellStyle name="Normal 120 5 2 4 2 2" xfId="33152" xr:uid="{00000000-0005-0000-0000-0000C9250000}"/>
    <cellStyle name="Normal 120 5 2 4 3" xfId="25105" xr:uid="{00000000-0005-0000-0000-0000CA250000}"/>
    <cellStyle name="Normal 120 5 2 5" xfId="12684" xr:uid="{00000000-0005-0000-0000-0000CB250000}"/>
    <cellStyle name="Normal 120 5 2 5 2" xfId="29211" xr:uid="{00000000-0005-0000-0000-0000CC250000}"/>
    <cellStyle name="Normal 120 5 2 6" xfId="21168" xr:uid="{00000000-0005-0000-0000-0000CD250000}"/>
    <cellStyle name="Normal 120 5 3" xfId="3209" xr:uid="{00000000-0005-0000-0000-0000CE250000}"/>
    <cellStyle name="Normal 120 5 3 2" xfId="3210" xr:uid="{00000000-0005-0000-0000-0000CF250000}"/>
    <cellStyle name="Normal 120 5 3 2 2" xfId="7398" xr:uid="{00000000-0005-0000-0000-0000D0250000}"/>
    <cellStyle name="Normal 120 5 3 2 2 2" xfId="16579" xr:uid="{00000000-0005-0000-0000-0000D1250000}"/>
    <cellStyle name="Normal 120 5 3 2 2 2 2" xfId="33153" xr:uid="{00000000-0005-0000-0000-0000D2250000}"/>
    <cellStyle name="Normal 120 5 3 2 2 3" xfId="25106" xr:uid="{00000000-0005-0000-0000-0000D3250000}"/>
    <cellStyle name="Normal 120 5 3 2 3" xfId="12689" xr:uid="{00000000-0005-0000-0000-0000D4250000}"/>
    <cellStyle name="Normal 120 5 3 2 3 2" xfId="29216" xr:uid="{00000000-0005-0000-0000-0000D5250000}"/>
    <cellStyle name="Normal 120 5 3 2 4" xfId="21173" xr:uid="{00000000-0005-0000-0000-0000D6250000}"/>
    <cellStyle name="Normal 120 5 3 3" xfId="7399" xr:uid="{00000000-0005-0000-0000-0000D7250000}"/>
    <cellStyle name="Normal 120 5 3 3 2" xfId="16580" xr:uid="{00000000-0005-0000-0000-0000D8250000}"/>
    <cellStyle name="Normal 120 5 3 3 2 2" xfId="33154" xr:uid="{00000000-0005-0000-0000-0000D9250000}"/>
    <cellStyle name="Normal 120 5 3 3 3" xfId="25107" xr:uid="{00000000-0005-0000-0000-0000DA250000}"/>
    <cellStyle name="Normal 120 5 3 4" xfId="12688" xr:uid="{00000000-0005-0000-0000-0000DB250000}"/>
    <cellStyle name="Normal 120 5 3 4 2" xfId="29215" xr:uid="{00000000-0005-0000-0000-0000DC250000}"/>
    <cellStyle name="Normal 120 5 3 5" xfId="21172" xr:uid="{00000000-0005-0000-0000-0000DD250000}"/>
    <cellStyle name="Normal 120 5 4" xfId="3211" xr:uid="{00000000-0005-0000-0000-0000DE250000}"/>
    <cellStyle name="Normal 120 5 4 2" xfId="7400" xr:uid="{00000000-0005-0000-0000-0000DF250000}"/>
    <cellStyle name="Normal 120 5 4 2 2" xfId="16581" xr:uid="{00000000-0005-0000-0000-0000E0250000}"/>
    <cellStyle name="Normal 120 5 4 2 2 2" xfId="33155" xr:uid="{00000000-0005-0000-0000-0000E1250000}"/>
    <cellStyle name="Normal 120 5 4 2 3" xfId="25108" xr:uid="{00000000-0005-0000-0000-0000E2250000}"/>
    <cellStyle name="Normal 120 5 4 3" xfId="12690" xr:uid="{00000000-0005-0000-0000-0000E3250000}"/>
    <cellStyle name="Normal 120 5 4 3 2" xfId="29217" xr:uid="{00000000-0005-0000-0000-0000E4250000}"/>
    <cellStyle name="Normal 120 5 4 4" xfId="21174" xr:uid="{00000000-0005-0000-0000-0000E5250000}"/>
    <cellStyle name="Normal 120 5 5" xfId="7401" xr:uid="{00000000-0005-0000-0000-0000E6250000}"/>
    <cellStyle name="Normal 120 5 5 2" xfId="16582" xr:uid="{00000000-0005-0000-0000-0000E7250000}"/>
    <cellStyle name="Normal 120 5 5 2 2" xfId="33156" xr:uid="{00000000-0005-0000-0000-0000E8250000}"/>
    <cellStyle name="Normal 120 5 5 3" xfId="25109" xr:uid="{00000000-0005-0000-0000-0000E9250000}"/>
    <cellStyle name="Normal 120 5 6" xfId="12683" xr:uid="{00000000-0005-0000-0000-0000EA250000}"/>
    <cellStyle name="Normal 120 5 6 2" xfId="29210" xr:uid="{00000000-0005-0000-0000-0000EB250000}"/>
    <cellStyle name="Normal 120 5 7" xfId="21167" xr:uid="{00000000-0005-0000-0000-0000EC250000}"/>
    <cellStyle name="Normal 120 6" xfId="3212" xr:uid="{00000000-0005-0000-0000-0000ED250000}"/>
    <cellStyle name="Normal 120 6 2" xfId="3213" xr:uid="{00000000-0005-0000-0000-0000EE250000}"/>
    <cellStyle name="Normal 120 6 2 2" xfId="3214" xr:uid="{00000000-0005-0000-0000-0000EF250000}"/>
    <cellStyle name="Normal 120 6 2 2 2" xfId="7402" xr:uid="{00000000-0005-0000-0000-0000F0250000}"/>
    <cellStyle name="Normal 120 6 2 2 2 2" xfId="16583" xr:uid="{00000000-0005-0000-0000-0000F1250000}"/>
    <cellStyle name="Normal 120 6 2 2 2 2 2" xfId="33157" xr:uid="{00000000-0005-0000-0000-0000F2250000}"/>
    <cellStyle name="Normal 120 6 2 2 2 3" xfId="25110" xr:uid="{00000000-0005-0000-0000-0000F3250000}"/>
    <cellStyle name="Normal 120 6 2 2 3" xfId="12693" xr:uid="{00000000-0005-0000-0000-0000F4250000}"/>
    <cellStyle name="Normal 120 6 2 2 3 2" xfId="29220" xr:uid="{00000000-0005-0000-0000-0000F5250000}"/>
    <cellStyle name="Normal 120 6 2 2 4" xfId="21177" xr:uid="{00000000-0005-0000-0000-0000F6250000}"/>
    <cellStyle name="Normal 120 6 2 3" xfId="7403" xr:uid="{00000000-0005-0000-0000-0000F7250000}"/>
    <cellStyle name="Normal 120 6 2 3 2" xfId="16584" xr:uid="{00000000-0005-0000-0000-0000F8250000}"/>
    <cellStyle name="Normal 120 6 2 3 2 2" xfId="33158" xr:uid="{00000000-0005-0000-0000-0000F9250000}"/>
    <cellStyle name="Normal 120 6 2 3 3" xfId="25111" xr:uid="{00000000-0005-0000-0000-0000FA250000}"/>
    <cellStyle name="Normal 120 6 2 4" xfId="12692" xr:uid="{00000000-0005-0000-0000-0000FB250000}"/>
    <cellStyle name="Normal 120 6 2 4 2" xfId="29219" xr:uid="{00000000-0005-0000-0000-0000FC250000}"/>
    <cellStyle name="Normal 120 6 2 5" xfId="21176" xr:uid="{00000000-0005-0000-0000-0000FD250000}"/>
    <cellStyle name="Normal 120 6 3" xfId="3215" xr:uid="{00000000-0005-0000-0000-0000FE250000}"/>
    <cellStyle name="Normal 120 6 3 2" xfId="7404" xr:uid="{00000000-0005-0000-0000-0000FF250000}"/>
    <cellStyle name="Normal 120 6 3 2 2" xfId="16585" xr:uid="{00000000-0005-0000-0000-000000260000}"/>
    <cellStyle name="Normal 120 6 3 2 2 2" xfId="33159" xr:uid="{00000000-0005-0000-0000-000001260000}"/>
    <cellStyle name="Normal 120 6 3 2 3" xfId="25112" xr:uid="{00000000-0005-0000-0000-000002260000}"/>
    <cellStyle name="Normal 120 6 3 3" xfId="12694" xr:uid="{00000000-0005-0000-0000-000003260000}"/>
    <cellStyle name="Normal 120 6 3 3 2" xfId="29221" xr:uid="{00000000-0005-0000-0000-000004260000}"/>
    <cellStyle name="Normal 120 6 3 4" xfId="21178" xr:uid="{00000000-0005-0000-0000-000005260000}"/>
    <cellStyle name="Normal 120 6 4" xfId="7405" xr:uid="{00000000-0005-0000-0000-000006260000}"/>
    <cellStyle name="Normal 120 6 4 2" xfId="16586" xr:uid="{00000000-0005-0000-0000-000007260000}"/>
    <cellStyle name="Normal 120 6 4 2 2" xfId="33160" xr:uid="{00000000-0005-0000-0000-000008260000}"/>
    <cellStyle name="Normal 120 6 4 3" xfId="25113" xr:uid="{00000000-0005-0000-0000-000009260000}"/>
    <cellStyle name="Normal 120 6 5" xfId="12691" xr:uid="{00000000-0005-0000-0000-00000A260000}"/>
    <cellStyle name="Normal 120 6 5 2" xfId="29218" xr:uid="{00000000-0005-0000-0000-00000B260000}"/>
    <cellStyle name="Normal 120 6 6" xfId="21175" xr:uid="{00000000-0005-0000-0000-00000C260000}"/>
    <cellStyle name="Normal 120 7" xfId="3216" xr:uid="{00000000-0005-0000-0000-00000D260000}"/>
    <cellStyle name="Normal 120 7 2" xfId="3217" xr:uid="{00000000-0005-0000-0000-00000E260000}"/>
    <cellStyle name="Normal 120 7 2 2" xfId="7406" xr:uid="{00000000-0005-0000-0000-00000F260000}"/>
    <cellStyle name="Normal 120 7 2 2 2" xfId="16587" xr:uid="{00000000-0005-0000-0000-000010260000}"/>
    <cellStyle name="Normal 120 7 2 2 2 2" xfId="33161" xr:uid="{00000000-0005-0000-0000-000011260000}"/>
    <cellStyle name="Normal 120 7 2 2 3" xfId="25114" xr:uid="{00000000-0005-0000-0000-000012260000}"/>
    <cellStyle name="Normal 120 7 2 3" xfId="12696" xr:uid="{00000000-0005-0000-0000-000013260000}"/>
    <cellStyle name="Normal 120 7 2 3 2" xfId="29223" xr:uid="{00000000-0005-0000-0000-000014260000}"/>
    <cellStyle name="Normal 120 7 2 4" xfId="21180" xr:uid="{00000000-0005-0000-0000-000015260000}"/>
    <cellStyle name="Normal 120 7 3" xfId="7407" xr:uid="{00000000-0005-0000-0000-000016260000}"/>
    <cellStyle name="Normal 120 7 3 2" xfId="16588" xr:uid="{00000000-0005-0000-0000-000017260000}"/>
    <cellStyle name="Normal 120 7 3 2 2" xfId="33162" xr:uid="{00000000-0005-0000-0000-000018260000}"/>
    <cellStyle name="Normal 120 7 3 3" xfId="25115" xr:uid="{00000000-0005-0000-0000-000019260000}"/>
    <cellStyle name="Normal 120 7 4" xfId="12695" xr:uid="{00000000-0005-0000-0000-00001A260000}"/>
    <cellStyle name="Normal 120 7 4 2" xfId="29222" xr:uid="{00000000-0005-0000-0000-00001B260000}"/>
    <cellStyle name="Normal 120 7 5" xfId="21179" xr:uid="{00000000-0005-0000-0000-00001C260000}"/>
    <cellStyle name="Normal 120 8" xfId="3218" xr:uid="{00000000-0005-0000-0000-00001D260000}"/>
    <cellStyle name="Normal 120 8 2" xfId="7408" xr:uid="{00000000-0005-0000-0000-00001E260000}"/>
    <cellStyle name="Normal 120 8 2 2" xfId="16589" xr:uid="{00000000-0005-0000-0000-00001F260000}"/>
    <cellStyle name="Normal 120 8 2 2 2" xfId="33163" xr:uid="{00000000-0005-0000-0000-000020260000}"/>
    <cellStyle name="Normal 120 8 2 3" xfId="25116" xr:uid="{00000000-0005-0000-0000-000021260000}"/>
    <cellStyle name="Normal 120 8 3" xfId="12697" xr:uid="{00000000-0005-0000-0000-000022260000}"/>
    <cellStyle name="Normal 120 8 3 2" xfId="29224" xr:uid="{00000000-0005-0000-0000-000023260000}"/>
    <cellStyle name="Normal 120 8 4" xfId="21181" xr:uid="{00000000-0005-0000-0000-000024260000}"/>
    <cellStyle name="Normal 120 9" xfId="7409" xr:uid="{00000000-0005-0000-0000-000025260000}"/>
    <cellStyle name="Normal 120 9 2" xfId="16590" xr:uid="{00000000-0005-0000-0000-000026260000}"/>
    <cellStyle name="Normal 120 9 2 2" xfId="33164" xr:uid="{00000000-0005-0000-0000-000027260000}"/>
    <cellStyle name="Normal 120 9 3" xfId="25117" xr:uid="{00000000-0005-0000-0000-000028260000}"/>
    <cellStyle name="Normal 121" xfId="3219" xr:uid="{00000000-0005-0000-0000-000029260000}"/>
    <cellStyle name="Normal 121 2" xfId="3220" xr:uid="{00000000-0005-0000-0000-00002A260000}"/>
    <cellStyle name="Normal 121 2 2" xfId="3221" xr:uid="{00000000-0005-0000-0000-00002B260000}"/>
    <cellStyle name="Normal 121 2 2 2" xfId="3222" xr:uid="{00000000-0005-0000-0000-00002C260000}"/>
    <cellStyle name="Normal 121 2 2 2 2" xfId="7410" xr:uid="{00000000-0005-0000-0000-00002D260000}"/>
    <cellStyle name="Normal 121 2 2 2 2 2" xfId="16591" xr:uid="{00000000-0005-0000-0000-00002E260000}"/>
    <cellStyle name="Normal 121 2 2 2 2 2 2" xfId="33165" xr:uid="{00000000-0005-0000-0000-00002F260000}"/>
    <cellStyle name="Normal 121 2 2 2 2 3" xfId="25118" xr:uid="{00000000-0005-0000-0000-000030260000}"/>
    <cellStyle name="Normal 121 2 2 2 3" xfId="12700" xr:uid="{00000000-0005-0000-0000-000031260000}"/>
    <cellStyle name="Normal 121 2 2 2 3 2" xfId="29227" xr:uid="{00000000-0005-0000-0000-000032260000}"/>
    <cellStyle name="Normal 121 2 2 2 4" xfId="21184" xr:uid="{00000000-0005-0000-0000-000033260000}"/>
    <cellStyle name="Normal 121 2 2 3" xfId="7411" xr:uid="{00000000-0005-0000-0000-000034260000}"/>
    <cellStyle name="Normal 121 2 2 3 2" xfId="16592" xr:uid="{00000000-0005-0000-0000-000035260000}"/>
    <cellStyle name="Normal 121 2 2 3 2 2" xfId="33166" xr:uid="{00000000-0005-0000-0000-000036260000}"/>
    <cellStyle name="Normal 121 2 2 3 3" xfId="25119" xr:uid="{00000000-0005-0000-0000-000037260000}"/>
    <cellStyle name="Normal 121 2 2 4" xfId="12699" xr:uid="{00000000-0005-0000-0000-000038260000}"/>
    <cellStyle name="Normal 121 2 2 4 2" xfId="29226" xr:uid="{00000000-0005-0000-0000-000039260000}"/>
    <cellStyle name="Normal 121 2 2 5" xfId="21183" xr:uid="{00000000-0005-0000-0000-00003A260000}"/>
    <cellStyle name="Normal 121 2 3" xfId="3223" xr:uid="{00000000-0005-0000-0000-00003B260000}"/>
    <cellStyle name="Normal 121 2 3 2" xfId="7412" xr:uid="{00000000-0005-0000-0000-00003C260000}"/>
    <cellStyle name="Normal 121 2 3 2 2" xfId="16593" xr:uid="{00000000-0005-0000-0000-00003D260000}"/>
    <cellStyle name="Normal 121 2 3 2 2 2" xfId="33167" xr:uid="{00000000-0005-0000-0000-00003E260000}"/>
    <cellStyle name="Normal 121 2 3 2 3" xfId="25120" xr:uid="{00000000-0005-0000-0000-00003F260000}"/>
    <cellStyle name="Normal 121 2 3 3" xfId="12701" xr:uid="{00000000-0005-0000-0000-000040260000}"/>
    <cellStyle name="Normal 121 2 3 3 2" xfId="29228" xr:uid="{00000000-0005-0000-0000-000041260000}"/>
    <cellStyle name="Normal 121 2 3 4" xfId="21185" xr:uid="{00000000-0005-0000-0000-000042260000}"/>
    <cellStyle name="Normal 121 2 4" xfId="7413" xr:uid="{00000000-0005-0000-0000-000043260000}"/>
    <cellStyle name="Normal 121 2 4 2" xfId="16594" xr:uid="{00000000-0005-0000-0000-000044260000}"/>
    <cellStyle name="Normal 121 2 4 2 2" xfId="33168" xr:uid="{00000000-0005-0000-0000-000045260000}"/>
    <cellStyle name="Normal 121 2 4 3" xfId="25121" xr:uid="{00000000-0005-0000-0000-000046260000}"/>
    <cellStyle name="Normal 121 2 5" xfId="12698" xr:uid="{00000000-0005-0000-0000-000047260000}"/>
    <cellStyle name="Normal 121 2 5 2" xfId="29225" xr:uid="{00000000-0005-0000-0000-000048260000}"/>
    <cellStyle name="Normal 121 2 6" xfId="21182" xr:uid="{00000000-0005-0000-0000-000049260000}"/>
    <cellStyle name="Normal 121 3" xfId="3224" xr:uid="{00000000-0005-0000-0000-00004A260000}"/>
    <cellStyle name="Normal 121 3 2" xfId="3225" xr:uid="{00000000-0005-0000-0000-00004B260000}"/>
    <cellStyle name="Normal 121 3 2 2" xfId="7414" xr:uid="{00000000-0005-0000-0000-00004C260000}"/>
    <cellStyle name="Normal 121 3 2 2 2" xfId="16595" xr:uid="{00000000-0005-0000-0000-00004D260000}"/>
    <cellStyle name="Normal 121 3 2 2 2 2" xfId="33169" xr:uid="{00000000-0005-0000-0000-00004E260000}"/>
    <cellStyle name="Normal 121 3 2 2 3" xfId="25122" xr:uid="{00000000-0005-0000-0000-00004F260000}"/>
    <cellStyle name="Normal 121 3 2 3" xfId="12703" xr:uid="{00000000-0005-0000-0000-000050260000}"/>
    <cellStyle name="Normal 121 3 2 3 2" xfId="29230" xr:uid="{00000000-0005-0000-0000-000051260000}"/>
    <cellStyle name="Normal 121 3 2 4" xfId="21187" xr:uid="{00000000-0005-0000-0000-000052260000}"/>
    <cellStyle name="Normal 121 3 3" xfId="7415" xr:uid="{00000000-0005-0000-0000-000053260000}"/>
    <cellStyle name="Normal 121 3 3 2" xfId="16596" xr:uid="{00000000-0005-0000-0000-000054260000}"/>
    <cellStyle name="Normal 121 3 3 2 2" xfId="33170" xr:uid="{00000000-0005-0000-0000-000055260000}"/>
    <cellStyle name="Normal 121 3 3 3" xfId="25123" xr:uid="{00000000-0005-0000-0000-000056260000}"/>
    <cellStyle name="Normal 121 3 4" xfId="12702" xr:uid="{00000000-0005-0000-0000-000057260000}"/>
    <cellStyle name="Normal 121 3 4 2" xfId="29229" xr:uid="{00000000-0005-0000-0000-000058260000}"/>
    <cellStyle name="Normal 121 3 5" xfId="21186" xr:uid="{00000000-0005-0000-0000-000059260000}"/>
    <cellStyle name="Normal 121 4" xfId="3226" xr:uid="{00000000-0005-0000-0000-00005A260000}"/>
    <cellStyle name="Normal 121 4 2" xfId="7416" xr:uid="{00000000-0005-0000-0000-00005B260000}"/>
    <cellStyle name="Normal 121 4 2 2" xfId="16597" xr:uid="{00000000-0005-0000-0000-00005C260000}"/>
    <cellStyle name="Normal 121 4 2 2 2" xfId="33171" xr:uid="{00000000-0005-0000-0000-00005D260000}"/>
    <cellStyle name="Normal 121 4 2 3" xfId="25124" xr:uid="{00000000-0005-0000-0000-00005E260000}"/>
    <cellStyle name="Normal 121 4 3" xfId="12704" xr:uid="{00000000-0005-0000-0000-00005F260000}"/>
    <cellStyle name="Normal 121 4 3 2" xfId="29231" xr:uid="{00000000-0005-0000-0000-000060260000}"/>
    <cellStyle name="Normal 121 4 4" xfId="21188" xr:uid="{00000000-0005-0000-0000-000061260000}"/>
    <cellStyle name="Normal 121 5" xfId="7417" xr:uid="{00000000-0005-0000-0000-000062260000}"/>
    <cellStyle name="Normal 121 5 2" xfId="16598" xr:uid="{00000000-0005-0000-0000-000063260000}"/>
    <cellStyle name="Normal 121 5 2 2" xfId="33172" xr:uid="{00000000-0005-0000-0000-000064260000}"/>
    <cellStyle name="Normal 121 5 3" xfId="25125" xr:uid="{00000000-0005-0000-0000-000065260000}"/>
    <cellStyle name="Normal 122" xfId="3227" xr:uid="{00000000-0005-0000-0000-000066260000}"/>
    <cellStyle name="Normal 122 2" xfId="3228" xr:uid="{00000000-0005-0000-0000-000067260000}"/>
    <cellStyle name="Normal 122 2 2" xfId="3229" xr:uid="{00000000-0005-0000-0000-000068260000}"/>
    <cellStyle name="Normal 122 2 2 2" xfId="3230" xr:uid="{00000000-0005-0000-0000-000069260000}"/>
    <cellStyle name="Normal 122 2 2 2 2" xfId="7418" xr:uid="{00000000-0005-0000-0000-00006A260000}"/>
    <cellStyle name="Normal 122 2 2 2 2 2" xfId="16599" xr:uid="{00000000-0005-0000-0000-00006B260000}"/>
    <cellStyle name="Normal 122 2 2 2 2 2 2" xfId="33173" xr:uid="{00000000-0005-0000-0000-00006C260000}"/>
    <cellStyle name="Normal 122 2 2 2 2 3" xfId="25126" xr:uid="{00000000-0005-0000-0000-00006D260000}"/>
    <cellStyle name="Normal 122 2 2 2 3" xfId="12707" xr:uid="{00000000-0005-0000-0000-00006E260000}"/>
    <cellStyle name="Normal 122 2 2 2 3 2" xfId="29234" xr:uid="{00000000-0005-0000-0000-00006F260000}"/>
    <cellStyle name="Normal 122 2 2 2 4" xfId="21191" xr:uid="{00000000-0005-0000-0000-000070260000}"/>
    <cellStyle name="Normal 122 2 2 3" xfId="7419" xr:uid="{00000000-0005-0000-0000-000071260000}"/>
    <cellStyle name="Normal 122 2 2 3 2" xfId="16600" xr:uid="{00000000-0005-0000-0000-000072260000}"/>
    <cellStyle name="Normal 122 2 2 3 2 2" xfId="33174" xr:uid="{00000000-0005-0000-0000-000073260000}"/>
    <cellStyle name="Normal 122 2 2 3 3" xfId="25127" xr:uid="{00000000-0005-0000-0000-000074260000}"/>
    <cellStyle name="Normal 122 2 2 4" xfId="12706" xr:uid="{00000000-0005-0000-0000-000075260000}"/>
    <cellStyle name="Normal 122 2 2 4 2" xfId="29233" xr:uid="{00000000-0005-0000-0000-000076260000}"/>
    <cellStyle name="Normal 122 2 2 5" xfId="21190" xr:uid="{00000000-0005-0000-0000-000077260000}"/>
    <cellStyle name="Normal 122 2 3" xfId="3231" xr:uid="{00000000-0005-0000-0000-000078260000}"/>
    <cellStyle name="Normal 122 2 3 2" xfId="7420" xr:uid="{00000000-0005-0000-0000-000079260000}"/>
    <cellStyle name="Normal 122 2 3 2 2" xfId="16601" xr:uid="{00000000-0005-0000-0000-00007A260000}"/>
    <cellStyle name="Normal 122 2 3 2 2 2" xfId="33175" xr:uid="{00000000-0005-0000-0000-00007B260000}"/>
    <cellStyle name="Normal 122 2 3 2 3" xfId="25128" xr:uid="{00000000-0005-0000-0000-00007C260000}"/>
    <cellStyle name="Normal 122 2 3 3" xfId="12708" xr:uid="{00000000-0005-0000-0000-00007D260000}"/>
    <cellStyle name="Normal 122 2 3 3 2" xfId="29235" xr:uid="{00000000-0005-0000-0000-00007E260000}"/>
    <cellStyle name="Normal 122 2 3 4" xfId="21192" xr:uid="{00000000-0005-0000-0000-00007F260000}"/>
    <cellStyle name="Normal 122 2 4" xfId="7421" xr:uid="{00000000-0005-0000-0000-000080260000}"/>
    <cellStyle name="Normal 122 2 4 2" xfId="16602" xr:uid="{00000000-0005-0000-0000-000081260000}"/>
    <cellStyle name="Normal 122 2 4 2 2" xfId="33176" xr:uid="{00000000-0005-0000-0000-000082260000}"/>
    <cellStyle name="Normal 122 2 4 3" xfId="25129" xr:uid="{00000000-0005-0000-0000-000083260000}"/>
    <cellStyle name="Normal 122 2 5" xfId="12705" xr:uid="{00000000-0005-0000-0000-000084260000}"/>
    <cellStyle name="Normal 122 2 5 2" xfId="29232" xr:uid="{00000000-0005-0000-0000-000085260000}"/>
    <cellStyle name="Normal 122 2 6" xfId="21189" xr:uid="{00000000-0005-0000-0000-000086260000}"/>
    <cellStyle name="Normal 122 3" xfId="3232" xr:uid="{00000000-0005-0000-0000-000087260000}"/>
    <cellStyle name="Normal 122 3 2" xfId="3233" xr:uid="{00000000-0005-0000-0000-000088260000}"/>
    <cellStyle name="Normal 122 3 2 2" xfId="7422" xr:uid="{00000000-0005-0000-0000-000089260000}"/>
    <cellStyle name="Normal 122 3 2 2 2" xfId="16603" xr:uid="{00000000-0005-0000-0000-00008A260000}"/>
    <cellStyle name="Normal 122 3 2 2 2 2" xfId="33177" xr:uid="{00000000-0005-0000-0000-00008B260000}"/>
    <cellStyle name="Normal 122 3 2 2 3" xfId="25130" xr:uid="{00000000-0005-0000-0000-00008C260000}"/>
    <cellStyle name="Normal 122 3 2 3" xfId="12710" xr:uid="{00000000-0005-0000-0000-00008D260000}"/>
    <cellStyle name="Normal 122 3 2 3 2" xfId="29237" xr:uid="{00000000-0005-0000-0000-00008E260000}"/>
    <cellStyle name="Normal 122 3 2 4" xfId="21194" xr:uid="{00000000-0005-0000-0000-00008F260000}"/>
    <cellStyle name="Normal 122 3 3" xfId="7423" xr:uid="{00000000-0005-0000-0000-000090260000}"/>
    <cellStyle name="Normal 122 3 3 2" xfId="16604" xr:uid="{00000000-0005-0000-0000-000091260000}"/>
    <cellStyle name="Normal 122 3 3 2 2" xfId="33178" xr:uid="{00000000-0005-0000-0000-000092260000}"/>
    <cellStyle name="Normal 122 3 3 3" xfId="25131" xr:uid="{00000000-0005-0000-0000-000093260000}"/>
    <cellStyle name="Normal 122 3 4" xfId="12709" xr:uid="{00000000-0005-0000-0000-000094260000}"/>
    <cellStyle name="Normal 122 3 4 2" xfId="29236" xr:uid="{00000000-0005-0000-0000-000095260000}"/>
    <cellStyle name="Normal 122 3 5" xfId="21193" xr:uid="{00000000-0005-0000-0000-000096260000}"/>
    <cellStyle name="Normal 122 4" xfId="3234" xr:uid="{00000000-0005-0000-0000-000097260000}"/>
    <cellStyle name="Normal 122 4 2" xfId="7424" xr:uid="{00000000-0005-0000-0000-000098260000}"/>
    <cellStyle name="Normal 122 4 2 2" xfId="16605" xr:uid="{00000000-0005-0000-0000-000099260000}"/>
    <cellStyle name="Normal 122 4 2 2 2" xfId="33179" xr:uid="{00000000-0005-0000-0000-00009A260000}"/>
    <cellStyle name="Normal 122 4 2 3" xfId="25132" xr:uid="{00000000-0005-0000-0000-00009B260000}"/>
    <cellStyle name="Normal 122 4 3" xfId="12711" xr:uid="{00000000-0005-0000-0000-00009C260000}"/>
    <cellStyle name="Normal 122 4 3 2" xfId="29238" xr:uid="{00000000-0005-0000-0000-00009D260000}"/>
    <cellStyle name="Normal 122 4 4" xfId="21195" xr:uid="{00000000-0005-0000-0000-00009E260000}"/>
    <cellStyle name="Normal 122 5" xfId="3235" xr:uid="{00000000-0005-0000-0000-00009F260000}"/>
    <cellStyle name="Normal 122 5 2" xfId="12712" xr:uid="{00000000-0005-0000-0000-0000A0260000}"/>
    <cellStyle name="Normal 122 5 2 2" xfId="29239" xr:uid="{00000000-0005-0000-0000-0000A1260000}"/>
    <cellStyle name="Normal 122 5 3" xfId="21196" xr:uid="{00000000-0005-0000-0000-0000A2260000}"/>
    <cellStyle name="Normal 123" xfId="3236" xr:uid="{00000000-0005-0000-0000-0000A3260000}"/>
    <cellStyle name="Normal 123 2" xfId="3237" xr:uid="{00000000-0005-0000-0000-0000A4260000}"/>
    <cellStyle name="Normal 123 2 2" xfId="7425" xr:uid="{00000000-0005-0000-0000-0000A5260000}"/>
    <cellStyle name="Normal 123 2 2 2" xfId="16606" xr:uid="{00000000-0005-0000-0000-0000A6260000}"/>
    <cellStyle name="Normal 123 2 2 2 2" xfId="33180" xr:uid="{00000000-0005-0000-0000-0000A7260000}"/>
    <cellStyle name="Normal 123 2 2 3" xfId="25133" xr:uid="{00000000-0005-0000-0000-0000A8260000}"/>
    <cellStyle name="Normal 123 2 3" xfId="12714" xr:uid="{00000000-0005-0000-0000-0000A9260000}"/>
    <cellStyle name="Normal 123 2 3 2" xfId="29241" xr:uid="{00000000-0005-0000-0000-0000AA260000}"/>
    <cellStyle name="Normal 123 2 4" xfId="21198" xr:uid="{00000000-0005-0000-0000-0000AB260000}"/>
    <cellStyle name="Normal 123 3" xfId="3238" xr:uid="{00000000-0005-0000-0000-0000AC260000}"/>
    <cellStyle name="Normal 123 3 2" xfId="12715" xr:uid="{00000000-0005-0000-0000-0000AD260000}"/>
    <cellStyle name="Normal 123 3 2 2" xfId="29242" xr:uid="{00000000-0005-0000-0000-0000AE260000}"/>
    <cellStyle name="Normal 123 3 3" xfId="21199" xr:uid="{00000000-0005-0000-0000-0000AF260000}"/>
    <cellStyle name="Normal 123 4" xfId="12713" xr:uid="{00000000-0005-0000-0000-0000B0260000}"/>
    <cellStyle name="Normal 123 4 2" xfId="29240" xr:uid="{00000000-0005-0000-0000-0000B1260000}"/>
    <cellStyle name="Normal 123 5" xfId="21197" xr:uid="{00000000-0005-0000-0000-0000B2260000}"/>
    <cellStyle name="Normal 124" xfId="3239" xr:uid="{00000000-0005-0000-0000-0000B3260000}"/>
    <cellStyle name="Normal 124 2" xfId="3240" xr:uid="{00000000-0005-0000-0000-0000B4260000}"/>
    <cellStyle name="Normal 124 3" xfId="12716" xr:uid="{00000000-0005-0000-0000-0000B5260000}"/>
    <cellStyle name="Normal 124 3 2" xfId="29243" xr:uid="{00000000-0005-0000-0000-0000B6260000}"/>
    <cellStyle name="Normal 124 4" xfId="21200" xr:uid="{00000000-0005-0000-0000-0000B7260000}"/>
    <cellStyle name="Normal 125" xfId="3241" xr:uid="{00000000-0005-0000-0000-0000B8260000}"/>
    <cellStyle name="Normal 125 2" xfId="7426" xr:uid="{00000000-0005-0000-0000-0000B9260000}"/>
    <cellStyle name="Normal 125 2 2" xfId="16607" xr:uid="{00000000-0005-0000-0000-0000BA260000}"/>
    <cellStyle name="Normal 125 2 2 2" xfId="33181" xr:uid="{00000000-0005-0000-0000-0000BB260000}"/>
    <cellStyle name="Normal 125 2 3" xfId="25134" xr:uid="{00000000-0005-0000-0000-0000BC260000}"/>
    <cellStyle name="Normal 125 3" xfId="12717" xr:uid="{00000000-0005-0000-0000-0000BD260000}"/>
    <cellStyle name="Normal 125 3 2" xfId="29244" xr:uid="{00000000-0005-0000-0000-0000BE260000}"/>
    <cellStyle name="Normal 125 4" xfId="21201" xr:uid="{00000000-0005-0000-0000-0000BF260000}"/>
    <cellStyle name="Normal 126" xfId="3242" xr:uid="{00000000-0005-0000-0000-0000C0260000}"/>
    <cellStyle name="Normal 126 2" xfId="7427" xr:uid="{00000000-0005-0000-0000-0000C1260000}"/>
    <cellStyle name="Normal 127" xfId="3243" xr:uid="{00000000-0005-0000-0000-0000C2260000}"/>
    <cellStyle name="Normal 127 2" xfId="12718" xr:uid="{00000000-0005-0000-0000-0000C3260000}"/>
    <cellStyle name="Normal 127 2 2" xfId="29245" xr:uid="{00000000-0005-0000-0000-0000C4260000}"/>
    <cellStyle name="Normal 127 3" xfId="21202" xr:uid="{00000000-0005-0000-0000-0000C5260000}"/>
    <cellStyle name="Normal 128" xfId="3244" xr:uid="{00000000-0005-0000-0000-0000C6260000}"/>
    <cellStyle name="Normal 128 2" xfId="12719" xr:uid="{00000000-0005-0000-0000-0000C7260000}"/>
    <cellStyle name="Normal 128 2 2" xfId="29246" xr:uid="{00000000-0005-0000-0000-0000C8260000}"/>
    <cellStyle name="Normal 128 3" xfId="21203" xr:uid="{00000000-0005-0000-0000-0000C9260000}"/>
    <cellStyle name="Normal 129" xfId="3245" xr:uid="{00000000-0005-0000-0000-0000CA260000}"/>
    <cellStyle name="Normal 129 2" xfId="3246" xr:uid="{00000000-0005-0000-0000-0000CB260000}"/>
    <cellStyle name="Normal 129 3" xfId="7428" xr:uid="{00000000-0005-0000-0000-0000CC260000}"/>
    <cellStyle name="Normal 129 3 2" xfId="16608" xr:uid="{00000000-0005-0000-0000-0000CD260000}"/>
    <cellStyle name="Normal 129 3 2 2" xfId="33182" xr:uid="{00000000-0005-0000-0000-0000CE260000}"/>
    <cellStyle name="Normal 129 3 3" xfId="25135" xr:uid="{00000000-0005-0000-0000-0000CF260000}"/>
    <cellStyle name="Normal 13" xfId="1557" xr:uid="{00000000-0005-0000-0000-0000D0260000}"/>
    <cellStyle name="Normal 13 10" xfId="3247" xr:uid="{00000000-0005-0000-0000-0000D1260000}"/>
    <cellStyle name="Normal 13 10 2" xfId="29247" xr:uid="{00000000-0005-0000-0000-0000D2260000}"/>
    <cellStyle name="Normal 13 11" xfId="21204" xr:uid="{00000000-0005-0000-0000-0000D3260000}"/>
    <cellStyle name="Normal 13 2" xfId="1604" xr:uid="{00000000-0005-0000-0000-0000D4260000}"/>
    <cellStyle name="Normal 13 2 2" xfId="3249" xr:uid="{00000000-0005-0000-0000-0000D5260000}"/>
    <cellStyle name="Normal 13 2 3" xfId="3248" xr:uid="{00000000-0005-0000-0000-0000D6260000}"/>
    <cellStyle name="Normal 13 2 3 2" xfId="29248" xr:uid="{00000000-0005-0000-0000-0000D7260000}"/>
    <cellStyle name="Normal 13 2 4" xfId="21205" xr:uid="{00000000-0005-0000-0000-0000D8260000}"/>
    <cellStyle name="Normal 13 3" xfId="3250" xr:uid="{00000000-0005-0000-0000-0000D9260000}"/>
    <cellStyle name="Normal 13 3 2" xfId="3251" xr:uid="{00000000-0005-0000-0000-0000DA260000}"/>
    <cellStyle name="Normal 13 3 2 2" xfId="3252" xr:uid="{00000000-0005-0000-0000-0000DB260000}"/>
    <cellStyle name="Normal 13 3 2 2 2" xfId="3253" xr:uid="{00000000-0005-0000-0000-0000DC260000}"/>
    <cellStyle name="Normal 13 3 2 2 2 2" xfId="3254" xr:uid="{00000000-0005-0000-0000-0000DD260000}"/>
    <cellStyle name="Normal 13 3 2 2 2 2 2" xfId="12723" xr:uid="{00000000-0005-0000-0000-0000DE260000}"/>
    <cellStyle name="Normal 13 3 2 2 2 2 2 2" xfId="29252" xr:uid="{00000000-0005-0000-0000-0000DF260000}"/>
    <cellStyle name="Normal 13 3 2 2 2 2 3" xfId="21209" xr:uid="{00000000-0005-0000-0000-0000E0260000}"/>
    <cellStyle name="Normal 13 3 2 2 2 3" xfId="12722" xr:uid="{00000000-0005-0000-0000-0000E1260000}"/>
    <cellStyle name="Normal 13 3 2 2 2 3 2" xfId="29251" xr:uid="{00000000-0005-0000-0000-0000E2260000}"/>
    <cellStyle name="Normal 13 3 2 2 2 4" xfId="21208" xr:uid="{00000000-0005-0000-0000-0000E3260000}"/>
    <cellStyle name="Normal 13 3 2 2 3" xfId="7429" xr:uid="{00000000-0005-0000-0000-0000E4260000}"/>
    <cellStyle name="Normal 13 3 2 2 3 2" xfId="16609" xr:uid="{00000000-0005-0000-0000-0000E5260000}"/>
    <cellStyle name="Normal 13 3 2 2 3 2 2" xfId="33183" xr:uid="{00000000-0005-0000-0000-0000E6260000}"/>
    <cellStyle name="Normal 13 3 2 2 3 3" xfId="25136" xr:uid="{00000000-0005-0000-0000-0000E7260000}"/>
    <cellStyle name="Normal 13 3 2 2 4" xfId="12721" xr:uid="{00000000-0005-0000-0000-0000E8260000}"/>
    <cellStyle name="Normal 13 3 2 2 4 2" xfId="29250" xr:uid="{00000000-0005-0000-0000-0000E9260000}"/>
    <cellStyle name="Normal 13 3 2 2 5" xfId="21207" xr:uid="{00000000-0005-0000-0000-0000EA260000}"/>
    <cellStyle name="Normal 13 3 2 3" xfId="3255" xr:uid="{00000000-0005-0000-0000-0000EB260000}"/>
    <cellStyle name="Normal 13 3 2 3 2" xfId="7430" xr:uid="{00000000-0005-0000-0000-0000EC260000}"/>
    <cellStyle name="Normal 13 3 2 3 2 2" xfId="16610" xr:uid="{00000000-0005-0000-0000-0000ED260000}"/>
    <cellStyle name="Normal 13 3 2 3 2 2 2" xfId="33184" xr:uid="{00000000-0005-0000-0000-0000EE260000}"/>
    <cellStyle name="Normal 13 3 2 3 2 3" xfId="25137" xr:uid="{00000000-0005-0000-0000-0000EF260000}"/>
    <cellStyle name="Normal 13 3 2 3 3" xfId="12724" xr:uid="{00000000-0005-0000-0000-0000F0260000}"/>
    <cellStyle name="Normal 13 3 2 3 3 2" xfId="29253" xr:uid="{00000000-0005-0000-0000-0000F1260000}"/>
    <cellStyle name="Normal 13 3 2 3 4" xfId="21210" xr:uid="{00000000-0005-0000-0000-0000F2260000}"/>
    <cellStyle name="Normal 13 3 2 4" xfId="7431" xr:uid="{00000000-0005-0000-0000-0000F3260000}"/>
    <cellStyle name="Normal 13 3 2 4 2" xfId="16611" xr:uid="{00000000-0005-0000-0000-0000F4260000}"/>
    <cellStyle name="Normal 13 3 2 4 2 2" xfId="33185" xr:uid="{00000000-0005-0000-0000-0000F5260000}"/>
    <cellStyle name="Normal 13 3 2 4 3" xfId="25138" xr:uid="{00000000-0005-0000-0000-0000F6260000}"/>
    <cellStyle name="Normal 13 3 2 5" xfId="12720" xr:uid="{00000000-0005-0000-0000-0000F7260000}"/>
    <cellStyle name="Normal 13 3 2 5 2" xfId="29249" xr:uid="{00000000-0005-0000-0000-0000F8260000}"/>
    <cellStyle name="Normal 13 3 2 6" xfId="21206" xr:uid="{00000000-0005-0000-0000-0000F9260000}"/>
    <cellStyle name="Normal 13 3 3" xfId="3256" xr:uid="{00000000-0005-0000-0000-0000FA260000}"/>
    <cellStyle name="Normal 13 3 3 2" xfId="3257" xr:uid="{00000000-0005-0000-0000-0000FB260000}"/>
    <cellStyle name="Normal 13 3 3 2 2" xfId="7432" xr:uid="{00000000-0005-0000-0000-0000FC260000}"/>
    <cellStyle name="Normal 13 3 3 2 2 2" xfId="16612" xr:uid="{00000000-0005-0000-0000-0000FD260000}"/>
    <cellStyle name="Normal 13 3 3 2 2 2 2" xfId="33186" xr:uid="{00000000-0005-0000-0000-0000FE260000}"/>
    <cellStyle name="Normal 13 3 3 2 2 3" xfId="25139" xr:uid="{00000000-0005-0000-0000-0000FF260000}"/>
    <cellStyle name="Normal 13 3 3 2 3" xfId="12726" xr:uid="{00000000-0005-0000-0000-000000270000}"/>
    <cellStyle name="Normal 13 3 3 2 3 2" xfId="29255" xr:uid="{00000000-0005-0000-0000-000001270000}"/>
    <cellStyle name="Normal 13 3 3 2 4" xfId="21212" xr:uid="{00000000-0005-0000-0000-000002270000}"/>
    <cellStyle name="Normal 13 3 3 3" xfId="7433" xr:uid="{00000000-0005-0000-0000-000003270000}"/>
    <cellStyle name="Normal 13 3 3 3 2" xfId="16613" xr:uid="{00000000-0005-0000-0000-000004270000}"/>
    <cellStyle name="Normal 13 3 3 3 2 2" xfId="33187" xr:uid="{00000000-0005-0000-0000-000005270000}"/>
    <cellStyle name="Normal 13 3 3 3 3" xfId="25140" xr:uid="{00000000-0005-0000-0000-000006270000}"/>
    <cellStyle name="Normal 13 3 3 4" xfId="12725" xr:uid="{00000000-0005-0000-0000-000007270000}"/>
    <cellStyle name="Normal 13 3 3 4 2" xfId="29254" xr:uid="{00000000-0005-0000-0000-000008270000}"/>
    <cellStyle name="Normal 13 3 3 5" xfId="21211" xr:uid="{00000000-0005-0000-0000-000009270000}"/>
    <cellStyle name="Normal 13 3 4" xfId="3258" xr:uid="{00000000-0005-0000-0000-00000A270000}"/>
    <cellStyle name="Normal 13 3 4 2" xfId="7434" xr:uid="{00000000-0005-0000-0000-00000B270000}"/>
    <cellStyle name="Normal 13 3 4 2 2" xfId="16614" xr:uid="{00000000-0005-0000-0000-00000C270000}"/>
    <cellStyle name="Normal 13 3 4 2 2 2" xfId="33188" xr:uid="{00000000-0005-0000-0000-00000D270000}"/>
    <cellStyle name="Normal 13 3 4 2 3" xfId="25141" xr:uid="{00000000-0005-0000-0000-00000E270000}"/>
    <cellStyle name="Normal 13 3 4 3" xfId="12727" xr:uid="{00000000-0005-0000-0000-00000F270000}"/>
    <cellStyle name="Normal 13 3 4 3 2" xfId="29256" xr:uid="{00000000-0005-0000-0000-000010270000}"/>
    <cellStyle name="Normal 13 3 4 4" xfId="21213" xr:uid="{00000000-0005-0000-0000-000011270000}"/>
    <cellStyle name="Normal 13 3 5" xfId="7435" xr:uid="{00000000-0005-0000-0000-000012270000}"/>
    <cellStyle name="Normal 13 3 5 2" xfId="16615" xr:uid="{00000000-0005-0000-0000-000013270000}"/>
    <cellStyle name="Normal 13 3 5 2 2" xfId="33189" xr:uid="{00000000-0005-0000-0000-000014270000}"/>
    <cellStyle name="Normal 13 3 5 3" xfId="25142" xr:uid="{00000000-0005-0000-0000-000015270000}"/>
    <cellStyle name="Normal 13 4" xfId="3259" xr:uid="{00000000-0005-0000-0000-000016270000}"/>
    <cellStyle name="Normal 13 4 2" xfId="3260" xr:uid="{00000000-0005-0000-0000-000017270000}"/>
    <cellStyle name="Normal 13 4 2 2" xfId="3261" xr:uid="{00000000-0005-0000-0000-000018270000}"/>
    <cellStyle name="Normal 13 4 2 2 2" xfId="3262" xr:uid="{00000000-0005-0000-0000-000019270000}"/>
    <cellStyle name="Normal 13 4 2 2 2 2" xfId="7436" xr:uid="{00000000-0005-0000-0000-00001A270000}"/>
    <cellStyle name="Normal 13 4 2 2 2 2 2" xfId="16616" xr:uid="{00000000-0005-0000-0000-00001B270000}"/>
    <cellStyle name="Normal 13 4 2 2 2 2 2 2" xfId="33190" xr:uid="{00000000-0005-0000-0000-00001C270000}"/>
    <cellStyle name="Normal 13 4 2 2 2 2 3" xfId="25143" xr:uid="{00000000-0005-0000-0000-00001D270000}"/>
    <cellStyle name="Normal 13 4 2 2 2 3" xfId="12731" xr:uid="{00000000-0005-0000-0000-00001E270000}"/>
    <cellStyle name="Normal 13 4 2 2 2 3 2" xfId="29260" xr:uid="{00000000-0005-0000-0000-00001F270000}"/>
    <cellStyle name="Normal 13 4 2 2 2 4" xfId="21217" xr:uid="{00000000-0005-0000-0000-000020270000}"/>
    <cellStyle name="Normal 13 4 2 2 3" xfId="7437" xr:uid="{00000000-0005-0000-0000-000021270000}"/>
    <cellStyle name="Normal 13 4 2 2 3 2" xfId="16617" xr:uid="{00000000-0005-0000-0000-000022270000}"/>
    <cellStyle name="Normal 13 4 2 2 3 2 2" xfId="33191" xr:uid="{00000000-0005-0000-0000-000023270000}"/>
    <cellStyle name="Normal 13 4 2 2 3 3" xfId="25144" xr:uid="{00000000-0005-0000-0000-000024270000}"/>
    <cellStyle name="Normal 13 4 2 2 4" xfId="12730" xr:uid="{00000000-0005-0000-0000-000025270000}"/>
    <cellStyle name="Normal 13 4 2 2 4 2" xfId="29259" xr:uid="{00000000-0005-0000-0000-000026270000}"/>
    <cellStyle name="Normal 13 4 2 2 5" xfId="21216" xr:uid="{00000000-0005-0000-0000-000027270000}"/>
    <cellStyle name="Normal 13 4 2 3" xfId="3263" xr:uid="{00000000-0005-0000-0000-000028270000}"/>
    <cellStyle name="Normal 13 4 2 3 2" xfId="7438" xr:uid="{00000000-0005-0000-0000-000029270000}"/>
    <cellStyle name="Normal 13 4 2 3 2 2" xfId="16618" xr:uid="{00000000-0005-0000-0000-00002A270000}"/>
    <cellStyle name="Normal 13 4 2 3 2 2 2" xfId="33192" xr:uid="{00000000-0005-0000-0000-00002B270000}"/>
    <cellStyle name="Normal 13 4 2 3 2 3" xfId="25145" xr:uid="{00000000-0005-0000-0000-00002C270000}"/>
    <cellStyle name="Normal 13 4 2 3 3" xfId="12732" xr:uid="{00000000-0005-0000-0000-00002D270000}"/>
    <cellStyle name="Normal 13 4 2 3 3 2" xfId="29261" xr:uid="{00000000-0005-0000-0000-00002E270000}"/>
    <cellStyle name="Normal 13 4 2 3 4" xfId="21218" xr:uid="{00000000-0005-0000-0000-00002F270000}"/>
    <cellStyle name="Normal 13 4 2 4" xfId="7439" xr:uid="{00000000-0005-0000-0000-000030270000}"/>
    <cellStyle name="Normal 13 4 2 4 2" xfId="16619" xr:uid="{00000000-0005-0000-0000-000031270000}"/>
    <cellStyle name="Normal 13 4 2 4 2 2" xfId="33193" xr:uid="{00000000-0005-0000-0000-000032270000}"/>
    <cellStyle name="Normal 13 4 2 4 3" xfId="25146" xr:uid="{00000000-0005-0000-0000-000033270000}"/>
    <cellStyle name="Normal 13 4 2 5" xfId="12729" xr:uid="{00000000-0005-0000-0000-000034270000}"/>
    <cellStyle name="Normal 13 4 2 5 2" xfId="29258" xr:uid="{00000000-0005-0000-0000-000035270000}"/>
    <cellStyle name="Normal 13 4 2 6" xfId="21215" xr:uid="{00000000-0005-0000-0000-000036270000}"/>
    <cellStyle name="Normal 13 4 3" xfId="3264" xr:uid="{00000000-0005-0000-0000-000037270000}"/>
    <cellStyle name="Normal 13 4 3 2" xfId="3265" xr:uid="{00000000-0005-0000-0000-000038270000}"/>
    <cellStyle name="Normal 13 4 3 2 2" xfId="7440" xr:uid="{00000000-0005-0000-0000-000039270000}"/>
    <cellStyle name="Normal 13 4 3 2 2 2" xfId="16620" xr:uid="{00000000-0005-0000-0000-00003A270000}"/>
    <cellStyle name="Normal 13 4 3 2 2 2 2" xfId="33194" xr:uid="{00000000-0005-0000-0000-00003B270000}"/>
    <cellStyle name="Normal 13 4 3 2 2 3" xfId="25147" xr:uid="{00000000-0005-0000-0000-00003C270000}"/>
    <cellStyle name="Normal 13 4 3 2 3" xfId="12734" xr:uid="{00000000-0005-0000-0000-00003D270000}"/>
    <cellStyle name="Normal 13 4 3 2 3 2" xfId="29263" xr:uid="{00000000-0005-0000-0000-00003E270000}"/>
    <cellStyle name="Normal 13 4 3 2 4" xfId="21220" xr:uid="{00000000-0005-0000-0000-00003F270000}"/>
    <cellStyle name="Normal 13 4 3 3" xfId="7441" xr:uid="{00000000-0005-0000-0000-000040270000}"/>
    <cellStyle name="Normal 13 4 3 3 2" xfId="16621" xr:uid="{00000000-0005-0000-0000-000041270000}"/>
    <cellStyle name="Normal 13 4 3 3 2 2" xfId="33195" xr:uid="{00000000-0005-0000-0000-000042270000}"/>
    <cellStyle name="Normal 13 4 3 3 3" xfId="25148" xr:uid="{00000000-0005-0000-0000-000043270000}"/>
    <cellStyle name="Normal 13 4 3 4" xfId="12733" xr:uid="{00000000-0005-0000-0000-000044270000}"/>
    <cellStyle name="Normal 13 4 3 4 2" xfId="29262" xr:uid="{00000000-0005-0000-0000-000045270000}"/>
    <cellStyle name="Normal 13 4 3 5" xfId="21219" xr:uid="{00000000-0005-0000-0000-000046270000}"/>
    <cellStyle name="Normal 13 4 4" xfId="3266" xr:uid="{00000000-0005-0000-0000-000047270000}"/>
    <cellStyle name="Normal 13 4 4 2" xfId="7442" xr:uid="{00000000-0005-0000-0000-000048270000}"/>
    <cellStyle name="Normal 13 4 4 2 2" xfId="16622" xr:uid="{00000000-0005-0000-0000-000049270000}"/>
    <cellStyle name="Normal 13 4 4 2 2 2" xfId="33196" xr:uid="{00000000-0005-0000-0000-00004A270000}"/>
    <cellStyle name="Normal 13 4 4 2 3" xfId="25149" xr:uid="{00000000-0005-0000-0000-00004B270000}"/>
    <cellStyle name="Normal 13 4 4 3" xfId="12735" xr:uid="{00000000-0005-0000-0000-00004C270000}"/>
    <cellStyle name="Normal 13 4 4 3 2" xfId="29264" xr:uid="{00000000-0005-0000-0000-00004D270000}"/>
    <cellStyle name="Normal 13 4 4 4" xfId="21221" xr:uid="{00000000-0005-0000-0000-00004E270000}"/>
    <cellStyle name="Normal 13 4 5" xfId="7443" xr:uid="{00000000-0005-0000-0000-00004F270000}"/>
    <cellStyle name="Normal 13 4 5 2" xfId="16623" xr:uid="{00000000-0005-0000-0000-000050270000}"/>
    <cellStyle name="Normal 13 4 5 2 2" xfId="33197" xr:uid="{00000000-0005-0000-0000-000051270000}"/>
    <cellStyle name="Normal 13 4 5 3" xfId="25150" xr:uid="{00000000-0005-0000-0000-000052270000}"/>
    <cellStyle name="Normal 13 4 6" xfId="12728" xr:uid="{00000000-0005-0000-0000-000053270000}"/>
    <cellStyle name="Normal 13 4 6 2" xfId="29257" xr:uid="{00000000-0005-0000-0000-000054270000}"/>
    <cellStyle name="Normal 13 4 7" xfId="21214" xr:uid="{00000000-0005-0000-0000-000055270000}"/>
    <cellStyle name="Normal 13 5" xfId="3267" xr:uid="{00000000-0005-0000-0000-000056270000}"/>
    <cellStyle name="Normal 13 5 2" xfId="3268" xr:uid="{00000000-0005-0000-0000-000057270000}"/>
    <cellStyle name="Normal 13 5 2 2" xfId="3269" xr:uid="{00000000-0005-0000-0000-000058270000}"/>
    <cellStyle name="Normal 13 5 2 2 2" xfId="3270" xr:uid="{00000000-0005-0000-0000-000059270000}"/>
    <cellStyle name="Normal 13 5 2 2 2 2" xfId="7444" xr:uid="{00000000-0005-0000-0000-00005A270000}"/>
    <cellStyle name="Normal 13 5 2 2 2 2 2" xfId="16624" xr:uid="{00000000-0005-0000-0000-00005B270000}"/>
    <cellStyle name="Normal 13 5 2 2 2 2 2 2" xfId="33198" xr:uid="{00000000-0005-0000-0000-00005C270000}"/>
    <cellStyle name="Normal 13 5 2 2 2 2 3" xfId="25151" xr:uid="{00000000-0005-0000-0000-00005D270000}"/>
    <cellStyle name="Normal 13 5 2 2 2 3" xfId="12739" xr:uid="{00000000-0005-0000-0000-00005E270000}"/>
    <cellStyle name="Normal 13 5 2 2 2 3 2" xfId="29268" xr:uid="{00000000-0005-0000-0000-00005F270000}"/>
    <cellStyle name="Normal 13 5 2 2 2 4" xfId="21225" xr:uid="{00000000-0005-0000-0000-000060270000}"/>
    <cellStyle name="Normal 13 5 2 2 3" xfId="7445" xr:uid="{00000000-0005-0000-0000-000061270000}"/>
    <cellStyle name="Normal 13 5 2 2 3 2" xfId="16625" xr:uid="{00000000-0005-0000-0000-000062270000}"/>
    <cellStyle name="Normal 13 5 2 2 3 2 2" xfId="33199" xr:uid="{00000000-0005-0000-0000-000063270000}"/>
    <cellStyle name="Normal 13 5 2 2 3 3" xfId="25152" xr:uid="{00000000-0005-0000-0000-000064270000}"/>
    <cellStyle name="Normal 13 5 2 2 4" xfId="12738" xr:uid="{00000000-0005-0000-0000-000065270000}"/>
    <cellStyle name="Normal 13 5 2 2 4 2" xfId="29267" xr:uid="{00000000-0005-0000-0000-000066270000}"/>
    <cellStyle name="Normal 13 5 2 2 5" xfId="21224" xr:uid="{00000000-0005-0000-0000-000067270000}"/>
    <cellStyle name="Normal 13 5 2 3" xfId="3271" xr:uid="{00000000-0005-0000-0000-000068270000}"/>
    <cellStyle name="Normal 13 5 2 3 2" xfId="7446" xr:uid="{00000000-0005-0000-0000-000069270000}"/>
    <cellStyle name="Normal 13 5 2 3 2 2" xfId="16626" xr:uid="{00000000-0005-0000-0000-00006A270000}"/>
    <cellStyle name="Normal 13 5 2 3 2 2 2" xfId="33200" xr:uid="{00000000-0005-0000-0000-00006B270000}"/>
    <cellStyle name="Normal 13 5 2 3 2 3" xfId="25153" xr:uid="{00000000-0005-0000-0000-00006C270000}"/>
    <cellStyle name="Normal 13 5 2 3 3" xfId="12740" xr:uid="{00000000-0005-0000-0000-00006D270000}"/>
    <cellStyle name="Normal 13 5 2 3 3 2" xfId="29269" xr:uid="{00000000-0005-0000-0000-00006E270000}"/>
    <cellStyle name="Normal 13 5 2 3 4" xfId="21226" xr:uid="{00000000-0005-0000-0000-00006F270000}"/>
    <cellStyle name="Normal 13 5 2 4" xfId="7447" xr:uid="{00000000-0005-0000-0000-000070270000}"/>
    <cellStyle name="Normal 13 5 2 4 2" xfId="16627" xr:uid="{00000000-0005-0000-0000-000071270000}"/>
    <cellStyle name="Normal 13 5 2 4 2 2" xfId="33201" xr:uid="{00000000-0005-0000-0000-000072270000}"/>
    <cellStyle name="Normal 13 5 2 4 3" xfId="25154" xr:uid="{00000000-0005-0000-0000-000073270000}"/>
    <cellStyle name="Normal 13 5 2 5" xfId="12737" xr:uid="{00000000-0005-0000-0000-000074270000}"/>
    <cellStyle name="Normal 13 5 2 5 2" xfId="29266" xr:uid="{00000000-0005-0000-0000-000075270000}"/>
    <cellStyle name="Normal 13 5 2 6" xfId="21223" xr:uid="{00000000-0005-0000-0000-000076270000}"/>
    <cellStyle name="Normal 13 5 3" xfId="3272" xr:uid="{00000000-0005-0000-0000-000077270000}"/>
    <cellStyle name="Normal 13 5 3 2" xfId="3273" xr:uid="{00000000-0005-0000-0000-000078270000}"/>
    <cellStyle name="Normal 13 5 3 2 2" xfId="7448" xr:uid="{00000000-0005-0000-0000-000079270000}"/>
    <cellStyle name="Normal 13 5 3 2 2 2" xfId="16628" xr:uid="{00000000-0005-0000-0000-00007A270000}"/>
    <cellStyle name="Normal 13 5 3 2 2 2 2" xfId="33202" xr:uid="{00000000-0005-0000-0000-00007B270000}"/>
    <cellStyle name="Normal 13 5 3 2 2 3" xfId="25155" xr:uid="{00000000-0005-0000-0000-00007C270000}"/>
    <cellStyle name="Normal 13 5 3 2 3" xfId="12742" xr:uid="{00000000-0005-0000-0000-00007D270000}"/>
    <cellStyle name="Normal 13 5 3 2 3 2" xfId="29271" xr:uid="{00000000-0005-0000-0000-00007E270000}"/>
    <cellStyle name="Normal 13 5 3 2 4" xfId="21228" xr:uid="{00000000-0005-0000-0000-00007F270000}"/>
    <cellStyle name="Normal 13 5 3 3" xfId="7449" xr:uid="{00000000-0005-0000-0000-000080270000}"/>
    <cellStyle name="Normal 13 5 3 3 2" xfId="16629" xr:uid="{00000000-0005-0000-0000-000081270000}"/>
    <cellStyle name="Normal 13 5 3 3 2 2" xfId="33203" xr:uid="{00000000-0005-0000-0000-000082270000}"/>
    <cellStyle name="Normal 13 5 3 3 3" xfId="25156" xr:uid="{00000000-0005-0000-0000-000083270000}"/>
    <cellStyle name="Normal 13 5 3 4" xfId="12741" xr:uid="{00000000-0005-0000-0000-000084270000}"/>
    <cellStyle name="Normal 13 5 3 4 2" xfId="29270" xr:uid="{00000000-0005-0000-0000-000085270000}"/>
    <cellStyle name="Normal 13 5 3 5" xfId="21227" xr:uid="{00000000-0005-0000-0000-000086270000}"/>
    <cellStyle name="Normal 13 5 4" xfId="3274" xr:uid="{00000000-0005-0000-0000-000087270000}"/>
    <cellStyle name="Normal 13 5 4 2" xfId="7450" xr:uid="{00000000-0005-0000-0000-000088270000}"/>
    <cellStyle name="Normal 13 5 4 2 2" xfId="16630" xr:uid="{00000000-0005-0000-0000-000089270000}"/>
    <cellStyle name="Normal 13 5 4 2 2 2" xfId="33204" xr:uid="{00000000-0005-0000-0000-00008A270000}"/>
    <cellStyle name="Normal 13 5 4 2 3" xfId="25157" xr:uid="{00000000-0005-0000-0000-00008B270000}"/>
    <cellStyle name="Normal 13 5 4 3" xfId="12743" xr:uid="{00000000-0005-0000-0000-00008C270000}"/>
    <cellStyle name="Normal 13 5 4 3 2" xfId="29272" xr:uid="{00000000-0005-0000-0000-00008D270000}"/>
    <cellStyle name="Normal 13 5 4 4" xfId="21229" xr:uid="{00000000-0005-0000-0000-00008E270000}"/>
    <cellStyle name="Normal 13 5 5" xfId="7451" xr:uid="{00000000-0005-0000-0000-00008F270000}"/>
    <cellStyle name="Normal 13 5 5 2" xfId="16631" xr:uid="{00000000-0005-0000-0000-000090270000}"/>
    <cellStyle name="Normal 13 5 5 2 2" xfId="33205" xr:uid="{00000000-0005-0000-0000-000091270000}"/>
    <cellStyle name="Normal 13 5 5 3" xfId="25158" xr:uid="{00000000-0005-0000-0000-000092270000}"/>
    <cellStyle name="Normal 13 5 6" xfId="12736" xr:uid="{00000000-0005-0000-0000-000093270000}"/>
    <cellStyle name="Normal 13 5 6 2" xfId="29265" xr:uid="{00000000-0005-0000-0000-000094270000}"/>
    <cellStyle name="Normal 13 5 7" xfId="21222" xr:uid="{00000000-0005-0000-0000-000095270000}"/>
    <cellStyle name="Normal 13 6" xfId="3275" xr:uid="{00000000-0005-0000-0000-000096270000}"/>
    <cellStyle name="Normal 13 6 2" xfId="3276" xr:uid="{00000000-0005-0000-0000-000097270000}"/>
    <cellStyle name="Normal 13 6 2 2" xfId="3277" xr:uid="{00000000-0005-0000-0000-000098270000}"/>
    <cellStyle name="Normal 13 6 2 2 2" xfId="7452" xr:uid="{00000000-0005-0000-0000-000099270000}"/>
    <cellStyle name="Normal 13 6 2 2 2 2" xfId="16632" xr:uid="{00000000-0005-0000-0000-00009A270000}"/>
    <cellStyle name="Normal 13 6 2 2 2 2 2" xfId="33206" xr:uid="{00000000-0005-0000-0000-00009B270000}"/>
    <cellStyle name="Normal 13 6 2 2 2 3" xfId="25159" xr:uid="{00000000-0005-0000-0000-00009C270000}"/>
    <cellStyle name="Normal 13 6 2 2 3" xfId="12746" xr:uid="{00000000-0005-0000-0000-00009D270000}"/>
    <cellStyle name="Normal 13 6 2 2 3 2" xfId="29275" xr:uid="{00000000-0005-0000-0000-00009E270000}"/>
    <cellStyle name="Normal 13 6 2 2 4" xfId="21232" xr:uid="{00000000-0005-0000-0000-00009F270000}"/>
    <cellStyle name="Normal 13 6 2 3" xfId="7453" xr:uid="{00000000-0005-0000-0000-0000A0270000}"/>
    <cellStyle name="Normal 13 6 2 3 2" xfId="16633" xr:uid="{00000000-0005-0000-0000-0000A1270000}"/>
    <cellStyle name="Normal 13 6 2 3 2 2" xfId="33207" xr:uid="{00000000-0005-0000-0000-0000A2270000}"/>
    <cellStyle name="Normal 13 6 2 3 3" xfId="25160" xr:uid="{00000000-0005-0000-0000-0000A3270000}"/>
    <cellStyle name="Normal 13 6 2 4" xfId="12745" xr:uid="{00000000-0005-0000-0000-0000A4270000}"/>
    <cellStyle name="Normal 13 6 2 4 2" xfId="29274" xr:uid="{00000000-0005-0000-0000-0000A5270000}"/>
    <cellStyle name="Normal 13 6 2 5" xfId="21231" xr:uid="{00000000-0005-0000-0000-0000A6270000}"/>
    <cellStyle name="Normal 13 6 3" xfId="3278" xr:uid="{00000000-0005-0000-0000-0000A7270000}"/>
    <cellStyle name="Normal 13 6 3 2" xfId="7454" xr:uid="{00000000-0005-0000-0000-0000A8270000}"/>
    <cellStyle name="Normal 13 6 3 2 2" xfId="16634" xr:uid="{00000000-0005-0000-0000-0000A9270000}"/>
    <cellStyle name="Normal 13 6 3 2 2 2" xfId="33208" xr:uid="{00000000-0005-0000-0000-0000AA270000}"/>
    <cellStyle name="Normal 13 6 3 2 3" xfId="25161" xr:uid="{00000000-0005-0000-0000-0000AB270000}"/>
    <cellStyle name="Normal 13 6 3 3" xfId="12747" xr:uid="{00000000-0005-0000-0000-0000AC270000}"/>
    <cellStyle name="Normal 13 6 3 3 2" xfId="29276" xr:uid="{00000000-0005-0000-0000-0000AD270000}"/>
    <cellStyle name="Normal 13 6 3 4" xfId="21233" xr:uid="{00000000-0005-0000-0000-0000AE270000}"/>
    <cellStyle name="Normal 13 6 4" xfId="7455" xr:uid="{00000000-0005-0000-0000-0000AF270000}"/>
    <cellStyle name="Normal 13 6 4 2" xfId="16635" xr:uid="{00000000-0005-0000-0000-0000B0270000}"/>
    <cellStyle name="Normal 13 6 4 2 2" xfId="33209" xr:uid="{00000000-0005-0000-0000-0000B1270000}"/>
    <cellStyle name="Normal 13 6 4 3" xfId="25162" xr:uid="{00000000-0005-0000-0000-0000B2270000}"/>
    <cellStyle name="Normal 13 6 5" xfId="12744" xr:uid="{00000000-0005-0000-0000-0000B3270000}"/>
    <cellStyle name="Normal 13 6 5 2" xfId="29273" xr:uid="{00000000-0005-0000-0000-0000B4270000}"/>
    <cellStyle name="Normal 13 6 6" xfId="21230" xr:uid="{00000000-0005-0000-0000-0000B5270000}"/>
    <cellStyle name="Normal 13 7" xfId="3279" xr:uid="{00000000-0005-0000-0000-0000B6270000}"/>
    <cellStyle name="Normal 13 7 2" xfId="3280" xr:uid="{00000000-0005-0000-0000-0000B7270000}"/>
    <cellStyle name="Normal 13 7 2 2" xfId="7456" xr:uid="{00000000-0005-0000-0000-0000B8270000}"/>
    <cellStyle name="Normal 13 7 2 2 2" xfId="16636" xr:uid="{00000000-0005-0000-0000-0000B9270000}"/>
    <cellStyle name="Normal 13 7 2 2 2 2" xfId="33210" xr:uid="{00000000-0005-0000-0000-0000BA270000}"/>
    <cellStyle name="Normal 13 7 2 2 3" xfId="25163" xr:uid="{00000000-0005-0000-0000-0000BB270000}"/>
    <cellStyle name="Normal 13 7 2 3" xfId="12749" xr:uid="{00000000-0005-0000-0000-0000BC270000}"/>
    <cellStyle name="Normal 13 7 2 3 2" xfId="29278" xr:uid="{00000000-0005-0000-0000-0000BD270000}"/>
    <cellStyle name="Normal 13 7 2 4" xfId="21235" xr:uid="{00000000-0005-0000-0000-0000BE270000}"/>
    <cellStyle name="Normal 13 7 3" xfId="7457" xr:uid="{00000000-0005-0000-0000-0000BF270000}"/>
    <cellStyle name="Normal 13 7 3 2" xfId="16637" xr:uid="{00000000-0005-0000-0000-0000C0270000}"/>
    <cellStyle name="Normal 13 7 3 2 2" xfId="33211" xr:uid="{00000000-0005-0000-0000-0000C1270000}"/>
    <cellStyle name="Normal 13 7 3 3" xfId="25164" xr:uid="{00000000-0005-0000-0000-0000C2270000}"/>
    <cellStyle name="Normal 13 7 4" xfId="12748" xr:uid="{00000000-0005-0000-0000-0000C3270000}"/>
    <cellStyle name="Normal 13 7 4 2" xfId="29277" xr:uid="{00000000-0005-0000-0000-0000C4270000}"/>
    <cellStyle name="Normal 13 7 5" xfId="21234" xr:uid="{00000000-0005-0000-0000-0000C5270000}"/>
    <cellStyle name="Normal 13 8" xfId="3281" xr:uid="{00000000-0005-0000-0000-0000C6270000}"/>
    <cellStyle name="Normal 13 8 2" xfId="7458" xr:uid="{00000000-0005-0000-0000-0000C7270000}"/>
    <cellStyle name="Normal 13 8 2 2" xfId="16638" xr:uid="{00000000-0005-0000-0000-0000C8270000}"/>
    <cellStyle name="Normal 13 8 2 2 2" xfId="33212" xr:uid="{00000000-0005-0000-0000-0000C9270000}"/>
    <cellStyle name="Normal 13 8 2 3" xfId="25165" xr:uid="{00000000-0005-0000-0000-0000CA270000}"/>
    <cellStyle name="Normal 13 8 3" xfId="12750" xr:uid="{00000000-0005-0000-0000-0000CB270000}"/>
    <cellStyle name="Normal 13 8 3 2" xfId="29279" xr:uid="{00000000-0005-0000-0000-0000CC270000}"/>
    <cellStyle name="Normal 13 8 4" xfId="21236" xr:uid="{00000000-0005-0000-0000-0000CD270000}"/>
    <cellStyle name="Normal 13 9" xfId="7459" xr:uid="{00000000-0005-0000-0000-0000CE270000}"/>
    <cellStyle name="Normal 13 9 2" xfId="16639" xr:uid="{00000000-0005-0000-0000-0000CF270000}"/>
    <cellStyle name="Normal 13 9 2 2" xfId="33213" xr:uid="{00000000-0005-0000-0000-0000D0270000}"/>
    <cellStyle name="Normal 13 9 3" xfId="25166" xr:uid="{00000000-0005-0000-0000-0000D1270000}"/>
    <cellStyle name="Normal 130" xfId="7460" xr:uid="{00000000-0005-0000-0000-0000D2270000}"/>
    <cellStyle name="Normal 130 2" xfId="16640" xr:uid="{00000000-0005-0000-0000-0000D3270000}"/>
    <cellStyle name="Normal 130 2 2" xfId="33214" xr:uid="{00000000-0005-0000-0000-0000D4270000}"/>
    <cellStyle name="Normal 130 3" xfId="25167" xr:uid="{00000000-0005-0000-0000-0000D5270000}"/>
    <cellStyle name="Normal 131" xfId="7461" xr:uid="{00000000-0005-0000-0000-0000D6270000}"/>
    <cellStyle name="Normal 132" xfId="6611" xr:uid="{00000000-0005-0000-0000-0000D7270000}"/>
    <cellStyle name="Normal 132 2" xfId="6620" xr:uid="{00000000-0005-0000-0000-0000D8270000}"/>
    <cellStyle name="Normal 132 3" xfId="15842" xr:uid="{00000000-0005-0000-0000-0000D9270000}"/>
    <cellStyle name="Normal 132 3 2" xfId="32414" xr:uid="{00000000-0005-0000-0000-0000DA270000}"/>
    <cellStyle name="Normal 132 4" xfId="24367" xr:uid="{00000000-0005-0000-0000-0000DB270000}"/>
    <cellStyle name="Normal 133" xfId="6616" xr:uid="{00000000-0005-0000-0000-0000DC270000}"/>
    <cellStyle name="Normal 134" xfId="2000" xr:uid="{00000000-0005-0000-0000-0000DD270000}"/>
    <cellStyle name="Normal 134 2" xfId="11343" xr:uid="{00000000-0005-0000-0000-0000DE270000}"/>
    <cellStyle name="Normal 134 2 2" xfId="28164" xr:uid="{00000000-0005-0000-0000-0000DF270000}"/>
    <cellStyle name="Normal 134 3" xfId="19820" xr:uid="{00000000-0005-0000-0000-0000E0270000}"/>
    <cellStyle name="Normal 135" xfId="10400" xr:uid="{00000000-0005-0000-0000-0000E1270000}"/>
    <cellStyle name="Normal 135 2" xfId="19564" xr:uid="{00000000-0005-0000-0000-0000E2270000}"/>
    <cellStyle name="Normal 135 2 2" xfId="36141" xr:uid="{00000000-0005-0000-0000-0000E3270000}"/>
    <cellStyle name="Normal 135 3" xfId="28094" xr:uid="{00000000-0005-0000-0000-0000E4270000}"/>
    <cellStyle name="Normal 136" xfId="10412" xr:uid="{00000000-0005-0000-0000-0000E5270000}"/>
    <cellStyle name="Normal 136 2" xfId="28144" xr:uid="{00000000-0005-0000-0000-0000E6270000}"/>
    <cellStyle name="Normal 137" xfId="10415" xr:uid="{00000000-0005-0000-0000-0000E7270000}"/>
    <cellStyle name="Normal 138" xfId="10418" xr:uid="{00000000-0005-0000-0000-0000E8270000}"/>
    <cellStyle name="Normal 139" xfId="10421" xr:uid="{00000000-0005-0000-0000-0000E9270000}"/>
    <cellStyle name="Normal 14" xfId="1577" xr:uid="{00000000-0005-0000-0000-0000EA270000}"/>
    <cellStyle name="Normal 14 10" xfId="3282" xr:uid="{00000000-0005-0000-0000-0000EB270000}"/>
    <cellStyle name="Normal 14 10 2" xfId="29280" xr:uid="{00000000-0005-0000-0000-0000EC270000}"/>
    <cellStyle name="Normal 14 11" xfId="21237" xr:uid="{00000000-0005-0000-0000-0000ED270000}"/>
    <cellStyle name="Normal 14 2" xfId="1606" xr:uid="{00000000-0005-0000-0000-0000EE270000}"/>
    <cellStyle name="Normal 14 2 2" xfId="3284" xr:uid="{00000000-0005-0000-0000-0000EF270000}"/>
    <cellStyle name="Normal 14 2 3" xfId="3283" xr:uid="{00000000-0005-0000-0000-0000F0270000}"/>
    <cellStyle name="Normal 14 2 3 2" xfId="29281" xr:uid="{00000000-0005-0000-0000-0000F1270000}"/>
    <cellStyle name="Normal 14 2 4" xfId="21238" xr:uid="{00000000-0005-0000-0000-0000F2270000}"/>
    <cellStyle name="Normal 14 3" xfId="3285" xr:uid="{00000000-0005-0000-0000-0000F3270000}"/>
    <cellStyle name="Normal 14 3 2" xfId="3286" xr:uid="{00000000-0005-0000-0000-0000F4270000}"/>
    <cellStyle name="Normal 14 3 2 2" xfId="3287" xr:uid="{00000000-0005-0000-0000-0000F5270000}"/>
    <cellStyle name="Normal 14 3 2 2 2" xfId="3288" xr:uid="{00000000-0005-0000-0000-0000F6270000}"/>
    <cellStyle name="Normal 14 3 2 2 2 2" xfId="7462" xr:uid="{00000000-0005-0000-0000-0000F7270000}"/>
    <cellStyle name="Normal 14 3 2 2 2 2 2" xfId="16641" xr:uid="{00000000-0005-0000-0000-0000F8270000}"/>
    <cellStyle name="Normal 14 3 2 2 2 2 2 2" xfId="33215" xr:uid="{00000000-0005-0000-0000-0000F9270000}"/>
    <cellStyle name="Normal 14 3 2 2 2 2 3" xfId="25168" xr:uid="{00000000-0005-0000-0000-0000FA270000}"/>
    <cellStyle name="Normal 14 3 2 2 2 3" xfId="12753" xr:uid="{00000000-0005-0000-0000-0000FB270000}"/>
    <cellStyle name="Normal 14 3 2 2 2 3 2" xfId="29284" xr:uid="{00000000-0005-0000-0000-0000FC270000}"/>
    <cellStyle name="Normal 14 3 2 2 2 4" xfId="21241" xr:uid="{00000000-0005-0000-0000-0000FD270000}"/>
    <cellStyle name="Normal 14 3 2 2 3" xfId="7463" xr:uid="{00000000-0005-0000-0000-0000FE270000}"/>
    <cellStyle name="Normal 14 3 2 2 3 2" xfId="16642" xr:uid="{00000000-0005-0000-0000-0000FF270000}"/>
    <cellStyle name="Normal 14 3 2 2 3 2 2" xfId="33216" xr:uid="{00000000-0005-0000-0000-000000280000}"/>
    <cellStyle name="Normal 14 3 2 2 3 3" xfId="25169" xr:uid="{00000000-0005-0000-0000-000001280000}"/>
    <cellStyle name="Normal 14 3 2 2 4" xfId="12752" xr:uid="{00000000-0005-0000-0000-000002280000}"/>
    <cellStyle name="Normal 14 3 2 2 4 2" xfId="29283" xr:uid="{00000000-0005-0000-0000-000003280000}"/>
    <cellStyle name="Normal 14 3 2 2 5" xfId="21240" xr:uid="{00000000-0005-0000-0000-000004280000}"/>
    <cellStyle name="Normal 14 3 2 3" xfId="3289" xr:uid="{00000000-0005-0000-0000-000005280000}"/>
    <cellStyle name="Normal 14 3 2 3 2" xfId="7464" xr:uid="{00000000-0005-0000-0000-000006280000}"/>
    <cellStyle name="Normal 14 3 2 3 2 2" xfId="16643" xr:uid="{00000000-0005-0000-0000-000007280000}"/>
    <cellStyle name="Normal 14 3 2 3 2 2 2" xfId="33217" xr:uid="{00000000-0005-0000-0000-000008280000}"/>
    <cellStyle name="Normal 14 3 2 3 2 3" xfId="25170" xr:uid="{00000000-0005-0000-0000-000009280000}"/>
    <cellStyle name="Normal 14 3 2 3 3" xfId="12754" xr:uid="{00000000-0005-0000-0000-00000A280000}"/>
    <cellStyle name="Normal 14 3 2 3 3 2" xfId="29285" xr:uid="{00000000-0005-0000-0000-00000B280000}"/>
    <cellStyle name="Normal 14 3 2 3 4" xfId="21242" xr:uid="{00000000-0005-0000-0000-00000C280000}"/>
    <cellStyle name="Normal 14 3 2 4" xfId="7465" xr:uid="{00000000-0005-0000-0000-00000D280000}"/>
    <cellStyle name="Normal 14 3 2 4 2" xfId="16644" xr:uid="{00000000-0005-0000-0000-00000E280000}"/>
    <cellStyle name="Normal 14 3 2 4 2 2" xfId="33218" xr:uid="{00000000-0005-0000-0000-00000F280000}"/>
    <cellStyle name="Normal 14 3 2 4 3" xfId="25171" xr:uid="{00000000-0005-0000-0000-000010280000}"/>
    <cellStyle name="Normal 14 3 2 5" xfId="12751" xr:uid="{00000000-0005-0000-0000-000011280000}"/>
    <cellStyle name="Normal 14 3 2 5 2" xfId="29282" xr:uid="{00000000-0005-0000-0000-000012280000}"/>
    <cellStyle name="Normal 14 3 2 6" xfId="21239" xr:uid="{00000000-0005-0000-0000-000013280000}"/>
    <cellStyle name="Normal 14 3 3" xfId="3290" xr:uid="{00000000-0005-0000-0000-000014280000}"/>
    <cellStyle name="Normal 14 3 3 2" xfId="3291" xr:uid="{00000000-0005-0000-0000-000015280000}"/>
    <cellStyle name="Normal 14 3 3 2 2" xfId="7466" xr:uid="{00000000-0005-0000-0000-000016280000}"/>
    <cellStyle name="Normal 14 3 3 2 2 2" xfId="16645" xr:uid="{00000000-0005-0000-0000-000017280000}"/>
    <cellStyle name="Normal 14 3 3 2 2 2 2" xfId="33219" xr:uid="{00000000-0005-0000-0000-000018280000}"/>
    <cellStyle name="Normal 14 3 3 2 2 3" xfId="25172" xr:uid="{00000000-0005-0000-0000-000019280000}"/>
    <cellStyle name="Normal 14 3 3 2 3" xfId="12756" xr:uid="{00000000-0005-0000-0000-00001A280000}"/>
    <cellStyle name="Normal 14 3 3 2 3 2" xfId="29287" xr:uid="{00000000-0005-0000-0000-00001B280000}"/>
    <cellStyle name="Normal 14 3 3 2 4" xfId="21244" xr:uid="{00000000-0005-0000-0000-00001C280000}"/>
    <cellStyle name="Normal 14 3 3 3" xfId="7467" xr:uid="{00000000-0005-0000-0000-00001D280000}"/>
    <cellStyle name="Normal 14 3 3 3 2" xfId="16646" xr:uid="{00000000-0005-0000-0000-00001E280000}"/>
    <cellStyle name="Normal 14 3 3 3 2 2" xfId="33220" xr:uid="{00000000-0005-0000-0000-00001F280000}"/>
    <cellStyle name="Normal 14 3 3 3 3" xfId="25173" xr:uid="{00000000-0005-0000-0000-000020280000}"/>
    <cellStyle name="Normal 14 3 3 4" xfId="12755" xr:uid="{00000000-0005-0000-0000-000021280000}"/>
    <cellStyle name="Normal 14 3 3 4 2" xfId="29286" xr:uid="{00000000-0005-0000-0000-000022280000}"/>
    <cellStyle name="Normal 14 3 3 5" xfId="21243" xr:uid="{00000000-0005-0000-0000-000023280000}"/>
    <cellStyle name="Normal 14 3 4" xfId="3292" xr:uid="{00000000-0005-0000-0000-000024280000}"/>
    <cellStyle name="Normal 14 3 4 2" xfId="7468" xr:uid="{00000000-0005-0000-0000-000025280000}"/>
    <cellStyle name="Normal 14 3 4 2 2" xfId="16647" xr:uid="{00000000-0005-0000-0000-000026280000}"/>
    <cellStyle name="Normal 14 3 4 2 2 2" xfId="33221" xr:uid="{00000000-0005-0000-0000-000027280000}"/>
    <cellStyle name="Normal 14 3 4 2 3" xfId="25174" xr:uid="{00000000-0005-0000-0000-000028280000}"/>
    <cellStyle name="Normal 14 3 4 3" xfId="12757" xr:uid="{00000000-0005-0000-0000-000029280000}"/>
    <cellStyle name="Normal 14 3 4 3 2" xfId="29288" xr:uid="{00000000-0005-0000-0000-00002A280000}"/>
    <cellStyle name="Normal 14 3 4 4" xfId="21245" xr:uid="{00000000-0005-0000-0000-00002B280000}"/>
    <cellStyle name="Normal 14 3 5" xfId="3293" xr:uid="{00000000-0005-0000-0000-00002C280000}"/>
    <cellStyle name="Normal 14 3 5 2" xfId="12758" xr:uid="{00000000-0005-0000-0000-00002D280000}"/>
    <cellStyle name="Normal 14 3 5 2 2" xfId="29289" xr:uid="{00000000-0005-0000-0000-00002E280000}"/>
    <cellStyle name="Normal 14 3 5 3" xfId="21246" xr:uid="{00000000-0005-0000-0000-00002F280000}"/>
    <cellStyle name="Normal 14 4" xfId="3294" xr:uid="{00000000-0005-0000-0000-000030280000}"/>
    <cellStyle name="Normal 14 4 2" xfId="3295" xr:uid="{00000000-0005-0000-0000-000031280000}"/>
    <cellStyle name="Normal 14 4 2 2" xfId="3296" xr:uid="{00000000-0005-0000-0000-000032280000}"/>
    <cellStyle name="Normal 14 4 2 2 2" xfId="3297" xr:uid="{00000000-0005-0000-0000-000033280000}"/>
    <cellStyle name="Normal 14 4 2 2 2 2" xfId="7469" xr:uid="{00000000-0005-0000-0000-000034280000}"/>
    <cellStyle name="Normal 14 4 2 2 2 2 2" xfId="16648" xr:uid="{00000000-0005-0000-0000-000035280000}"/>
    <cellStyle name="Normal 14 4 2 2 2 2 2 2" xfId="33222" xr:uid="{00000000-0005-0000-0000-000036280000}"/>
    <cellStyle name="Normal 14 4 2 2 2 2 3" xfId="25175" xr:uid="{00000000-0005-0000-0000-000037280000}"/>
    <cellStyle name="Normal 14 4 2 2 2 3" xfId="12762" xr:uid="{00000000-0005-0000-0000-000038280000}"/>
    <cellStyle name="Normal 14 4 2 2 2 3 2" xfId="29293" xr:uid="{00000000-0005-0000-0000-000039280000}"/>
    <cellStyle name="Normal 14 4 2 2 2 4" xfId="21250" xr:uid="{00000000-0005-0000-0000-00003A280000}"/>
    <cellStyle name="Normal 14 4 2 2 3" xfId="7470" xr:uid="{00000000-0005-0000-0000-00003B280000}"/>
    <cellStyle name="Normal 14 4 2 2 3 2" xfId="16649" xr:uid="{00000000-0005-0000-0000-00003C280000}"/>
    <cellStyle name="Normal 14 4 2 2 3 2 2" xfId="33223" xr:uid="{00000000-0005-0000-0000-00003D280000}"/>
    <cellStyle name="Normal 14 4 2 2 3 3" xfId="25176" xr:uid="{00000000-0005-0000-0000-00003E280000}"/>
    <cellStyle name="Normal 14 4 2 2 4" xfId="12761" xr:uid="{00000000-0005-0000-0000-00003F280000}"/>
    <cellStyle name="Normal 14 4 2 2 4 2" xfId="29292" xr:uid="{00000000-0005-0000-0000-000040280000}"/>
    <cellStyle name="Normal 14 4 2 2 5" xfId="21249" xr:uid="{00000000-0005-0000-0000-000041280000}"/>
    <cellStyle name="Normal 14 4 2 3" xfId="3298" xr:uid="{00000000-0005-0000-0000-000042280000}"/>
    <cellStyle name="Normal 14 4 2 3 2" xfId="7471" xr:uid="{00000000-0005-0000-0000-000043280000}"/>
    <cellStyle name="Normal 14 4 2 3 2 2" xfId="16650" xr:uid="{00000000-0005-0000-0000-000044280000}"/>
    <cellStyle name="Normal 14 4 2 3 2 2 2" xfId="33224" xr:uid="{00000000-0005-0000-0000-000045280000}"/>
    <cellStyle name="Normal 14 4 2 3 2 3" xfId="25177" xr:uid="{00000000-0005-0000-0000-000046280000}"/>
    <cellStyle name="Normal 14 4 2 3 3" xfId="12763" xr:uid="{00000000-0005-0000-0000-000047280000}"/>
    <cellStyle name="Normal 14 4 2 3 3 2" xfId="29294" xr:uid="{00000000-0005-0000-0000-000048280000}"/>
    <cellStyle name="Normal 14 4 2 3 4" xfId="21251" xr:uid="{00000000-0005-0000-0000-000049280000}"/>
    <cellStyle name="Normal 14 4 2 4" xfId="7472" xr:uid="{00000000-0005-0000-0000-00004A280000}"/>
    <cellStyle name="Normal 14 4 2 4 2" xfId="16651" xr:uid="{00000000-0005-0000-0000-00004B280000}"/>
    <cellStyle name="Normal 14 4 2 4 2 2" xfId="33225" xr:uid="{00000000-0005-0000-0000-00004C280000}"/>
    <cellStyle name="Normal 14 4 2 4 3" xfId="25178" xr:uid="{00000000-0005-0000-0000-00004D280000}"/>
    <cellStyle name="Normal 14 4 2 5" xfId="12760" xr:uid="{00000000-0005-0000-0000-00004E280000}"/>
    <cellStyle name="Normal 14 4 2 5 2" xfId="29291" xr:uid="{00000000-0005-0000-0000-00004F280000}"/>
    <cellStyle name="Normal 14 4 2 6" xfId="21248" xr:uid="{00000000-0005-0000-0000-000050280000}"/>
    <cellStyle name="Normal 14 4 3" xfId="3299" xr:uid="{00000000-0005-0000-0000-000051280000}"/>
    <cellStyle name="Normal 14 4 3 2" xfId="3300" xr:uid="{00000000-0005-0000-0000-000052280000}"/>
    <cellStyle name="Normal 14 4 3 2 2" xfId="7473" xr:uid="{00000000-0005-0000-0000-000053280000}"/>
    <cellStyle name="Normal 14 4 3 2 2 2" xfId="16652" xr:uid="{00000000-0005-0000-0000-000054280000}"/>
    <cellStyle name="Normal 14 4 3 2 2 2 2" xfId="33226" xr:uid="{00000000-0005-0000-0000-000055280000}"/>
    <cellStyle name="Normal 14 4 3 2 2 3" xfId="25179" xr:uid="{00000000-0005-0000-0000-000056280000}"/>
    <cellStyle name="Normal 14 4 3 2 3" xfId="12765" xr:uid="{00000000-0005-0000-0000-000057280000}"/>
    <cellStyle name="Normal 14 4 3 2 3 2" xfId="29296" xr:uid="{00000000-0005-0000-0000-000058280000}"/>
    <cellStyle name="Normal 14 4 3 2 4" xfId="21253" xr:uid="{00000000-0005-0000-0000-000059280000}"/>
    <cellStyle name="Normal 14 4 3 3" xfId="7474" xr:uid="{00000000-0005-0000-0000-00005A280000}"/>
    <cellStyle name="Normal 14 4 3 3 2" xfId="16653" xr:uid="{00000000-0005-0000-0000-00005B280000}"/>
    <cellStyle name="Normal 14 4 3 3 2 2" xfId="33227" xr:uid="{00000000-0005-0000-0000-00005C280000}"/>
    <cellStyle name="Normal 14 4 3 3 3" xfId="25180" xr:uid="{00000000-0005-0000-0000-00005D280000}"/>
    <cellStyle name="Normal 14 4 3 4" xfId="12764" xr:uid="{00000000-0005-0000-0000-00005E280000}"/>
    <cellStyle name="Normal 14 4 3 4 2" xfId="29295" xr:uid="{00000000-0005-0000-0000-00005F280000}"/>
    <cellStyle name="Normal 14 4 3 5" xfId="21252" xr:uid="{00000000-0005-0000-0000-000060280000}"/>
    <cellStyle name="Normal 14 4 4" xfId="3301" xr:uid="{00000000-0005-0000-0000-000061280000}"/>
    <cellStyle name="Normal 14 4 4 2" xfId="7475" xr:uid="{00000000-0005-0000-0000-000062280000}"/>
    <cellStyle name="Normal 14 4 4 2 2" xfId="16654" xr:uid="{00000000-0005-0000-0000-000063280000}"/>
    <cellStyle name="Normal 14 4 4 2 2 2" xfId="33228" xr:uid="{00000000-0005-0000-0000-000064280000}"/>
    <cellStyle name="Normal 14 4 4 2 3" xfId="25181" xr:uid="{00000000-0005-0000-0000-000065280000}"/>
    <cellStyle name="Normal 14 4 4 3" xfId="12766" xr:uid="{00000000-0005-0000-0000-000066280000}"/>
    <cellStyle name="Normal 14 4 4 3 2" xfId="29297" xr:uid="{00000000-0005-0000-0000-000067280000}"/>
    <cellStyle name="Normal 14 4 4 4" xfId="21254" xr:uid="{00000000-0005-0000-0000-000068280000}"/>
    <cellStyle name="Normal 14 4 5" xfId="7476" xr:uid="{00000000-0005-0000-0000-000069280000}"/>
    <cellStyle name="Normal 14 4 5 2" xfId="16655" xr:uid="{00000000-0005-0000-0000-00006A280000}"/>
    <cellStyle name="Normal 14 4 5 2 2" xfId="33229" xr:uid="{00000000-0005-0000-0000-00006B280000}"/>
    <cellStyle name="Normal 14 4 5 3" xfId="25182" xr:uid="{00000000-0005-0000-0000-00006C280000}"/>
    <cellStyle name="Normal 14 4 6" xfId="12759" xr:uid="{00000000-0005-0000-0000-00006D280000}"/>
    <cellStyle name="Normal 14 4 6 2" xfId="29290" xr:uid="{00000000-0005-0000-0000-00006E280000}"/>
    <cellStyle name="Normal 14 4 7" xfId="21247" xr:uid="{00000000-0005-0000-0000-00006F280000}"/>
    <cellStyle name="Normal 14 5" xfId="3302" xr:uid="{00000000-0005-0000-0000-000070280000}"/>
    <cellStyle name="Normal 14 5 2" xfId="3303" xr:uid="{00000000-0005-0000-0000-000071280000}"/>
    <cellStyle name="Normal 14 5 2 2" xfId="3304" xr:uid="{00000000-0005-0000-0000-000072280000}"/>
    <cellStyle name="Normal 14 5 2 2 2" xfId="3305" xr:uid="{00000000-0005-0000-0000-000073280000}"/>
    <cellStyle name="Normal 14 5 2 2 2 2" xfId="7477" xr:uid="{00000000-0005-0000-0000-000074280000}"/>
    <cellStyle name="Normal 14 5 2 2 2 2 2" xfId="16656" xr:uid="{00000000-0005-0000-0000-000075280000}"/>
    <cellStyle name="Normal 14 5 2 2 2 2 2 2" xfId="33230" xr:uid="{00000000-0005-0000-0000-000076280000}"/>
    <cellStyle name="Normal 14 5 2 2 2 2 3" xfId="25183" xr:uid="{00000000-0005-0000-0000-000077280000}"/>
    <cellStyle name="Normal 14 5 2 2 2 3" xfId="12770" xr:uid="{00000000-0005-0000-0000-000078280000}"/>
    <cellStyle name="Normal 14 5 2 2 2 3 2" xfId="29301" xr:uid="{00000000-0005-0000-0000-000079280000}"/>
    <cellStyle name="Normal 14 5 2 2 2 4" xfId="21258" xr:uid="{00000000-0005-0000-0000-00007A280000}"/>
    <cellStyle name="Normal 14 5 2 2 3" xfId="7478" xr:uid="{00000000-0005-0000-0000-00007B280000}"/>
    <cellStyle name="Normal 14 5 2 2 3 2" xfId="16657" xr:uid="{00000000-0005-0000-0000-00007C280000}"/>
    <cellStyle name="Normal 14 5 2 2 3 2 2" xfId="33231" xr:uid="{00000000-0005-0000-0000-00007D280000}"/>
    <cellStyle name="Normal 14 5 2 2 3 3" xfId="25184" xr:uid="{00000000-0005-0000-0000-00007E280000}"/>
    <cellStyle name="Normal 14 5 2 2 4" xfId="12769" xr:uid="{00000000-0005-0000-0000-00007F280000}"/>
    <cellStyle name="Normal 14 5 2 2 4 2" xfId="29300" xr:uid="{00000000-0005-0000-0000-000080280000}"/>
    <cellStyle name="Normal 14 5 2 2 5" xfId="21257" xr:uid="{00000000-0005-0000-0000-000081280000}"/>
    <cellStyle name="Normal 14 5 2 3" xfId="3306" xr:uid="{00000000-0005-0000-0000-000082280000}"/>
    <cellStyle name="Normal 14 5 2 3 2" xfId="7479" xr:uid="{00000000-0005-0000-0000-000083280000}"/>
    <cellStyle name="Normal 14 5 2 3 2 2" xfId="16658" xr:uid="{00000000-0005-0000-0000-000084280000}"/>
    <cellStyle name="Normal 14 5 2 3 2 2 2" xfId="33232" xr:uid="{00000000-0005-0000-0000-000085280000}"/>
    <cellStyle name="Normal 14 5 2 3 2 3" xfId="25185" xr:uid="{00000000-0005-0000-0000-000086280000}"/>
    <cellStyle name="Normal 14 5 2 3 3" xfId="12771" xr:uid="{00000000-0005-0000-0000-000087280000}"/>
    <cellStyle name="Normal 14 5 2 3 3 2" xfId="29302" xr:uid="{00000000-0005-0000-0000-000088280000}"/>
    <cellStyle name="Normal 14 5 2 3 4" xfId="21259" xr:uid="{00000000-0005-0000-0000-000089280000}"/>
    <cellStyle name="Normal 14 5 2 4" xfId="7480" xr:uid="{00000000-0005-0000-0000-00008A280000}"/>
    <cellStyle name="Normal 14 5 2 4 2" xfId="16659" xr:uid="{00000000-0005-0000-0000-00008B280000}"/>
    <cellStyle name="Normal 14 5 2 4 2 2" xfId="33233" xr:uid="{00000000-0005-0000-0000-00008C280000}"/>
    <cellStyle name="Normal 14 5 2 4 3" xfId="25186" xr:uid="{00000000-0005-0000-0000-00008D280000}"/>
    <cellStyle name="Normal 14 5 2 5" xfId="12768" xr:uid="{00000000-0005-0000-0000-00008E280000}"/>
    <cellStyle name="Normal 14 5 2 5 2" xfId="29299" xr:uid="{00000000-0005-0000-0000-00008F280000}"/>
    <cellStyle name="Normal 14 5 2 6" xfId="21256" xr:uid="{00000000-0005-0000-0000-000090280000}"/>
    <cellStyle name="Normal 14 5 3" xfId="3307" xr:uid="{00000000-0005-0000-0000-000091280000}"/>
    <cellStyle name="Normal 14 5 3 2" xfId="3308" xr:uid="{00000000-0005-0000-0000-000092280000}"/>
    <cellStyle name="Normal 14 5 3 2 2" xfId="7481" xr:uid="{00000000-0005-0000-0000-000093280000}"/>
    <cellStyle name="Normal 14 5 3 2 2 2" xfId="16660" xr:uid="{00000000-0005-0000-0000-000094280000}"/>
    <cellStyle name="Normal 14 5 3 2 2 2 2" xfId="33234" xr:uid="{00000000-0005-0000-0000-000095280000}"/>
    <cellStyle name="Normal 14 5 3 2 2 3" xfId="25187" xr:uid="{00000000-0005-0000-0000-000096280000}"/>
    <cellStyle name="Normal 14 5 3 2 3" xfId="12773" xr:uid="{00000000-0005-0000-0000-000097280000}"/>
    <cellStyle name="Normal 14 5 3 2 3 2" xfId="29304" xr:uid="{00000000-0005-0000-0000-000098280000}"/>
    <cellStyle name="Normal 14 5 3 2 4" xfId="21261" xr:uid="{00000000-0005-0000-0000-000099280000}"/>
    <cellStyle name="Normal 14 5 3 3" xfId="7482" xr:uid="{00000000-0005-0000-0000-00009A280000}"/>
    <cellStyle name="Normal 14 5 3 3 2" xfId="16661" xr:uid="{00000000-0005-0000-0000-00009B280000}"/>
    <cellStyle name="Normal 14 5 3 3 2 2" xfId="33235" xr:uid="{00000000-0005-0000-0000-00009C280000}"/>
    <cellStyle name="Normal 14 5 3 3 3" xfId="25188" xr:uid="{00000000-0005-0000-0000-00009D280000}"/>
    <cellStyle name="Normal 14 5 3 4" xfId="12772" xr:uid="{00000000-0005-0000-0000-00009E280000}"/>
    <cellStyle name="Normal 14 5 3 4 2" xfId="29303" xr:uid="{00000000-0005-0000-0000-00009F280000}"/>
    <cellStyle name="Normal 14 5 3 5" xfId="21260" xr:uid="{00000000-0005-0000-0000-0000A0280000}"/>
    <cellStyle name="Normal 14 5 4" xfId="3309" xr:uid="{00000000-0005-0000-0000-0000A1280000}"/>
    <cellStyle name="Normal 14 5 4 2" xfId="7483" xr:uid="{00000000-0005-0000-0000-0000A2280000}"/>
    <cellStyle name="Normal 14 5 4 2 2" xfId="16662" xr:uid="{00000000-0005-0000-0000-0000A3280000}"/>
    <cellStyle name="Normal 14 5 4 2 2 2" xfId="33236" xr:uid="{00000000-0005-0000-0000-0000A4280000}"/>
    <cellStyle name="Normal 14 5 4 2 3" xfId="25189" xr:uid="{00000000-0005-0000-0000-0000A5280000}"/>
    <cellStyle name="Normal 14 5 4 3" xfId="12774" xr:uid="{00000000-0005-0000-0000-0000A6280000}"/>
    <cellStyle name="Normal 14 5 4 3 2" xfId="29305" xr:uid="{00000000-0005-0000-0000-0000A7280000}"/>
    <cellStyle name="Normal 14 5 4 4" xfId="21262" xr:uid="{00000000-0005-0000-0000-0000A8280000}"/>
    <cellStyle name="Normal 14 5 5" xfId="7484" xr:uid="{00000000-0005-0000-0000-0000A9280000}"/>
    <cellStyle name="Normal 14 5 5 2" xfId="16663" xr:uid="{00000000-0005-0000-0000-0000AA280000}"/>
    <cellStyle name="Normal 14 5 5 2 2" xfId="33237" xr:uid="{00000000-0005-0000-0000-0000AB280000}"/>
    <cellStyle name="Normal 14 5 5 3" xfId="25190" xr:uid="{00000000-0005-0000-0000-0000AC280000}"/>
    <cellStyle name="Normal 14 5 6" xfId="12767" xr:uid="{00000000-0005-0000-0000-0000AD280000}"/>
    <cellStyle name="Normal 14 5 6 2" xfId="29298" xr:uid="{00000000-0005-0000-0000-0000AE280000}"/>
    <cellStyle name="Normal 14 5 7" xfId="21255" xr:uid="{00000000-0005-0000-0000-0000AF280000}"/>
    <cellStyle name="Normal 14 6" xfId="3310" xr:uid="{00000000-0005-0000-0000-0000B0280000}"/>
    <cellStyle name="Normal 14 6 2" xfId="3311" xr:uid="{00000000-0005-0000-0000-0000B1280000}"/>
    <cellStyle name="Normal 14 6 2 2" xfId="3312" xr:uid="{00000000-0005-0000-0000-0000B2280000}"/>
    <cellStyle name="Normal 14 6 2 2 2" xfId="7485" xr:uid="{00000000-0005-0000-0000-0000B3280000}"/>
    <cellStyle name="Normal 14 6 2 2 2 2" xfId="16664" xr:uid="{00000000-0005-0000-0000-0000B4280000}"/>
    <cellStyle name="Normal 14 6 2 2 2 2 2" xfId="33238" xr:uid="{00000000-0005-0000-0000-0000B5280000}"/>
    <cellStyle name="Normal 14 6 2 2 2 3" xfId="25191" xr:uid="{00000000-0005-0000-0000-0000B6280000}"/>
    <cellStyle name="Normal 14 6 2 2 3" xfId="12777" xr:uid="{00000000-0005-0000-0000-0000B7280000}"/>
    <cellStyle name="Normal 14 6 2 2 3 2" xfId="29308" xr:uid="{00000000-0005-0000-0000-0000B8280000}"/>
    <cellStyle name="Normal 14 6 2 2 4" xfId="21265" xr:uid="{00000000-0005-0000-0000-0000B9280000}"/>
    <cellStyle name="Normal 14 6 2 3" xfId="7486" xr:uid="{00000000-0005-0000-0000-0000BA280000}"/>
    <cellStyle name="Normal 14 6 2 3 2" xfId="16665" xr:uid="{00000000-0005-0000-0000-0000BB280000}"/>
    <cellStyle name="Normal 14 6 2 3 2 2" xfId="33239" xr:uid="{00000000-0005-0000-0000-0000BC280000}"/>
    <cellStyle name="Normal 14 6 2 3 3" xfId="25192" xr:uid="{00000000-0005-0000-0000-0000BD280000}"/>
    <cellStyle name="Normal 14 6 2 4" xfId="12776" xr:uid="{00000000-0005-0000-0000-0000BE280000}"/>
    <cellStyle name="Normal 14 6 2 4 2" xfId="29307" xr:uid="{00000000-0005-0000-0000-0000BF280000}"/>
    <cellStyle name="Normal 14 6 2 5" xfId="21264" xr:uid="{00000000-0005-0000-0000-0000C0280000}"/>
    <cellStyle name="Normal 14 6 3" xfId="3313" xr:uid="{00000000-0005-0000-0000-0000C1280000}"/>
    <cellStyle name="Normal 14 6 3 2" xfId="7487" xr:uid="{00000000-0005-0000-0000-0000C2280000}"/>
    <cellStyle name="Normal 14 6 3 2 2" xfId="16666" xr:uid="{00000000-0005-0000-0000-0000C3280000}"/>
    <cellStyle name="Normal 14 6 3 2 2 2" xfId="33240" xr:uid="{00000000-0005-0000-0000-0000C4280000}"/>
    <cellStyle name="Normal 14 6 3 2 3" xfId="25193" xr:uid="{00000000-0005-0000-0000-0000C5280000}"/>
    <cellStyle name="Normal 14 6 3 3" xfId="12778" xr:uid="{00000000-0005-0000-0000-0000C6280000}"/>
    <cellStyle name="Normal 14 6 3 3 2" xfId="29309" xr:uid="{00000000-0005-0000-0000-0000C7280000}"/>
    <cellStyle name="Normal 14 6 3 4" xfId="21266" xr:uid="{00000000-0005-0000-0000-0000C8280000}"/>
    <cellStyle name="Normal 14 6 4" xfId="7488" xr:uid="{00000000-0005-0000-0000-0000C9280000}"/>
    <cellStyle name="Normal 14 6 4 2" xfId="16667" xr:uid="{00000000-0005-0000-0000-0000CA280000}"/>
    <cellStyle name="Normal 14 6 4 2 2" xfId="33241" xr:uid="{00000000-0005-0000-0000-0000CB280000}"/>
    <cellStyle name="Normal 14 6 4 3" xfId="25194" xr:uid="{00000000-0005-0000-0000-0000CC280000}"/>
    <cellStyle name="Normal 14 6 5" xfId="12775" xr:uid="{00000000-0005-0000-0000-0000CD280000}"/>
    <cellStyle name="Normal 14 6 5 2" xfId="29306" xr:uid="{00000000-0005-0000-0000-0000CE280000}"/>
    <cellStyle name="Normal 14 6 6" xfId="21263" xr:uid="{00000000-0005-0000-0000-0000CF280000}"/>
    <cellStyle name="Normal 14 7" xfId="3314" xr:uid="{00000000-0005-0000-0000-0000D0280000}"/>
    <cellStyle name="Normal 14 7 2" xfId="3315" xr:uid="{00000000-0005-0000-0000-0000D1280000}"/>
    <cellStyle name="Normal 14 7 2 2" xfId="7489" xr:uid="{00000000-0005-0000-0000-0000D2280000}"/>
    <cellStyle name="Normal 14 7 2 2 2" xfId="16668" xr:uid="{00000000-0005-0000-0000-0000D3280000}"/>
    <cellStyle name="Normal 14 7 2 2 2 2" xfId="33242" xr:uid="{00000000-0005-0000-0000-0000D4280000}"/>
    <cellStyle name="Normal 14 7 2 2 3" xfId="25195" xr:uid="{00000000-0005-0000-0000-0000D5280000}"/>
    <cellStyle name="Normal 14 7 2 3" xfId="12780" xr:uid="{00000000-0005-0000-0000-0000D6280000}"/>
    <cellStyle name="Normal 14 7 2 3 2" xfId="29311" xr:uid="{00000000-0005-0000-0000-0000D7280000}"/>
    <cellStyle name="Normal 14 7 2 4" xfId="21268" xr:uid="{00000000-0005-0000-0000-0000D8280000}"/>
    <cellStyle name="Normal 14 7 3" xfId="7490" xr:uid="{00000000-0005-0000-0000-0000D9280000}"/>
    <cellStyle name="Normal 14 7 3 2" xfId="16669" xr:uid="{00000000-0005-0000-0000-0000DA280000}"/>
    <cellStyle name="Normal 14 7 3 2 2" xfId="33243" xr:uid="{00000000-0005-0000-0000-0000DB280000}"/>
    <cellStyle name="Normal 14 7 3 3" xfId="25196" xr:uid="{00000000-0005-0000-0000-0000DC280000}"/>
    <cellStyle name="Normal 14 7 4" xfId="12779" xr:uid="{00000000-0005-0000-0000-0000DD280000}"/>
    <cellStyle name="Normal 14 7 4 2" xfId="29310" xr:uid="{00000000-0005-0000-0000-0000DE280000}"/>
    <cellStyle name="Normal 14 7 5" xfId="21267" xr:uid="{00000000-0005-0000-0000-0000DF280000}"/>
    <cellStyle name="Normal 14 8" xfId="3316" xr:uid="{00000000-0005-0000-0000-0000E0280000}"/>
    <cellStyle name="Normal 14 8 2" xfId="7491" xr:uid="{00000000-0005-0000-0000-0000E1280000}"/>
    <cellStyle name="Normal 14 8 2 2" xfId="16670" xr:uid="{00000000-0005-0000-0000-0000E2280000}"/>
    <cellStyle name="Normal 14 8 2 2 2" xfId="33244" xr:uid="{00000000-0005-0000-0000-0000E3280000}"/>
    <cellStyle name="Normal 14 8 2 3" xfId="25197" xr:uid="{00000000-0005-0000-0000-0000E4280000}"/>
    <cellStyle name="Normal 14 8 3" xfId="12781" xr:uid="{00000000-0005-0000-0000-0000E5280000}"/>
    <cellStyle name="Normal 14 8 3 2" xfId="29312" xr:uid="{00000000-0005-0000-0000-0000E6280000}"/>
    <cellStyle name="Normal 14 8 4" xfId="21269" xr:uid="{00000000-0005-0000-0000-0000E7280000}"/>
    <cellStyle name="Normal 14 9" xfId="7492" xr:uid="{00000000-0005-0000-0000-0000E8280000}"/>
    <cellStyle name="Normal 14 9 2" xfId="16671" xr:uid="{00000000-0005-0000-0000-0000E9280000}"/>
    <cellStyle name="Normal 14 9 2 2" xfId="33245" xr:uid="{00000000-0005-0000-0000-0000EA280000}"/>
    <cellStyle name="Normal 14 9 3" xfId="25198" xr:uid="{00000000-0005-0000-0000-0000EB280000}"/>
    <cellStyle name="Normal 140" xfId="10424" xr:uid="{00000000-0005-0000-0000-0000EC280000}"/>
    <cellStyle name="Normal 141" xfId="10427" xr:uid="{00000000-0005-0000-0000-0000ED280000}"/>
    <cellStyle name="Normal 141 2" xfId="19632" xr:uid="{00000000-0005-0000-0000-0000EE280000}"/>
    <cellStyle name="Normal 142" xfId="10430" xr:uid="{00000000-0005-0000-0000-0000EF280000}"/>
    <cellStyle name="Normal 143" xfId="10433" xr:uid="{00000000-0005-0000-0000-0000F0280000}"/>
    <cellStyle name="Normal 144" xfId="10436" xr:uid="{00000000-0005-0000-0000-0000F1280000}"/>
    <cellStyle name="Normal 145" xfId="10439" xr:uid="{00000000-0005-0000-0000-0000F2280000}"/>
    <cellStyle name="Normal 146" xfId="10442" xr:uid="{00000000-0005-0000-0000-0000F3280000}"/>
    <cellStyle name="Normal 147" xfId="10445" xr:uid="{00000000-0005-0000-0000-0000F4280000}"/>
    <cellStyle name="Normal 148" xfId="10448" xr:uid="{00000000-0005-0000-0000-0000F5280000}"/>
    <cellStyle name="Normal 149" xfId="10451" xr:uid="{00000000-0005-0000-0000-0000F6280000}"/>
    <cellStyle name="Normal 15" xfId="1575" xr:uid="{00000000-0005-0000-0000-0000F7280000}"/>
    <cellStyle name="Normal 15 10" xfId="3317" xr:uid="{00000000-0005-0000-0000-0000F8280000}"/>
    <cellStyle name="Normal 15 10 2" xfId="29313" xr:uid="{00000000-0005-0000-0000-0000F9280000}"/>
    <cellStyle name="Normal 15 11" xfId="21270" xr:uid="{00000000-0005-0000-0000-0000FA280000}"/>
    <cellStyle name="Normal 15 2" xfId="1605" xr:uid="{00000000-0005-0000-0000-0000FB280000}"/>
    <cellStyle name="Normal 15 2 2" xfId="3319" xr:uid="{00000000-0005-0000-0000-0000FC280000}"/>
    <cellStyle name="Normal 15 2 3" xfId="3318" xr:uid="{00000000-0005-0000-0000-0000FD280000}"/>
    <cellStyle name="Normal 15 2 3 2" xfId="29314" xr:uid="{00000000-0005-0000-0000-0000FE280000}"/>
    <cellStyle name="Normal 15 2 4" xfId="21271" xr:uid="{00000000-0005-0000-0000-0000FF280000}"/>
    <cellStyle name="Normal 15 3" xfId="3320" xr:uid="{00000000-0005-0000-0000-000000290000}"/>
    <cellStyle name="Normal 15 3 2" xfId="3321" xr:uid="{00000000-0005-0000-0000-000001290000}"/>
    <cellStyle name="Normal 15 3 2 2" xfId="3322" xr:uid="{00000000-0005-0000-0000-000002290000}"/>
    <cellStyle name="Normal 15 3 2 2 2" xfId="3323" xr:uid="{00000000-0005-0000-0000-000003290000}"/>
    <cellStyle name="Normal 15 3 2 2 2 2" xfId="7493" xr:uid="{00000000-0005-0000-0000-000004290000}"/>
    <cellStyle name="Normal 15 3 2 2 2 2 2" xfId="16672" xr:uid="{00000000-0005-0000-0000-000005290000}"/>
    <cellStyle name="Normal 15 3 2 2 2 2 2 2" xfId="33246" xr:uid="{00000000-0005-0000-0000-000006290000}"/>
    <cellStyle name="Normal 15 3 2 2 2 2 3" xfId="25199" xr:uid="{00000000-0005-0000-0000-000007290000}"/>
    <cellStyle name="Normal 15 3 2 2 2 3" xfId="12784" xr:uid="{00000000-0005-0000-0000-000008290000}"/>
    <cellStyle name="Normal 15 3 2 2 2 3 2" xfId="29317" xr:uid="{00000000-0005-0000-0000-000009290000}"/>
    <cellStyle name="Normal 15 3 2 2 2 4" xfId="21274" xr:uid="{00000000-0005-0000-0000-00000A290000}"/>
    <cellStyle name="Normal 15 3 2 2 3" xfId="7494" xr:uid="{00000000-0005-0000-0000-00000B290000}"/>
    <cellStyle name="Normal 15 3 2 2 3 2" xfId="16673" xr:uid="{00000000-0005-0000-0000-00000C290000}"/>
    <cellStyle name="Normal 15 3 2 2 3 2 2" xfId="33247" xr:uid="{00000000-0005-0000-0000-00000D290000}"/>
    <cellStyle name="Normal 15 3 2 2 3 3" xfId="25200" xr:uid="{00000000-0005-0000-0000-00000E290000}"/>
    <cellStyle name="Normal 15 3 2 2 4" xfId="12783" xr:uid="{00000000-0005-0000-0000-00000F290000}"/>
    <cellStyle name="Normal 15 3 2 2 4 2" xfId="29316" xr:uid="{00000000-0005-0000-0000-000010290000}"/>
    <cellStyle name="Normal 15 3 2 2 5" xfId="21273" xr:uid="{00000000-0005-0000-0000-000011290000}"/>
    <cellStyle name="Normal 15 3 2 3" xfId="3324" xr:uid="{00000000-0005-0000-0000-000012290000}"/>
    <cellStyle name="Normal 15 3 2 3 2" xfId="7495" xr:uid="{00000000-0005-0000-0000-000013290000}"/>
    <cellStyle name="Normal 15 3 2 3 2 2" xfId="16674" xr:uid="{00000000-0005-0000-0000-000014290000}"/>
    <cellStyle name="Normal 15 3 2 3 2 2 2" xfId="33248" xr:uid="{00000000-0005-0000-0000-000015290000}"/>
    <cellStyle name="Normal 15 3 2 3 2 3" xfId="25201" xr:uid="{00000000-0005-0000-0000-000016290000}"/>
    <cellStyle name="Normal 15 3 2 3 3" xfId="12785" xr:uid="{00000000-0005-0000-0000-000017290000}"/>
    <cellStyle name="Normal 15 3 2 3 3 2" xfId="29318" xr:uid="{00000000-0005-0000-0000-000018290000}"/>
    <cellStyle name="Normal 15 3 2 3 4" xfId="21275" xr:uid="{00000000-0005-0000-0000-000019290000}"/>
    <cellStyle name="Normal 15 3 2 4" xfId="7496" xr:uid="{00000000-0005-0000-0000-00001A290000}"/>
    <cellStyle name="Normal 15 3 2 4 2" xfId="16675" xr:uid="{00000000-0005-0000-0000-00001B290000}"/>
    <cellStyle name="Normal 15 3 2 4 2 2" xfId="33249" xr:uid="{00000000-0005-0000-0000-00001C290000}"/>
    <cellStyle name="Normal 15 3 2 4 3" xfId="25202" xr:uid="{00000000-0005-0000-0000-00001D290000}"/>
    <cellStyle name="Normal 15 3 2 5" xfId="12782" xr:uid="{00000000-0005-0000-0000-00001E290000}"/>
    <cellStyle name="Normal 15 3 2 5 2" xfId="29315" xr:uid="{00000000-0005-0000-0000-00001F290000}"/>
    <cellStyle name="Normal 15 3 2 6" xfId="21272" xr:uid="{00000000-0005-0000-0000-000020290000}"/>
    <cellStyle name="Normal 15 3 3" xfId="3325" xr:uid="{00000000-0005-0000-0000-000021290000}"/>
    <cellStyle name="Normal 15 3 3 2" xfId="3326" xr:uid="{00000000-0005-0000-0000-000022290000}"/>
    <cellStyle name="Normal 15 3 3 2 2" xfId="7497" xr:uid="{00000000-0005-0000-0000-000023290000}"/>
    <cellStyle name="Normal 15 3 3 2 2 2" xfId="16676" xr:uid="{00000000-0005-0000-0000-000024290000}"/>
    <cellStyle name="Normal 15 3 3 2 2 2 2" xfId="33250" xr:uid="{00000000-0005-0000-0000-000025290000}"/>
    <cellStyle name="Normal 15 3 3 2 2 3" xfId="25203" xr:uid="{00000000-0005-0000-0000-000026290000}"/>
    <cellStyle name="Normal 15 3 3 2 3" xfId="12787" xr:uid="{00000000-0005-0000-0000-000027290000}"/>
    <cellStyle name="Normal 15 3 3 2 3 2" xfId="29320" xr:uid="{00000000-0005-0000-0000-000028290000}"/>
    <cellStyle name="Normal 15 3 3 2 4" xfId="21277" xr:uid="{00000000-0005-0000-0000-000029290000}"/>
    <cellStyle name="Normal 15 3 3 3" xfId="7498" xr:uid="{00000000-0005-0000-0000-00002A290000}"/>
    <cellStyle name="Normal 15 3 3 3 2" xfId="16677" xr:uid="{00000000-0005-0000-0000-00002B290000}"/>
    <cellStyle name="Normal 15 3 3 3 2 2" xfId="33251" xr:uid="{00000000-0005-0000-0000-00002C290000}"/>
    <cellStyle name="Normal 15 3 3 3 3" xfId="25204" xr:uid="{00000000-0005-0000-0000-00002D290000}"/>
    <cellStyle name="Normal 15 3 3 4" xfId="12786" xr:uid="{00000000-0005-0000-0000-00002E290000}"/>
    <cellStyle name="Normal 15 3 3 4 2" xfId="29319" xr:uid="{00000000-0005-0000-0000-00002F290000}"/>
    <cellStyle name="Normal 15 3 3 5" xfId="21276" xr:uid="{00000000-0005-0000-0000-000030290000}"/>
    <cellStyle name="Normal 15 3 4" xfId="3327" xr:uid="{00000000-0005-0000-0000-000031290000}"/>
    <cellStyle name="Normal 15 3 4 2" xfId="7499" xr:uid="{00000000-0005-0000-0000-000032290000}"/>
    <cellStyle name="Normal 15 3 4 2 2" xfId="16678" xr:uid="{00000000-0005-0000-0000-000033290000}"/>
    <cellStyle name="Normal 15 3 4 2 2 2" xfId="33252" xr:uid="{00000000-0005-0000-0000-000034290000}"/>
    <cellStyle name="Normal 15 3 4 2 3" xfId="25205" xr:uid="{00000000-0005-0000-0000-000035290000}"/>
    <cellStyle name="Normal 15 3 4 3" xfId="12788" xr:uid="{00000000-0005-0000-0000-000036290000}"/>
    <cellStyle name="Normal 15 3 4 3 2" xfId="29321" xr:uid="{00000000-0005-0000-0000-000037290000}"/>
    <cellStyle name="Normal 15 3 4 4" xfId="21278" xr:uid="{00000000-0005-0000-0000-000038290000}"/>
    <cellStyle name="Normal 15 3 5" xfId="3328" xr:uid="{00000000-0005-0000-0000-000039290000}"/>
    <cellStyle name="Normal 15 3 5 2" xfId="12789" xr:uid="{00000000-0005-0000-0000-00003A290000}"/>
    <cellStyle name="Normal 15 3 5 2 2" xfId="29322" xr:uid="{00000000-0005-0000-0000-00003B290000}"/>
    <cellStyle name="Normal 15 3 5 3" xfId="21279" xr:uid="{00000000-0005-0000-0000-00003C290000}"/>
    <cellStyle name="Normal 15 4" xfId="3329" xr:uid="{00000000-0005-0000-0000-00003D290000}"/>
    <cellStyle name="Normal 15 4 2" xfId="3330" xr:uid="{00000000-0005-0000-0000-00003E290000}"/>
    <cellStyle name="Normal 15 4 2 2" xfId="3331" xr:uid="{00000000-0005-0000-0000-00003F290000}"/>
    <cellStyle name="Normal 15 4 2 2 2" xfId="3332" xr:uid="{00000000-0005-0000-0000-000040290000}"/>
    <cellStyle name="Normal 15 4 2 2 2 2" xfId="7500" xr:uid="{00000000-0005-0000-0000-000041290000}"/>
    <cellStyle name="Normal 15 4 2 2 2 2 2" xfId="16679" xr:uid="{00000000-0005-0000-0000-000042290000}"/>
    <cellStyle name="Normal 15 4 2 2 2 2 2 2" xfId="33253" xr:uid="{00000000-0005-0000-0000-000043290000}"/>
    <cellStyle name="Normal 15 4 2 2 2 2 3" xfId="25206" xr:uid="{00000000-0005-0000-0000-000044290000}"/>
    <cellStyle name="Normal 15 4 2 2 2 3" xfId="12793" xr:uid="{00000000-0005-0000-0000-000045290000}"/>
    <cellStyle name="Normal 15 4 2 2 2 3 2" xfId="29326" xr:uid="{00000000-0005-0000-0000-000046290000}"/>
    <cellStyle name="Normal 15 4 2 2 2 4" xfId="21283" xr:uid="{00000000-0005-0000-0000-000047290000}"/>
    <cellStyle name="Normal 15 4 2 2 3" xfId="7501" xr:uid="{00000000-0005-0000-0000-000048290000}"/>
    <cellStyle name="Normal 15 4 2 2 3 2" xfId="16680" xr:uid="{00000000-0005-0000-0000-000049290000}"/>
    <cellStyle name="Normal 15 4 2 2 3 2 2" xfId="33254" xr:uid="{00000000-0005-0000-0000-00004A290000}"/>
    <cellStyle name="Normal 15 4 2 2 3 3" xfId="25207" xr:uid="{00000000-0005-0000-0000-00004B290000}"/>
    <cellStyle name="Normal 15 4 2 2 4" xfId="12792" xr:uid="{00000000-0005-0000-0000-00004C290000}"/>
    <cellStyle name="Normal 15 4 2 2 4 2" xfId="29325" xr:uid="{00000000-0005-0000-0000-00004D290000}"/>
    <cellStyle name="Normal 15 4 2 2 5" xfId="21282" xr:uid="{00000000-0005-0000-0000-00004E290000}"/>
    <cellStyle name="Normal 15 4 2 3" xfId="3333" xr:uid="{00000000-0005-0000-0000-00004F290000}"/>
    <cellStyle name="Normal 15 4 2 3 2" xfId="7502" xr:uid="{00000000-0005-0000-0000-000050290000}"/>
    <cellStyle name="Normal 15 4 2 3 2 2" xfId="16681" xr:uid="{00000000-0005-0000-0000-000051290000}"/>
    <cellStyle name="Normal 15 4 2 3 2 2 2" xfId="33255" xr:uid="{00000000-0005-0000-0000-000052290000}"/>
    <cellStyle name="Normal 15 4 2 3 2 3" xfId="25208" xr:uid="{00000000-0005-0000-0000-000053290000}"/>
    <cellStyle name="Normal 15 4 2 3 3" xfId="12794" xr:uid="{00000000-0005-0000-0000-000054290000}"/>
    <cellStyle name="Normal 15 4 2 3 3 2" xfId="29327" xr:uid="{00000000-0005-0000-0000-000055290000}"/>
    <cellStyle name="Normal 15 4 2 3 4" xfId="21284" xr:uid="{00000000-0005-0000-0000-000056290000}"/>
    <cellStyle name="Normal 15 4 2 4" xfId="7503" xr:uid="{00000000-0005-0000-0000-000057290000}"/>
    <cellStyle name="Normal 15 4 2 4 2" xfId="16682" xr:uid="{00000000-0005-0000-0000-000058290000}"/>
    <cellStyle name="Normal 15 4 2 4 2 2" xfId="33256" xr:uid="{00000000-0005-0000-0000-000059290000}"/>
    <cellStyle name="Normal 15 4 2 4 3" xfId="25209" xr:uid="{00000000-0005-0000-0000-00005A290000}"/>
    <cellStyle name="Normal 15 4 2 5" xfId="12791" xr:uid="{00000000-0005-0000-0000-00005B290000}"/>
    <cellStyle name="Normal 15 4 2 5 2" xfId="29324" xr:uid="{00000000-0005-0000-0000-00005C290000}"/>
    <cellStyle name="Normal 15 4 2 6" xfId="21281" xr:uid="{00000000-0005-0000-0000-00005D290000}"/>
    <cellStyle name="Normal 15 4 3" xfId="3334" xr:uid="{00000000-0005-0000-0000-00005E290000}"/>
    <cellStyle name="Normal 15 4 3 2" xfId="3335" xr:uid="{00000000-0005-0000-0000-00005F290000}"/>
    <cellStyle name="Normal 15 4 3 2 2" xfId="7504" xr:uid="{00000000-0005-0000-0000-000060290000}"/>
    <cellStyle name="Normal 15 4 3 2 2 2" xfId="16683" xr:uid="{00000000-0005-0000-0000-000061290000}"/>
    <cellStyle name="Normal 15 4 3 2 2 2 2" xfId="33257" xr:uid="{00000000-0005-0000-0000-000062290000}"/>
    <cellStyle name="Normal 15 4 3 2 2 3" xfId="25210" xr:uid="{00000000-0005-0000-0000-000063290000}"/>
    <cellStyle name="Normal 15 4 3 2 3" xfId="12796" xr:uid="{00000000-0005-0000-0000-000064290000}"/>
    <cellStyle name="Normal 15 4 3 2 3 2" xfId="29329" xr:uid="{00000000-0005-0000-0000-000065290000}"/>
    <cellStyle name="Normal 15 4 3 2 4" xfId="21286" xr:uid="{00000000-0005-0000-0000-000066290000}"/>
    <cellStyle name="Normal 15 4 3 3" xfId="7505" xr:uid="{00000000-0005-0000-0000-000067290000}"/>
    <cellStyle name="Normal 15 4 3 3 2" xfId="16684" xr:uid="{00000000-0005-0000-0000-000068290000}"/>
    <cellStyle name="Normal 15 4 3 3 2 2" xfId="33258" xr:uid="{00000000-0005-0000-0000-000069290000}"/>
    <cellStyle name="Normal 15 4 3 3 3" xfId="25211" xr:uid="{00000000-0005-0000-0000-00006A290000}"/>
    <cellStyle name="Normal 15 4 3 4" xfId="12795" xr:uid="{00000000-0005-0000-0000-00006B290000}"/>
    <cellStyle name="Normal 15 4 3 4 2" xfId="29328" xr:uid="{00000000-0005-0000-0000-00006C290000}"/>
    <cellStyle name="Normal 15 4 3 5" xfId="21285" xr:uid="{00000000-0005-0000-0000-00006D290000}"/>
    <cellStyle name="Normal 15 4 4" xfId="3336" xr:uid="{00000000-0005-0000-0000-00006E290000}"/>
    <cellStyle name="Normal 15 4 4 2" xfId="7506" xr:uid="{00000000-0005-0000-0000-00006F290000}"/>
    <cellStyle name="Normal 15 4 4 2 2" xfId="16685" xr:uid="{00000000-0005-0000-0000-000070290000}"/>
    <cellStyle name="Normal 15 4 4 2 2 2" xfId="33259" xr:uid="{00000000-0005-0000-0000-000071290000}"/>
    <cellStyle name="Normal 15 4 4 2 3" xfId="25212" xr:uid="{00000000-0005-0000-0000-000072290000}"/>
    <cellStyle name="Normal 15 4 4 3" xfId="12797" xr:uid="{00000000-0005-0000-0000-000073290000}"/>
    <cellStyle name="Normal 15 4 4 3 2" xfId="29330" xr:uid="{00000000-0005-0000-0000-000074290000}"/>
    <cellStyle name="Normal 15 4 4 4" xfId="21287" xr:uid="{00000000-0005-0000-0000-000075290000}"/>
    <cellStyle name="Normal 15 4 5" xfId="7507" xr:uid="{00000000-0005-0000-0000-000076290000}"/>
    <cellStyle name="Normal 15 4 5 2" xfId="16686" xr:uid="{00000000-0005-0000-0000-000077290000}"/>
    <cellStyle name="Normal 15 4 5 2 2" xfId="33260" xr:uid="{00000000-0005-0000-0000-000078290000}"/>
    <cellStyle name="Normal 15 4 5 3" xfId="25213" xr:uid="{00000000-0005-0000-0000-000079290000}"/>
    <cellStyle name="Normal 15 4 6" xfId="12790" xr:uid="{00000000-0005-0000-0000-00007A290000}"/>
    <cellStyle name="Normal 15 4 6 2" xfId="29323" xr:uid="{00000000-0005-0000-0000-00007B290000}"/>
    <cellStyle name="Normal 15 4 7" xfId="21280" xr:uid="{00000000-0005-0000-0000-00007C290000}"/>
    <cellStyle name="Normal 15 5" xfId="3337" xr:uid="{00000000-0005-0000-0000-00007D290000}"/>
    <cellStyle name="Normal 15 5 2" xfId="3338" xr:uid="{00000000-0005-0000-0000-00007E290000}"/>
    <cellStyle name="Normal 15 5 2 2" xfId="3339" xr:uid="{00000000-0005-0000-0000-00007F290000}"/>
    <cellStyle name="Normal 15 5 2 2 2" xfId="3340" xr:uid="{00000000-0005-0000-0000-000080290000}"/>
    <cellStyle name="Normal 15 5 2 2 2 2" xfId="7508" xr:uid="{00000000-0005-0000-0000-000081290000}"/>
    <cellStyle name="Normal 15 5 2 2 2 2 2" xfId="16687" xr:uid="{00000000-0005-0000-0000-000082290000}"/>
    <cellStyle name="Normal 15 5 2 2 2 2 2 2" xfId="33261" xr:uid="{00000000-0005-0000-0000-000083290000}"/>
    <cellStyle name="Normal 15 5 2 2 2 2 3" xfId="25214" xr:uid="{00000000-0005-0000-0000-000084290000}"/>
    <cellStyle name="Normal 15 5 2 2 2 3" xfId="12801" xr:uid="{00000000-0005-0000-0000-000085290000}"/>
    <cellStyle name="Normal 15 5 2 2 2 3 2" xfId="29334" xr:uid="{00000000-0005-0000-0000-000086290000}"/>
    <cellStyle name="Normal 15 5 2 2 2 4" xfId="21291" xr:uid="{00000000-0005-0000-0000-000087290000}"/>
    <cellStyle name="Normal 15 5 2 2 3" xfId="7509" xr:uid="{00000000-0005-0000-0000-000088290000}"/>
    <cellStyle name="Normal 15 5 2 2 3 2" xfId="16688" xr:uid="{00000000-0005-0000-0000-000089290000}"/>
    <cellStyle name="Normal 15 5 2 2 3 2 2" xfId="33262" xr:uid="{00000000-0005-0000-0000-00008A290000}"/>
    <cellStyle name="Normal 15 5 2 2 3 3" xfId="25215" xr:uid="{00000000-0005-0000-0000-00008B290000}"/>
    <cellStyle name="Normal 15 5 2 2 4" xfId="12800" xr:uid="{00000000-0005-0000-0000-00008C290000}"/>
    <cellStyle name="Normal 15 5 2 2 4 2" xfId="29333" xr:uid="{00000000-0005-0000-0000-00008D290000}"/>
    <cellStyle name="Normal 15 5 2 2 5" xfId="21290" xr:uid="{00000000-0005-0000-0000-00008E290000}"/>
    <cellStyle name="Normal 15 5 2 3" xfId="3341" xr:uid="{00000000-0005-0000-0000-00008F290000}"/>
    <cellStyle name="Normal 15 5 2 3 2" xfId="7510" xr:uid="{00000000-0005-0000-0000-000090290000}"/>
    <cellStyle name="Normal 15 5 2 3 2 2" xfId="16689" xr:uid="{00000000-0005-0000-0000-000091290000}"/>
    <cellStyle name="Normal 15 5 2 3 2 2 2" xfId="33263" xr:uid="{00000000-0005-0000-0000-000092290000}"/>
    <cellStyle name="Normal 15 5 2 3 2 3" xfId="25216" xr:uid="{00000000-0005-0000-0000-000093290000}"/>
    <cellStyle name="Normal 15 5 2 3 3" xfId="12802" xr:uid="{00000000-0005-0000-0000-000094290000}"/>
    <cellStyle name="Normal 15 5 2 3 3 2" xfId="29335" xr:uid="{00000000-0005-0000-0000-000095290000}"/>
    <cellStyle name="Normal 15 5 2 3 4" xfId="21292" xr:uid="{00000000-0005-0000-0000-000096290000}"/>
    <cellStyle name="Normal 15 5 2 4" xfId="7511" xr:uid="{00000000-0005-0000-0000-000097290000}"/>
    <cellStyle name="Normal 15 5 2 4 2" xfId="16690" xr:uid="{00000000-0005-0000-0000-000098290000}"/>
    <cellStyle name="Normal 15 5 2 4 2 2" xfId="33264" xr:uid="{00000000-0005-0000-0000-000099290000}"/>
    <cellStyle name="Normal 15 5 2 4 3" xfId="25217" xr:uid="{00000000-0005-0000-0000-00009A290000}"/>
    <cellStyle name="Normal 15 5 2 5" xfId="12799" xr:uid="{00000000-0005-0000-0000-00009B290000}"/>
    <cellStyle name="Normal 15 5 2 5 2" xfId="29332" xr:uid="{00000000-0005-0000-0000-00009C290000}"/>
    <cellStyle name="Normal 15 5 2 6" xfId="21289" xr:uid="{00000000-0005-0000-0000-00009D290000}"/>
    <cellStyle name="Normal 15 5 3" xfId="3342" xr:uid="{00000000-0005-0000-0000-00009E290000}"/>
    <cellStyle name="Normal 15 5 3 2" xfId="3343" xr:uid="{00000000-0005-0000-0000-00009F290000}"/>
    <cellStyle name="Normal 15 5 3 2 2" xfId="7512" xr:uid="{00000000-0005-0000-0000-0000A0290000}"/>
    <cellStyle name="Normal 15 5 3 2 2 2" xfId="16691" xr:uid="{00000000-0005-0000-0000-0000A1290000}"/>
    <cellStyle name="Normal 15 5 3 2 2 2 2" xfId="33265" xr:uid="{00000000-0005-0000-0000-0000A2290000}"/>
    <cellStyle name="Normal 15 5 3 2 2 3" xfId="25218" xr:uid="{00000000-0005-0000-0000-0000A3290000}"/>
    <cellStyle name="Normal 15 5 3 2 3" xfId="12804" xr:uid="{00000000-0005-0000-0000-0000A4290000}"/>
    <cellStyle name="Normal 15 5 3 2 3 2" xfId="29337" xr:uid="{00000000-0005-0000-0000-0000A5290000}"/>
    <cellStyle name="Normal 15 5 3 2 4" xfId="21294" xr:uid="{00000000-0005-0000-0000-0000A6290000}"/>
    <cellStyle name="Normal 15 5 3 3" xfId="7513" xr:uid="{00000000-0005-0000-0000-0000A7290000}"/>
    <cellStyle name="Normal 15 5 3 3 2" xfId="16692" xr:uid="{00000000-0005-0000-0000-0000A8290000}"/>
    <cellStyle name="Normal 15 5 3 3 2 2" xfId="33266" xr:uid="{00000000-0005-0000-0000-0000A9290000}"/>
    <cellStyle name="Normal 15 5 3 3 3" xfId="25219" xr:uid="{00000000-0005-0000-0000-0000AA290000}"/>
    <cellStyle name="Normal 15 5 3 4" xfId="12803" xr:uid="{00000000-0005-0000-0000-0000AB290000}"/>
    <cellStyle name="Normal 15 5 3 4 2" xfId="29336" xr:uid="{00000000-0005-0000-0000-0000AC290000}"/>
    <cellStyle name="Normal 15 5 3 5" xfId="21293" xr:uid="{00000000-0005-0000-0000-0000AD290000}"/>
    <cellStyle name="Normal 15 5 4" xfId="3344" xr:uid="{00000000-0005-0000-0000-0000AE290000}"/>
    <cellStyle name="Normal 15 5 4 2" xfId="7514" xr:uid="{00000000-0005-0000-0000-0000AF290000}"/>
    <cellStyle name="Normal 15 5 4 2 2" xfId="16693" xr:uid="{00000000-0005-0000-0000-0000B0290000}"/>
    <cellStyle name="Normal 15 5 4 2 2 2" xfId="33267" xr:uid="{00000000-0005-0000-0000-0000B1290000}"/>
    <cellStyle name="Normal 15 5 4 2 3" xfId="25220" xr:uid="{00000000-0005-0000-0000-0000B2290000}"/>
    <cellStyle name="Normal 15 5 4 3" xfId="12805" xr:uid="{00000000-0005-0000-0000-0000B3290000}"/>
    <cellStyle name="Normal 15 5 4 3 2" xfId="29338" xr:uid="{00000000-0005-0000-0000-0000B4290000}"/>
    <cellStyle name="Normal 15 5 4 4" xfId="21295" xr:uid="{00000000-0005-0000-0000-0000B5290000}"/>
    <cellStyle name="Normal 15 5 5" xfId="7515" xr:uid="{00000000-0005-0000-0000-0000B6290000}"/>
    <cellStyle name="Normal 15 5 5 2" xfId="16694" xr:uid="{00000000-0005-0000-0000-0000B7290000}"/>
    <cellStyle name="Normal 15 5 5 2 2" xfId="33268" xr:uid="{00000000-0005-0000-0000-0000B8290000}"/>
    <cellStyle name="Normal 15 5 5 3" xfId="25221" xr:uid="{00000000-0005-0000-0000-0000B9290000}"/>
    <cellStyle name="Normal 15 5 6" xfId="12798" xr:uid="{00000000-0005-0000-0000-0000BA290000}"/>
    <cellStyle name="Normal 15 5 6 2" xfId="29331" xr:uid="{00000000-0005-0000-0000-0000BB290000}"/>
    <cellStyle name="Normal 15 5 7" xfId="21288" xr:uid="{00000000-0005-0000-0000-0000BC290000}"/>
    <cellStyle name="Normal 15 6" xfId="3345" xr:uid="{00000000-0005-0000-0000-0000BD290000}"/>
    <cellStyle name="Normal 15 6 2" xfId="3346" xr:uid="{00000000-0005-0000-0000-0000BE290000}"/>
    <cellStyle name="Normal 15 6 2 2" xfId="3347" xr:uid="{00000000-0005-0000-0000-0000BF290000}"/>
    <cellStyle name="Normal 15 6 2 2 2" xfId="7516" xr:uid="{00000000-0005-0000-0000-0000C0290000}"/>
    <cellStyle name="Normal 15 6 2 2 2 2" xfId="16695" xr:uid="{00000000-0005-0000-0000-0000C1290000}"/>
    <cellStyle name="Normal 15 6 2 2 2 2 2" xfId="33269" xr:uid="{00000000-0005-0000-0000-0000C2290000}"/>
    <cellStyle name="Normal 15 6 2 2 2 3" xfId="25222" xr:uid="{00000000-0005-0000-0000-0000C3290000}"/>
    <cellStyle name="Normal 15 6 2 2 3" xfId="12808" xr:uid="{00000000-0005-0000-0000-0000C4290000}"/>
    <cellStyle name="Normal 15 6 2 2 3 2" xfId="29341" xr:uid="{00000000-0005-0000-0000-0000C5290000}"/>
    <cellStyle name="Normal 15 6 2 2 4" xfId="21298" xr:uid="{00000000-0005-0000-0000-0000C6290000}"/>
    <cellStyle name="Normal 15 6 2 3" xfId="7517" xr:uid="{00000000-0005-0000-0000-0000C7290000}"/>
    <cellStyle name="Normal 15 6 2 3 2" xfId="16696" xr:uid="{00000000-0005-0000-0000-0000C8290000}"/>
    <cellStyle name="Normal 15 6 2 3 2 2" xfId="33270" xr:uid="{00000000-0005-0000-0000-0000C9290000}"/>
    <cellStyle name="Normal 15 6 2 3 3" xfId="25223" xr:uid="{00000000-0005-0000-0000-0000CA290000}"/>
    <cellStyle name="Normal 15 6 2 4" xfId="12807" xr:uid="{00000000-0005-0000-0000-0000CB290000}"/>
    <cellStyle name="Normal 15 6 2 4 2" xfId="29340" xr:uid="{00000000-0005-0000-0000-0000CC290000}"/>
    <cellStyle name="Normal 15 6 2 5" xfId="21297" xr:uid="{00000000-0005-0000-0000-0000CD290000}"/>
    <cellStyle name="Normal 15 6 3" xfId="3348" xr:uid="{00000000-0005-0000-0000-0000CE290000}"/>
    <cellStyle name="Normal 15 6 3 2" xfId="7518" xr:uid="{00000000-0005-0000-0000-0000CF290000}"/>
    <cellStyle name="Normal 15 6 3 2 2" xfId="16697" xr:uid="{00000000-0005-0000-0000-0000D0290000}"/>
    <cellStyle name="Normal 15 6 3 2 2 2" xfId="33271" xr:uid="{00000000-0005-0000-0000-0000D1290000}"/>
    <cellStyle name="Normal 15 6 3 2 3" xfId="25224" xr:uid="{00000000-0005-0000-0000-0000D2290000}"/>
    <cellStyle name="Normal 15 6 3 3" xfId="12809" xr:uid="{00000000-0005-0000-0000-0000D3290000}"/>
    <cellStyle name="Normal 15 6 3 3 2" xfId="29342" xr:uid="{00000000-0005-0000-0000-0000D4290000}"/>
    <cellStyle name="Normal 15 6 3 4" xfId="21299" xr:uid="{00000000-0005-0000-0000-0000D5290000}"/>
    <cellStyle name="Normal 15 6 4" xfId="7519" xr:uid="{00000000-0005-0000-0000-0000D6290000}"/>
    <cellStyle name="Normal 15 6 4 2" xfId="16698" xr:uid="{00000000-0005-0000-0000-0000D7290000}"/>
    <cellStyle name="Normal 15 6 4 2 2" xfId="33272" xr:uid="{00000000-0005-0000-0000-0000D8290000}"/>
    <cellStyle name="Normal 15 6 4 3" xfId="25225" xr:uid="{00000000-0005-0000-0000-0000D9290000}"/>
    <cellStyle name="Normal 15 6 5" xfId="12806" xr:uid="{00000000-0005-0000-0000-0000DA290000}"/>
    <cellStyle name="Normal 15 6 5 2" xfId="29339" xr:uid="{00000000-0005-0000-0000-0000DB290000}"/>
    <cellStyle name="Normal 15 6 6" xfId="21296" xr:uid="{00000000-0005-0000-0000-0000DC290000}"/>
    <cellStyle name="Normal 15 7" xfId="3349" xr:uid="{00000000-0005-0000-0000-0000DD290000}"/>
    <cellStyle name="Normal 15 7 2" xfId="3350" xr:uid="{00000000-0005-0000-0000-0000DE290000}"/>
    <cellStyle name="Normal 15 7 2 2" xfId="7520" xr:uid="{00000000-0005-0000-0000-0000DF290000}"/>
    <cellStyle name="Normal 15 7 2 2 2" xfId="16699" xr:uid="{00000000-0005-0000-0000-0000E0290000}"/>
    <cellStyle name="Normal 15 7 2 2 2 2" xfId="33273" xr:uid="{00000000-0005-0000-0000-0000E1290000}"/>
    <cellStyle name="Normal 15 7 2 2 3" xfId="25226" xr:uid="{00000000-0005-0000-0000-0000E2290000}"/>
    <cellStyle name="Normal 15 7 2 3" xfId="12811" xr:uid="{00000000-0005-0000-0000-0000E3290000}"/>
    <cellStyle name="Normal 15 7 2 3 2" xfId="29344" xr:uid="{00000000-0005-0000-0000-0000E4290000}"/>
    <cellStyle name="Normal 15 7 2 4" xfId="21301" xr:uid="{00000000-0005-0000-0000-0000E5290000}"/>
    <cellStyle name="Normal 15 7 3" xfId="7521" xr:uid="{00000000-0005-0000-0000-0000E6290000}"/>
    <cellStyle name="Normal 15 7 3 2" xfId="16700" xr:uid="{00000000-0005-0000-0000-0000E7290000}"/>
    <cellStyle name="Normal 15 7 3 2 2" xfId="33274" xr:uid="{00000000-0005-0000-0000-0000E8290000}"/>
    <cellStyle name="Normal 15 7 3 3" xfId="25227" xr:uid="{00000000-0005-0000-0000-0000E9290000}"/>
    <cellStyle name="Normal 15 7 4" xfId="12810" xr:uid="{00000000-0005-0000-0000-0000EA290000}"/>
    <cellStyle name="Normal 15 7 4 2" xfId="29343" xr:uid="{00000000-0005-0000-0000-0000EB290000}"/>
    <cellStyle name="Normal 15 7 5" xfId="21300" xr:uid="{00000000-0005-0000-0000-0000EC290000}"/>
    <cellStyle name="Normal 15 8" xfId="3351" xr:uid="{00000000-0005-0000-0000-0000ED290000}"/>
    <cellStyle name="Normal 15 8 2" xfId="7522" xr:uid="{00000000-0005-0000-0000-0000EE290000}"/>
    <cellStyle name="Normal 15 8 2 2" xfId="16701" xr:uid="{00000000-0005-0000-0000-0000EF290000}"/>
    <cellStyle name="Normal 15 8 2 2 2" xfId="33275" xr:uid="{00000000-0005-0000-0000-0000F0290000}"/>
    <cellStyle name="Normal 15 8 2 3" xfId="25228" xr:uid="{00000000-0005-0000-0000-0000F1290000}"/>
    <cellStyle name="Normal 15 8 3" xfId="12812" xr:uid="{00000000-0005-0000-0000-0000F2290000}"/>
    <cellStyle name="Normal 15 8 3 2" xfId="29345" xr:uid="{00000000-0005-0000-0000-0000F3290000}"/>
    <cellStyle name="Normal 15 8 4" xfId="21302" xr:uid="{00000000-0005-0000-0000-0000F4290000}"/>
    <cellStyle name="Normal 15 9" xfId="7523" xr:uid="{00000000-0005-0000-0000-0000F5290000}"/>
    <cellStyle name="Normal 15 9 2" xfId="16702" xr:uid="{00000000-0005-0000-0000-0000F6290000}"/>
    <cellStyle name="Normal 15 9 2 2" xfId="33276" xr:uid="{00000000-0005-0000-0000-0000F7290000}"/>
    <cellStyle name="Normal 15 9 3" xfId="25229" xr:uid="{00000000-0005-0000-0000-0000F8290000}"/>
    <cellStyle name="Normal 150" xfId="10454" xr:uid="{00000000-0005-0000-0000-0000F9290000}"/>
    <cellStyle name="Normal 151" xfId="10457" xr:uid="{00000000-0005-0000-0000-0000FA290000}"/>
    <cellStyle name="Normal 152" xfId="10460" xr:uid="{00000000-0005-0000-0000-0000FB290000}"/>
    <cellStyle name="Normal 153" xfId="10463" xr:uid="{00000000-0005-0000-0000-0000FC290000}"/>
    <cellStyle name="Normal 154" xfId="10466" xr:uid="{00000000-0005-0000-0000-0000FD290000}"/>
    <cellStyle name="Normal 155" xfId="10469" xr:uid="{00000000-0005-0000-0000-0000FE290000}"/>
    <cellStyle name="Normal 156" xfId="10472" xr:uid="{00000000-0005-0000-0000-0000FF290000}"/>
    <cellStyle name="Normal 157" xfId="10475" xr:uid="{00000000-0005-0000-0000-0000002A0000}"/>
    <cellStyle name="Normal 158" xfId="10478" xr:uid="{00000000-0005-0000-0000-0000012A0000}"/>
    <cellStyle name="Normal 159" xfId="10481" xr:uid="{00000000-0005-0000-0000-0000022A0000}"/>
    <cellStyle name="Normal 16" xfId="1665" xr:uid="{00000000-0005-0000-0000-0000032A0000}"/>
    <cellStyle name="Normal 16 10" xfId="3352" xr:uid="{00000000-0005-0000-0000-0000042A0000}"/>
    <cellStyle name="Normal 16 10 2" xfId="29346" xr:uid="{00000000-0005-0000-0000-0000052A0000}"/>
    <cellStyle name="Normal 16 11" xfId="21303" xr:uid="{00000000-0005-0000-0000-0000062A0000}"/>
    <cellStyle name="Normal 16 2" xfId="3353" xr:uid="{00000000-0005-0000-0000-0000072A0000}"/>
    <cellStyle name="Normal 16 2 2" xfId="3354" xr:uid="{00000000-0005-0000-0000-0000082A0000}"/>
    <cellStyle name="Normal 16 2 3" xfId="12813" xr:uid="{00000000-0005-0000-0000-0000092A0000}"/>
    <cellStyle name="Normal 16 2 3 2" xfId="29347" xr:uid="{00000000-0005-0000-0000-00000A2A0000}"/>
    <cellStyle name="Normal 16 2 4" xfId="21304" xr:uid="{00000000-0005-0000-0000-00000B2A0000}"/>
    <cellStyle name="Normal 16 3" xfId="3355" xr:uid="{00000000-0005-0000-0000-00000C2A0000}"/>
    <cellStyle name="Normal 16 3 2" xfId="3356" xr:uid="{00000000-0005-0000-0000-00000D2A0000}"/>
    <cellStyle name="Normal 16 3 2 2" xfId="3357" xr:uid="{00000000-0005-0000-0000-00000E2A0000}"/>
    <cellStyle name="Normal 16 3 2 2 2" xfId="3358" xr:uid="{00000000-0005-0000-0000-00000F2A0000}"/>
    <cellStyle name="Normal 16 3 2 2 2 2" xfId="7524" xr:uid="{00000000-0005-0000-0000-0000102A0000}"/>
    <cellStyle name="Normal 16 3 2 2 2 2 2" xfId="16703" xr:uid="{00000000-0005-0000-0000-0000112A0000}"/>
    <cellStyle name="Normal 16 3 2 2 2 2 2 2" xfId="33277" xr:uid="{00000000-0005-0000-0000-0000122A0000}"/>
    <cellStyle name="Normal 16 3 2 2 2 2 3" xfId="25230" xr:uid="{00000000-0005-0000-0000-0000132A0000}"/>
    <cellStyle name="Normal 16 3 2 2 2 3" xfId="12816" xr:uid="{00000000-0005-0000-0000-0000142A0000}"/>
    <cellStyle name="Normal 16 3 2 2 2 3 2" xfId="29350" xr:uid="{00000000-0005-0000-0000-0000152A0000}"/>
    <cellStyle name="Normal 16 3 2 2 2 4" xfId="21307" xr:uid="{00000000-0005-0000-0000-0000162A0000}"/>
    <cellStyle name="Normal 16 3 2 2 3" xfId="7525" xr:uid="{00000000-0005-0000-0000-0000172A0000}"/>
    <cellStyle name="Normal 16 3 2 2 3 2" xfId="16704" xr:uid="{00000000-0005-0000-0000-0000182A0000}"/>
    <cellStyle name="Normal 16 3 2 2 3 2 2" xfId="33278" xr:uid="{00000000-0005-0000-0000-0000192A0000}"/>
    <cellStyle name="Normal 16 3 2 2 3 3" xfId="25231" xr:uid="{00000000-0005-0000-0000-00001A2A0000}"/>
    <cellStyle name="Normal 16 3 2 2 4" xfId="12815" xr:uid="{00000000-0005-0000-0000-00001B2A0000}"/>
    <cellStyle name="Normal 16 3 2 2 4 2" xfId="29349" xr:uid="{00000000-0005-0000-0000-00001C2A0000}"/>
    <cellStyle name="Normal 16 3 2 2 5" xfId="21306" xr:uid="{00000000-0005-0000-0000-00001D2A0000}"/>
    <cellStyle name="Normal 16 3 2 3" xfId="3359" xr:uid="{00000000-0005-0000-0000-00001E2A0000}"/>
    <cellStyle name="Normal 16 3 2 3 2" xfId="7526" xr:uid="{00000000-0005-0000-0000-00001F2A0000}"/>
    <cellStyle name="Normal 16 3 2 3 2 2" xfId="16705" xr:uid="{00000000-0005-0000-0000-0000202A0000}"/>
    <cellStyle name="Normal 16 3 2 3 2 2 2" xfId="33279" xr:uid="{00000000-0005-0000-0000-0000212A0000}"/>
    <cellStyle name="Normal 16 3 2 3 2 3" xfId="25232" xr:uid="{00000000-0005-0000-0000-0000222A0000}"/>
    <cellStyle name="Normal 16 3 2 3 3" xfId="12817" xr:uid="{00000000-0005-0000-0000-0000232A0000}"/>
    <cellStyle name="Normal 16 3 2 3 3 2" xfId="29351" xr:uid="{00000000-0005-0000-0000-0000242A0000}"/>
    <cellStyle name="Normal 16 3 2 3 4" xfId="21308" xr:uid="{00000000-0005-0000-0000-0000252A0000}"/>
    <cellStyle name="Normal 16 3 2 4" xfId="7527" xr:uid="{00000000-0005-0000-0000-0000262A0000}"/>
    <cellStyle name="Normal 16 3 2 4 2" xfId="16706" xr:uid="{00000000-0005-0000-0000-0000272A0000}"/>
    <cellStyle name="Normal 16 3 2 4 2 2" xfId="33280" xr:uid="{00000000-0005-0000-0000-0000282A0000}"/>
    <cellStyle name="Normal 16 3 2 4 3" xfId="25233" xr:uid="{00000000-0005-0000-0000-0000292A0000}"/>
    <cellStyle name="Normal 16 3 2 5" xfId="12814" xr:uid="{00000000-0005-0000-0000-00002A2A0000}"/>
    <cellStyle name="Normal 16 3 2 5 2" xfId="29348" xr:uid="{00000000-0005-0000-0000-00002B2A0000}"/>
    <cellStyle name="Normal 16 3 2 6" xfId="21305" xr:uid="{00000000-0005-0000-0000-00002C2A0000}"/>
    <cellStyle name="Normal 16 3 3" xfId="3360" xr:uid="{00000000-0005-0000-0000-00002D2A0000}"/>
    <cellStyle name="Normal 16 3 3 2" xfId="3361" xr:uid="{00000000-0005-0000-0000-00002E2A0000}"/>
    <cellStyle name="Normal 16 3 3 2 2" xfId="7528" xr:uid="{00000000-0005-0000-0000-00002F2A0000}"/>
    <cellStyle name="Normal 16 3 3 2 2 2" xfId="16707" xr:uid="{00000000-0005-0000-0000-0000302A0000}"/>
    <cellStyle name="Normal 16 3 3 2 2 2 2" xfId="33281" xr:uid="{00000000-0005-0000-0000-0000312A0000}"/>
    <cellStyle name="Normal 16 3 3 2 2 3" xfId="25234" xr:uid="{00000000-0005-0000-0000-0000322A0000}"/>
    <cellStyle name="Normal 16 3 3 2 3" xfId="12819" xr:uid="{00000000-0005-0000-0000-0000332A0000}"/>
    <cellStyle name="Normal 16 3 3 2 3 2" xfId="29353" xr:uid="{00000000-0005-0000-0000-0000342A0000}"/>
    <cellStyle name="Normal 16 3 3 2 4" xfId="21310" xr:uid="{00000000-0005-0000-0000-0000352A0000}"/>
    <cellStyle name="Normal 16 3 3 3" xfId="7529" xr:uid="{00000000-0005-0000-0000-0000362A0000}"/>
    <cellStyle name="Normal 16 3 3 3 2" xfId="16708" xr:uid="{00000000-0005-0000-0000-0000372A0000}"/>
    <cellStyle name="Normal 16 3 3 3 2 2" xfId="33282" xr:uid="{00000000-0005-0000-0000-0000382A0000}"/>
    <cellStyle name="Normal 16 3 3 3 3" xfId="25235" xr:uid="{00000000-0005-0000-0000-0000392A0000}"/>
    <cellStyle name="Normal 16 3 3 4" xfId="12818" xr:uid="{00000000-0005-0000-0000-00003A2A0000}"/>
    <cellStyle name="Normal 16 3 3 4 2" xfId="29352" xr:uid="{00000000-0005-0000-0000-00003B2A0000}"/>
    <cellStyle name="Normal 16 3 3 5" xfId="21309" xr:uid="{00000000-0005-0000-0000-00003C2A0000}"/>
    <cellStyle name="Normal 16 3 4" xfId="3362" xr:uid="{00000000-0005-0000-0000-00003D2A0000}"/>
    <cellStyle name="Normal 16 3 4 2" xfId="7530" xr:uid="{00000000-0005-0000-0000-00003E2A0000}"/>
    <cellStyle name="Normal 16 3 4 2 2" xfId="16709" xr:uid="{00000000-0005-0000-0000-00003F2A0000}"/>
    <cellStyle name="Normal 16 3 4 2 2 2" xfId="33283" xr:uid="{00000000-0005-0000-0000-0000402A0000}"/>
    <cellStyle name="Normal 16 3 4 2 3" xfId="25236" xr:uid="{00000000-0005-0000-0000-0000412A0000}"/>
    <cellStyle name="Normal 16 3 4 3" xfId="12820" xr:uid="{00000000-0005-0000-0000-0000422A0000}"/>
    <cellStyle name="Normal 16 3 4 3 2" xfId="29354" xr:uid="{00000000-0005-0000-0000-0000432A0000}"/>
    <cellStyle name="Normal 16 3 4 4" xfId="21311" xr:uid="{00000000-0005-0000-0000-0000442A0000}"/>
    <cellStyle name="Normal 16 3 5" xfId="3363" xr:uid="{00000000-0005-0000-0000-0000452A0000}"/>
    <cellStyle name="Normal 16 3 5 2" xfId="12821" xr:uid="{00000000-0005-0000-0000-0000462A0000}"/>
    <cellStyle name="Normal 16 3 5 2 2" xfId="29355" xr:uid="{00000000-0005-0000-0000-0000472A0000}"/>
    <cellStyle name="Normal 16 3 5 3" xfId="21312" xr:uid="{00000000-0005-0000-0000-0000482A0000}"/>
    <cellStyle name="Normal 16 4" xfId="3364" xr:uid="{00000000-0005-0000-0000-0000492A0000}"/>
    <cellStyle name="Normal 16 4 2" xfId="3365" xr:uid="{00000000-0005-0000-0000-00004A2A0000}"/>
    <cellStyle name="Normal 16 4 2 2" xfId="3366" xr:uid="{00000000-0005-0000-0000-00004B2A0000}"/>
    <cellStyle name="Normal 16 4 2 2 2" xfId="3367" xr:uid="{00000000-0005-0000-0000-00004C2A0000}"/>
    <cellStyle name="Normal 16 4 2 2 2 2" xfId="7531" xr:uid="{00000000-0005-0000-0000-00004D2A0000}"/>
    <cellStyle name="Normal 16 4 2 2 2 2 2" xfId="16710" xr:uid="{00000000-0005-0000-0000-00004E2A0000}"/>
    <cellStyle name="Normal 16 4 2 2 2 2 2 2" xfId="33284" xr:uid="{00000000-0005-0000-0000-00004F2A0000}"/>
    <cellStyle name="Normal 16 4 2 2 2 2 3" xfId="25237" xr:uid="{00000000-0005-0000-0000-0000502A0000}"/>
    <cellStyle name="Normal 16 4 2 2 2 3" xfId="12825" xr:uid="{00000000-0005-0000-0000-0000512A0000}"/>
    <cellStyle name="Normal 16 4 2 2 2 3 2" xfId="29359" xr:uid="{00000000-0005-0000-0000-0000522A0000}"/>
    <cellStyle name="Normal 16 4 2 2 2 4" xfId="21316" xr:uid="{00000000-0005-0000-0000-0000532A0000}"/>
    <cellStyle name="Normal 16 4 2 2 3" xfId="7532" xr:uid="{00000000-0005-0000-0000-0000542A0000}"/>
    <cellStyle name="Normal 16 4 2 2 3 2" xfId="16711" xr:uid="{00000000-0005-0000-0000-0000552A0000}"/>
    <cellStyle name="Normal 16 4 2 2 3 2 2" xfId="33285" xr:uid="{00000000-0005-0000-0000-0000562A0000}"/>
    <cellStyle name="Normal 16 4 2 2 3 3" xfId="25238" xr:uid="{00000000-0005-0000-0000-0000572A0000}"/>
    <cellStyle name="Normal 16 4 2 2 4" xfId="12824" xr:uid="{00000000-0005-0000-0000-0000582A0000}"/>
    <cellStyle name="Normal 16 4 2 2 4 2" xfId="29358" xr:uid="{00000000-0005-0000-0000-0000592A0000}"/>
    <cellStyle name="Normal 16 4 2 2 5" xfId="21315" xr:uid="{00000000-0005-0000-0000-00005A2A0000}"/>
    <cellStyle name="Normal 16 4 2 3" xfId="3368" xr:uid="{00000000-0005-0000-0000-00005B2A0000}"/>
    <cellStyle name="Normal 16 4 2 3 2" xfId="7533" xr:uid="{00000000-0005-0000-0000-00005C2A0000}"/>
    <cellStyle name="Normal 16 4 2 3 2 2" xfId="16712" xr:uid="{00000000-0005-0000-0000-00005D2A0000}"/>
    <cellStyle name="Normal 16 4 2 3 2 2 2" xfId="33286" xr:uid="{00000000-0005-0000-0000-00005E2A0000}"/>
    <cellStyle name="Normal 16 4 2 3 2 3" xfId="25239" xr:uid="{00000000-0005-0000-0000-00005F2A0000}"/>
    <cellStyle name="Normal 16 4 2 3 3" xfId="12826" xr:uid="{00000000-0005-0000-0000-0000602A0000}"/>
    <cellStyle name="Normal 16 4 2 3 3 2" xfId="29360" xr:uid="{00000000-0005-0000-0000-0000612A0000}"/>
    <cellStyle name="Normal 16 4 2 3 4" xfId="21317" xr:uid="{00000000-0005-0000-0000-0000622A0000}"/>
    <cellStyle name="Normal 16 4 2 4" xfId="7534" xr:uid="{00000000-0005-0000-0000-0000632A0000}"/>
    <cellStyle name="Normal 16 4 2 4 2" xfId="16713" xr:uid="{00000000-0005-0000-0000-0000642A0000}"/>
    <cellStyle name="Normal 16 4 2 4 2 2" xfId="33287" xr:uid="{00000000-0005-0000-0000-0000652A0000}"/>
    <cellStyle name="Normal 16 4 2 4 3" xfId="25240" xr:uid="{00000000-0005-0000-0000-0000662A0000}"/>
    <cellStyle name="Normal 16 4 2 5" xfId="12823" xr:uid="{00000000-0005-0000-0000-0000672A0000}"/>
    <cellStyle name="Normal 16 4 2 5 2" xfId="29357" xr:uid="{00000000-0005-0000-0000-0000682A0000}"/>
    <cellStyle name="Normal 16 4 2 6" xfId="21314" xr:uid="{00000000-0005-0000-0000-0000692A0000}"/>
    <cellStyle name="Normal 16 4 3" xfId="3369" xr:uid="{00000000-0005-0000-0000-00006A2A0000}"/>
    <cellStyle name="Normal 16 4 3 2" xfId="3370" xr:uid="{00000000-0005-0000-0000-00006B2A0000}"/>
    <cellStyle name="Normal 16 4 3 2 2" xfId="7535" xr:uid="{00000000-0005-0000-0000-00006C2A0000}"/>
    <cellStyle name="Normal 16 4 3 2 2 2" xfId="16714" xr:uid="{00000000-0005-0000-0000-00006D2A0000}"/>
    <cellStyle name="Normal 16 4 3 2 2 2 2" xfId="33288" xr:uid="{00000000-0005-0000-0000-00006E2A0000}"/>
    <cellStyle name="Normal 16 4 3 2 2 3" xfId="25241" xr:uid="{00000000-0005-0000-0000-00006F2A0000}"/>
    <cellStyle name="Normal 16 4 3 2 3" xfId="12828" xr:uid="{00000000-0005-0000-0000-0000702A0000}"/>
    <cellStyle name="Normal 16 4 3 2 3 2" xfId="29362" xr:uid="{00000000-0005-0000-0000-0000712A0000}"/>
    <cellStyle name="Normal 16 4 3 2 4" xfId="21319" xr:uid="{00000000-0005-0000-0000-0000722A0000}"/>
    <cellStyle name="Normal 16 4 3 3" xfId="7536" xr:uid="{00000000-0005-0000-0000-0000732A0000}"/>
    <cellStyle name="Normal 16 4 3 3 2" xfId="16715" xr:uid="{00000000-0005-0000-0000-0000742A0000}"/>
    <cellStyle name="Normal 16 4 3 3 2 2" xfId="33289" xr:uid="{00000000-0005-0000-0000-0000752A0000}"/>
    <cellStyle name="Normal 16 4 3 3 3" xfId="25242" xr:uid="{00000000-0005-0000-0000-0000762A0000}"/>
    <cellStyle name="Normal 16 4 3 4" xfId="12827" xr:uid="{00000000-0005-0000-0000-0000772A0000}"/>
    <cellStyle name="Normal 16 4 3 4 2" xfId="29361" xr:uid="{00000000-0005-0000-0000-0000782A0000}"/>
    <cellStyle name="Normal 16 4 3 5" xfId="21318" xr:uid="{00000000-0005-0000-0000-0000792A0000}"/>
    <cellStyle name="Normal 16 4 4" xfId="3371" xr:uid="{00000000-0005-0000-0000-00007A2A0000}"/>
    <cellStyle name="Normal 16 4 4 2" xfId="7537" xr:uid="{00000000-0005-0000-0000-00007B2A0000}"/>
    <cellStyle name="Normal 16 4 4 2 2" xfId="16716" xr:uid="{00000000-0005-0000-0000-00007C2A0000}"/>
    <cellStyle name="Normal 16 4 4 2 2 2" xfId="33290" xr:uid="{00000000-0005-0000-0000-00007D2A0000}"/>
    <cellStyle name="Normal 16 4 4 2 3" xfId="25243" xr:uid="{00000000-0005-0000-0000-00007E2A0000}"/>
    <cellStyle name="Normal 16 4 4 3" xfId="12829" xr:uid="{00000000-0005-0000-0000-00007F2A0000}"/>
    <cellStyle name="Normal 16 4 4 3 2" xfId="29363" xr:uid="{00000000-0005-0000-0000-0000802A0000}"/>
    <cellStyle name="Normal 16 4 4 4" xfId="21320" xr:uid="{00000000-0005-0000-0000-0000812A0000}"/>
    <cellStyle name="Normal 16 4 5" xfId="7538" xr:uid="{00000000-0005-0000-0000-0000822A0000}"/>
    <cellStyle name="Normal 16 4 5 2" xfId="16717" xr:uid="{00000000-0005-0000-0000-0000832A0000}"/>
    <cellStyle name="Normal 16 4 5 2 2" xfId="33291" xr:uid="{00000000-0005-0000-0000-0000842A0000}"/>
    <cellStyle name="Normal 16 4 5 3" xfId="25244" xr:uid="{00000000-0005-0000-0000-0000852A0000}"/>
    <cellStyle name="Normal 16 4 6" xfId="12822" xr:uid="{00000000-0005-0000-0000-0000862A0000}"/>
    <cellStyle name="Normal 16 4 6 2" xfId="29356" xr:uid="{00000000-0005-0000-0000-0000872A0000}"/>
    <cellStyle name="Normal 16 4 7" xfId="21313" xr:uid="{00000000-0005-0000-0000-0000882A0000}"/>
    <cellStyle name="Normal 16 5" xfId="3372" xr:uid="{00000000-0005-0000-0000-0000892A0000}"/>
    <cellStyle name="Normal 16 5 2" xfId="3373" xr:uid="{00000000-0005-0000-0000-00008A2A0000}"/>
    <cellStyle name="Normal 16 5 2 2" xfId="3374" xr:uid="{00000000-0005-0000-0000-00008B2A0000}"/>
    <cellStyle name="Normal 16 5 2 2 2" xfId="3375" xr:uid="{00000000-0005-0000-0000-00008C2A0000}"/>
    <cellStyle name="Normal 16 5 2 2 2 2" xfId="7539" xr:uid="{00000000-0005-0000-0000-00008D2A0000}"/>
    <cellStyle name="Normal 16 5 2 2 2 2 2" xfId="16718" xr:uid="{00000000-0005-0000-0000-00008E2A0000}"/>
    <cellStyle name="Normal 16 5 2 2 2 2 2 2" xfId="33292" xr:uid="{00000000-0005-0000-0000-00008F2A0000}"/>
    <cellStyle name="Normal 16 5 2 2 2 2 3" xfId="25245" xr:uid="{00000000-0005-0000-0000-0000902A0000}"/>
    <cellStyle name="Normal 16 5 2 2 2 3" xfId="12833" xr:uid="{00000000-0005-0000-0000-0000912A0000}"/>
    <cellStyle name="Normal 16 5 2 2 2 3 2" xfId="29367" xr:uid="{00000000-0005-0000-0000-0000922A0000}"/>
    <cellStyle name="Normal 16 5 2 2 2 4" xfId="21324" xr:uid="{00000000-0005-0000-0000-0000932A0000}"/>
    <cellStyle name="Normal 16 5 2 2 3" xfId="7540" xr:uid="{00000000-0005-0000-0000-0000942A0000}"/>
    <cellStyle name="Normal 16 5 2 2 3 2" xfId="16719" xr:uid="{00000000-0005-0000-0000-0000952A0000}"/>
    <cellStyle name="Normal 16 5 2 2 3 2 2" xfId="33293" xr:uid="{00000000-0005-0000-0000-0000962A0000}"/>
    <cellStyle name="Normal 16 5 2 2 3 3" xfId="25246" xr:uid="{00000000-0005-0000-0000-0000972A0000}"/>
    <cellStyle name="Normal 16 5 2 2 4" xfId="12832" xr:uid="{00000000-0005-0000-0000-0000982A0000}"/>
    <cellStyle name="Normal 16 5 2 2 4 2" xfId="29366" xr:uid="{00000000-0005-0000-0000-0000992A0000}"/>
    <cellStyle name="Normal 16 5 2 2 5" xfId="21323" xr:uid="{00000000-0005-0000-0000-00009A2A0000}"/>
    <cellStyle name="Normal 16 5 2 3" xfId="3376" xr:uid="{00000000-0005-0000-0000-00009B2A0000}"/>
    <cellStyle name="Normal 16 5 2 3 2" xfId="7541" xr:uid="{00000000-0005-0000-0000-00009C2A0000}"/>
    <cellStyle name="Normal 16 5 2 3 2 2" xfId="16720" xr:uid="{00000000-0005-0000-0000-00009D2A0000}"/>
    <cellStyle name="Normal 16 5 2 3 2 2 2" xfId="33294" xr:uid="{00000000-0005-0000-0000-00009E2A0000}"/>
    <cellStyle name="Normal 16 5 2 3 2 3" xfId="25247" xr:uid="{00000000-0005-0000-0000-00009F2A0000}"/>
    <cellStyle name="Normal 16 5 2 3 3" xfId="12834" xr:uid="{00000000-0005-0000-0000-0000A02A0000}"/>
    <cellStyle name="Normal 16 5 2 3 3 2" xfId="29368" xr:uid="{00000000-0005-0000-0000-0000A12A0000}"/>
    <cellStyle name="Normal 16 5 2 3 4" xfId="21325" xr:uid="{00000000-0005-0000-0000-0000A22A0000}"/>
    <cellStyle name="Normal 16 5 2 4" xfId="7542" xr:uid="{00000000-0005-0000-0000-0000A32A0000}"/>
    <cellStyle name="Normal 16 5 2 4 2" xfId="16721" xr:uid="{00000000-0005-0000-0000-0000A42A0000}"/>
    <cellStyle name="Normal 16 5 2 4 2 2" xfId="33295" xr:uid="{00000000-0005-0000-0000-0000A52A0000}"/>
    <cellStyle name="Normal 16 5 2 4 3" xfId="25248" xr:uid="{00000000-0005-0000-0000-0000A62A0000}"/>
    <cellStyle name="Normal 16 5 2 5" xfId="12831" xr:uid="{00000000-0005-0000-0000-0000A72A0000}"/>
    <cellStyle name="Normal 16 5 2 5 2" xfId="29365" xr:uid="{00000000-0005-0000-0000-0000A82A0000}"/>
    <cellStyle name="Normal 16 5 2 6" xfId="21322" xr:uid="{00000000-0005-0000-0000-0000A92A0000}"/>
    <cellStyle name="Normal 16 5 3" xfId="3377" xr:uid="{00000000-0005-0000-0000-0000AA2A0000}"/>
    <cellStyle name="Normal 16 5 3 2" xfId="3378" xr:uid="{00000000-0005-0000-0000-0000AB2A0000}"/>
    <cellStyle name="Normal 16 5 3 2 2" xfId="7543" xr:uid="{00000000-0005-0000-0000-0000AC2A0000}"/>
    <cellStyle name="Normal 16 5 3 2 2 2" xfId="16722" xr:uid="{00000000-0005-0000-0000-0000AD2A0000}"/>
    <cellStyle name="Normal 16 5 3 2 2 2 2" xfId="33296" xr:uid="{00000000-0005-0000-0000-0000AE2A0000}"/>
    <cellStyle name="Normal 16 5 3 2 2 3" xfId="25249" xr:uid="{00000000-0005-0000-0000-0000AF2A0000}"/>
    <cellStyle name="Normal 16 5 3 2 3" xfId="12836" xr:uid="{00000000-0005-0000-0000-0000B02A0000}"/>
    <cellStyle name="Normal 16 5 3 2 3 2" xfId="29370" xr:uid="{00000000-0005-0000-0000-0000B12A0000}"/>
    <cellStyle name="Normal 16 5 3 2 4" xfId="21327" xr:uid="{00000000-0005-0000-0000-0000B22A0000}"/>
    <cellStyle name="Normal 16 5 3 3" xfId="7544" xr:uid="{00000000-0005-0000-0000-0000B32A0000}"/>
    <cellStyle name="Normal 16 5 3 3 2" xfId="16723" xr:uid="{00000000-0005-0000-0000-0000B42A0000}"/>
    <cellStyle name="Normal 16 5 3 3 2 2" xfId="33297" xr:uid="{00000000-0005-0000-0000-0000B52A0000}"/>
    <cellStyle name="Normal 16 5 3 3 3" xfId="25250" xr:uid="{00000000-0005-0000-0000-0000B62A0000}"/>
    <cellStyle name="Normal 16 5 3 4" xfId="12835" xr:uid="{00000000-0005-0000-0000-0000B72A0000}"/>
    <cellStyle name="Normal 16 5 3 4 2" xfId="29369" xr:uid="{00000000-0005-0000-0000-0000B82A0000}"/>
    <cellStyle name="Normal 16 5 3 5" xfId="21326" xr:uid="{00000000-0005-0000-0000-0000B92A0000}"/>
    <cellStyle name="Normal 16 5 4" xfId="3379" xr:uid="{00000000-0005-0000-0000-0000BA2A0000}"/>
    <cellStyle name="Normal 16 5 4 2" xfId="7545" xr:uid="{00000000-0005-0000-0000-0000BB2A0000}"/>
    <cellStyle name="Normal 16 5 4 2 2" xfId="16724" xr:uid="{00000000-0005-0000-0000-0000BC2A0000}"/>
    <cellStyle name="Normal 16 5 4 2 2 2" xfId="33298" xr:uid="{00000000-0005-0000-0000-0000BD2A0000}"/>
    <cellStyle name="Normal 16 5 4 2 3" xfId="25251" xr:uid="{00000000-0005-0000-0000-0000BE2A0000}"/>
    <cellStyle name="Normal 16 5 4 3" xfId="12837" xr:uid="{00000000-0005-0000-0000-0000BF2A0000}"/>
    <cellStyle name="Normal 16 5 4 3 2" xfId="29371" xr:uid="{00000000-0005-0000-0000-0000C02A0000}"/>
    <cellStyle name="Normal 16 5 4 4" xfId="21328" xr:uid="{00000000-0005-0000-0000-0000C12A0000}"/>
    <cellStyle name="Normal 16 5 5" xfId="7546" xr:uid="{00000000-0005-0000-0000-0000C22A0000}"/>
    <cellStyle name="Normal 16 5 5 2" xfId="16725" xr:uid="{00000000-0005-0000-0000-0000C32A0000}"/>
    <cellStyle name="Normal 16 5 5 2 2" xfId="33299" xr:uid="{00000000-0005-0000-0000-0000C42A0000}"/>
    <cellStyle name="Normal 16 5 5 3" xfId="25252" xr:uid="{00000000-0005-0000-0000-0000C52A0000}"/>
    <cellStyle name="Normal 16 5 6" xfId="12830" xr:uid="{00000000-0005-0000-0000-0000C62A0000}"/>
    <cellStyle name="Normal 16 5 6 2" xfId="29364" xr:uid="{00000000-0005-0000-0000-0000C72A0000}"/>
    <cellStyle name="Normal 16 5 7" xfId="21321" xr:uid="{00000000-0005-0000-0000-0000C82A0000}"/>
    <cellStyle name="Normal 16 6" xfId="3380" xr:uid="{00000000-0005-0000-0000-0000C92A0000}"/>
    <cellStyle name="Normal 16 6 2" xfId="3381" xr:uid="{00000000-0005-0000-0000-0000CA2A0000}"/>
    <cellStyle name="Normal 16 6 2 2" xfId="3382" xr:uid="{00000000-0005-0000-0000-0000CB2A0000}"/>
    <cellStyle name="Normal 16 6 2 2 2" xfId="7547" xr:uid="{00000000-0005-0000-0000-0000CC2A0000}"/>
    <cellStyle name="Normal 16 6 2 2 2 2" xfId="16726" xr:uid="{00000000-0005-0000-0000-0000CD2A0000}"/>
    <cellStyle name="Normal 16 6 2 2 2 2 2" xfId="33300" xr:uid="{00000000-0005-0000-0000-0000CE2A0000}"/>
    <cellStyle name="Normal 16 6 2 2 2 3" xfId="25253" xr:uid="{00000000-0005-0000-0000-0000CF2A0000}"/>
    <cellStyle name="Normal 16 6 2 2 3" xfId="12840" xr:uid="{00000000-0005-0000-0000-0000D02A0000}"/>
    <cellStyle name="Normal 16 6 2 2 3 2" xfId="29374" xr:uid="{00000000-0005-0000-0000-0000D12A0000}"/>
    <cellStyle name="Normal 16 6 2 2 4" xfId="21331" xr:uid="{00000000-0005-0000-0000-0000D22A0000}"/>
    <cellStyle name="Normal 16 6 2 3" xfId="7548" xr:uid="{00000000-0005-0000-0000-0000D32A0000}"/>
    <cellStyle name="Normal 16 6 2 3 2" xfId="16727" xr:uid="{00000000-0005-0000-0000-0000D42A0000}"/>
    <cellStyle name="Normal 16 6 2 3 2 2" xfId="33301" xr:uid="{00000000-0005-0000-0000-0000D52A0000}"/>
    <cellStyle name="Normal 16 6 2 3 3" xfId="25254" xr:uid="{00000000-0005-0000-0000-0000D62A0000}"/>
    <cellStyle name="Normal 16 6 2 4" xfId="12839" xr:uid="{00000000-0005-0000-0000-0000D72A0000}"/>
    <cellStyle name="Normal 16 6 2 4 2" xfId="29373" xr:uid="{00000000-0005-0000-0000-0000D82A0000}"/>
    <cellStyle name="Normal 16 6 2 5" xfId="21330" xr:uid="{00000000-0005-0000-0000-0000D92A0000}"/>
    <cellStyle name="Normal 16 6 3" xfId="3383" xr:uid="{00000000-0005-0000-0000-0000DA2A0000}"/>
    <cellStyle name="Normal 16 6 3 2" xfId="7549" xr:uid="{00000000-0005-0000-0000-0000DB2A0000}"/>
    <cellStyle name="Normal 16 6 3 2 2" xfId="16728" xr:uid="{00000000-0005-0000-0000-0000DC2A0000}"/>
    <cellStyle name="Normal 16 6 3 2 2 2" xfId="33302" xr:uid="{00000000-0005-0000-0000-0000DD2A0000}"/>
    <cellStyle name="Normal 16 6 3 2 3" xfId="25255" xr:uid="{00000000-0005-0000-0000-0000DE2A0000}"/>
    <cellStyle name="Normal 16 6 3 3" xfId="12841" xr:uid="{00000000-0005-0000-0000-0000DF2A0000}"/>
    <cellStyle name="Normal 16 6 3 3 2" xfId="29375" xr:uid="{00000000-0005-0000-0000-0000E02A0000}"/>
    <cellStyle name="Normal 16 6 3 4" xfId="21332" xr:uid="{00000000-0005-0000-0000-0000E12A0000}"/>
    <cellStyle name="Normal 16 6 4" xfId="7550" xr:uid="{00000000-0005-0000-0000-0000E22A0000}"/>
    <cellStyle name="Normal 16 6 4 2" xfId="16729" xr:uid="{00000000-0005-0000-0000-0000E32A0000}"/>
    <cellStyle name="Normal 16 6 4 2 2" xfId="33303" xr:uid="{00000000-0005-0000-0000-0000E42A0000}"/>
    <cellStyle name="Normal 16 6 4 3" xfId="25256" xr:uid="{00000000-0005-0000-0000-0000E52A0000}"/>
    <cellStyle name="Normal 16 6 5" xfId="12838" xr:uid="{00000000-0005-0000-0000-0000E62A0000}"/>
    <cellStyle name="Normal 16 6 5 2" xfId="29372" xr:uid="{00000000-0005-0000-0000-0000E72A0000}"/>
    <cellStyle name="Normal 16 6 6" xfId="21329" xr:uid="{00000000-0005-0000-0000-0000E82A0000}"/>
    <cellStyle name="Normal 16 7" xfId="3384" xr:uid="{00000000-0005-0000-0000-0000E92A0000}"/>
    <cellStyle name="Normal 16 7 2" xfId="3385" xr:uid="{00000000-0005-0000-0000-0000EA2A0000}"/>
    <cellStyle name="Normal 16 7 2 2" xfId="7551" xr:uid="{00000000-0005-0000-0000-0000EB2A0000}"/>
    <cellStyle name="Normal 16 7 2 2 2" xfId="16730" xr:uid="{00000000-0005-0000-0000-0000EC2A0000}"/>
    <cellStyle name="Normal 16 7 2 2 2 2" xfId="33304" xr:uid="{00000000-0005-0000-0000-0000ED2A0000}"/>
    <cellStyle name="Normal 16 7 2 2 3" xfId="25257" xr:uid="{00000000-0005-0000-0000-0000EE2A0000}"/>
    <cellStyle name="Normal 16 7 2 3" xfId="12843" xr:uid="{00000000-0005-0000-0000-0000EF2A0000}"/>
    <cellStyle name="Normal 16 7 2 3 2" xfId="29377" xr:uid="{00000000-0005-0000-0000-0000F02A0000}"/>
    <cellStyle name="Normal 16 7 2 4" xfId="21334" xr:uid="{00000000-0005-0000-0000-0000F12A0000}"/>
    <cellStyle name="Normal 16 7 3" xfId="7552" xr:uid="{00000000-0005-0000-0000-0000F22A0000}"/>
    <cellStyle name="Normal 16 7 3 2" xfId="16731" xr:uid="{00000000-0005-0000-0000-0000F32A0000}"/>
    <cellStyle name="Normal 16 7 3 2 2" xfId="33305" xr:uid="{00000000-0005-0000-0000-0000F42A0000}"/>
    <cellStyle name="Normal 16 7 3 3" xfId="25258" xr:uid="{00000000-0005-0000-0000-0000F52A0000}"/>
    <cellStyle name="Normal 16 7 4" xfId="12842" xr:uid="{00000000-0005-0000-0000-0000F62A0000}"/>
    <cellStyle name="Normal 16 7 4 2" xfId="29376" xr:uid="{00000000-0005-0000-0000-0000F72A0000}"/>
    <cellStyle name="Normal 16 7 5" xfId="21333" xr:uid="{00000000-0005-0000-0000-0000F82A0000}"/>
    <cellStyle name="Normal 16 8" xfId="3386" xr:uid="{00000000-0005-0000-0000-0000F92A0000}"/>
    <cellStyle name="Normal 16 8 2" xfId="7553" xr:uid="{00000000-0005-0000-0000-0000FA2A0000}"/>
    <cellStyle name="Normal 16 8 2 2" xfId="16732" xr:uid="{00000000-0005-0000-0000-0000FB2A0000}"/>
    <cellStyle name="Normal 16 8 2 2 2" xfId="33306" xr:uid="{00000000-0005-0000-0000-0000FC2A0000}"/>
    <cellStyle name="Normal 16 8 2 3" xfId="25259" xr:uid="{00000000-0005-0000-0000-0000FD2A0000}"/>
    <cellStyle name="Normal 16 8 3" xfId="12844" xr:uid="{00000000-0005-0000-0000-0000FE2A0000}"/>
    <cellStyle name="Normal 16 8 3 2" xfId="29378" xr:uid="{00000000-0005-0000-0000-0000FF2A0000}"/>
    <cellStyle name="Normal 16 8 4" xfId="21335" xr:uid="{00000000-0005-0000-0000-0000002B0000}"/>
    <cellStyle name="Normal 16 9" xfId="7554" xr:uid="{00000000-0005-0000-0000-0000012B0000}"/>
    <cellStyle name="Normal 16 9 2" xfId="16733" xr:uid="{00000000-0005-0000-0000-0000022B0000}"/>
    <cellStyle name="Normal 16 9 2 2" xfId="33307" xr:uid="{00000000-0005-0000-0000-0000032B0000}"/>
    <cellStyle name="Normal 16 9 3" xfId="25260" xr:uid="{00000000-0005-0000-0000-0000042B0000}"/>
    <cellStyle name="Normal 160" xfId="10484" xr:uid="{00000000-0005-0000-0000-0000052B0000}"/>
    <cellStyle name="Normal 161" xfId="10487" xr:uid="{00000000-0005-0000-0000-0000062B0000}"/>
    <cellStyle name="Normal 162" xfId="10490" xr:uid="{00000000-0005-0000-0000-0000072B0000}"/>
    <cellStyle name="Normal 163" xfId="10493" xr:uid="{00000000-0005-0000-0000-0000082B0000}"/>
    <cellStyle name="Normal 164" xfId="10496" xr:uid="{00000000-0005-0000-0000-0000092B0000}"/>
    <cellStyle name="Normal 165" xfId="10499" xr:uid="{00000000-0005-0000-0000-00000A2B0000}"/>
    <cellStyle name="Normal 166" xfId="10502" xr:uid="{00000000-0005-0000-0000-00000B2B0000}"/>
    <cellStyle name="Normal 167" xfId="10505" xr:uid="{00000000-0005-0000-0000-00000C2B0000}"/>
    <cellStyle name="Normal 168" xfId="10508" xr:uid="{00000000-0005-0000-0000-00000D2B0000}"/>
    <cellStyle name="Normal 169" xfId="10511" xr:uid="{00000000-0005-0000-0000-00000E2B0000}"/>
    <cellStyle name="Normal 17" xfId="1693" xr:uid="{00000000-0005-0000-0000-00000F2B0000}"/>
    <cellStyle name="Normal 17 10" xfId="3387" xr:uid="{00000000-0005-0000-0000-0000102B0000}"/>
    <cellStyle name="Normal 17 10 2" xfId="29379" xr:uid="{00000000-0005-0000-0000-0000112B0000}"/>
    <cellStyle name="Normal 17 11" xfId="21336" xr:uid="{00000000-0005-0000-0000-0000122B0000}"/>
    <cellStyle name="Normal 17 2" xfId="3388" xr:uid="{00000000-0005-0000-0000-0000132B0000}"/>
    <cellStyle name="Normal 17 2 2" xfId="3389" xr:uid="{00000000-0005-0000-0000-0000142B0000}"/>
    <cellStyle name="Normal 17 2 3" xfId="12845" xr:uid="{00000000-0005-0000-0000-0000152B0000}"/>
    <cellStyle name="Normal 17 2 3 2" xfId="29380" xr:uid="{00000000-0005-0000-0000-0000162B0000}"/>
    <cellStyle name="Normal 17 2 4" xfId="21337" xr:uid="{00000000-0005-0000-0000-0000172B0000}"/>
    <cellStyle name="Normal 17 3" xfId="3390" xr:uid="{00000000-0005-0000-0000-0000182B0000}"/>
    <cellStyle name="Normal 17 3 2" xfId="3391" xr:uid="{00000000-0005-0000-0000-0000192B0000}"/>
    <cellStyle name="Normal 17 3 2 2" xfId="3392" xr:uid="{00000000-0005-0000-0000-00001A2B0000}"/>
    <cellStyle name="Normal 17 3 2 2 2" xfId="3393" xr:uid="{00000000-0005-0000-0000-00001B2B0000}"/>
    <cellStyle name="Normal 17 3 2 2 2 2" xfId="7555" xr:uid="{00000000-0005-0000-0000-00001C2B0000}"/>
    <cellStyle name="Normal 17 3 2 2 2 2 2" xfId="16734" xr:uid="{00000000-0005-0000-0000-00001D2B0000}"/>
    <cellStyle name="Normal 17 3 2 2 2 2 2 2" xfId="33308" xr:uid="{00000000-0005-0000-0000-00001E2B0000}"/>
    <cellStyle name="Normal 17 3 2 2 2 2 3" xfId="25261" xr:uid="{00000000-0005-0000-0000-00001F2B0000}"/>
    <cellStyle name="Normal 17 3 2 2 2 3" xfId="12848" xr:uid="{00000000-0005-0000-0000-0000202B0000}"/>
    <cellStyle name="Normal 17 3 2 2 2 3 2" xfId="29383" xr:uid="{00000000-0005-0000-0000-0000212B0000}"/>
    <cellStyle name="Normal 17 3 2 2 2 4" xfId="21340" xr:uid="{00000000-0005-0000-0000-0000222B0000}"/>
    <cellStyle name="Normal 17 3 2 2 3" xfId="7556" xr:uid="{00000000-0005-0000-0000-0000232B0000}"/>
    <cellStyle name="Normal 17 3 2 2 3 2" xfId="16735" xr:uid="{00000000-0005-0000-0000-0000242B0000}"/>
    <cellStyle name="Normal 17 3 2 2 3 2 2" xfId="33309" xr:uid="{00000000-0005-0000-0000-0000252B0000}"/>
    <cellStyle name="Normal 17 3 2 2 3 3" xfId="25262" xr:uid="{00000000-0005-0000-0000-0000262B0000}"/>
    <cellStyle name="Normal 17 3 2 2 4" xfId="12847" xr:uid="{00000000-0005-0000-0000-0000272B0000}"/>
    <cellStyle name="Normal 17 3 2 2 4 2" xfId="29382" xr:uid="{00000000-0005-0000-0000-0000282B0000}"/>
    <cellStyle name="Normal 17 3 2 2 5" xfId="21339" xr:uid="{00000000-0005-0000-0000-0000292B0000}"/>
    <cellStyle name="Normal 17 3 2 3" xfId="3394" xr:uid="{00000000-0005-0000-0000-00002A2B0000}"/>
    <cellStyle name="Normal 17 3 2 3 2" xfId="7557" xr:uid="{00000000-0005-0000-0000-00002B2B0000}"/>
    <cellStyle name="Normal 17 3 2 3 2 2" xfId="16736" xr:uid="{00000000-0005-0000-0000-00002C2B0000}"/>
    <cellStyle name="Normal 17 3 2 3 2 2 2" xfId="33310" xr:uid="{00000000-0005-0000-0000-00002D2B0000}"/>
    <cellStyle name="Normal 17 3 2 3 2 3" xfId="25263" xr:uid="{00000000-0005-0000-0000-00002E2B0000}"/>
    <cellStyle name="Normal 17 3 2 3 3" xfId="12849" xr:uid="{00000000-0005-0000-0000-00002F2B0000}"/>
    <cellStyle name="Normal 17 3 2 3 3 2" xfId="29384" xr:uid="{00000000-0005-0000-0000-0000302B0000}"/>
    <cellStyle name="Normal 17 3 2 3 4" xfId="21341" xr:uid="{00000000-0005-0000-0000-0000312B0000}"/>
    <cellStyle name="Normal 17 3 2 4" xfId="7558" xr:uid="{00000000-0005-0000-0000-0000322B0000}"/>
    <cellStyle name="Normal 17 3 2 4 2" xfId="16737" xr:uid="{00000000-0005-0000-0000-0000332B0000}"/>
    <cellStyle name="Normal 17 3 2 4 2 2" xfId="33311" xr:uid="{00000000-0005-0000-0000-0000342B0000}"/>
    <cellStyle name="Normal 17 3 2 4 3" xfId="25264" xr:uid="{00000000-0005-0000-0000-0000352B0000}"/>
    <cellStyle name="Normal 17 3 2 5" xfId="12846" xr:uid="{00000000-0005-0000-0000-0000362B0000}"/>
    <cellStyle name="Normal 17 3 2 5 2" xfId="29381" xr:uid="{00000000-0005-0000-0000-0000372B0000}"/>
    <cellStyle name="Normal 17 3 2 6" xfId="21338" xr:uid="{00000000-0005-0000-0000-0000382B0000}"/>
    <cellStyle name="Normal 17 3 3" xfId="3395" xr:uid="{00000000-0005-0000-0000-0000392B0000}"/>
    <cellStyle name="Normal 17 3 3 2" xfId="3396" xr:uid="{00000000-0005-0000-0000-00003A2B0000}"/>
    <cellStyle name="Normal 17 3 3 2 2" xfId="7559" xr:uid="{00000000-0005-0000-0000-00003B2B0000}"/>
    <cellStyle name="Normal 17 3 3 2 2 2" xfId="16738" xr:uid="{00000000-0005-0000-0000-00003C2B0000}"/>
    <cellStyle name="Normal 17 3 3 2 2 2 2" xfId="33312" xr:uid="{00000000-0005-0000-0000-00003D2B0000}"/>
    <cellStyle name="Normal 17 3 3 2 2 3" xfId="25265" xr:uid="{00000000-0005-0000-0000-00003E2B0000}"/>
    <cellStyle name="Normal 17 3 3 2 3" xfId="12851" xr:uid="{00000000-0005-0000-0000-00003F2B0000}"/>
    <cellStyle name="Normal 17 3 3 2 3 2" xfId="29386" xr:uid="{00000000-0005-0000-0000-0000402B0000}"/>
    <cellStyle name="Normal 17 3 3 2 4" xfId="21343" xr:uid="{00000000-0005-0000-0000-0000412B0000}"/>
    <cellStyle name="Normal 17 3 3 3" xfId="7560" xr:uid="{00000000-0005-0000-0000-0000422B0000}"/>
    <cellStyle name="Normal 17 3 3 3 2" xfId="16739" xr:uid="{00000000-0005-0000-0000-0000432B0000}"/>
    <cellStyle name="Normal 17 3 3 3 2 2" xfId="33313" xr:uid="{00000000-0005-0000-0000-0000442B0000}"/>
    <cellStyle name="Normal 17 3 3 3 3" xfId="25266" xr:uid="{00000000-0005-0000-0000-0000452B0000}"/>
    <cellStyle name="Normal 17 3 3 4" xfId="12850" xr:uid="{00000000-0005-0000-0000-0000462B0000}"/>
    <cellStyle name="Normal 17 3 3 4 2" xfId="29385" xr:uid="{00000000-0005-0000-0000-0000472B0000}"/>
    <cellStyle name="Normal 17 3 3 5" xfId="21342" xr:uid="{00000000-0005-0000-0000-0000482B0000}"/>
    <cellStyle name="Normal 17 3 4" xfId="3397" xr:uid="{00000000-0005-0000-0000-0000492B0000}"/>
    <cellStyle name="Normal 17 3 4 2" xfId="7561" xr:uid="{00000000-0005-0000-0000-00004A2B0000}"/>
    <cellStyle name="Normal 17 3 4 2 2" xfId="16740" xr:uid="{00000000-0005-0000-0000-00004B2B0000}"/>
    <cellStyle name="Normal 17 3 4 2 2 2" xfId="33314" xr:uid="{00000000-0005-0000-0000-00004C2B0000}"/>
    <cellStyle name="Normal 17 3 4 2 3" xfId="25267" xr:uid="{00000000-0005-0000-0000-00004D2B0000}"/>
    <cellStyle name="Normal 17 3 4 3" xfId="12852" xr:uid="{00000000-0005-0000-0000-00004E2B0000}"/>
    <cellStyle name="Normal 17 3 4 3 2" xfId="29387" xr:uid="{00000000-0005-0000-0000-00004F2B0000}"/>
    <cellStyle name="Normal 17 3 4 4" xfId="21344" xr:uid="{00000000-0005-0000-0000-0000502B0000}"/>
    <cellStyle name="Normal 17 3 5" xfId="3398" xr:uid="{00000000-0005-0000-0000-0000512B0000}"/>
    <cellStyle name="Normal 17 3 5 2" xfId="12853" xr:uid="{00000000-0005-0000-0000-0000522B0000}"/>
    <cellStyle name="Normal 17 3 5 2 2" xfId="29388" xr:uid="{00000000-0005-0000-0000-0000532B0000}"/>
    <cellStyle name="Normal 17 3 5 3" xfId="21345" xr:uid="{00000000-0005-0000-0000-0000542B0000}"/>
    <cellStyle name="Normal 17 4" xfId="3399" xr:uid="{00000000-0005-0000-0000-0000552B0000}"/>
    <cellStyle name="Normal 17 4 2" xfId="3400" xr:uid="{00000000-0005-0000-0000-0000562B0000}"/>
    <cellStyle name="Normal 17 4 2 2" xfId="3401" xr:uid="{00000000-0005-0000-0000-0000572B0000}"/>
    <cellStyle name="Normal 17 4 2 2 2" xfId="3402" xr:uid="{00000000-0005-0000-0000-0000582B0000}"/>
    <cellStyle name="Normal 17 4 2 2 2 2" xfId="7562" xr:uid="{00000000-0005-0000-0000-0000592B0000}"/>
    <cellStyle name="Normal 17 4 2 2 2 2 2" xfId="16741" xr:uid="{00000000-0005-0000-0000-00005A2B0000}"/>
    <cellStyle name="Normal 17 4 2 2 2 2 2 2" xfId="33315" xr:uid="{00000000-0005-0000-0000-00005B2B0000}"/>
    <cellStyle name="Normal 17 4 2 2 2 2 3" xfId="25268" xr:uid="{00000000-0005-0000-0000-00005C2B0000}"/>
    <cellStyle name="Normal 17 4 2 2 2 3" xfId="12857" xr:uid="{00000000-0005-0000-0000-00005D2B0000}"/>
    <cellStyle name="Normal 17 4 2 2 2 3 2" xfId="29392" xr:uid="{00000000-0005-0000-0000-00005E2B0000}"/>
    <cellStyle name="Normal 17 4 2 2 2 4" xfId="21349" xr:uid="{00000000-0005-0000-0000-00005F2B0000}"/>
    <cellStyle name="Normal 17 4 2 2 3" xfId="7563" xr:uid="{00000000-0005-0000-0000-0000602B0000}"/>
    <cellStyle name="Normal 17 4 2 2 3 2" xfId="16742" xr:uid="{00000000-0005-0000-0000-0000612B0000}"/>
    <cellStyle name="Normal 17 4 2 2 3 2 2" xfId="33316" xr:uid="{00000000-0005-0000-0000-0000622B0000}"/>
    <cellStyle name="Normal 17 4 2 2 3 3" xfId="25269" xr:uid="{00000000-0005-0000-0000-0000632B0000}"/>
    <cellStyle name="Normal 17 4 2 2 4" xfId="12856" xr:uid="{00000000-0005-0000-0000-0000642B0000}"/>
    <cellStyle name="Normal 17 4 2 2 4 2" xfId="29391" xr:uid="{00000000-0005-0000-0000-0000652B0000}"/>
    <cellStyle name="Normal 17 4 2 2 5" xfId="21348" xr:uid="{00000000-0005-0000-0000-0000662B0000}"/>
    <cellStyle name="Normal 17 4 2 3" xfId="3403" xr:uid="{00000000-0005-0000-0000-0000672B0000}"/>
    <cellStyle name="Normal 17 4 2 3 2" xfId="7564" xr:uid="{00000000-0005-0000-0000-0000682B0000}"/>
    <cellStyle name="Normal 17 4 2 3 2 2" xfId="16743" xr:uid="{00000000-0005-0000-0000-0000692B0000}"/>
    <cellStyle name="Normal 17 4 2 3 2 2 2" xfId="33317" xr:uid="{00000000-0005-0000-0000-00006A2B0000}"/>
    <cellStyle name="Normal 17 4 2 3 2 3" xfId="25270" xr:uid="{00000000-0005-0000-0000-00006B2B0000}"/>
    <cellStyle name="Normal 17 4 2 3 3" xfId="12858" xr:uid="{00000000-0005-0000-0000-00006C2B0000}"/>
    <cellStyle name="Normal 17 4 2 3 3 2" xfId="29393" xr:uid="{00000000-0005-0000-0000-00006D2B0000}"/>
    <cellStyle name="Normal 17 4 2 3 4" xfId="21350" xr:uid="{00000000-0005-0000-0000-00006E2B0000}"/>
    <cellStyle name="Normal 17 4 2 4" xfId="7565" xr:uid="{00000000-0005-0000-0000-00006F2B0000}"/>
    <cellStyle name="Normal 17 4 2 4 2" xfId="16744" xr:uid="{00000000-0005-0000-0000-0000702B0000}"/>
    <cellStyle name="Normal 17 4 2 4 2 2" xfId="33318" xr:uid="{00000000-0005-0000-0000-0000712B0000}"/>
    <cellStyle name="Normal 17 4 2 4 3" xfId="25271" xr:uid="{00000000-0005-0000-0000-0000722B0000}"/>
    <cellStyle name="Normal 17 4 2 5" xfId="12855" xr:uid="{00000000-0005-0000-0000-0000732B0000}"/>
    <cellStyle name="Normal 17 4 2 5 2" xfId="29390" xr:uid="{00000000-0005-0000-0000-0000742B0000}"/>
    <cellStyle name="Normal 17 4 2 6" xfId="21347" xr:uid="{00000000-0005-0000-0000-0000752B0000}"/>
    <cellStyle name="Normal 17 4 3" xfId="3404" xr:uid="{00000000-0005-0000-0000-0000762B0000}"/>
    <cellStyle name="Normal 17 4 3 2" xfId="3405" xr:uid="{00000000-0005-0000-0000-0000772B0000}"/>
    <cellStyle name="Normal 17 4 3 2 2" xfId="7566" xr:uid="{00000000-0005-0000-0000-0000782B0000}"/>
    <cellStyle name="Normal 17 4 3 2 2 2" xfId="16745" xr:uid="{00000000-0005-0000-0000-0000792B0000}"/>
    <cellStyle name="Normal 17 4 3 2 2 2 2" xfId="33319" xr:uid="{00000000-0005-0000-0000-00007A2B0000}"/>
    <cellStyle name="Normal 17 4 3 2 2 3" xfId="25272" xr:uid="{00000000-0005-0000-0000-00007B2B0000}"/>
    <cellStyle name="Normal 17 4 3 2 3" xfId="12860" xr:uid="{00000000-0005-0000-0000-00007C2B0000}"/>
    <cellStyle name="Normal 17 4 3 2 3 2" xfId="29395" xr:uid="{00000000-0005-0000-0000-00007D2B0000}"/>
    <cellStyle name="Normal 17 4 3 2 4" xfId="21352" xr:uid="{00000000-0005-0000-0000-00007E2B0000}"/>
    <cellStyle name="Normal 17 4 3 3" xfId="7567" xr:uid="{00000000-0005-0000-0000-00007F2B0000}"/>
    <cellStyle name="Normal 17 4 3 3 2" xfId="16746" xr:uid="{00000000-0005-0000-0000-0000802B0000}"/>
    <cellStyle name="Normal 17 4 3 3 2 2" xfId="33320" xr:uid="{00000000-0005-0000-0000-0000812B0000}"/>
    <cellStyle name="Normal 17 4 3 3 3" xfId="25273" xr:uid="{00000000-0005-0000-0000-0000822B0000}"/>
    <cellStyle name="Normal 17 4 3 4" xfId="12859" xr:uid="{00000000-0005-0000-0000-0000832B0000}"/>
    <cellStyle name="Normal 17 4 3 4 2" xfId="29394" xr:uid="{00000000-0005-0000-0000-0000842B0000}"/>
    <cellStyle name="Normal 17 4 3 5" xfId="21351" xr:uid="{00000000-0005-0000-0000-0000852B0000}"/>
    <cellStyle name="Normal 17 4 4" xfId="3406" xr:uid="{00000000-0005-0000-0000-0000862B0000}"/>
    <cellStyle name="Normal 17 4 4 2" xfId="7568" xr:uid="{00000000-0005-0000-0000-0000872B0000}"/>
    <cellStyle name="Normal 17 4 4 2 2" xfId="16747" xr:uid="{00000000-0005-0000-0000-0000882B0000}"/>
    <cellStyle name="Normal 17 4 4 2 2 2" xfId="33321" xr:uid="{00000000-0005-0000-0000-0000892B0000}"/>
    <cellStyle name="Normal 17 4 4 2 3" xfId="25274" xr:uid="{00000000-0005-0000-0000-00008A2B0000}"/>
    <cellStyle name="Normal 17 4 4 3" xfId="12861" xr:uid="{00000000-0005-0000-0000-00008B2B0000}"/>
    <cellStyle name="Normal 17 4 4 3 2" xfId="29396" xr:uid="{00000000-0005-0000-0000-00008C2B0000}"/>
    <cellStyle name="Normal 17 4 4 4" xfId="21353" xr:uid="{00000000-0005-0000-0000-00008D2B0000}"/>
    <cellStyle name="Normal 17 4 5" xfId="7569" xr:uid="{00000000-0005-0000-0000-00008E2B0000}"/>
    <cellStyle name="Normal 17 4 5 2" xfId="16748" xr:uid="{00000000-0005-0000-0000-00008F2B0000}"/>
    <cellStyle name="Normal 17 4 5 2 2" xfId="33322" xr:uid="{00000000-0005-0000-0000-0000902B0000}"/>
    <cellStyle name="Normal 17 4 5 3" xfId="25275" xr:uid="{00000000-0005-0000-0000-0000912B0000}"/>
    <cellStyle name="Normal 17 4 6" xfId="12854" xr:uid="{00000000-0005-0000-0000-0000922B0000}"/>
    <cellStyle name="Normal 17 4 6 2" xfId="29389" xr:uid="{00000000-0005-0000-0000-0000932B0000}"/>
    <cellStyle name="Normal 17 4 7" xfId="21346" xr:uid="{00000000-0005-0000-0000-0000942B0000}"/>
    <cellStyle name="Normal 17 5" xfId="3407" xr:uid="{00000000-0005-0000-0000-0000952B0000}"/>
    <cellStyle name="Normal 17 5 2" xfId="3408" xr:uid="{00000000-0005-0000-0000-0000962B0000}"/>
    <cellStyle name="Normal 17 5 2 2" xfId="3409" xr:uid="{00000000-0005-0000-0000-0000972B0000}"/>
    <cellStyle name="Normal 17 5 2 2 2" xfId="3410" xr:uid="{00000000-0005-0000-0000-0000982B0000}"/>
    <cellStyle name="Normal 17 5 2 2 2 2" xfId="7570" xr:uid="{00000000-0005-0000-0000-0000992B0000}"/>
    <cellStyle name="Normal 17 5 2 2 2 2 2" xfId="16749" xr:uid="{00000000-0005-0000-0000-00009A2B0000}"/>
    <cellStyle name="Normal 17 5 2 2 2 2 2 2" xfId="33323" xr:uid="{00000000-0005-0000-0000-00009B2B0000}"/>
    <cellStyle name="Normal 17 5 2 2 2 2 3" xfId="25276" xr:uid="{00000000-0005-0000-0000-00009C2B0000}"/>
    <cellStyle name="Normal 17 5 2 2 2 3" xfId="12865" xr:uid="{00000000-0005-0000-0000-00009D2B0000}"/>
    <cellStyle name="Normal 17 5 2 2 2 3 2" xfId="29400" xr:uid="{00000000-0005-0000-0000-00009E2B0000}"/>
    <cellStyle name="Normal 17 5 2 2 2 4" xfId="21357" xr:uid="{00000000-0005-0000-0000-00009F2B0000}"/>
    <cellStyle name="Normal 17 5 2 2 3" xfId="7571" xr:uid="{00000000-0005-0000-0000-0000A02B0000}"/>
    <cellStyle name="Normal 17 5 2 2 3 2" xfId="16750" xr:uid="{00000000-0005-0000-0000-0000A12B0000}"/>
    <cellStyle name="Normal 17 5 2 2 3 2 2" xfId="33324" xr:uid="{00000000-0005-0000-0000-0000A22B0000}"/>
    <cellStyle name="Normal 17 5 2 2 3 3" xfId="25277" xr:uid="{00000000-0005-0000-0000-0000A32B0000}"/>
    <cellStyle name="Normal 17 5 2 2 4" xfId="12864" xr:uid="{00000000-0005-0000-0000-0000A42B0000}"/>
    <cellStyle name="Normal 17 5 2 2 4 2" xfId="29399" xr:uid="{00000000-0005-0000-0000-0000A52B0000}"/>
    <cellStyle name="Normal 17 5 2 2 5" xfId="21356" xr:uid="{00000000-0005-0000-0000-0000A62B0000}"/>
    <cellStyle name="Normal 17 5 2 3" xfId="3411" xr:uid="{00000000-0005-0000-0000-0000A72B0000}"/>
    <cellStyle name="Normal 17 5 2 3 2" xfId="7572" xr:uid="{00000000-0005-0000-0000-0000A82B0000}"/>
    <cellStyle name="Normal 17 5 2 3 2 2" xfId="16751" xr:uid="{00000000-0005-0000-0000-0000A92B0000}"/>
    <cellStyle name="Normal 17 5 2 3 2 2 2" xfId="33325" xr:uid="{00000000-0005-0000-0000-0000AA2B0000}"/>
    <cellStyle name="Normal 17 5 2 3 2 3" xfId="25278" xr:uid="{00000000-0005-0000-0000-0000AB2B0000}"/>
    <cellStyle name="Normal 17 5 2 3 3" xfId="12866" xr:uid="{00000000-0005-0000-0000-0000AC2B0000}"/>
    <cellStyle name="Normal 17 5 2 3 3 2" xfId="29401" xr:uid="{00000000-0005-0000-0000-0000AD2B0000}"/>
    <cellStyle name="Normal 17 5 2 3 4" xfId="21358" xr:uid="{00000000-0005-0000-0000-0000AE2B0000}"/>
    <cellStyle name="Normal 17 5 2 4" xfId="7573" xr:uid="{00000000-0005-0000-0000-0000AF2B0000}"/>
    <cellStyle name="Normal 17 5 2 4 2" xfId="16752" xr:uid="{00000000-0005-0000-0000-0000B02B0000}"/>
    <cellStyle name="Normal 17 5 2 4 2 2" xfId="33326" xr:uid="{00000000-0005-0000-0000-0000B12B0000}"/>
    <cellStyle name="Normal 17 5 2 4 3" xfId="25279" xr:uid="{00000000-0005-0000-0000-0000B22B0000}"/>
    <cellStyle name="Normal 17 5 2 5" xfId="12863" xr:uid="{00000000-0005-0000-0000-0000B32B0000}"/>
    <cellStyle name="Normal 17 5 2 5 2" xfId="29398" xr:uid="{00000000-0005-0000-0000-0000B42B0000}"/>
    <cellStyle name="Normal 17 5 2 6" xfId="21355" xr:uid="{00000000-0005-0000-0000-0000B52B0000}"/>
    <cellStyle name="Normal 17 5 3" xfId="3412" xr:uid="{00000000-0005-0000-0000-0000B62B0000}"/>
    <cellStyle name="Normal 17 5 3 2" xfId="3413" xr:uid="{00000000-0005-0000-0000-0000B72B0000}"/>
    <cellStyle name="Normal 17 5 3 2 2" xfId="7574" xr:uid="{00000000-0005-0000-0000-0000B82B0000}"/>
    <cellStyle name="Normal 17 5 3 2 2 2" xfId="16753" xr:uid="{00000000-0005-0000-0000-0000B92B0000}"/>
    <cellStyle name="Normal 17 5 3 2 2 2 2" xfId="33327" xr:uid="{00000000-0005-0000-0000-0000BA2B0000}"/>
    <cellStyle name="Normal 17 5 3 2 2 3" xfId="25280" xr:uid="{00000000-0005-0000-0000-0000BB2B0000}"/>
    <cellStyle name="Normal 17 5 3 2 3" xfId="12868" xr:uid="{00000000-0005-0000-0000-0000BC2B0000}"/>
    <cellStyle name="Normal 17 5 3 2 3 2" xfId="29403" xr:uid="{00000000-0005-0000-0000-0000BD2B0000}"/>
    <cellStyle name="Normal 17 5 3 2 4" xfId="21360" xr:uid="{00000000-0005-0000-0000-0000BE2B0000}"/>
    <cellStyle name="Normal 17 5 3 3" xfId="7575" xr:uid="{00000000-0005-0000-0000-0000BF2B0000}"/>
    <cellStyle name="Normal 17 5 3 3 2" xfId="16754" xr:uid="{00000000-0005-0000-0000-0000C02B0000}"/>
    <cellStyle name="Normal 17 5 3 3 2 2" xfId="33328" xr:uid="{00000000-0005-0000-0000-0000C12B0000}"/>
    <cellStyle name="Normal 17 5 3 3 3" xfId="25281" xr:uid="{00000000-0005-0000-0000-0000C22B0000}"/>
    <cellStyle name="Normal 17 5 3 4" xfId="12867" xr:uid="{00000000-0005-0000-0000-0000C32B0000}"/>
    <cellStyle name="Normal 17 5 3 4 2" xfId="29402" xr:uid="{00000000-0005-0000-0000-0000C42B0000}"/>
    <cellStyle name="Normal 17 5 3 5" xfId="21359" xr:uid="{00000000-0005-0000-0000-0000C52B0000}"/>
    <cellStyle name="Normal 17 5 4" xfId="3414" xr:uid="{00000000-0005-0000-0000-0000C62B0000}"/>
    <cellStyle name="Normal 17 5 4 2" xfId="7576" xr:uid="{00000000-0005-0000-0000-0000C72B0000}"/>
    <cellStyle name="Normal 17 5 4 2 2" xfId="16755" xr:uid="{00000000-0005-0000-0000-0000C82B0000}"/>
    <cellStyle name="Normal 17 5 4 2 2 2" xfId="33329" xr:uid="{00000000-0005-0000-0000-0000C92B0000}"/>
    <cellStyle name="Normal 17 5 4 2 3" xfId="25282" xr:uid="{00000000-0005-0000-0000-0000CA2B0000}"/>
    <cellStyle name="Normal 17 5 4 3" xfId="12869" xr:uid="{00000000-0005-0000-0000-0000CB2B0000}"/>
    <cellStyle name="Normal 17 5 4 3 2" xfId="29404" xr:uid="{00000000-0005-0000-0000-0000CC2B0000}"/>
    <cellStyle name="Normal 17 5 4 4" xfId="21361" xr:uid="{00000000-0005-0000-0000-0000CD2B0000}"/>
    <cellStyle name="Normal 17 5 5" xfId="7577" xr:uid="{00000000-0005-0000-0000-0000CE2B0000}"/>
    <cellStyle name="Normal 17 5 5 2" xfId="16756" xr:uid="{00000000-0005-0000-0000-0000CF2B0000}"/>
    <cellStyle name="Normal 17 5 5 2 2" xfId="33330" xr:uid="{00000000-0005-0000-0000-0000D02B0000}"/>
    <cellStyle name="Normal 17 5 5 3" xfId="25283" xr:uid="{00000000-0005-0000-0000-0000D12B0000}"/>
    <cellStyle name="Normal 17 5 6" xfId="12862" xr:uid="{00000000-0005-0000-0000-0000D22B0000}"/>
    <cellStyle name="Normal 17 5 6 2" xfId="29397" xr:uid="{00000000-0005-0000-0000-0000D32B0000}"/>
    <cellStyle name="Normal 17 5 7" xfId="21354" xr:uid="{00000000-0005-0000-0000-0000D42B0000}"/>
    <cellStyle name="Normal 17 6" xfId="3415" xr:uid="{00000000-0005-0000-0000-0000D52B0000}"/>
    <cellStyle name="Normal 17 6 2" xfId="3416" xr:uid="{00000000-0005-0000-0000-0000D62B0000}"/>
    <cellStyle name="Normal 17 6 2 2" xfId="3417" xr:uid="{00000000-0005-0000-0000-0000D72B0000}"/>
    <cellStyle name="Normal 17 6 2 2 2" xfId="7578" xr:uid="{00000000-0005-0000-0000-0000D82B0000}"/>
    <cellStyle name="Normal 17 6 2 2 2 2" xfId="16757" xr:uid="{00000000-0005-0000-0000-0000D92B0000}"/>
    <cellStyle name="Normal 17 6 2 2 2 2 2" xfId="33331" xr:uid="{00000000-0005-0000-0000-0000DA2B0000}"/>
    <cellStyle name="Normal 17 6 2 2 2 3" xfId="25284" xr:uid="{00000000-0005-0000-0000-0000DB2B0000}"/>
    <cellStyle name="Normal 17 6 2 2 3" xfId="12872" xr:uid="{00000000-0005-0000-0000-0000DC2B0000}"/>
    <cellStyle name="Normal 17 6 2 2 3 2" xfId="29407" xr:uid="{00000000-0005-0000-0000-0000DD2B0000}"/>
    <cellStyle name="Normal 17 6 2 2 4" xfId="21364" xr:uid="{00000000-0005-0000-0000-0000DE2B0000}"/>
    <cellStyle name="Normal 17 6 2 3" xfId="7579" xr:uid="{00000000-0005-0000-0000-0000DF2B0000}"/>
    <cellStyle name="Normal 17 6 2 3 2" xfId="16758" xr:uid="{00000000-0005-0000-0000-0000E02B0000}"/>
    <cellStyle name="Normal 17 6 2 3 2 2" xfId="33332" xr:uid="{00000000-0005-0000-0000-0000E12B0000}"/>
    <cellStyle name="Normal 17 6 2 3 3" xfId="25285" xr:uid="{00000000-0005-0000-0000-0000E22B0000}"/>
    <cellStyle name="Normal 17 6 2 4" xfId="12871" xr:uid="{00000000-0005-0000-0000-0000E32B0000}"/>
    <cellStyle name="Normal 17 6 2 4 2" xfId="29406" xr:uid="{00000000-0005-0000-0000-0000E42B0000}"/>
    <cellStyle name="Normal 17 6 2 5" xfId="21363" xr:uid="{00000000-0005-0000-0000-0000E52B0000}"/>
    <cellStyle name="Normal 17 6 3" xfId="3418" xr:uid="{00000000-0005-0000-0000-0000E62B0000}"/>
    <cellStyle name="Normal 17 6 3 2" xfId="7580" xr:uid="{00000000-0005-0000-0000-0000E72B0000}"/>
    <cellStyle name="Normal 17 6 3 2 2" xfId="16759" xr:uid="{00000000-0005-0000-0000-0000E82B0000}"/>
    <cellStyle name="Normal 17 6 3 2 2 2" xfId="33333" xr:uid="{00000000-0005-0000-0000-0000E92B0000}"/>
    <cellStyle name="Normal 17 6 3 2 3" xfId="25286" xr:uid="{00000000-0005-0000-0000-0000EA2B0000}"/>
    <cellStyle name="Normal 17 6 3 3" xfId="12873" xr:uid="{00000000-0005-0000-0000-0000EB2B0000}"/>
    <cellStyle name="Normal 17 6 3 3 2" xfId="29408" xr:uid="{00000000-0005-0000-0000-0000EC2B0000}"/>
    <cellStyle name="Normal 17 6 3 4" xfId="21365" xr:uid="{00000000-0005-0000-0000-0000ED2B0000}"/>
    <cellStyle name="Normal 17 6 4" xfId="7581" xr:uid="{00000000-0005-0000-0000-0000EE2B0000}"/>
    <cellStyle name="Normal 17 6 4 2" xfId="16760" xr:uid="{00000000-0005-0000-0000-0000EF2B0000}"/>
    <cellStyle name="Normal 17 6 4 2 2" xfId="33334" xr:uid="{00000000-0005-0000-0000-0000F02B0000}"/>
    <cellStyle name="Normal 17 6 4 3" xfId="25287" xr:uid="{00000000-0005-0000-0000-0000F12B0000}"/>
    <cellStyle name="Normal 17 6 5" xfId="12870" xr:uid="{00000000-0005-0000-0000-0000F22B0000}"/>
    <cellStyle name="Normal 17 6 5 2" xfId="29405" xr:uid="{00000000-0005-0000-0000-0000F32B0000}"/>
    <cellStyle name="Normal 17 6 6" xfId="21362" xr:uid="{00000000-0005-0000-0000-0000F42B0000}"/>
    <cellStyle name="Normal 17 7" xfId="3419" xr:uid="{00000000-0005-0000-0000-0000F52B0000}"/>
    <cellStyle name="Normal 17 7 2" xfId="3420" xr:uid="{00000000-0005-0000-0000-0000F62B0000}"/>
    <cellStyle name="Normal 17 7 2 2" xfId="7582" xr:uid="{00000000-0005-0000-0000-0000F72B0000}"/>
    <cellStyle name="Normal 17 7 2 2 2" xfId="16761" xr:uid="{00000000-0005-0000-0000-0000F82B0000}"/>
    <cellStyle name="Normal 17 7 2 2 2 2" xfId="33335" xr:uid="{00000000-0005-0000-0000-0000F92B0000}"/>
    <cellStyle name="Normal 17 7 2 2 3" xfId="25288" xr:uid="{00000000-0005-0000-0000-0000FA2B0000}"/>
    <cellStyle name="Normal 17 7 2 3" xfId="12875" xr:uid="{00000000-0005-0000-0000-0000FB2B0000}"/>
    <cellStyle name="Normal 17 7 2 3 2" xfId="29410" xr:uid="{00000000-0005-0000-0000-0000FC2B0000}"/>
    <cellStyle name="Normal 17 7 2 4" xfId="21367" xr:uid="{00000000-0005-0000-0000-0000FD2B0000}"/>
    <cellStyle name="Normal 17 7 3" xfId="7583" xr:uid="{00000000-0005-0000-0000-0000FE2B0000}"/>
    <cellStyle name="Normal 17 7 3 2" xfId="16762" xr:uid="{00000000-0005-0000-0000-0000FF2B0000}"/>
    <cellStyle name="Normal 17 7 3 2 2" xfId="33336" xr:uid="{00000000-0005-0000-0000-0000002C0000}"/>
    <cellStyle name="Normal 17 7 3 3" xfId="25289" xr:uid="{00000000-0005-0000-0000-0000012C0000}"/>
    <cellStyle name="Normal 17 7 4" xfId="12874" xr:uid="{00000000-0005-0000-0000-0000022C0000}"/>
    <cellStyle name="Normal 17 7 4 2" xfId="29409" xr:uid="{00000000-0005-0000-0000-0000032C0000}"/>
    <cellStyle name="Normal 17 7 5" xfId="21366" xr:uid="{00000000-0005-0000-0000-0000042C0000}"/>
    <cellStyle name="Normal 17 8" xfId="3421" xr:uid="{00000000-0005-0000-0000-0000052C0000}"/>
    <cellStyle name="Normal 17 8 2" xfId="7584" xr:uid="{00000000-0005-0000-0000-0000062C0000}"/>
    <cellStyle name="Normal 17 8 2 2" xfId="16763" xr:uid="{00000000-0005-0000-0000-0000072C0000}"/>
    <cellStyle name="Normal 17 8 2 2 2" xfId="33337" xr:uid="{00000000-0005-0000-0000-0000082C0000}"/>
    <cellStyle name="Normal 17 8 2 3" xfId="25290" xr:uid="{00000000-0005-0000-0000-0000092C0000}"/>
    <cellStyle name="Normal 17 8 3" xfId="12876" xr:uid="{00000000-0005-0000-0000-00000A2C0000}"/>
    <cellStyle name="Normal 17 8 3 2" xfId="29411" xr:uid="{00000000-0005-0000-0000-00000B2C0000}"/>
    <cellStyle name="Normal 17 8 4" xfId="21368" xr:uid="{00000000-0005-0000-0000-00000C2C0000}"/>
    <cellStyle name="Normal 17 9" xfId="7585" xr:uid="{00000000-0005-0000-0000-00000D2C0000}"/>
    <cellStyle name="Normal 17 9 2" xfId="16764" xr:uid="{00000000-0005-0000-0000-00000E2C0000}"/>
    <cellStyle name="Normal 17 9 2 2" xfId="33338" xr:uid="{00000000-0005-0000-0000-00000F2C0000}"/>
    <cellStyle name="Normal 17 9 3" xfId="25291" xr:uid="{00000000-0005-0000-0000-0000102C0000}"/>
    <cellStyle name="Normal 170" xfId="10514" xr:uid="{00000000-0005-0000-0000-0000112C0000}"/>
    <cellStyle name="Normal 171" xfId="10517" xr:uid="{00000000-0005-0000-0000-0000122C0000}"/>
    <cellStyle name="Normal 172" xfId="10520" xr:uid="{00000000-0005-0000-0000-0000132C0000}"/>
    <cellStyle name="Normal 173" xfId="10523" xr:uid="{00000000-0005-0000-0000-0000142C0000}"/>
    <cellStyle name="Normal 174" xfId="10526" xr:uid="{00000000-0005-0000-0000-0000152C0000}"/>
    <cellStyle name="Normal 175" xfId="10529" xr:uid="{00000000-0005-0000-0000-0000162C0000}"/>
    <cellStyle name="Normal 176" xfId="10532" xr:uid="{00000000-0005-0000-0000-0000172C0000}"/>
    <cellStyle name="Normal 177" xfId="10535" xr:uid="{00000000-0005-0000-0000-0000182C0000}"/>
    <cellStyle name="Normal 178" xfId="10538" xr:uid="{00000000-0005-0000-0000-0000192C0000}"/>
    <cellStyle name="Normal 179" xfId="10541" xr:uid="{00000000-0005-0000-0000-00001A2C0000}"/>
    <cellStyle name="Normal 18" xfId="1734" xr:uid="{00000000-0005-0000-0000-00001B2C0000}"/>
    <cellStyle name="Normal 18 10" xfId="3422" xr:uid="{00000000-0005-0000-0000-00001C2C0000}"/>
    <cellStyle name="Normal 18 10 2" xfId="29412" xr:uid="{00000000-0005-0000-0000-00001D2C0000}"/>
    <cellStyle name="Normal 18 11" xfId="21369" xr:uid="{00000000-0005-0000-0000-00001E2C0000}"/>
    <cellStyle name="Normal 18 2" xfId="3423" xr:uid="{00000000-0005-0000-0000-00001F2C0000}"/>
    <cellStyle name="Normal 18 2 2" xfId="3424" xr:uid="{00000000-0005-0000-0000-0000202C0000}"/>
    <cellStyle name="Normal 18 2 3" xfId="12877" xr:uid="{00000000-0005-0000-0000-0000212C0000}"/>
    <cellStyle name="Normal 18 2 3 2" xfId="29413" xr:uid="{00000000-0005-0000-0000-0000222C0000}"/>
    <cellStyle name="Normal 18 2 4" xfId="21370" xr:uid="{00000000-0005-0000-0000-0000232C0000}"/>
    <cellStyle name="Normal 18 3" xfId="3425" xr:uid="{00000000-0005-0000-0000-0000242C0000}"/>
    <cellStyle name="Normal 18 3 2" xfId="3426" xr:uid="{00000000-0005-0000-0000-0000252C0000}"/>
    <cellStyle name="Normal 18 3 2 2" xfId="3427" xr:uid="{00000000-0005-0000-0000-0000262C0000}"/>
    <cellStyle name="Normal 18 3 2 2 2" xfId="3428" xr:uid="{00000000-0005-0000-0000-0000272C0000}"/>
    <cellStyle name="Normal 18 3 2 2 2 2" xfId="7586" xr:uid="{00000000-0005-0000-0000-0000282C0000}"/>
    <cellStyle name="Normal 18 3 2 2 2 2 2" xfId="16765" xr:uid="{00000000-0005-0000-0000-0000292C0000}"/>
    <cellStyle name="Normal 18 3 2 2 2 2 2 2" xfId="33339" xr:uid="{00000000-0005-0000-0000-00002A2C0000}"/>
    <cellStyle name="Normal 18 3 2 2 2 2 3" xfId="25292" xr:uid="{00000000-0005-0000-0000-00002B2C0000}"/>
    <cellStyle name="Normal 18 3 2 2 2 3" xfId="12880" xr:uid="{00000000-0005-0000-0000-00002C2C0000}"/>
    <cellStyle name="Normal 18 3 2 2 2 3 2" xfId="29416" xr:uid="{00000000-0005-0000-0000-00002D2C0000}"/>
    <cellStyle name="Normal 18 3 2 2 2 4" xfId="21373" xr:uid="{00000000-0005-0000-0000-00002E2C0000}"/>
    <cellStyle name="Normal 18 3 2 2 3" xfId="7587" xr:uid="{00000000-0005-0000-0000-00002F2C0000}"/>
    <cellStyle name="Normal 18 3 2 2 3 2" xfId="16766" xr:uid="{00000000-0005-0000-0000-0000302C0000}"/>
    <cellStyle name="Normal 18 3 2 2 3 2 2" xfId="33340" xr:uid="{00000000-0005-0000-0000-0000312C0000}"/>
    <cellStyle name="Normal 18 3 2 2 3 3" xfId="25293" xr:uid="{00000000-0005-0000-0000-0000322C0000}"/>
    <cellStyle name="Normal 18 3 2 2 4" xfId="12879" xr:uid="{00000000-0005-0000-0000-0000332C0000}"/>
    <cellStyle name="Normal 18 3 2 2 4 2" xfId="29415" xr:uid="{00000000-0005-0000-0000-0000342C0000}"/>
    <cellStyle name="Normal 18 3 2 2 5" xfId="21372" xr:uid="{00000000-0005-0000-0000-0000352C0000}"/>
    <cellStyle name="Normal 18 3 2 3" xfId="3429" xr:uid="{00000000-0005-0000-0000-0000362C0000}"/>
    <cellStyle name="Normal 18 3 2 3 2" xfId="7588" xr:uid="{00000000-0005-0000-0000-0000372C0000}"/>
    <cellStyle name="Normal 18 3 2 3 2 2" xfId="16767" xr:uid="{00000000-0005-0000-0000-0000382C0000}"/>
    <cellStyle name="Normal 18 3 2 3 2 2 2" xfId="33341" xr:uid="{00000000-0005-0000-0000-0000392C0000}"/>
    <cellStyle name="Normal 18 3 2 3 2 3" xfId="25294" xr:uid="{00000000-0005-0000-0000-00003A2C0000}"/>
    <cellStyle name="Normal 18 3 2 3 3" xfId="12881" xr:uid="{00000000-0005-0000-0000-00003B2C0000}"/>
    <cellStyle name="Normal 18 3 2 3 3 2" xfId="29417" xr:uid="{00000000-0005-0000-0000-00003C2C0000}"/>
    <cellStyle name="Normal 18 3 2 3 4" xfId="21374" xr:uid="{00000000-0005-0000-0000-00003D2C0000}"/>
    <cellStyle name="Normal 18 3 2 4" xfId="7589" xr:uid="{00000000-0005-0000-0000-00003E2C0000}"/>
    <cellStyle name="Normal 18 3 2 4 2" xfId="16768" xr:uid="{00000000-0005-0000-0000-00003F2C0000}"/>
    <cellStyle name="Normal 18 3 2 4 2 2" xfId="33342" xr:uid="{00000000-0005-0000-0000-0000402C0000}"/>
    <cellStyle name="Normal 18 3 2 4 3" xfId="25295" xr:uid="{00000000-0005-0000-0000-0000412C0000}"/>
    <cellStyle name="Normal 18 3 2 5" xfId="12878" xr:uid="{00000000-0005-0000-0000-0000422C0000}"/>
    <cellStyle name="Normal 18 3 2 5 2" xfId="29414" xr:uid="{00000000-0005-0000-0000-0000432C0000}"/>
    <cellStyle name="Normal 18 3 2 6" xfId="21371" xr:uid="{00000000-0005-0000-0000-0000442C0000}"/>
    <cellStyle name="Normal 18 3 3" xfId="3430" xr:uid="{00000000-0005-0000-0000-0000452C0000}"/>
    <cellStyle name="Normal 18 3 3 2" xfId="3431" xr:uid="{00000000-0005-0000-0000-0000462C0000}"/>
    <cellStyle name="Normal 18 3 3 2 2" xfId="7590" xr:uid="{00000000-0005-0000-0000-0000472C0000}"/>
    <cellStyle name="Normal 18 3 3 2 2 2" xfId="16769" xr:uid="{00000000-0005-0000-0000-0000482C0000}"/>
    <cellStyle name="Normal 18 3 3 2 2 2 2" xfId="33343" xr:uid="{00000000-0005-0000-0000-0000492C0000}"/>
    <cellStyle name="Normal 18 3 3 2 2 3" xfId="25296" xr:uid="{00000000-0005-0000-0000-00004A2C0000}"/>
    <cellStyle name="Normal 18 3 3 2 3" xfId="12883" xr:uid="{00000000-0005-0000-0000-00004B2C0000}"/>
    <cellStyle name="Normal 18 3 3 2 3 2" xfId="29419" xr:uid="{00000000-0005-0000-0000-00004C2C0000}"/>
    <cellStyle name="Normal 18 3 3 2 4" xfId="21376" xr:uid="{00000000-0005-0000-0000-00004D2C0000}"/>
    <cellStyle name="Normal 18 3 3 3" xfId="7591" xr:uid="{00000000-0005-0000-0000-00004E2C0000}"/>
    <cellStyle name="Normal 18 3 3 3 2" xfId="16770" xr:uid="{00000000-0005-0000-0000-00004F2C0000}"/>
    <cellStyle name="Normal 18 3 3 3 2 2" xfId="33344" xr:uid="{00000000-0005-0000-0000-0000502C0000}"/>
    <cellStyle name="Normal 18 3 3 3 3" xfId="25297" xr:uid="{00000000-0005-0000-0000-0000512C0000}"/>
    <cellStyle name="Normal 18 3 3 4" xfId="12882" xr:uid="{00000000-0005-0000-0000-0000522C0000}"/>
    <cellStyle name="Normal 18 3 3 4 2" xfId="29418" xr:uid="{00000000-0005-0000-0000-0000532C0000}"/>
    <cellStyle name="Normal 18 3 3 5" xfId="21375" xr:uid="{00000000-0005-0000-0000-0000542C0000}"/>
    <cellStyle name="Normal 18 3 4" xfId="3432" xr:uid="{00000000-0005-0000-0000-0000552C0000}"/>
    <cellStyle name="Normal 18 3 4 2" xfId="7592" xr:uid="{00000000-0005-0000-0000-0000562C0000}"/>
    <cellStyle name="Normal 18 3 4 2 2" xfId="16771" xr:uid="{00000000-0005-0000-0000-0000572C0000}"/>
    <cellStyle name="Normal 18 3 4 2 2 2" xfId="33345" xr:uid="{00000000-0005-0000-0000-0000582C0000}"/>
    <cellStyle name="Normal 18 3 4 2 3" xfId="25298" xr:uid="{00000000-0005-0000-0000-0000592C0000}"/>
    <cellStyle name="Normal 18 3 4 3" xfId="12884" xr:uid="{00000000-0005-0000-0000-00005A2C0000}"/>
    <cellStyle name="Normal 18 3 4 3 2" xfId="29420" xr:uid="{00000000-0005-0000-0000-00005B2C0000}"/>
    <cellStyle name="Normal 18 3 4 4" xfId="21377" xr:uid="{00000000-0005-0000-0000-00005C2C0000}"/>
    <cellStyle name="Normal 18 3 5" xfId="3433" xr:uid="{00000000-0005-0000-0000-00005D2C0000}"/>
    <cellStyle name="Normal 18 3 5 2" xfId="12885" xr:uid="{00000000-0005-0000-0000-00005E2C0000}"/>
    <cellStyle name="Normal 18 3 5 2 2" xfId="29421" xr:uid="{00000000-0005-0000-0000-00005F2C0000}"/>
    <cellStyle name="Normal 18 3 5 3" xfId="21378" xr:uid="{00000000-0005-0000-0000-0000602C0000}"/>
    <cellStyle name="Normal 18 4" xfId="3434" xr:uid="{00000000-0005-0000-0000-0000612C0000}"/>
    <cellStyle name="Normal 18 4 2" xfId="3435" xr:uid="{00000000-0005-0000-0000-0000622C0000}"/>
    <cellStyle name="Normal 18 4 2 2" xfId="3436" xr:uid="{00000000-0005-0000-0000-0000632C0000}"/>
    <cellStyle name="Normal 18 4 2 2 2" xfId="3437" xr:uid="{00000000-0005-0000-0000-0000642C0000}"/>
    <cellStyle name="Normal 18 4 2 2 2 2" xfId="7593" xr:uid="{00000000-0005-0000-0000-0000652C0000}"/>
    <cellStyle name="Normal 18 4 2 2 2 2 2" xfId="16772" xr:uid="{00000000-0005-0000-0000-0000662C0000}"/>
    <cellStyle name="Normal 18 4 2 2 2 2 2 2" xfId="33346" xr:uid="{00000000-0005-0000-0000-0000672C0000}"/>
    <cellStyle name="Normal 18 4 2 2 2 2 3" xfId="25299" xr:uid="{00000000-0005-0000-0000-0000682C0000}"/>
    <cellStyle name="Normal 18 4 2 2 2 3" xfId="12889" xr:uid="{00000000-0005-0000-0000-0000692C0000}"/>
    <cellStyle name="Normal 18 4 2 2 2 3 2" xfId="29425" xr:uid="{00000000-0005-0000-0000-00006A2C0000}"/>
    <cellStyle name="Normal 18 4 2 2 2 4" xfId="21382" xr:uid="{00000000-0005-0000-0000-00006B2C0000}"/>
    <cellStyle name="Normal 18 4 2 2 3" xfId="7594" xr:uid="{00000000-0005-0000-0000-00006C2C0000}"/>
    <cellStyle name="Normal 18 4 2 2 3 2" xfId="16773" xr:uid="{00000000-0005-0000-0000-00006D2C0000}"/>
    <cellStyle name="Normal 18 4 2 2 3 2 2" xfId="33347" xr:uid="{00000000-0005-0000-0000-00006E2C0000}"/>
    <cellStyle name="Normal 18 4 2 2 3 3" xfId="25300" xr:uid="{00000000-0005-0000-0000-00006F2C0000}"/>
    <cellStyle name="Normal 18 4 2 2 4" xfId="12888" xr:uid="{00000000-0005-0000-0000-0000702C0000}"/>
    <cellStyle name="Normal 18 4 2 2 4 2" xfId="29424" xr:uid="{00000000-0005-0000-0000-0000712C0000}"/>
    <cellStyle name="Normal 18 4 2 2 5" xfId="21381" xr:uid="{00000000-0005-0000-0000-0000722C0000}"/>
    <cellStyle name="Normal 18 4 2 3" xfId="3438" xr:uid="{00000000-0005-0000-0000-0000732C0000}"/>
    <cellStyle name="Normal 18 4 2 3 2" xfId="7595" xr:uid="{00000000-0005-0000-0000-0000742C0000}"/>
    <cellStyle name="Normal 18 4 2 3 2 2" xfId="16774" xr:uid="{00000000-0005-0000-0000-0000752C0000}"/>
    <cellStyle name="Normal 18 4 2 3 2 2 2" xfId="33348" xr:uid="{00000000-0005-0000-0000-0000762C0000}"/>
    <cellStyle name="Normal 18 4 2 3 2 3" xfId="25301" xr:uid="{00000000-0005-0000-0000-0000772C0000}"/>
    <cellStyle name="Normal 18 4 2 3 3" xfId="12890" xr:uid="{00000000-0005-0000-0000-0000782C0000}"/>
    <cellStyle name="Normal 18 4 2 3 3 2" xfId="29426" xr:uid="{00000000-0005-0000-0000-0000792C0000}"/>
    <cellStyle name="Normal 18 4 2 3 4" xfId="21383" xr:uid="{00000000-0005-0000-0000-00007A2C0000}"/>
    <cellStyle name="Normal 18 4 2 4" xfId="7596" xr:uid="{00000000-0005-0000-0000-00007B2C0000}"/>
    <cellStyle name="Normal 18 4 2 4 2" xfId="16775" xr:uid="{00000000-0005-0000-0000-00007C2C0000}"/>
    <cellStyle name="Normal 18 4 2 4 2 2" xfId="33349" xr:uid="{00000000-0005-0000-0000-00007D2C0000}"/>
    <cellStyle name="Normal 18 4 2 4 3" xfId="25302" xr:uid="{00000000-0005-0000-0000-00007E2C0000}"/>
    <cellStyle name="Normal 18 4 2 5" xfId="12887" xr:uid="{00000000-0005-0000-0000-00007F2C0000}"/>
    <cellStyle name="Normal 18 4 2 5 2" xfId="29423" xr:uid="{00000000-0005-0000-0000-0000802C0000}"/>
    <cellStyle name="Normal 18 4 2 6" xfId="21380" xr:uid="{00000000-0005-0000-0000-0000812C0000}"/>
    <cellStyle name="Normal 18 4 3" xfId="3439" xr:uid="{00000000-0005-0000-0000-0000822C0000}"/>
    <cellStyle name="Normal 18 4 3 2" xfId="3440" xr:uid="{00000000-0005-0000-0000-0000832C0000}"/>
    <cellStyle name="Normal 18 4 3 2 2" xfId="7597" xr:uid="{00000000-0005-0000-0000-0000842C0000}"/>
    <cellStyle name="Normal 18 4 3 2 2 2" xfId="16776" xr:uid="{00000000-0005-0000-0000-0000852C0000}"/>
    <cellStyle name="Normal 18 4 3 2 2 2 2" xfId="33350" xr:uid="{00000000-0005-0000-0000-0000862C0000}"/>
    <cellStyle name="Normal 18 4 3 2 2 3" xfId="25303" xr:uid="{00000000-0005-0000-0000-0000872C0000}"/>
    <cellStyle name="Normal 18 4 3 2 3" xfId="12892" xr:uid="{00000000-0005-0000-0000-0000882C0000}"/>
    <cellStyle name="Normal 18 4 3 2 3 2" xfId="29428" xr:uid="{00000000-0005-0000-0000-0000892C0000}"/>
    <cellStyle name="Normal 18 4 3 2 4" xfId="21385" xr:uid="{00000000-0005-0000-0000-00008A2C0000}"/>
    <cellStyle name="Normal 18 4 3 3" xfId="7598" xr:uid="{00000000-0005-0000-0000-00008B2C0000}"/>
    <cellStyle name="Normal 18 4 3 3 2" xfId="16777" xr:uid="{00000000-0005-0000-0000-00008C2C0000}"/>
    <cellStyle name="Normal 18 4 3 3 2 2" xfId="33351" xr:uid="{00000000-0005-0000-0000-00008D2C0000}"/>
    <cellStyle name="Normal 18 4 3 3 3" xfId="25304" xr:uid="{00000000-0005-0000-0000-00008E2C0000}"/>
    <cellStyle name="Normal 18 4 3 4" xfId="12891" xr:uid="{00000000-0005-0000-0000-00008F2C0000}"/>
    <cellStyle name="Normal 18 4 3 4 2" xfId="29427" xr:uid="{00000000-0005-0000-0000-0000902C0000}"/>
    <cellStyle name="Normal 18 4 3 5" xfId="21384" xr:uid="{00000000-0005-0000-0000-0000912C0000}"/>
    <cellStyle name="Normal 18 4 4" xfId="3441" xr:uid="{00000000-0005-0000-0000-0000922C0000}"/>
    <cellStyle name="Normal 18 4 4 2" xfId="7599" xr:uid="{00000000-0005-0000-0000-0000932C0000}"/>
    <cellStyle name="Normal 18 4 4 2 2" xfId="16778" xr:uid="{00000000-0005-0000-0000-0000942C0000}"/>
    <cellStyle name="Normal 18 4 4 2 2 2" xfId="33352" xr:uid="{00000000-0005-0000-0000-0000952C0000}"/>
    <cellStyle name="Normal 18 4 4 2 3" xfId="25305" xr:uid="{00000000-0005-0000-0000-0000962C0000}"/>
    <cellStyle name="Normal 18 4 4 3" xfId="12893" xr:uid="{00000000-0005-0000-0000-0000972C0000}"/>
    <cellStyle name="Normal 18 4 4 3 2" xfId="29429" xr:uid="{00000000-0005-0000-0000-0000982C0000}"/>
    <cellStyle name="Normal 18 4 4 4" xfId="21386" xr:uid="{00000000-0005-0000-0000-0000992C0000}"/>
    <cellStyle name="Normal 18 4 5" xfId="7600" xr:uid="{00000000-0005-0000-0000-00009A2C0000}"/>
    <cellStyle name="Normal 18 4 5 2" xfId="16779" xr:uid="{00000000-0005-0000-0000-00009B2C0000}"/>
    <cellStyle name="Normal 18 4 5 2 2" xfId="33353" xr:uid="{00000000-0005-0000-0000-00009C2C0000}"/>
    <cellStyle name="Normal 18 4 5 3" xfId="25306" xr:uid="{00000000-0005-0000-0000-00009D2C0000}"/>
    <cellStyle name="Normal 18 4 6" xfId="12886" xr:uid="{00000000-0005-0000-0000-00009E2C0000}"/>
    <cellStyle name="Normal 18 4 6 2" xfId="29422" xr:uid="{00000000-0005-0000-0000-00009F2C0000}"/>
    <cellStyle name="Normal 18 4 7" xfId="21379" xr:uid="{00000000-0005-0000-0000-0000A02C0000}"/>
    <cellStyle name="Normal 18 5" xfId="3442" xr:uid="{00000000-0005-0000-0000-0000A12C0000}"/>
    <cellStyle name="Normal 18 5 2" xfId="3443" xr:uid="{00000000-0005-0000-0000-0000A22C0000}"/>
    <cellStyle name="Normal 18 5 2 2" xfId="3444" xr:uid="{00000000-0005-0000-0000-0000A32C0000}"/>
    <cellStyle name="Normal 18 5 2 2 2" xfId="3445" xr:uid="{00000000-0005-0000-0000-0000A42C0000}"/>
    <cellStyle name="Normal 18 5 2 2 2 2" xfId="7601" xr:uid="{00000000-0005-0000-0000-0000A52C0000}"/>
    <cellStyle name="Normal 18 5 2 2 2 2 2" xfId="16780" xr:uid="{00000000-0005-0000-0000-0000A62C0000}"/>
    <cellStyle name="Normal 18 5 2 2 2 2 2 2" xfId="33354" xr:uid="{00000000-0005-0000-0000-0000A72C0000}"/>
    <cellStyle name="Normal 18 5 2 2 2 2 3" xfId="25307" xr:uid="{00000000-0005-0000-0000-0000A82C0000}"/>
    <cellStyle name="Normal 18 5 2 2 2 3" xfId="12897" xr:uid="{00000000-0005-0000-0000-0000A92C0000}"/>
    <cellStyle name="Normal 18 5 2 2 2 3 2" xfId="29433" xr:uid="{00000000-0005-0000-0000-0000AA2C0000}"/>
    <cellStyle name="Normal 18 5 2 2 2 4" xfId="21390" xr:uid="{00000000-0005-0000-0000-0000AB2C0000}"/>
    <cellStyle name="Normal 18 5 2 2 3" xfId="7602" xr:uid="{00000000-0005-0000-0000-0000AC2C0000}"/>
    <cellStyle name="Normal 18 5 2 2 3 2" xfId="16781" xr:uid="{00000000-0005-0000-0000-0000AD2C0000}"/>
    <cellStyle name="Normal 18 5 2 2 3 2 2" xfId="33355" xr:uid="{00000000-0005-0000-0000-0000AE2C0000}"/>
    <cellStyle name="Normal 18 5 2 2 3 3" xfId="25308" xr:uid="{00000000-0005-0000-0000-0000AF2C0000}"/>
    <cellStyle name="Normal 18 5 2 2 4" xfId="12896" xr:uid="{00000000-0005-0000-0000-0000B02C0000}"/>
    <cellStyle name="Normal 18 5 2 2 4 2" xfId="29432" xr:uid="{00000000-0005-0000-0000-0000B12C0000}"/>
    <cellStyle name="Normal 18 5 2 2 5" xfId="21389" xr:uid="{00000000-0005-0000-0000-0000B22C0000}"/>
    <cellStyle name="Normal 18 5 2 3" xfId="3446" xr:uid="{00000000-0005-0000-0000-0000B32C0000}"/>
    <cellStyle name="Normal 18 5 2 3 2" xfId="7603" xr:uid="{00000000-0005-0000-0000-0000B42C0000}"/>
    <cellStyle name="Normal 18 5 2 3 2 2" xfId="16782" xr:uid="{00000000-0005-0000-0000-0000B52C0000}"/>
    <cellStyle name="Normal 18 5 2 3 2 2 2" xfId="33356" xr:uid="{00000000-0005-0000-0000-0000B62C0000}"/>
    <cellStyle name="Normal 18 5 2 3 2 3" xfId="25309" xr:uid="{00000000-0005-0000-0000-0000B72C0000}"/>
    <cellStyle name="Normal 18 5 2 3 3" xfId="12898" xr:uid="{00000000-0005-0000-0000-0000B82C0000}"/>
    <cellStyle name="Normal 18 5 2 3 3 2" xfId="29434" xr:uid="{00000000-0005-0000-0000-0000B92C0000}"/>
    <cellStyle name="Normal 18 5 2 3 4" xfId="21391" xr:uid="{00000000-0005-0000-0000-0000BA2C0000}"/>
    <cellStyle name="Normal 18 5 2 4" xfId="7604" xr:uid="{00000000-0005-0000-0000-0000BB2C0000}"/>
    <cellStyle name="Normal 18 5 2 4 2" xfId="16783" xr:uid="{00000000-0005-0000-0000-0000BC2C0000}"/>
    <cellStyle name="Normal 18 5 2 4 2 2" xfId="33357" xr:uid="{00000000-0005-0000-0000-0000BD2C0000}"/>
    <cellStyle name="Normal 18 5 2 4 3" xfId="25310" xr:uid="{00000000-0005-0000-0000-0000BE2C0000}"/>
    <cellStyle name="Normal 18 5 2 5" xfId="12895" xr:uid="{00000000-0005-0000-0000-0000BF2C0000}"/>
    <cellStyle name="Normal 18 5 2 5 2" xfId="29431" xr:uid="{00000000-0005-0000-0000-0000C02C0000}"/>
    <cellStyle name="Normal 18 5 2 6" xfId="21388" xr:uid="{00000000-0005-0000-0000-0000C12C0000}"/>
    <cellStyle name="Normal 18 5 3" xfId="3447" xr:uid="{00000000-0005-0000-0000-0000C22C0000}"/>
    <cellStyle name="Normal 18 5 3 2" xfId="3448" xr:uid="{00000000-0005-0000-0000-0000C32C0000}"/>
    <cellStyle name="Normal 18 5 3 2 2" xfId="7605" xr:uid="{00000000-0005-0000-0000-0000C42C0000}"/>
    <cellStyle name="Normal 18 5 3 2 2 2" xfId="16784" xr:uid="{00000000-0005-0000-0000-0000C52C0000}"/>
    <cellStyle name="Normal 18 5 3 2 2 2 2" xfId="33358" xr:uid="{00000000-0005-0000-0000-0000C62C0000}"/>
    <cellStyle name="Normal 18 5 3 2 2 3" xfId="25311" xr:uid="{00000000-0005-0000-0000-0000C72C0000}"/>
    <cellStyle name="Normal 18 5 3 2 3" xfId="12900" xr:uid="{00000000-0005-0000-0000-0000C82C0000}"/>
    <cellStyle name="Normal 18 5 3 2 3 2" xfId="29436" xr:uid="{00000000-0005-0000-0000-0000C92C0000}"/>
    <cellStyle name="Normal 18 5 3 2 4" xfId="21393" xr:uid="{00000000-0005-0000-0000-0000CA2C0000}"/>
    <cellStyle name="Normal 18 5 3 3" xfId="7606" xr:uid="{00000000-0005-0000-0000-0000CB2C0000}"/>
    <cellStyle name="Normal 18 5 3 3 2" xfId="16785" xr:uid="{00000000-0005-0000-0000-0000CC2C0000}"/>
    <cellStyle name="Normal 18 5 3 3 2 2" xfId="33359" xr:uid="{00000000-0005-0000-0000-0000CD2C0000}"/>
    <cellStyle name="Normal 18 5 3 3 3" xfId="25312" xr:uid="{00000000-0005-0000-0000-0000CE2C0000}"/>
    <cellStyle name="Normal 18 5 3 4" xfId="12899" xr:uid="{00000000-0005-0000-0000-0000CF2C0000}"/>
    <cellStyle name="Normal 18 5 3 4 2" xfId="29435" xr:uid="{00000000-0005-0000-0000-0000D02C0000}"/>
    <cellStyle name="Normal 18 5 3 5" xfId="21392" xr:uid="{00000000-0005-0000-0000-0000D12C0000}"/>
    <cellStyle name="Normal 18 5 4" xfId="3449" xr:uid="{00000000-0005-0000-0000-0000D22C0000}"/>
    <cellStyle name="Normal 18 5 4 2" xfId="7607" xr:uid="{00000000-0005-0000-0000-0000D32C0000}"/>
    <cellStyle name="Normal 18 5 4 2 2" xfId="16786" xr:uid="{00000000-0005-0000-0000-0000D42C0000}"/>
    <cellStyle name="Normal 18 5 4 2 2 2" xfId="33360" xr:uid="{00000000-0005-0000-0000-0000D52C0000}"/>
    <cellStyle name="Normal 18 5 4 2 3" xfId="25313" xr:uid="{00000000-0005-0000-0000-0000D62C0000}"/>
    <cellStyle name="Normal 18 5 4 3" xfId="12901" xr:uid="{00000000-0005-0000-0000-0000D72C0000}"/>
    <cellStyle name="Normal 18 5 4 3 2" xfId="29437" xr:uid="{00000000-0005-0000-0000-0000D82C0000}"/>
    <cellStyle name="Normal 18 5 4 4" xfId="21394" xr:uid="{00000000-0005-0000-0000-0000D92C0000}"/>
    <cellStyle name="Normal 18 5 5" xfId="7608" xr:uid="{00000000-0005-0000-0000-0000DA2C0000}"/>
    <cellStyle name="Normal 18 5 5 2" xfId="16787" xr:uid="{00000000-0005-0000-0000-0000DB2C0000}"/>
    <cellStyle name="Normal 18 5 5 2 2" xfId="33361" xr:uid="{00000000-0005-0000-0000-0000DC2C0000}"/>
    <cellStyle name="Normal 18 5 5 3" xfId="25314" xr:uid="{00000000-0005-0000-0000-0000DD2C0000}"/>
    <cellStyle name="Normal 18 5 6" xfId="12894" xr:uid="{00000000-0005-0000-0000-0000DE2C0000}"/>
    <cellStyle name="Normal 18 5 6 2" xfId="29430" xr:uid="{00000000-0005-0000-0000-0000DF2C0000}"/>
    <cellStyle name="Normal 18 5 7" xfId="21387" xr:uid="{00000000-0005-0000-0000-0000E02C0000}"/>
    <cellStyle name="Normal 18 6" xfId="3450" xr:uid="{00000000-0005-0000-0000-0000E12C0000}"/>
    <cellStyle name="Normal 18 6 2" xfId="3451" xr:uid="{00000000-0005-0000-0000-0000E22C0000}"/>
    <cellStyle name="Normal 18 6 2 2" xfId="3452" xr:uid="{00000000-0005-0000-0000-0000E32C0000}"/>
    <cellStyle name="Normal 18 6 2 2 2" xfId="7609" xr:uid="{00000000-0005-0000-0000-0000E42C0000}"/>
    <cellStyle name="Normal 18 6 2 2 2 2" xfId="16788" xr:uid="{00000000-0005-0000-0000-0000E52C0000}"/>
    <cellStyle name="Normal 18 6 2 2 2 2 2" xfId="33362" xr:uid="{00000000-0005-0000-0000-0000E62C0000}"/>
    <cellStyle name="Normal 18 6 2 2 2 3" xfId="25315" xr:uid="{00000000-0005-0000-0000-0000E72C0000}"/>
    <cellStyle name="Normal 18 6 2 2 3" xfId="12904" xr:uid="{00000000-0005-0000-0000-0000E82C0000}"/>
    <cellStyle name="Normal 18 6 2 2 3 2" xfId="29440" xr:uid="{00000000-0005-0000-0000-0000E92C0000}"/>
    <cellStyle name="Normal 18 6 2 2 4" xfId="21397" xr:uid="{00000000-0005-0000-0000-0000EA2C0000}"/>
    <cellStyle name="Normal 18 6 2 3" xfId="7610" xr:uid="{00000000-0005-0000-0000-0000EB2C0000}"/>
    <cellStyle name="Normal 18 6 2 3 2" xfId="16789" xr:uid="{00000000-0005-0000-0000-0000EC2C0000}"/>
    <cellStyle name="Normal 18 6 2 3 2 2" xfId="33363" xr:uid="{00000000-0005-0000-0000-0000ED2C0000}"/>
    <cellStyle name="Normal 18 6 2 3 3" xfId="25316" xr:uid="{00000000-0005-0000-0000-0000EE2C0000}"/>
    <cellStyle name="Normal 18 6 2 4" xfId="12903" xr:uid="{00000000-0005-0000-0000-0000EF2C0000}"/>
    <cellStyle name="Normal 18 6 2 4 2" xfId="29439" xr:uid="{00000000-0005-0000-0000-0000F02C0000}"/>
    <cellStyle name="Normal 18 6 2 5" xfId="21396" xr:uid="{00000000-0005-0000-0000-0000F12C0000}"/>
    <cellStyle name="Normal 18 6 3" xfId="3453" xr:uid="{00000000-0005-0000-0000-0000F22C0000}"/>
    <cellStyle name="Normal 18 6 3 2" xfId="7611" xr:uid="{00000000-0005-0000-0000-0000F32C0000}"/>
    <cellStyle name="Normal 18 6 3 2 2" xfId="16790" xr:uid="{00000000-0005-0000-0000-0000F42C0000}"/>
    <cellStyle name="Normal 18 6 3 2 2 2" xfId="33364" xr:uid="{00000000-0005-0000-0000-0000F52C0000}"/>
    <cellStyle name="Normal 18 6 3 2 3" xfId="25317" xr:uid="{00000000-0005-0000-0000-0000F62C0000}"/>
    <cellStyle name="Normal 18 6 3 3" xfId="12905" xr:uid="{00000000-0005-0000-0000-0000F72C0000}"/>
    <cellStyle name="Normal 18 6 3 3 2" xfId="29441" xr:uid="{00000000-0005-0000-0000-0000F82C0000}"/>
    <cellStyle name="Normal 18 6 3 4" xfId="21398" xr:uid="{00000000-0005-0000-0000-0000F92C0000}"/>
    <cellStyle name="Normal 18 6 4" xfId="7612" xr:uid="{00000000-0005-0000-0000-0000FA2C0000}"/>
    <cellStyle name="Normal 18 6 4 2" xfId="16791" xr:uid="{00000000-0005-0000-0000-0000FB2C0000}"/>
    <cellStyle name="Normal 18 6 4 2 2" xfId="33365" xr:uid="{00000000-0005-0000-0000-0000FC2C0000}"/>
    <cellStyle name="Normal 18 6 4 3" xfId="25318" xr:uid="{00000000-0005-0000-0000-0000FD2C0000}"/>
    <cellStyle name="Normal 18 6 5" xfId="12902" xr:uid="{00000000-0005-0000-0000-0000FE2C0000}"/>
    <cellStyle name="Normal 18 6 5 2" xfId="29438" xr:uid="{00000000-0005-0000-0000-0000FF2C0000}"/>
    <cellStyle name="Normal 18 6 6" xfId="21395" xr:uid="{00000000-0005-0000-0000-0000002D0000}"/>
    <cellStyle name="Normal 18 7" xfId="3454" xr:uid="{00000000-0005-0000-0000-0000012D0000}"/>
    <cellStyle name="Normal 18 7 2" xfId="3455" xr:uid="{00000000-0005-0000-0000-0000022D0000}"/>
    <cellStyle name="Normal 18 7 2 2" xfId="7613" xr:uid="{00000000-0005-0000-0000-0000032D0000}"/>
    <cellStyle name="Normal 18 7 2 2 2" xfId="16792" xr:uid="{00000000-0005-0000-0000-0000042D0000}"/>
    <cellStyle name="Normal 18 7 2 2 2 2" xfId="33366" xr:uid="{00000000-0005-0000-0000-0000052D0000}"/>
    <cellStyle name="Normal 18 7 2 2 3" xfId="25319" xr:uid="{00000000-0005-0000-0000-0000062D0000}"/>
    <cellStyle name="Normal 18 7 2 3" xfId="12907" xr:uid="{00000000-0005-0000-0000-0000072D0000}"/>
    <cellStyle name="Normal 18 7 2 3 2" xfId="29443" xr:uid="{00000000-0005-0000-0000-0000082D0000}"/>
    <cellStyle name="Normal 18 7 2 4" xfId="21400" xr:uid="{00000000-0005-0000-0000-0000092D0000}"/>
    <cellStyle name="Normal 18 7 3" xfId="7614" xr:uid="{00000000-0005-0000-0000-00000A2D0000}"/>
    <cellStyle name="Normal 18 7 3 2" xfId="16793" xr:uid="{00000000-0005-0000-0000-00000B2D0000}"/>
    <cellStyle name="Normal 18 7 3 2 2" xfId="33367" xr:uid="{00000000-0005-0000-0000-00000C2D0000}"/>
    <cellStyle name="Normal 18 7 3 3" xfId="25320" xr:uid="{00000000-0005-0000-0000-00000D2D0000}"/>
    <cellStyle name="Normal 18 7 4" xfId="12906" xr:uid="{00000000-0005-0000-0000-00000E2D0000}"/>
    <cellStyle name="Normal 18 7 4 2" xfId="29442" xr:uid="{00000000-0005-0000-0000-00000F2D0000}"/>
    <cellStyle name="Normal 18 7 5" xfId="21399" xr:uid="{00000000-0005-0000-0000-0000102D0000}"/>
    <cellStyle name="Normal 18 8" xfId="3456" xr:uid="{00000000-0005-0000-0000-0000112D0000}"/>
    <cellStyle name="Normal 18 8 2" xfId="7615" xr:uid="{00000000-0005-0000-0000-0000122D0000}"/>
    <cellStyle name="Normal 18 8 2 2" xfId="16794" xr:uid="{00000000-0005-0000-0000-0000132D0000}"/>
    <cellStyle name="Normal 18 8 2 2 2" xfId="33368" xr:uid="{00000000-0005-0000-0000-0000142D0000}"/>
    <cellStyle name="Normal 18 8 2 3" xfId="25321" xr:uid="{00000000-0005-0000-0000-0000152D0000}"/>
    <cellStyle name="Normal 18 8 3" xfId="12908" xr:uid="{00000000-0005-0000-0000-0000162D0000}"/>
    <cellStyle name="Normal 18 8 3 2" xfId="29444" xr:uid="{00000000-0005-0000-0000-0000172D0000}"/>
    <cellStyle name="Normal 18 8 4" xfId="21401" xr:uid="{00000000-0005-0000-0000-0000182D0000}"/>
    <cellStyle name="Normal 18 9" xfId="7616" xr:uid="{00000000-0005-0000-0000-0000192D0000}"/>
    <cellStyle name="Normal 18 9 2" xfId="16795" xr:uid="{00000000-0005-0000-0000-00001A2D0000}"/>
    <cellStyle name="Normal 18 9 2 2" xfId="33369" xr:uid="{00000000-0005-0000-0000-00001B2D0000}"/>
    <cellStyle name="Normal 18 9 3" xfId="25322" xr:uid="{00000000-0005-0000-0000-00001C2D0000}"/>
    <cellStyle name="Normal 180" xfId="10544" xr:uid="{00000000-0005-0000-0000-00001D2D0000}"/>
    <cellStyle name="Normal 181" xfId="10547" xr:uid="{00000000-0005-0000-0000-00001E2D0000}"/>
    <cellStyle name="Normal 182" xfId="10550" xr:uid="{00000000-0005-0000-0000-00001F2D0000}"/>
    <cellStyle name="Normal 183" xfId="10553" xr:uid="{00000000-0005-0000-0000-0000202D0000}"/>
    <cellStyle name="Normal 184" xfId="10556" xr:uid="{00000000-0005-0000-0000-0000212D0000}"/>
    <cellStyle name="Normal 185" xfId="10559" xr:uid="{00000000-0005-0000-0000-0000222D0000}"/>
    <cellStyle name="Normal 186" xfId="10562" xr:uid="{00000000-0005-0000-0000-0000232D0000}"/>
    <cellStyle name="Normal 187" xfId="10565" xr:uid="{00000000-0005-0000-0000-0000242D0000}"/>
    <cellStyle name="Normal 188" xfId="10568" xr:uid="{00000000-0005-0000-0000-0000252D0000}"/>
    <cellStyle name="Normal 189" xfId="10571" xr:uid="{00000000-0005-0000-0000-0000262D0000}"/>
    <cellStyle name="Normal 19" xfId="3457" xr:uid="{00000000-0005-0000-0000-0000272D0000}"/>
    <cellStyle name="Normal 19 10" xfId="12909" xr:uid="{00000000-0005-0000-0000-0000282D0000}"/>
    <cellStyle name="Normal 19 10 2" xfId="29445" xr:uid="{00000000-0005-0000-0000-0000292D0000}"/>
    <cellStyle name="Normal 19 11" xfId="21402" xr:uid="{00000000-0005-0000-0000-00002A2D0000}"/>
    <cellStyle name="Normal 19 2" xfId="3458" xr:uid="{00000000-0005-0000-0000-00002B2D0000}"/>
    <cellStyle name="Normal 19 2 2" xfId="3459" xr:uid="{00000000-0005-0000-0000-00002C2D0000}"/>
    <cellStyle name="Normal 19 2 3" xfId="12910" xr:uid="{00000000-0005-0000-0000-00002D2D0000}"/>
    <cellStyle name="Normal 19 2 3 2" xfId="29446" xr:uid="{00000000-0005-0000-0000-00002E2D0000}"/>
    <cellStyle name="Normal 19 2 4" xfId="21403" xr:uid="{00000000-0005-0000-0000-00002F2D0000}"/>
    <cellStyle name="Normal 19 3" xfId="3460" xr:uid="{00000000-0005-0000-0000-0000302D0000}"/>
    <cellStyle name="Normal 19 3 2" xfId="3461" xr:uid="{00000000-0005-0000-0000-0000312D0000}"/>
    <cellStyle name="Normal 19 3 2 2" xfId="3462" xr:uid="{00000000-0005-0000-0000-0000322D0000}"/>
    <cellStyle name="Normal 19 3 2 2 2" xfId="3463" xr:uid="{00000000-0005-0000-0000-0000332D0000}"/>
    <cellStyle name="Normal 19 3 2 2 2 2" xfId="7617" xr:uid="{00000000-0005-0000-0000-0000342D0000}"/>
    <cellStyle name="Normal 19 3 2 2 2 2 2" xfId="16796" xr:uid="{00000000-0005-0000-0000-0000352D0000}"/>
    <cellStyle name="Normal 19 3 2 2 2 2 2 2" xfId="33370" xr:uid="{00000000-0005-0000-0000-0000362D0000}"/>
    <cellStyle name="Normal 19 3 2 2 2 2 3" xfId="25323" xr:uid="{00000000-0005-0000-0000-0000372D0000}"/>
    <cellStyle name="Normal 19 3 2 2 2 3" xfId="12913" xr:uid="{00000000-0005-0000-0000-0000382D0000}"/>
    <cellStyle name="Normal 19 3 2 2 2 3 2" xfId="29449" xr:uid="{00000000-0005-0000-0000-0000392D0000}"/>
    <cellStyle name="Normal 19 3 2 2 2 4" xfId="21406" xr:uid="{00000000-0005-0000-0000-00003A2D0000}"/>
    <cellStyle name="Normal 19 3 2 2 3" xfId="7618" xr:uid="{00000000-0005-0000-0000-00003B2D0000}"/>
    <cellStyle name="Normal 19 3 2 2 3 2" xfId="16797" xr:uid="{00000000-0005-0000-0000-00003C2D0000}"/>
    <cellStyle name="Normal 19 3 2 2 3 2 2" xfId="33371" xr:uid="{00000000-0005-0000-0000-00003D2D0000}"/>
    <cellStyle name="Normal 19 3 2 2 3 3" xfId="25324" xr:uid="{00000000-0005-0000-0000-00003E2D0000}"/>
    <cellStyle name="Normal 19 3 2 2 4" xfId="12912" xr:uid="{00000000-0005-0000-0000-00003F2D0000}"/>
    <cellStyle name="Normal 19 3 2 2 4 2" xfId="29448" xr:uid="{00000000-0005-0000-0000-0000402D0000}"/>
    <cellStyle name="Normal 19 3 2 2 5" xfId="21405" xr:uid="{00000000-0005-0000-0000-0000412D0000}"/>
    <cellStyle name="Normal 19 3 2 3" xfId="3464" xr:uid="{00000000-0005-0000-0000-0000422D0000}"/>
    <cellStyle name="Normal 19 3 2 3 2" xfId="7619" xr:uid="{00000000-0005-0000-0000-0000432D0000}"/>
    <cellStyle name="Normal 19 3 2 3 2 2" xfId="16798" xr:uid="{00000000-0005-0000-0000-0000442D0000}"/>
    <cellStyle name="Normal 19 3 2 3 2 2 2" xfId="33372" xr:uid="{00000000-0005-0000-0000-0000452D0000}"/>
    <cellStyle name="Normal 19 3 2 3 2 3" xfId="25325" xr:uid="{00000000-0005-0000-0000-0000462D0000}"/>
    <cellStyle name="Normal 19 3 2 3 3" xfId="12914" xr:uid="{00000000-0005-0000-0000-0000472D0000}"/>
    <cellStyle name="Normal 19 3 2 3 3 2" xfId="29450" xr:uid="{00000000-0005-0000-0000-0000482D0000}"/>
    <cellStyle name="Normal 19 3 2 3 4" xfId="21407" xr:uid="{00000000-0005-0000-0000-0000492D0000}"/>
    <cellStyle name="Normal 19 3 2 4" xfId="7620" xr:uid="{00000000-0005-0000-0000-00004A2D0000}"/>
    <cellStyle name="Normal 19 3 2 4 2" xfId="16799" xr:uid="{00000000-0005-0000-0000-00004B2D0000}"/>
    <cellStyle name="Normal 19 3 2 4 2 2" xfId="33373" xr:uid="{00000000-0005-0000-0000-00004C2D0000}"/>
    <cellStyle name="Normal 19 3 2 4 3" xfId="25326" xr:uid="{00000000-0005-0000-0000-00004D2D0000}"/>
    <cellStyle name="Normal 19 3 2 5" xfId="12911" xr:uid="{00000000-0005-0000-0000-00004E2D0000}"/>
    <cellStyle name="Normal 19 3 2 5 2" xfId="29447" xr:uid="{00000000-0005-0000-0000-00004F2D0000}"/>
    <cellStyle name="Normal 19 3 2 6" xfId="21404" xr:uid="{00000000-0005-0000-0000-0000502D0000}"/>
    <cellStyle name="Normal 19 3 3" xfId="3465" xr:uid="{00000000-0005-0000-0000-0000512D0000}"/>
    <cellStyle name="Normal 19 3 3 2" xfId="3466" xr:uid="{00000000-0005-0000-0000-0000522D0000}"/>
    <cellStyle name="Normal 19 3 3 2 2" xfId="7621" xr:uid="{00000000-0005-0000-0000-0000532D0000}"/>
    <cellStyle name="Normal 19 3 3 2 2 2" xfId="16800" xr:uid="{00000000-0005-0000-0000-0000542D0000}"/>
    <cellStyle name="Normal 19 3 3 2 2 2 2" xfId="33374" xr:uid="{00000000-0005-0000-0000-0000552D0000}"/>
    <cellStyle name="Normal 19 3 3 2 2 3" xfId="25327" xr:uid="{00000000-0005-0000-0000-0000562D0000}"/>
    <cellStyle name="Normal 19 3 3 2 3" xfId="12916" xr:uid="{00000000-0005-0000-0000-0000572D0000}"/>
    <cellStyle name="Normal 19 3 3 2 3 2" xfId="29452" xr:uid="{00000000-0005-0000-0000-0000582D0000}"/>
    <cellStyle name="Normal 19 3 3 2 4" xfId="21409" xr:uid="{00000000-0005-0000-0000-0000592D0000}"/>
    <cellStyle name="Normal 19 3 3 3" xfId="7622" xr:uid="{00000000-0005-0000-0000-00005A2D0000}"/>
    <cellStyle name="Normal 19 3 3 3 2" xfId="16801" xr:uid="{00000000-0005-0000-0000-00005B2D0000}"/>
    <cellStyle name="Normal 19 3 3 3 2 2" xfId="33375" xr:uid="{00000000-0005-0000-0000-00005C2D0000}"/>
    <cellStyle name="Normal 19 3 3 3 3" xfId="25328" xr:uid="{00000000-0005-0000-0000-00005D2D0000}"/>
    <cellStyle name="Normal 19 3 3 4" xfId="12915" xr:uid="{00000000-0005-0000-0000-00005E2D0000}"/>
    <cellStyle name="Normal 19 3 3 4 2" xfId="29451" xr:uid="{00000000-0005-0000-0000-00005F2D0000}"/>
    <cellStyle name="Normal 19 3 3 5" xfId="21408" xr:uid="{00000000-0005-0000-0000-0000602D0000}"/>
    <cellStyle name="Normal 19 3 4" xfId="3467" xr:uid="{00000000-0005-0000-0000-0000612D0000}"/>
    <cellStyle name="Normal 19 3 4 2" xfId="7623" xr:uid="{00000000-0005-0000-0000-0000622D0000}"/>
    <cellStyle name="Normal 19 3 4 2 2" xfId="16802" xr:uid="{00000000-0005-0000-0000-0000632D0000}"/>
    <cellStyle name="Normal 19 3 4 2 2 2" xfId="33376" xr:uid="{00000000-0005-0000-0000-0000642D0000}"/>
    <cellStyle name="Normal 19 3 4 2 3" xfId="25329" xr:uid="{00000000-0005-0000-0000-0000652D0000}"/>
    <cellStyle name="Normal 19 3 4 3" xfId="12917" xr:uid="{00000000-0005-0000-0000-0000662D0000}"/>
    <cellStyle name="Normal 19 3 4 3 2" xfId="29453" xr:uid="{00000000-0005-0000-0000-0000672D0000}"/>
    <cellStyle name="Normal 19 3 4 4" xfId="21410" xr:uid="{00000000-0005-0000-0000-0000682D0000}"/>
    <cellStyle name="Normal 19 3 5" xfId="3468" xr:uid="{00000000-0005-0000-0000-0000692D0000}"/>
    <cellStyle name="Normal 19 3 5 2" xfId="12918" xr:uid="{00000000-0005-0000-0000-00006A2D0000}"/>
    <cellStyle name="Normal 19 3 5 2 2" xfId="29454" xr:uid="{00000000-0005-0000-0000-00006B2D0000}"/>
    <cellStyle name="Normal 19 3 5 3" xfId="21411" xr:uid="{00000000-0005-0000-0000-00006C2D0000}"/>
    <cellStyle name="Normal 19 4" xfId="3469" xr:uid="{00000000-0005-0000-0000-00006D2D0000}"/>
    <cellStyle name="Normal 19 4 2" xfId="3470" xr:uid="{00000000-0005-0000-0000-00006E2D0000}"/>
    <cellStyle name="Normal 19 4 2 2" xfId="3471" xr:uid="{00000000-0005-0000-0000-00006F2D0000}"/>
    <cellStyle name="Normal 19 4 2 2 2" xfId="3472" xr:uid="{00000000-0005-0000-0000-0000702D0000}"/>
    <cellStyle name="Normal 19 4 2 2 2 2" xfId="7624" xr:uid="{00000000-0005-0000-0000-0000712D0000}"/>
    <cellStyle name="Normal 19 4 2 2 2 2 2" xfId="16803" xr:uid="{00000000-0005-0000-0000-0000722D0000}"/>
    <cellStyle name="Normal 19 4 2 2 2 2 2 2" xfId="33377" xr:uid="{00000000-0005-0000-0000-0000732D0000}"/>
    <cellStyle name="Normal 19 4 2 2 2 2 3" xfId="25330" xr:uid="{00000000-0005-0000-0000-0000742D0000}"/>
    <cellStyle name="Normal 19 4 2 2 2 3" xfId="12922" xr:uid="{00000000-0005-0000-0000-0000752D0000}"/>
    <cellStyle name="Normal 19 4 2 2 2 3 2" xfId="29458" xr:uid="{00000000-0005-0000-0000-0000762D0000}"/>
    <cellStyle name="Normal 19 4 2 2 2 4" xfId="21415" xr:uid="{00000000-0005-0000-0000-0000772D0000}"/>
    <cellStyle name="Normal 19 4 2 2 3" xfId="7625" xr:uid="{00000000-0005-0000-0000-0000782D0000}"/>
    <cellStyle name="Normal 19 4 2 2 3 2" xfId="16804" xr:uid="{00000000-0005-0000-0000-0000792D0000}"/>
    <cellStyle name="Normal 19 4 2 2 3 2 2" xfId="33378" xr:uid="{00000000-0005-0000-0000-00007A2D0000}"/>
    <cellStyle name="Normal 19 4 2 2 3 3" xfId="25331" xr:uid="{00000000-0005-0000-0000-00007B2D0000}"/>
    <cellStyle name="Normal 19 4 2 2 4" xfId="12921" xr:uid="{00000000-0005-0000-0000-00007C2D0000}"/>
    <cellStyle name="Normal 19 4 2 2 4 2" xfId="29457" xr:uid="{00000000-0005-0000-0000-00007D2D0000}"/>
    <cellStyle name="Normal 19 4 2 2 5" xfId="21414" xr:uid="{00000000-0005-0000-0000-00007E2D0000}"/>
    <cellStyle name="Normal 19 4 2 3" xfId="3473" xr:uid="{00000000-0005-0000-0000-00007F2D0000}"/>
    <cellStyle name="Normal 19 4 2 3 2" xfId="7626" xr:uid="{00000000-0005-0000-0000-0000802D0000}"/>
    <cellStyle name="Normal 19 4 2 3 2 2" xfId="16805" xr:uid="{00000000-0005-0000-0000-0000812D0000}"/>
    <cellStyle name="Normal 19 4 2 3 2 2 2" xfId="33379" xr:uid="{00000000-0005-0000-0000-0000822D0000}"/>
    <cellStyle name="Normal 19 4 2 3 2 3" xfId="25332" xr:uid="{00000000-0005-0000-0000-0000832D0000}"/>
    <cellStyle name="Normal 19 4 2 3 3" xfId="12923" xr:uid="{00000000-0005-0000-0000-0000842D0000}"/>
    <cellStyle name="Normal 19 4 2 3 3 2" xfId="29459" xr:uid="{00000000-0005-0000-0000-0000852D0000}"/>
    <cellStyle name="Normal 19 4 2 3 4" xfId="21416" xr:uid="{00000000-0005-0000-0000-0000862D0000}"/>
    <cellStyle name="Normal 19 4 2 4" xfId="7627" xr:uid="{00000000-0005-0000-0000-0000872D0000}"/>
    <cellStyle name="Normal 19 4 2 4 2" xfId="16806" xr:uid="{00000000-0005-0000-0000-0000882D0000}"/>
    <cellStyle name="Normal 19 4 2 4 2 2" xfId="33380" xr:uid="{00000000-0005-0000-0000-0000892D0000}"/>
    <cellStyle name="Normal 19 4 2 4 3" xfId="25333" xr:uid="{00000000-0005-0000-0000-00008A2D0000}"/>
    <cellStyle name="Normal 19 4 2 5" xfId="12920" xr:uid="{00000000-0005-0000-0000-00008B2D0000}"/>
    <cellStyle name="Normal 19 4 2 5 2" xfId="29456" xr:uid="{00000000-0005-0000-0000-00008C2D0000}"/>
    <cellStyle name="Normal 19 4 2 6" xfId="21413" xr:uid="{00000000-0005-0000-0000-00008D2D0000}"/>
    <cellStyle name="Normal 19 4 3" xfId="3474" xr:uid="{00000000-0005-0000-0000-00008E2D0000}"/>
    <cellStyle name="Normal 19 4 3 2" xfId="3475" xr:uid="{00000000-0005-0000-0000-00008F2D0000}"/>
    <cellStyle name="Normal 19 4 3 2 2" xfId="7628" xr:uid="{00000000-0005-0000-0000-0000902D0000}"/>
    <cellStyle name="Normal 19 4 3 2 2 2" xfId="16807" xr:uid="{00000000-0005-0000-0000-0000912D0000}"/>
    <cellStyle name="Normal 19 4 3 2 2 2 2" xfId="33381" xr:uid="{00000000-0005-0000-0000-0000922D0000}"/>
    <cellStyle name="Normal 19 4 3 2 2 3" xfId="25334" xr:uid="{00000000-0005-0000-0000-0000932D0000}"/>
    <cellStyle name="Normal 19 4 3 2 3" xfId="12925" xr:uid="{00000000-0005-0000-0000-0000942D0000}"/>
    <cellStyle name="Normal 19 4 3 2 3 2" xfId="29461" xr:uid="{00000000-0005-0000-0000-0000952D0000}"/>
    <cellStyle name="Normal 19 4 3 2 4" xfId="21418" xr:uid="{00000000-0005-0000-0000-0000962D0000}"/>
    <cellStyle name="Normal 19 4 3 3" xfId="7629" xr:uid="{00000000-0005-0000-0000-0000972D0000}"/>
    <cellStyle name="Normal 19 4 3 3 2" xfId="16808" xr:uid="{00000000-0005-0000-0000-0000982D0000}"/>
    <cellStyle name="Normal 19 4 3 3 2 2" xfId="33382" xr:uid="{00000000-0005-0000-0000-0000992D0000}"/>
    <cellStyle name="Normal 19 4 3 3 3" xfId="25335" xr:uid="{00000000-0005-0000-0000-00009A2D0000}"/>
    <cellStyle name="Normal 19 4 3 4" xfId="12924" xr:uid="{00000000-0005-0000-0000-00009B2D0000}"/>
    <cellStyle name="Normal 19 4 3 4 2" xfId="29460" xr:uid="{00000000-0005-0000-0000-00009C2D0000}"/>
    <cellStyle name="Normal 19 4 3 5" xfId="21417" xr:uid="{00000000-0005-0000-0000-00009D2D0000}"/>
    <cellStyle name="Normal 19 4 4" xfId="3476" xr:uid="{00000000-0005-0000-0000-00009E2D0000}"/>
    <cellStyle name="Normal 19 4 4 2" xfId="7630" xr:uid="{00000000-0005-0000-0000-00009F2D0000}"/>
    <cellStyle name="Normal 19 4 4 2 2" xfId="16809" xr:uid="{00000000-0005-0000-0000-0000A02D0000}"/>
    <cellStyle name="Normal 19 4 4 2 2 2" xfId="33383" xr:uid="{00000000-0005-0000-0000-0000A12D0000}"/>
    <cellStyle name="Normal 19 4 4 2 3" xfId="25336" xr:uid="{00000000-0005-0000-0000-0000A22D0000}"/>
    <cellStyle name="Normal 19 4 4 3" xfId="12926" xr:uid="{00000000-0005-0000-0000-0000A32D0000}"/>
    <cellStyle name="Normal 19 4 4 3 2" xfId="29462" xr:uid="{00000000-0005-0000-0000-0000A42D0000}"/>
    <cellStyle name="Normal 19 4 4 4" xfId="21419" xr:uid="{00000000-0005-0000-0000-0000A52D0000}"/>
    <cellStyle name="Normal 19 4 5" xfId="7631" xr:uid="{00000000-0005-0000-0000-0000A62D0000}"/>
    <cellStyle name="Normal 19 4 5 2" xfId="16810" xr:uid="{00000000-0005-0000-0000-0000A72D0000}"/>
    <cellStyle name="Normal 19 4 5 2 2" xfId="33384" xr:uid="{00000000-0005-0000-0000-0000A82D0000}"/>
    <cellStyle name="Normal 19 4 5 3" xfId="25337" xr:uid="{00000000-0005-0000-0000-0000A92D0000}"/>
    <cellStyle name="Normal 19 4 6" xfId="12919" xr:uid="{00000000-0005-0000-0000-0000AA2D0000}"/>
    <cellStyle name="Normal 19 4 6 2" xfId="29455" xr:uid="{00000000-0005-0000-0000-0000AB2D0000}"/>
    <cellStyle name="Normal 19 4 7" xfId="21412" xr:uid="{00000000-0005-0000-0000-0000AC2D0000}"/>
    <cellStyle name="Normal 19 5" xfId="3477" xr:uid="{00000000-0005-0000-0000-0000AD2D0000}"/>
    <cellStyle name="Normal 19 5 2" xfId="3478" xr:uid="{00000000-0005-0000-0000-0000AE2D0000}"/>
    <cellStyle name="Normal 19 5 2 2" xfId="3479" xr:uid="{00000000-0005-0000-0000-0000AF2D0000}"/>
    <cellStyle name="Normal 19 5 2 2 2" xfId="3480" xr:uid="{00000000-0005-0000-0000-0000B02D0000}"/>
    <cellStyle name="Normal 19 5 2 2 2 2" xfId="7632" xr:uid="{00000000-0005-0000-0000-0000B12D0000}"/>
    <cellStyle name="Normal 19 5 2 2 2 2 2" xfId="16811" xr:uid="{00000000-0005-0000-0000-0000B22D0000}"/>
    <cellStyle name="Normal 19 5 2 2 2 2 2 2" xfId="33385" xr:uid="{00000000-0005-0000-0000-0000B32D0000}"/>
    <cellStyle name="Normal 19 5 2 2 2 2 3" xfId="25338" xr:uid="{00000000-0005-0000-0000-0000B42D0000}"/>
    <cellStyle name="Normal 19 5 2 2 2 3" xfId="12930" xr:uid="{00000000-0005-0000-0000-0000B52D0000}"/>
    <cellStyle name="Normal 19 5 2 2 2 3 2" xfId="29466" xr:uid="{00000000-0005-0000-0000-0000B62D0000}"/>
    <cellStyle name="Normal 19 5 2 2 2 4" xfId="21423" xr:uid="{00000000-0005-0000-0000-0000B72D0000}"/>
    <cellStyle name="Normal 19 5 2 2 3" xfId="7633" xr:uid="{00000000-0005-0000-0000-0000B82D0000}"/>
    <cellStyle name="Normal 19 5 2 2 3 2" xfId="16812" xr:uid="{00000000-0005-0000-0000-0000B92D0000}"/>
    <cellStyle name="Normal 19 5 2 2 3 2 2" xfId="33386" xr:uid="{00000000-0005-0000-0000-0000BA2D0000}"/>
    <cellStyle name="Normal 19 5 2 2 3 3" xfId="25339" xr:uid="{00000000-0005-0000-0000-0000BB2D0000}"/>
    <cellStyle name="Normal 19 5 2 2 4" xfId="12929" xr:uid="{00000000-0005-0000-0000-0000BC2D0000}"/>
    <cellStyle name="Normal 19 5 2 2 4 2" xfId="29465" xr:uid="{00000000-0005-0000-0000-0000BD2D0000}"/>
    <cellStyle name="Normal 19 5 2 2 5" xfId="21422" xr:uid="{00000000-0005-0000-0000-0000BE2D0000}"/>
    <cellStyle name="Normal 19 5 2 3" xfId="3481" xr:uid="{00000000-0005-0000-0000-0000BF2D0000}"/>
    <cellStyle name="Normal 19 5 2 3 2" xfId="7634" xr:uid="{00000000-0005-0000-0000-0000C02D0000}"/>
    <cellStyle name="Normal 19 5 2 3 2 2" xfId="16813" xr:uid="{00000000-0005-0000-0000-0000C12D0000}"/>
    <cellStyle name="Normal 19 5 2 3 2 2 2" xfId="33387" xr:uid="{00000000-0005-0000-0000-0000C22D0000}"/>
    <cellStyle name="Normal 19 5 2 3 2 3" xfId="25340" xr:uid="{00000000-0005-0000-0000-0000C32D0000}"/>
    <cellStyle name="Normal 19 5 2 3 3" xfId="12931" xr:uid="{00000000-0005-0000-0000-0000C42D0000}"/>
    <cellStyle name="Normal 19 5 2 3 3 2" xfId="29467" xr:uid="{00000000-0005-0000-0000-0000C52D0000}"/>
    <cellStyle name="Normal 19 5 2 3 4" xfId="21424" xr:uid="{00000000-0005-0000-0000-0000C62D0000}"/>
    <cellStyle name="Normal 19 5 2 4" xfId="7635" xr:uid="{00000000-0005-0000-0000-0000C72D0000}"/>
    <cellStyle name="Normal 19 5 2 4 2" xfId="16814" xr:uid="{00000000-0005-0000-0000-0000C82D0000}"/>
    <cellStyle name="Normal 19 5 2 4 2 2" xfId="33388" xr:uid="{00000000-0005-0000-0000-0000C92D0000}"/>
    <cellStyle name="Normal 19 5 2 4 3" xfId="25341" xr:uid="{00000000-0005-0000-0000-0000CA2D0000}"/>
    <cellStyle name="Normal 19 5 2 5" xfId="12928" xr:uid="{00000000-0005-0000-0000-0000CB2D0000}"/>
    <cellStyle name="Normal 19 5 2 5 2" xfId="29464" xr:uid="{00000000-0005-0000-0000-0000CC2D0000}"/>
    <cellStyle name="Normal 19 5 2 6" xfId="21421" xr:uid="{00000000-0005-0000-0000-0000CD2D0000}"/>
    <cellStyle name="Normal 19 5 3" xfId="3482" xr:uid="{00000000-0005-0000-0000-0000CE2D0000}"/>
    <cellStyle name="Normal 19 5 3 2" xfId="3483" xr:uid="{00000000-0005-0000-0000-0000CF2D0000}"/>
    <cellStyle name="Normal 19 5 3 2 2" xfId="7636" xr:uid="{00000000-0005-0000-0000-0000D02D0000}"/>
    <cellStyle name="Normal 19 5 3 2 2 2" xfId="16815" xr:uid="{00000000-0005-0000-0000-0000D12D0000}"/>
    <cellStyle name="Normal 19 5 3 2 2 2 2" xfId="33389" xr:uid="{00000000-0005-0000-0000-0000D22D0000}"/>
    <cellStyle name="Normal 19 5 3 2 2 3" xfId="25342" xr:uid="{00000000-0005-0000-0000-0000D32D0000}"/>
    <cellStyle name="Normal 19 5 3 2 3" xfId="12933" xr:uid="{00000000-0005-0000-0000-0000D42D0000}"/>
    <cellStyle name="Normal 19 5 3 2 3 2" xfId="29469" xr:uid="{00000000-0005-0000-0000-0000D52D0000}"/>
    <cellStyle name="Normal 19 5 3 2 4" xfId="21426" xr:uid="{00000000-0005-0000-0000-0000D62D0000}"/>
    <cellStyle name="Normal 19 5 3 3" xfId="7637" xr:uid="{00000000-0005-0000-0000-0000D72D0000}"/>
    <cellStyle name="Normal 19 5 3 3 2" xfId="16816" xr:uid="{00000000-0005-0000-0000-0000D82D0000}"/>
    <cellStyle name="Normal 19 5 3 3 2 2" xfId="33390" xr:uid="{00000000-0005-0000-0000-0000D92D0000}"/>
    <cellStyle name="Normal 19 5 3 3 3" xfId="25343" xr:uid="{00000000-0005-0000-0000-0000DA2D0000}"/>
    <cellStyle name="Normal 19 5 3 4" xfId="12932" xr:uid="{00000000-0005-0000-0000-0000DB2D0000}"/>
    <cellStyle name="Normal 19 5 3 4 2" xfId="29468" xr:uid="{00000000-0005-0000-0000-0000DC2D0000}"/>
    <cellStyle name="Normal 19 5 3 5" xfId="21425" xr:uid="{00000000-0005-0000-0000-0000DD2D0000}"/>
    <cellStyle name="Normal 19 5 4" xfId="3484" xr:uid="{00000000-0005-0000-0000-0000DE2D0000}"/>
    <cellStyle name="Normal 19 5 4 2" xfId="7638" xr:uid="{00000000-0005-0000-0000-0000DF2D0000}"/>
    <cellStyle name="Normal 19 5 4 2 2" xfId="16817" xr:uid="{00000000-0005-0000-0000-0000E02D0000}"/>
    <cellStyle name="Normal 19 5 4 2 2 2" xfId="33391" xr:uid="{00000000-0005-0000-0000-0000E12D0000}"/>
    <cellStyle name="Normal 19 5 4 2 3" xfId="25344" xr:uid="{00000000-0005-0000-0000-0000E22D0000}"/>
    <cellStyle name="Normal 19 5 4 3" xfId="12934" xr:uid="{00000000-0005-0000-0000-0000E32D0000}"/>
    <cellStyle name="Normal 19 5 4 3 2" xfId="29470" xr:uid="{00000000-0005-0000-0000-0000E42D0000}"/>
    <cellStyle name="Normal 19 5 4 4" xfId="21427" xr:uid="{00000000-0005-0000-0000-0000E52D0000}"/>
    <cellStyle name="Normal 19 5 5" xfId="7639" xr:uid="{00000000-0005-0000-0000-0000E62D0000}"/>
    <cellStyle name="Normal 19 5 5 2" xfId="16818" xr:uid="{00000000-0005-0000-0000-0000E72D0000}"/>
    <cellStyle name="Normal 19 5 5 2 2" xfId="33392" xr:uid="{00000000-0005-0000-0000-0000E82D0000}"/>
    <cellStyle name="Normal 19 5 5 3" xfId="25345" xr:uid="{00000000-0005-0000-0000-0000E92D0000}"/>
    <cellStyle name="Normal 19 5 6" xfId="12927" xr:uid="{00000000-0005-0000-0000-0000EA2D0000}"/>
    <cellStyle name="Normal 19 5 6 2" xfId="29463" xr:uid="{00000000-0005-0000-0000-0000EB2D0000}"/>
    <cellStyle name="Normal 19 5 7" xfId="21420" xr:uid="{00000000-0005-0000-0000-0000EC2D0000}"/>
    <cellStyle name="Normal 19 6" xfId="3485" xr:uid="{00000000-0005-0000-0000-0000ED2D0000}"/>
    <cellStyle name="Normal 19 6 2" xfId="3486" xr:uid="{00000000-0005-0000-0000-0000EE2D0000}"/>
    <cellStyle name="Normal 19 6 2 2" xfId="3487" xr:uid="{00000000-0005-0000-0000-0000EF2D0000}"/>
    <cellStyle name="Normal 19 6 2 2 2" xfId="7640" xr:uid="{00000000-0005-0000-0000-0000F02D0000}"/>
    <cellStyle name="Normal 19 6 2 2 2 2" xfId="16819" xr:uid="{00000000-0005-0000-0000-0000F12D0000}"/>
    <cellStyle name="Normal 19 6 2 2 2 2 2" xfId="33393" xr:uid="{00000000-0005-0000-0000-0000F22D0000}"/>
    <cellStyle name="Normal 19 6 2 2 2 3" xfId="25346" xr:uid="{00000000-0005-0000-0000-0000F32D0000}"/>
    <cellStyle name="Normal 19 6 2 2 3" xfId="12937" xr:uid="{00000000-0005-0000-0000-0000F42D0000}"/>
    <cellStyle name="Normal 19 6 2 2 3 2" xfId="29473" xr:uid="{00000000-0005-0000-0000-0000F52D0000}"/>
    <cellStyle name="Normal 19 6 2 2 4" xfId="21430" xr:uid="{00000000-0005-0000-0000-0000F62D0000}"/>
    <cellStyle name="Normal 19 6 2 3" xfId="7641" xr:uid="{00000000-0005-0000-0000-0000F72D0000}"/>
    <cellStyle name="Normal 19 6 2 3 2" xfId="16820" xr:uid="{00000000-0005-0000-0000-0000F82D0000}"/>
    <cellStyle name="Normal 19 6 2 3 2 2" xfId="33394" xr:uid="{00000000-0005-0000-0000-0000F92D0000}"/>
    <cellStyle name="Normal 19 6 2 3 3" xfId="25347" xr:uid="{00000000-0005-0000-0000-0000FA2D0000}"/>
    <cellStyle name="Normal 19 6 2 4" xfId="12936" xr:uid="{00000000-0005-0000-0000-0000FB2D0000}"/>
    <cellStyle name="Normal 19 6 2 4 2" xfId="29472" xr:uid="{00000000-0005-0000-0000-0000FC2D0000}"/>
    <cellStyle name="Normal 19 6 2 5" xfId="21429" xr:uid="{00000000-0005-0000-0000-0000FD2D0000}"/>
    <cellStyle name="Normal 19 6 3" xfId="3488" xr:uid="{00000000-0005-0000-0000-0000FE2D0000}"/>
    <cellStyle name="Normal 19 6 3 2" xfId="7642" xr:uid="{00000000-0005-0000-0000-0000FF2D0000}"/>
    <cellStyle name="Normal 19 6 3 2 2" xfId="16821" xr:uid="{00000000-0005-0000-0000-0000002E0000}"/>
    <cellStyle name="Normal 19 6 3 2 2 2" xfId="33395" xr:uid="{00000000-0005-0000-0000-0000012E0000}"/>
    <cellStyle name="Normal 19 6 3 2 3" xfId="25348" xr:uid="{00000000-0005-0000-0000-0000022E0000}"/>
    <cellStyle name="Normal 19 6 3 3" xfId="12938" xr:uid="{00000000-0005-0000-0000-0000032E0000}"/>
    <cellStyle name="Normal 19 6 3 3 2" xfId="29474" xr:uid="{00000000-0005-0000-0000-0000042E0000}"/>
    <cellStyle name="Normal 19 6 3 4" xfId="21431" xr:uid="{00000000-0005-0000-0000-0000052E0000}"/>
    <cellStyle name="Normal 19 6 4" xfId="7643" xr:uid="{00000000-0005-0000-0000-0000062E0000}"/>
    <cellStyle name="Normal 19 6 4 2" xfId="16822" xr:uid="{00000000-0005-0000-0000-0000072E0000}"/>
    <cellStyle name="Normal 19 6 4 2 2" xfId="33396" xr:uid="{00000000-0005-0000-0000-0000082E0000}"/>
    <cellStyle name="Normal 19 6 4 3" xfId="25349" xr:uid="{00000000-0005-0000-0000-0000092E0000}"/>
    <cellStyle name="Normal 19 6 5" xfId="12935" xr:uid="{00000000-0005-0000-0000-00000A2E0000}"/>
    <cellStyle name="Normal 19 6 5 2" xfId="29471" xr:uid="{00000000-0005-0000-0000-00000B2E0000}"/>
    <cellStyle name="Normal 19 6 6" xfId="21428" xr:uid="{00000000-0005-0000-0000-00000C2E0000}"/>
    <cellStyle name="Normal 19 7" xfId="3489" xr:uid="{00000000-0005-0000-0000-00000D2E0000}"/>
    <cellStyle name="Normal 19 7 2" xfId="3490" xr:uid="{00000000-0005-0000-0000-00000E2E0000}"/>
    <cellStyle name="Normal 19 7 2 2" xfId="7644" xr:uid="{00000000-0005-0000-0000-00000F2E0000}"/>
    <cellStyle name="Normal 19 7 2 2 2" xfId="16823" xr:uid="{00000000-0005-0000-0000-0000102E0000}"/>
    <cellStyle name="Normal 19 7 2 2 2 2" xfId="33397" xr:uid="{00000000-0005-0000-0000-0000112E0000}"/>
    <cellStyle name="Normal 19 7 2 2 3" xfId="25350" xr:uid="{00000000-0005-0000-0000-0000122E0000}"/>
    <cellStyle name="Normal 19 7 2 3" xfId="12940" xr:uid="{00000000-0005-0000-0000-0000132E0000}"/>
    <cellStyle name="Normal 19 7 2 3 2" xfId="29476" xr:uid="{00000000-0005-0000-0000-0000142E0000}"/>
    <cellStyle name="Normal 19 7 2 4" xfId="21433" xr:uid="{00000000-0005-0000-0000-0000152E0000}"/>
    <cellStyle name="Normal 19 7 3" xfId="7645" xr:uid="{00000000-0005-0000-0000-0000162E0000}"/>
    <cellStyle name="Normal 19 7 3 2" xfId="16824" xr:uid="{00000000-0005-0000-0000-0000172E0000}"/>
    <cellStyle name="Normal 19 7 3 2 2" xfId="33398" xr:uid="{00000000-0005-0000-0000-0000182E0000}"/>
    <cellStyle name="Normal 19 7 3 3" xfId="25351" xr:uid="{00000000-0005-0000-0000-0000192E0000}"/>
    <cellStyle name="Normal 19 7 4" xfId="12939" xr:uid="{00000000-0005-0000-0000-00001A2E0000}"/>
    <cellStyle name="Normal 19 7 4 2" xfId="29475" xr:uid="{00000000-0005-0000-0000-00001B2E0000}"/>
    <cellStyle name="Normal 19 7 5" xfId="21432" xr:uid="{00000000-0005-0000-0000-00001C2E0000}"/>
    <cellStyle name="Normal 19 8" xfId="3491" xr:uid="{00000000-0005-0000-0000-00001D2E0000}"/>
    <cellStyle name="Normal 19 8 2" xfId="7646" xr:uid="{00000000-0005-0000-0000-00001E2E0000}"/>
    <cellStyle name="Normal 19 8 2 2" xfId="16825" xr:uid="{00000000-0005-0000-0000-00001F2E0000}"/>
    <cellStyle name="Normal 19 8 2 2 2" xfId="33399" xr:uid="{00000000-0005-0000-0000-0000202E0000}"/>
    <cellStyle name="Normal 19 8 2 3" xfId="25352" xr:uid="{00000000-0005-0000-0000-0000212E0000}"/>
    <cellStyle name="Normal 19 8 3" xfId="12941" xr:uid="{00000000-0005-0000-0000-0000222E0000}"/>
    <cellStyle name="Normal 19 8 3 2" xfId="29477" xr:uid="{00000000-0005-0000-0000-0000232E0000}"/>
    <cellStyle name="Normal 19 8 4" xfId="21434" xr:uid="{00000000-0005-0000-0000-0000242E0000}"/>
    <cellStyle name="Normal 19 9" xfId="7647" xr:uid="{00000000-0005-0000-0000-0000252E0000}"/>
    <cellStyle name="Normal 19 9 2" xfId="16826" xr:uid="{00000000-0005-0000-0000-0000262E0000}"/>
    <cellStyle name="Normal 19 9 2 2" xfId="33400" xr:uid="{00000000-0005-0000-0000-0000272E0000}"/>
    <cellStyle name="Normal 19 9 3" xfId="25353" xr:uid="{00000000-0005-0000-0000-0000282E0000}"/>
    <cellStyle name="Normal 190" xfId="10574" xr:uid="{00000000-0005-0000-0000-0000292E0000}"/>
    <cellStyle name="Normal 191" xfId="10577" xr:uid="{00000000-0005-0000-0000-00002A2E0000}"/>
    <cellStyle name="Normal 192" xfId="10580" xr:uid="{00000000-0005-0000-0000-00002B2E0000}"/>
    <cellStyle name="Normal 193" xfId="10583" xr:uid="{00000000-0005-0000-0000-00002C2E0000}"/>
    <cellStyle name="Normal 194" xfId="10586" xr:uid="{00000000-0005-0000-0000-00002D2E0000}"/>
    <cellStyle name="Normal 195" xfId="10589" xr:uid="{00000000-0005-0000-0000-00002E2E0000}"/>
    <cellStyle name="Normal 196" xfId="10592" xr:uid="{00000000-0005-0000-0000-00002F2E0000}"/>
    <cellStyle name="Normal 197" xfId="10595" xr:uid="{00000000-0005-0000-0000-0000302E0000}"/>
    <cellStyle name="Normal 198" xfId="10598" xr:uid="{00000000-0005-0000-0000-0000312E0000}"/>
    <cellStyle name="Normal 199" xfId="10601" xr:uid="{00000000-0005-0000-0000-0000322E0000}"/>
    <cellStyle name="Normal 2" xfId="12" xr:uid="{00000000-0005-0000-0000-0000332E0000}"/>
    <cellStyle name="Normal 2 10" xfId="1673" xr:uid="{00000000-0005-0000-0000-0000342E0000}"/>
    <cellStyle name="Normal 2 10 2" xfId="3493" xr:uid="{00000000-0005-0000-0000-0000352E0000}"/>
    <cellStyle name="Normal 2 11" xfId="3494" xr:uid="{00000000-0005-0000-0000-0000362E0000}"/>
    <cellStyle name="Normal 2 12" xfId="3492" xr:uid="{00000000-0005-0000-0000-0000372E0000}"/>
    <cellStyle name="Normal 2 13" xfId="2252" xr:uid="{00000000-0005-0000-0000-0000382E0000}"/>
    <cellStyle name="Normal 2 14" xfId="1932" xr:uid="{00000000-0005-0000-0000-0000392E0000}"/>
    <cellStyle name="Normal 2 14 2" xfId="28146" xr:uid="{00000000-0005-0000-0000-00003A2E0000}"/>
    <cellStyle name="Normal 2 15" xfId="19652" xr:uid="{00000000-0005-0000-0000-00003B2E0000}"/>
    <cellStyle name="Normal 2 2" xfId="205" xr:uid="{00000000-0005-0000-0000-00003C2E0000}"/>
    <cellStyle name="Normal 2 2 10" xfId="3496" xr:uid="{00000000-0005-0000-0000-00003D2E0000}"/>
    <cellStyle name="Normal 2 2 10 2" xfId="7648" xr:uid="{00000000-0005-0000-0000-00003E2E0000}"/>
    <cellStyle name="Normal 2 2 10 2 2" xfId="16827" xr:uid="{00000000-0005-0000-0000-00003F2E0000}"/>
    <cellStyle name="Normal 2 2 10 2 2 2" xfId="33401" xr:uid="{00000000-0005-0000-0000-0000402E0000}"/>
    <cellStyle name="Normal 2 2 10 2 3" xfId="25354" xr:uid="{00000000-0005-0000-0000-0000412E0000}"/>
    <cellStyle name="Normal 2 2 10 3" xfId="12943" xr:uid="{00000000-0005-0000-0000-0000422E0000}"/>
    <cellStyle name="Normal 2 2 10 3 2" xfId="29479" xr:uid="{00000000-0005-0000-0000-0000432E0000}"/>
    <cellStyle name="Normal 2 2 10 4" xfId="21436" xr:uid="{00000000-0005-0000-0000-0000442E0000}"/>
    <cellStyle name="Normal 2 2 11" xfId="7649" xr:uid="{00000000-0005-0000-0000-0000452E0000}"/>
    <cellStyle name="Normal 2 2 12" xfId="3495" xr:uid="{00000000-0005-0000-0000-0000462E0000}"/>
    <cellStyle name="Normal 2 2 12 2" xfId="12942" xr:uid="{00000000-0005-0000-0000-0000472E0000}"/>
    <cellStyle name="Normal 2 2 12 2 2" xfId="29478" xr:uid="{00000000-0005-0000-0000-0000482E0000}"/>
    <cellStyle name="Normal 2 2 12 3" xfId="21435" xr:uid="{00000000-0005-0000-0000-0000492E0000}"/>
    <cellStyle name="Normal 2 2 13" xfId="10898" xr:uid="{00000000-0005-0000-0000-00004A2E0000}"/>
    <cellStyle name="Normal 2 2 13 2" xfId="28147" xr:uid="{00000000-0005-0000-0000-00004B2E0000}"/>
    <cellStyle name="Normal 2 2 13 3" xfId="11166" xr:uid="{00000000-0005-0000-0000-00004C2E0000}"/>
    <cellStyle name="Normal 2 2 14" xfId="1983" xr:uid="{00000000-0005-0000-0000-00004D2E0000}"/>
    <cellStyle name="Normal 2 2 2" xfId="206" xr:uid="{00000000-0005-0000-0000-00004E2E0000}"/>
    <cellStyle name="Normal 2 2 2 10" xfId="3497" xr:uid="{00000000-0005-0000-0000-00004F2E0000}"/>
    <cellStyle name="Normal 2 2 2 10 2" xfId="29480" xr:uid="{00000000-0005-0000-0000-0000502E0000}"/>
    <cellStyle name="Normal 2 2 2 11" xfId="21437" xr:uid="{00000000-0005-0000-0000-0000512E0000}"/>
    <cellStyle name="Normal 2 2 2 2" xfId="207" xr:uid="{00000000-0005-0000-0000-0000522E0000}"/>
    <cellStyle name="Normal 2 2 2 2 2" xfId="3499" xr:uid="{00000000-0005-0000-0000-0000532E0000}"/>
    <cellStyle name="Normal 2 2 2 2 2 2" xfId="3500" xr:uid="{00000000-0005-0000-0000-0000542E0000}"/>
    <cellStyle name="Normal 2 2 2 2 2 2 2" xfId="12945" xr:uid="{00000000-0005-0000-0000-0000552E0000}"/>
    <cellStyle name="Normal 2 2 2 2 2 2 2 2" xfId="29483" xr:uid="{00000000-0005-0000-0000-0000562E0000}"/>
    <cellStyle name="Normal 2 2 2 2 2 2 3" xfId="21440" xr:uid="{00000000-0005-0000-0000-0000572E0000}"/>
    <cellStyle name="Normal 2 2 2 2 2 3" xfId="12944" xr:uid="{00000000-0005-0000-0000-0000582E0000}"/>
    <cellStyle name="Normal 2 2 2 2 2 3 2" xfId="29482" xr:uid="{00000000-0005-0000-0000-0000592E0000}"/>
    <cellStyle name="Normal 2 2 2 2 2 4" xfId="21439" xr:uid="{00000000-0005-0000-0000-00005A2E0000}"/>
    <cellStyle name="Normal 2 2 2 2 3" xfId="3501" xr:uid="{00000000-0005-0000-0000-00005B2E0000}"/>
    <cellStyle name="Normal 2 2 2 2 3 2" xfId="3502" xr:uid="{00000000-0005-0000-0000-00005C2E0000}"/>
    <cellStyle name="Normal 2 2 2 2 3 2 2" xfId="12947" xr:uid="{00000000-0005-0000-0000-00005D2E0000}"/>
    <cellStyle name="Normal 2 2 2 2 3 2 2 2" xfId="29485" xr:uid="{00000000-0005-0000-0000-00005E2E0000}"/>
    <cellStyle name="Normal 2 2 2 2 3 2 3" xfId="21442" xr:uid="{00000000-0005-0000-0000-00005F2E0000}"/>
    <cellStyle name="Normal 2 2 2 2 3 3" xfId="12946" xr:uid="{00000000-0005-0000-0000-0000602E0000}"/>
    <cellStyle name="Normal 2 2 2 2 3 3 2" xfId="29484" xr:uid="{00000000-0005-0000-0000-0000612E0000}"/>
    <cellStyle name="Normal 2 2 2 2 3 4" xfId="21441" xr:uid="{00000000-0005-0000-0000-0000622E0000}"/>
    <cellStyle name="Normal 2 2 2 2 4" xfId="3503" xr:uid="{00000000-0005-0000-0000-0000632E0000}"/>
    <cellStyle name="Normal 2 2 2 2 5" xfId="3498" xr:uid="{00000000-0005-0000-0000-0000642E0000}"/>
    <cellStyle name="Normal 2 2 2 2 5 2" xfId="29481" xr:uid="{00000000-0005-0000-0000-0000652E0000}"/>
    <cellStyle name="Normal 2 2 2 2 6" xfId="21438" xr:uid="{00000000-0005-0000-0000-0000662E0000}"/>
    <cellStyle name="Normal 2 2 2 3" xfId="3504" xr:uid="{00000000-0005-0000-0000-0000672E0000}"/>
    <cellStyle name="Normal 2 2 2 3 2" xfId="3505" xr:uid="{00000000-0005-0000-0000-0000682E0000}"/>
    <cellStyle name="Normal 2 2 2 3 2 2" xfId="3506" xr:uid="{00000000-0005-0000-0000-0000692E0000}"/>
    <cellStyle name="Normal 2 2 2 3 2 2 2" xfId="3507" xr:uid="{00000000-0005-0000-0000-00006A2E0000}"/>
    <cellStyle name="Normal 2 2 2 3 2 2 2 2" xfId="7650" xr:uid="{00000000-0005-0000-0000-00006B2E0000}"/>
    <cellStyle name="Normal 2 2 2 3 2 2 2 2 2" xfId="16828" xr:uid="{00000000-0005-0000-0000-00006C2E0000}"/>
    <cellStyle name="Normal 2 2 2 3 2 2 2 2 2 2" xfId="33402" xr:uid="{00000000-0005-0000-0000-00006D2E0000}"/>
    <cellStyle name="Normal 2 2 2 3 2 2 2 2 3" xfId="25355" xr:uid="{00000000-0005-0000-0000-00006E2E0000}"/>
    <cellStyle name="Normal 2 2 2 3 2 2 2 3" xfId="12950" xr:uid="{00000000-0005-0000-0000-00006F2E0000}"/>
    <cellStyle name="Normal 2 2 2 3 2 2 2 3 2" xfId="29488" xr:uid="{00000000-0005-0000-0000-0000702E0000}"/>
    <cellStyle name="Normal 2 2 2 3 2 2 2 4" xfId="21445" xr:uid="{00000000-0005-0000-0000-0000712E0000}"/>
    <cellStyle name="Normal 2 2 2 3 2 2 3" xfId="7651" xr:uid="{00000000-0005-0000-0000-0000722E0000}"/>
    <cellStyle name="Normal 2 2 2 3 2 2 3 2" xfId="16829" xr:uid="{00000000-0005-0000-0000-0000732E0000}"/>
    <cellStyle name="Normal 2 2 2 3 2 2 3 2 2" xfId="33403" xr:uid="{00000000-0005-0000-0000-0000742E0000}"/>
    <cellStyle name="Normal 2 2 2 3 2 2 3 3" xfId="25356" xr:uid="{00000000-0005-0000-0000-0000752E0000}"/>
    <cellStyle name="Normal 2 2 2 3 2 2 4" xfId="12949" xr:uid="{00000000-0005-0000-0000-0000762E0000}"/>
    <cellStyle name="Normal 2 2 2 3 2 2 4 2" xfId="29487" xr:uid="{00000000-0005-0000-0000-0000772E0000}"/>
    <cellStyle name="Normal 2 2 2 3 2 2 5" xfId="21444" xr:uid="{00000000-0005-0000-0000-0000782E0000}"/>
    <cellStyle name="Normal 2 2 2 3 2 3" xfId="3508" xr:uid="{00000000-0005-0000-0000-0000792E0000}"/>
    <cellStyle name="Normal 2 2 2 3 2 3 2" xfId="7652" xr:uid="{00000000-0005-0000-0000-00007A2E0000}"/>
    <cellStyle name="Normal 2 2 2 3 2 3 2 2" xfId="16830" xr:uid="{00000000-0005-0000-0000-00007B2E0000}"/>
    <cellStyle name="Normal 2 2 2 3 2 3 2 2 2" xfId="33404" xr:uid="{00000000-0005-0000-0000-00007C2E0000}"/>
    <cellStyle name="Normal 2 2 2 3 2 3 2 3" xfId="25357" xr:uid="{00000000-0005-0000-0000-00007D2E0000}"/>
    <cellStyle name="Normal 2 2 2 3 2 3 3" xfId="12951" xr:uid="{00000000-0005-0000-0000-00007E2E0000}"/>
    <cellStyle name="Normal 2 2 2 3 2 3 3 2" xfId="29489" xr:uid="{00000000-0005-0000-0000-00007F2E0000}"/>
    <cellStyle name="Normal 2 2 2 3 2 3 4" xfId="21446" xr:uid="{00000000-0005-0000-0000-0000802E0000}"/>
    <cellStyle name="Normal 2 2 2 3 2 4" xfId="7653" xr:uid="{00000000-0005-0000-0000-0000812E0000}"/>
    <cellStyle name="Normal 2 2 2 3 2 4 2" xfId="16831" xr:uid="{00000000-0005-0000-0000-0000822E0000}"/>
    <cellStyle name="Normal 2 2 2 3 2 4 2 2" xfId="33405" xr:uid="{00000000-0005-0000-0000-0000832E0000}"/>
    <cellStyle name="Normal 2 2 2 3 2 4 3" xfId="25358" xr:uid="{00000000-0005-0000-0000-0000842E0000}"/>
    <cellStyle name="Normal 2 2 2 3 2 5" xfId="12948" xr:uid="{00000000-0005-0000-0000-0000852E0000}"/>
    <cellStyle name="Normal 2 2 2 3 2 5 2" xfId="29486" xr:uid="{00000000-0005-0000-0000-0000862E0000}"/>
    <cellStyle name="Normal 2 2 2 3 2 6" xfId="21443" xr:uid="{00000000-0005-0000-0000-0000872E0000}"/>
    <cellStyle name="Normal 2 2 2 3 3" xfId="3509" xr:uid="{00000000-0005-0000-0000-0000882E0000}"/>
    <cellStyle name="Normal 2 2 2 3 3 2" xfId="3510" xr:uid="{00000000-0005-0000-0000-0000892E0000}"/>
    <cellStyle name="Normal 2 2 2 3 3 2 2" xfId="7654" xr:uid="{00000000-0005-0000-0000-00008A2E0000}"/>
    <cellStyle name="Normal 2 2 2 3 3 2 2 2" xfId="16832" xr:uid="{00000000-0005-0000-0000-00008B2E0000}"/>
    <cellStyle name="Normal 2 2 2 3 3 2 2 2 2" xfId="33406" xr:uid="{00000000-0005-0000-0000-00008C2E0000}"/>
    <cellStyle name="Normal 2 2 2 3 3 2 2 3" xfId="25359" xr:uid="{00000000-0005-0000-0000-00008D2E0000}"/>
    <cellStyle name="Normal 2 2 2 3 3 2 3" xfId="12953" xr:uid="{00000000-0005-0000-0000-00008E2E0000}"/>
    <cellStyle name="Normal 2 2 2 3 3 2 3 2" xfId="29491" xr:uid="{00000000-0005-0000-0000-00008F2E0000}"/>
    <cellStyle name="Normal 2 2 2 3 3 2 4" xfId="21448" xr:uid="{00000000-0005-0000-0000-0000902E0000}"/>
    <cellStyle name="Normal 2 2 2 3 3 3" xfId="7655" xr:uid="{00000000-0005-0000-0000-0000912E0000}"/>
    <cellStyle name="Normal 2 2 2 3 3 3 2" xfId="16833" xr:uid="{00000000-0005-0000-0000-0000922E0000}"/>
    <cellStyle name="Normal 2 2 2 3 3 3 2 2" xfId="33407" xr:uid="{00000000-0005-0000-0000-0000932E0000}"/>
    <cellStyle name="Normal 2 2 2 3 3 3 3" xfId="25360" xr:uid="{00000000-0005-0000-0000-0000942E0000}"/>
    <cellStyle name="Normal 2 2 2 3 3 4" xfId="12952" xr:uid="{00000000-0005-0000-0000-0000952E0000}"/>
    <cellStyle name="Normal 2 2 2 3 3 4 2" xfId="29490" xr:uid="{00000000-0005-0000-0000-0000962E0000}"/>
    <cellStyle name="Normal 2 2 2 3 3 5" xfId="21447" xr:uid="{00000000-0005-0000-0000-0000972E0000}"/>
    <cellStyle name="Normal 2 2 2 3 4" xfId="3511" xr:uid="{00000000-0005-0000-0000-0000982E0000}"/>
    <cellStyle name="Normal 2 2 2 3 4 2" xfId="7656" xr:uid="{00000000-0005-0000-0000-0000992E0000}"/>
    <cellStyle name="Normal 2 2 2 3 4 2 2" xfId="16834" xr:uid="{00000000-0005-0000-0000-00009A2E0000}"/>
    <cellStyle name="Normal 2 2 2 3 4 2 2 2" xfId="33408" xr:uid="{00000000-0005-0000-0000-00009B2E0000}"/>
    <cellStyle name="Normal 2 2 2 3 4 2 3" xfId="25361" xr:uid="{00000000-0005-0000-0000-00009C2E0000}"/>
    <cellStyle name="Normal 2 2 2 3 4 3" xfId="12954" xr:uid="{00000000-0005-0000-0000-00009D2E0000}"/>
    <cellStyle name="Normal 2 2 2 3 4 3 2" xfId="29492" xr:uid="{00000000-0005-0000-0000-00009E2E0000}"/>
    <cellStyle name="Normal 2 2 2 3 4 4" xfId="21449" xr:uid="{00000000-0005-0000-0000-00009F2E0000}"/>
    <cellStyle name="Normal 2 2 2 3 5" xfId="3512" xr:uid="{00000000-0005-0000-0000-0000A02E0000}"/>
    <cellStyle name="Normal 2 2 2 3 5 2" xfId="12955" xr:uid="{00000000-0005-0000-0000-0000A12E0000}"/>
    <cellStyle name="Normal 2 2 2 3 5 2 2" xfId="29493" xr:uid="{00000000-0005-0000-0000-0000A22E0000}"/>
    <cellStyle name="Normal 2 2 2 3 5 3" xfId="21450" xr:uid="{00000000-0005-0000-0000-0000A32E0000}"/>
    <cellStyle name="Normal 2 2 2 4" xfId="3513" xr:uid="{00000000-0005-0000-0000-0000A42E0000}"/>
    <cellStyle name="Normal 2 2 2 4 2" xfId="3514" xr:uid="{00000000-0005-0000-0000-0000A52E0000}"/>
    <cellStyle name="Normal 2 2 2 4 2 2" xfId="3515" xr:uid="{00000000-0005-0000-0000-0000A62E0000}"/>
    <cellStyle name="Normal 2 2 2 4 2 2 2" xfId="3516" xr:uid="{00000000-0005-0000-0000-0000A72E0000}"/>
    <cellStyle name="Normal 2 2 2 4 2 2 2 2" xfId="7657" xr:uid="{00000000-0005-0000-0000-0000A82E0000}"/>
    <cellStyle name="Normal 2 2 2 4 2 2 2 2 2" xfId="16835" xr:uid="{00000000-0005-0000-0000-0000A92E0000}"/>
    <cellStyle name="Normal 2 2 2 4 2 2 2 2 2 2" xfId="33409" xr:uid="{00000000-0005-0000-0000-0000AA2E0000}"/>
    <cellStyle name="Normal 2 2 2 4 2 2 2 2 3" xfId="25362" xr:uid="{00000000-0005-0000-0000-0000AB2E0000}"/>
    <cellStyle name="Normal 2 2 2 4 2 2 2 3" xfId="12959" xr:uid="{00000000-0005-0000-0000-0000AC2E0000}"/>
    <cellStyle name="Normal 2 2 2 4 2 2 2 3 2" xfId="29497" xr:uid="{00000000-0005-0000-0000-0000AD2E0000}"/>
    <cellStyle name="Normal 2 2 2 4 2 2 2 4" xfId="21454" xr:uid="{00000000-0005-0000-0000-0000AE2E0000}"/>
    <cellStyle name="Normal 2 2 2 4 2 2 3" xfId="7658" xr:uid="{00000000-0005-0000-0000-0000AF2E0000}"/>
    <cellStyle name="Normal 2 2 2 4 2 2 3 2" xfId="16836" xr:uid="{00000000-0005-0000-0000-0000B02E0000}"/>
    <cellStyle name="Normal 2 2 2 4 2 2 3 2 2" xfId="33410" xr:uid="{00000000-0005-0000-0000-0000B12E0000}"/>
    <cellStyle name="Normal 2 2 2 4 2 2 3 3" xfId="25363" xr:uid="{00000000-0005-0000-0000-0000B22E0000}"/>
    <cellStyle name="Normal 2 2 2 4 2 2 4" xfId="12958" xr:uid="{00000000-0005-0000-0000-0000B32E0000}"/>
    <cellStyle name="Normal 2 2 2 4 2 2 4 2" xfId="29496" xr:uid="{00000000-0005-0000-0000-0000B42E0000}"/>
    <cellStyle name="Normal 2 2 2 4 2 2 5" xfId="21453" xr:uid="{00000000-0005-0000-0000-0000B52E0000}"/>
    <cellStyle name="Normal 2 2 2 4 2 3" xfId="3517" xr:uid="{00000000-0005-0000-0000-0000B62E0000}"/>
    <cellStyle name="Normal 2 2 2 4 2 3 2" xfId="7659" xr:uid="{00000000-0005-0000-0000-0000B72E0000}"/>
    <cellStyle name="Normal 2 2 2 4 2 3 2 2" xfId="16837" xr:uid="{00000000-0005-0000-0000-0000B82E0000}"/>
    <cellStyle name="Normal 2 2 2 4 2 3 2 2 2" xfId="33411" xr:uid="{00000000-0005-0000-0000-0000B92E0000}"/>
    <cellStyle name="Normal 2 2 2 4 2 3 2 3" xfId="25364" xr:uid="{00000000-0005-0000-0000-0000BA2E0000}"/>
    <cellStyle name="Normal 2 2 2 4 2 3 3" xfId="12960" xr:uid="{00000000-0005-0000-0000-0000BB2E0000}"/>
    <cellStyle name="Normal 2 2 2 4 2 3 3 2" xfId="29498" xr:uid="{00000000-0005-0000-0000-0000BC2E0000}"/>
    <cellStyle name="Normal 2 2 2 4 2 3 4" xfId="21455" xr:uid="{00000000-0005-0000-0000-0000BD2E0000}"/>
    <cellStyle name="Normal 2 2 2 4 2 4" xfId="7660" xr:uid="{00000000-0005-0000-0000-0000BE2E0000}"/>
    <cellStyle name="Normal 2 2 2 4 2 4 2" xfId="16838" xr:uid="{00000000-0005-0000-0000-0000BF2E0000}"/>
    <cellStyle name="Normal 2 2 2 4 2 4 2 2" xfId="33412" xr:uid="{00000000-0005-0000-0000-0000C02E0000}"/>
    <cellStyle name="Normal 2 2 2 4 2 4 3" xfId="25365" xr:uid="{00000000-0005-0000-0000-0000C12E0000}"/>
    <cellStyle name="Normal 2 2 2 4 2 5" xfId="12957" xr:uid="{00000000-0005-0000-0000-0000C22E0000}"/>
    <cellStyle name="Normal 2 2 2 4 2 5 2" xfId="29495" xr:uid="{00000000-0005-0000-0000-0000C32E0000}"/>
    <cellStyle name="Normal 2 2 2 4 2 6" xfId="21452" xr:uid="{00000000-0005-0000-0000-0000C42E0000}"/>
    <cellStyle name="Normal 2 2 2 4 3" xfId="3518" xr:uid="{00000000-0005-0000-0000-0000C52E0000}"/>
    <cellStyle name="Normal 2 2 2 4 3 2" xfId="3519" xr:uid="{00000000-0005-0000-0000-0000C62E0000}"/>
    <cellStyle name="Normal 2 2 2 4 3 2 2" xfId="7661" xr:uid="{00000000-0005-0000-0000-0000C72E0000}"/>
    <cellStyle name="Normal 2 2 2 4 3 2 2 2" xfId="16839" xr:uid="{00000000-0005-0000-0000-0000C82E0000}"/>
    <cellStyle name="Normal 2 2 2 4 3 2 2 2 2" xfId="33413" xr:uid="{00000000-0005-0000-0000-0000C92E0000}"/>
    <cellStyle name="Normal 2 2 2 4 3 2 2 3" xfId="25366" xr:uid="{00000000-0005-0000-0000-0000CA2E0000}"/>
    <cellStyle name="Normal 2 2 2 4 3 2 3" xfId="12962" xr:uid="{00000000-0005-0000-0000-0000CB2E0000}"/>
    <cellStyle name="Normal 2 2 2 4 3 2 3 2" xfId="29500" xr:uid="{00000000-0005-0000-0000-0000CC2E0000}"/>
    <cellStyle name="Normal 2 2 2 4 3 2 4" xfId="21457" xr:uid="{00000000-0005-0000-0000-0000CD2E0000}"/>
    <cellStyle name="Normal 2 2 2 4 3 3" xfId="7662" xr:uid="{00000000-0005-0000-0000-0000CE2E0000}"/>
    <cellStyle name="Normal 2 2 2 4 3 3 2" xfId="16840" xr:uid="{00000000-0005-0000-0000-0000CF2E0000}"/>
    <cellStyle name="Normal 2 2 2 4 3 3 2 2" xfId="33414" xr:uid="{00000000-0005-0000-0000-0000D02E0000}"/>
    <cellStyle name="Normal 2 2 2 4 3 3 3" xfId="25367" xr:uid="{00000000-0005-0000-0000-0000D12E0000}"/>
    <cellStyle name="Normal 2 2 2 4 3 4" xfId="12961" xr:uid="{00000000-0005-0000-0000-0000D22E0000}"/>
    <cellStyle name="Normal 2 2 2 4 3 4 2" xfId="29499" xr:uid="{00000000-0005-0000-0000-0000D32E0000}"/>
    <cellStyle name="Normal 2 2 2 4 3 5" xfId="21456" xr:uid="{00000000-0005-0000-0000-0000D42E0000}"/>
    <cellStyle name="Normal 2 2 2 4 4" xfId="3520" xr:uid="{00000000-0005-0000-0000-0000D52E0000}"/>
    <cellStyle name="Normal 2 2 2 4 4 2" xfId="7663" xr:uid="{00000000-0005-0000-0000-0000D62E0000}"/>
    <cellStyle name="Normal 2 2 2 4 4 2 2" xfId="16841" xr:uid="{00000000-0005-0000-0000-0000D72E0000}"/>
    <cellStyle name="Normal 2 2 2 4 4 2 2 2" xfId="33415" xr:uid="{00000000-0005-0000-0000-0000D82E0000}"/>
    <cellStyle name="Normal 2 2 2 4 4 2 3" xfId="25368" xr:uid="{00000000-0005-0000-0000-0000D92E0000}"/>
    <cellStyle name="Normal 2 2 2 4 4 3" xfId="12963" xr:uid="{00000000-0005-0000-0000-0000DA2E0000}"/>
    <cellStyle name="Normal 2 2 2 4 4 3 2" xfId="29501" xr:uid="{00000000-0005-0000-0000-0000DB2E0000}"/>
    <cellStyle name="Normal 2 2 2 4 4 4" xfId="21458" xr:uid="{00000000-0005-0000-0000-0000DC2E0000}"/>
    <cellStyle name="Normal 2 2 2 4 5" xfId="7664" xr:uid="{00000000-0005-0000-0000-0000DD2E0000}"/>
    <cellStyle name="Normal 2 2 2 4 5 2" xfId="16842" xr:uid="{00000000-0005-0000-0000-0000DE2E0000}"/>
    <cellStyle name="Normal 2 2 2 4 5 2 2" xfId="33416" xr:uid="{00000000-0005-0000-0000-0000DF2E0000}"/>
    <cellStyle name="Normal 2 2 2 4 5 3" xfId="25369" xr:uid="{00000000-0005-0000-0000-0000E02E0000}"/>
    <cellStyle name="Normal 2 2 2 4 6" xfId="12956" xr:uid="{00000000-0005-0000-0000-0000E12E0000}"/>
    <cellStyle name="Normal 2 2 2 4 6 2" xfId="29494" xr:uid="{00000000-0005-0000-0000-0000E22E0000}"/>
    <cellStyle name="Normal 2 2 2 4 7" xfId="21451" xr:uid="{00000000-0005-0000-0000-0000E32E0000}"/>
    <cellStyle name="Normal 2 2 2 5" xfId="3521" xr:uid="{00000000-0005-0000-0000-0000E42E0000}"/>
    <cellStyle name="Normal 2 2 2 5 2" xfId="3522" xr:uid="{00000000-0005-0000-0000-0000E52E0000}"/>
    <cellStyle name="Normal 2 2 2 5 2 2" xfId="3523" xr:uid="{00000000-0005-0000-0000-0000E62E0000}"/>
    <cellStyle name="Normal 2 2 2 5 2 2 2" xfId="3524" xr:uid="{00000000-0005-0000-0000-0000E72E0000}"/>
    <cellStyle name="Normal 2 2 2 5 2 2 2 2" xfId="7665" xr:uid="{00000000-0005-0000-0000-0000E82E0000}"/>
    <cellStyle name="Normal 2 2 2 5 2 2 2 2 2" xfId="16843" xr:uid="{00000000-0005-0000-0000-0000E92E0000}"/>
    <cellStyle name="Normal 2 2 2 5 2 2 2 2 2 2" xfId="33417" xr:uid="{00000000-0005-0000-0000-0000EA2E0000}"/>
    <cellStyle name="Normal 2 2 2 5 2 2 2 2 3" xfId="25370" xr:uid="{00000000-0005-0000-0000-0000EB2E0000}"/>
    <cellStyle name="Normal 2 2 2 5 2 2 2 3" xfId="12967" xr:uid="{00000000-0005-0000-0000-0000EC2E0000}"/>
    <cellStyle name="Normal 2 2 2 5 2 2 2 3 2" xfId="29505" xr:uid="{00000000-0005-0000-0000-0000ED2E0000}"/>
    <cellStyle name="Normal 2 2 2 5 2 2 2 4" xfId="21462" xr:uid="{00000000-0005-0000-0000-0000EE2E0000}"/>
    <cellStyle name="Normal 2 2 2 5 2 2 3" xfId="7666" xr:uid="{00000000-0005-0000-0000-0000EF2E0000}"/>
    <cellStyle name="Normal 2 2 2 5 2 2 3 2" xfId="16844" xr:uid="{00000000-0005-0000-0000-0000F02E0000}"/>
    <cellStyle name="Normal 2 2 2 5 2 2 3 2 2" xfId="33418" xr:uid="{00000000-0005-0000-0000-0000F12E0000}"/>
    <cellStyle name="Normal 2 2 2 5 2 2 3 3" xfId="25371" xr:uid="{00000000-0005-0000-0000-0000F22E0000}"/>
    <cellStyle name="Normal 2 2 2 5 2 2 4" xfId="12966" xr:uid="{00000000-0005-0000-0000-0000F32E0000}"/>
    <cellStyle name="Normal 2 2 2 5 2 2 4 2" xfId="29504" xr:uid="{00000000-0005-0000-0000-0000F42E0000}"/>
    <cellStyle name="Normal 2 2 2 5 2 2 5" xfId="21461" xr:uid="{00000000-0005-0000-0000-0000F52E0000}"/>
    <cellStyle name="Normal 2 2 2 5 2 3" xfId="3525" xr:uid="{00000000-0005-0000-0000-0000F62E0000}"/>
    <cellStyle name="Normal 2 2 2 5 2 3 2" xfId="7667" xr:uid="{00000000-0005-0000-0000-0000F72E0000}"/>
    <cellStyle name="Normal 2 2 2 5 2 3 2 2" xfId="16845" xr:uid="{00000000-0005-0000-0000-0000F82E0000}"/>
    <cellStyle name="Normal 2 2 2 5 2 3 2 2 2" xfId="33419" xr:uid="{00000000-0005-0000-0000-0000F92E0000}"/>
    <cellStyle name="Normal 2 2 2 5 2 3 2 3" xfId="25372" xr:uid="{00000000-0005-0000-0000-0000FA2E0000}"/>
    <cellStyle name="Normal 2 2 2 5 2 3 3" xfId="12968" xr:uid="{00000000-0005-0000-0000-0000FB2E0000}"/>
    <cellStyle name="Normal 2 2 2 5 2 3 3 2" xfId="29506" xr:uid="{00000000-0005-0000-0000-0000FC2E0000}"/>
    <cellStyle name="Normal 2 2 2 5 2 3 4" xfId="21463" xr:uid="{00000000-0005-0000-0000-0000FD2E0000}"/>
    <cellStyle name="Normal 2 2 2 5 2 4" xfId="7668" xr:uid="{00000000-0005-0000-0000-0000FE2E0000}"/>
    <cellStyle name="Normal 2 2 2 5 2 4 2" xfId="16846" xr:uid="{00000000-0005-0000-0000-0000FF2E0000}"/>
    <cellStyle name="Normal 2 2 2 5 2 4 2 2" xfId="33420" xr:uid="{00000000-0005-0000-0000-0000002F0000}"/>
    <cellStyle name="Normal 2 2 2 5 2 4 3" xfId="25373" xr:uid="{00000000-0005-0000-0000-0000012F0000}"/>
    <cellStyle name="Normal 2 2 2 5 2 5" xfId="12965" xr:uid="{00000000-0005-0000-0000-0000022F0000}"/>
    <cellStyle name="Normal 2 2 2 5 2 5 2" xfId="29503" xr:uid="{00000000-0005-0000-0000-0000032F0000}"/>
    <cellStyle name="Normal 2 2 2 5 2 6" xfId="21460" xr:uid="{00000000-0005-0000-0000-0000042F0000}"/>
    <cellStyle name="Normal 2 2 2 5 3" xfId="3526" xr:uid="{00000000-0005-0000-0000-0000052F0000}"/>
    <cellStyle name="Normal 2 2 2 5 3 2" xfId="3527" xr:uid="{00000000-0005-0000-0000-0000062F0000}"/>
    <cellStyle name="Normal 2 2 2 5 3 2 2" xfId="7669" xr:uid="{00000000-0005-0000-0000-0000072F0000}"/>
    <cellStyle name="Normal 2 2 2 5 3 2 2 2" xfId="16847" xr:uid="{00000000-0005-0000-0000-0000082F0000}"/>
    <cellStyle name="Normal 2 2 2 5 3 2 2 2 2" xfId="33421" xr:uid="{00000000-0005-0000-0000-0000092F0000}"/>
    <cellStyle name="Normal 2 2 2 5 3 2 2 3" xfId="25374" xr:uid="{00000000-0005-0000-0000-00000A2F0000}"/>
    <cellStyle name="Normal 2 2 2 5 3 2 3" xfId="12970" xr:uid="{00000000-0005-0000-0000-00000B2F0000}"/>
    <cellStyle name="Normal 2 2 2 5 3 2 3 2" xfId="29508" xr:uid="{00000000-0005-0000-0000-00000C2F0000}"/>
    <cellStyle name="Normal 2 2 2 5 3 2 4" xfId="21465" xr:uid="{00000000-0005-0000-0000-00000D2F0000}"/>
    <cellStyle name="Normal 2 2 2 5 3 3" xfId="7670" xr:uid="{00000000-0005-0000-0000-00000E2F0000}"/>
    <cellStyle name="Normal 2 2 2 5 3 3 2" xfId="16848" xr:uid="{00000000-0005-0000-0000-00000F2F0000}"/>
    <cellStyle name="Normal 2 2 2 5 3 3 2 2" xfId="33422" xr:uid="{00000000-0005-0000-0000-0000102F0000}"/>
    <cellStyle name="Normal 2 2 2 5 3 3 3" xfId="25375" xr:uid="{00000000-0005-0000-0000-0000112F0000}"/>
    <cellStyle name="Normal 2 2 2 5 3 4" xfId="12969" xr:uid="{00000000-0005-0000-0000-0000122F0000}"/>
    <cellStyle name="Normal 2 2 2 5 3 4 2" xfId="29507" xr:uid="{00000000-0005-0000-0000-0000132F0000}"/>
    <cellStyle name="Normal 2 2 2 5 3 5" xfId="21464" xr:uid="{00000000-0005-0000-0000-0000142F0000}"/>
    <cellStyle name="Normal 2 2 2 5 4" xfId="3528" xr:uid="{00000000-0005-0000-0000-0000152F0000}"/>
    <cellStyle name="Normal 2 2 2 5 4 2" xfId="7671" xr:uid="{00000000-0005-0000-0000-0000162F0000}"/>
    <cellStyle name="Normal 2 2 2 5 4 2 2" xfId="16849" xr:uid="{00000000-0005-0000-0000-0000172F0000}"/>
    <cellStyle name="Normal 2 2 2 5 4 2 2 2" xfId="33423" xr:uid="{00000000-0005-0000-0000-0000182F0000}"/>
    <cellStyle name="Normal 2 2 2 5 4 2 3" xfId="25376" xr:uid="{00000000-0005-0000-0000-0000192F0000}"/>
    <cellStyle name="Normal 2 2 2 5 4 3" xfId="12971" xr:uid="{00000000-0005-0000-0000-00001A2F0000}"/>
    <cellStyle name="Normal 2 2 2 5 4 3 2" xfId="29509" xr:uid="{00000000-0005-0000-0000-00001B2F0000}"/>
    <cellStyle name="Normal 2 2 2 5 4 4" xfId="21466" xr:uid="{00000000-0005-0000-0000-00001C2F0000}"/>
    <cellStyle name="Normal 2 2 2 5 5" xfId="7672" xr:uid="{00000000-0005-0000-0000-00001D2F0000}"/>
    <cellStyle name="Normal 2 2 2 5 5 2" xfId="16850" xr:uid="{00000000-0005-0000-0000-00001E2F0000}"/>
    <cellStyle name="Normal 2 2 2 5 5 2 2" xfId="33424" xr:uid="{00000000-0005-0000-0000-00001F2F0000}"/>
    <cellStyle name="Normal 2 2 2 5 5 3" xfId="25377" xr:uid="{00000000-0005-0000-0000-0000202F0000}"/>
    <cellStyle name="Normal 2 2 2 5 6" xfId="12964" xr:uid="{00000000-0005-0000-0000-0000212F0000}"/>
    <cellStyle name="Normal 2 2 2 5 6 2" xfId="29502" xr:uid="{00000000-0005-0000-0000-0000222F0000}"/>
    <cellStyle name="Normal 2 2 2 5 7" xfId="21459" xr:uid="{00000000-0005-0000-0000-0000232F0000}"/>
    <cellStyle name="Normal 2 2 2 6" xfId="3529" xr:uid="{00000000-0005-0000-0000-0000242F0000}"/>
    <cellStyle name="Normal 2 2 2 6 2" xfId="3530" xr:uid="{00000000-0005-0000-0000-0000252F0000}"/>
    <cellStyle name="Normal 2 2 2 6 2 2" xfId="3531" xr:uid="{00000000-0005-0000-0000-0000262F0000}"/>
    <cellStyle name="Normal 2 2 2 6 2 2 2" xfId="7673" xr:uid="{00000000-0005-0000-0000-0000272F0000}"/>
    <cellStyle name="Normal 2 2 2 6 2 2 2 2" xfId="16851" xr:uid="{00000000-0005-0000-0000-0000282F0000}"/>
    <cellStyle name="Normal 2 2 2 6 2 2 2 2 2" xfId="33425" xr:uid="{00000000-0005-0000-0000-0000292F0000}"/>
    <cellStyle name="Normal 2 2 2 6 2 2 2 3" xfId="25378" xr:uid="{00000000-0005-0000-0000-00002A2F0000}"/>
    <cellStyle name="Normal 2 2 2 6 2 2 3" xfId="12974" xr:uid="{00000000-0005-0000-0000-00002B2F0000}"/>
    <cellStyle name="Normal 2 2 2 6 2 2 3 2" xfId="29512" xr:uid="{00000000-0005-0000-0000-00002C2F0000}"/>
    <cellStyle name="Normal 2 2 2 6 2 2 4" xfId="21469" xr:uid="{00000000-0005-0000-0000-00002D2F0000}"/>
    <cellStyle name="Normal 2 2 2 6 2 3" xfId="7674" xr:uid="{00000000-0005-0000-0000-00002E2F0000}"/>
    <cellStyle name="Normal 2 2 2 6 2 3 2" xfId="16852" xr:uid="{00000000-0005-0000-0000-00002F2F0000}"/>
    <cellStyle name="Normal 2 2 2 6 2 3 2 2" xfId="33426" xr:uid="{00000000-0005-0000-0000-0000302F0000}"/>
    <cellStyle name="Normal 2 2 2 6 2 3 3" xfId="25379" xr:uid="{00000000-0005-0000-0000-0000312F0000}"/>
    <cellStyle name="Normal 2 2 2 6 2 4" xfId="12973" xr:uid="{00000000-0005-0000-0000-0000322F0000}"/>
    <cellStyle name="Normal 2 2 2 6 2 4 2" xfId="29511" xr:uid="{00000000-0005-0000-0000-0000332F0000}"/>
    <cellStyle name="Normal 2 2 2 6 2 5" xfId="21468" xr:uid="{00000000-0005-0000-0000-0000342F0000}"/>
    <cellStyle name="Normal 2 2 2 6 3" xfId="3532" xr:uid="{00000000-0005-0000-0000-0000352F0000}"/>
    <cellStyle name="Normal 2 2 2 6 3 2" xfId="7675" xr:uid="{00000000-0005-0000-0000-0000362F0000}"/>
    <cellStyle name="Normal 2 2 2 6 3 2 2" xfId="16853" xr:uid="{00000000-0005-0000-0000-0000372F0000}"/>
    <cellStyle name="Normal 2 2 2 6 3 2 2 2" xfId="33427" xr:uid="{00000000-0005-0000-0000-0000382F0000}"/>
    <cellStyle name="Normal 2 2 2 6 3 2 3" xfId="25380" xr:uid="{00000000-0005-0000-0000-0000392F0000}"/>
    <cellStyle name="Normal 2 2 2 6 3 3" xfId="12975" xr:uid="{00000000-0005-0000-0000-00003A2F0000}"/>
    <cellStyle name="Normal 2 2 2 6 3 3 2" xfId="29513" xr:uid="{00000000-0005-0000-0000-00003B2F0000}"/>
    <cellStyle name="Normal 2 2 2 6 3 4" xfId="21470" xr:uid="{00000000-0005-0000-0000-00003C2F0000}"/>
    <cellStyle name="Normal 2 2 2 6 4" xfId="7676" xr:uid="{00000000-0005-0000-0000-00003D2F0000}"/>
    <cellStyle name="Normal 2 2 2 6 4 2" xfId="16854" xr:uid="{00000000-0005-0000-0000-00003E2F0000}"/>
    <cellStyle name="Normal 2 2 2 6 4 2 2" xfId="33428" xr:uid="{00000000-0005-0000-0000-00003F2F0000}"/>
    <cellStyle name="Normal 2 2 2 6 4 3" xfId="25381" xr:uid="{00000000-0005-0000-0000-0000402F0000}"/>
    <cellStyle name="Normal 2 2 2 6 5" xfId="12972" xr:uid="{00000000-0005-0000-0000-0000412F0000}"/>
    <cellStyle name="Normal 2 2 2 6 5 2" xfId="29510" xr:uid="{00000000-0005-0000-0000-0000422F0000}"/>
    <cellStyle name="Normal 2 2 2 6 6" xfId="21467" xr:uid="{00000000-0005-0000-0000-0000432F0000}"/>
    <cellStyle name="Normal 2 2 2 7" xfId="3533" xr:uid="{00000000-0005-0000-0000-0000442F0000}"/>
    <cellStyle name="Normal 2 2 2 7 2" xfId="3534" xr:uid="{00000000-0005-0000-0000-0000452F0000}"/>
    <cellStyle name="Normal 2 2 2 7 2 2" xfId="7677" xr:uid="{00000000-0005-0000-0000-0000462F0000}"/>
    <cellStyle name="Normal 2 2 2 7 2 2 2" xfId="16855" xr:uid="{00000000-0005-0000-0000-0000472F0000}"/>
    <cellStyle name="Normal 2 2 2 7 2 2 2 2" xfId="33429" xr:uid="{00000000-0005-0000-0000-0000482F0000}"/>
    <cellStyle name="Normal 2 2 2 7 2 2 3" xfId="25382" xr:uid="{00000000-0005-0000-0000-0000492F0000}"/>
    <cellStyle name="Normal 2 2 2 7 2 3" xfId="12977" xr:uid="{00000000-0005-0000-0000-00004A2F0000}"/>
    <cellStyle name="Normal 2 2 2 7 2 3 2" xfId="29515" xr:uid="{00000000-0005-0000-0000-00004B2F0000}"/>
    <cellStyle name="Normal 2 2 2 7 2 4" xfId="21472" xr:uid="{00000000-0005-0000-0000-00004C2F0000}"/>
    <cellStyle name="Normal 2 2 2 7 3" xfId="7678" xr:uid="{00000000-0005-0000-0000-00004D2F0000}"/>
    <cellStyle name="Normal 2 2 2 7 3 2" xfId="16856" xr:uid="{00000000-0005-0000-0000-00004E2F0000}"/>
    <cellStyle name="Normal 2 2 2 7 3 2 2" xfId="33430" xr:uid="{00000000-0005-0000-0000-00004F2F0000}"/>
    <cellStyle name="Normal 2 2 2 7 3 3" xfId="25383" xr:uid="{00000000-0005-0000-0000-0000502F0000}"/>
    <cellStyle name="Normal 2 2 2 7 4" xfId="12976" xr:uid="{00000000-0005-0000-0000-0000512F0000}"/>
    <cellStyle name="Normal 2 2 2 7 4 2" xfId="29514" xr:uid="{00000000-0005-0000-0000-0000522F0000}"/>
    <cellStyle name="Normal 2 2 2 7 5" xfId="21471" xr:uid="{00000000-0005-0000-0000-0000532F0000}"/>
    <cellStyle name="Normal 2 2 2 8" xfId="3535" xr:uid="{00000000-0005-0000-0000-0000542F0000}"/>
    <cellStyle name="Normal 2 2 2 8 2" xfId="7679" xr:uid="{00000000-0005-0000-0000-0000552F0000}"/>
    <cellStyle name="Normal 2 2 2 8 2 2" xfId="16857" xr:uid="{00000000-0005-0000-0000-0000562F0000}"/>
    <cellStyle name="Normal 2 2 2 8 2 2 2" xfId="33431" xr:uid="{00000000-0005-0000-0000-0000572F0000}"/>
    <cellStyle name="Normal 2 2 2 8 2 3" xfId="25384" xr:uid="{00000000-0005-0000-0000-0000582F0000}"/>
    <cellStyle name="Normal 2 2 2 8 3" xfId="12978" xr:uid="{00000000-0005-0000-0000-0000592F0000}"/>
    <cellStyle name="Normal 2 2 2 8 3 2" xfId="29516" xr:uid="{00000000-0005-0000-0000-00005A2F0000}"/>
    <cellStyle name="Normal 2 2 2 8 4" xfId="21473" xr:uid="{00000000-0005-0000-0000-00005B2F0000}"/>
    <cellStyle name="Normal 2 2 2 9" xfId="7680" xr:uid="{00000000-0005-0000-0000-00005C2F0000}"/>
    <cellStyle name="Normal 2 2 2 9 2" xfId="16858" xr:uid="{00000000-0005-0000-0000-00005D2F0000}"/>
    <cellStyle name="Normal 2 2 2 9 2 2" xfId="33432" xr:uid="{00000000-0005-0000-0000-00005E2F0000}"/>
    <cellStyle name="Normal 2 2 2 9 3" xfId="25385" xr:uid="{00000000-0005-0000-0000-00005F2F0000}"/>
    <cellStyle name="Normal 2 2 3" xfId="4" xr:uid="{00000000-0005-0000-0000-0000602F0000}"/>
    <cellStyle name="Normal 2 2 3 10" xfId="10401" xr:uid="{00000000-0005-0000-0000-0000612F0000}"/>
    <cellStyle name="Normal 2 2 3 11" xfId="3536" xr:uid="{00000000-0005-0000-0000-0000622F0000}"/>
    <cellStyle name="Normal 2 2 3 11 2" xfId="29517" xr:uid="{00000000-0005-0000-0000-0000632F0000}"/>
    <cellStyle name="Normal 2 2 3 12" xfId="21474" xr:uid="{00000000-0005-0000-0000-0000642F0000}"/>
    <cellStyle name="Normal 2 2 3 13" xfId="36194" xr:uid="{00000000-0005-0000-0000-0000652F0000}"/>
    <cellStyle name="Normal 2 2 3 2" xfId="208" xr:uid="{00000000-0005-0000-0000-0000662F0000}"/>
    <cellStyle name="Normal 2 2 3 2 2" xfId="3538" xr:uid="{00000000-0005-0000-0000-0000672F0000}"/>
    <cellStyle name="Normal 2 2 3 2 3" xfId="3537" xr:uid="{00000000-0005-0000-0000-0000682F0000}"/>
    <cellStyle name="Normal 2 2 3 2 3 2" xfId="29518" xr:uid="{00000000-0005-0000-0000-0000692F0000}"/>
    <cellStyle name="Normal 2 2 3 2 4" xfId="21475" xr:uid="{00000000-0005-0000-0000-00006A2F0000}"/>
    <cellStyle name="Normal 2 2 3 3" xfId="3539" xr:uid="{00000000-0005-0000-0000-00006B2F0000}"/>
    <cellStyle name="Normal 2 2 3 3 2" xfId="3540" xr:uid="{00000000-0005-0000-0000-00006C2F0000}"/>
    <cellStyle name="Normal 2 2 3 3 2 2" xfId="3541" xr:uid="{00000000-0005-0000-0000-00006D2F0000}"/>
    <cellStyle name="Normal 2 2 3 3 2 2 2" xfId="3542" xr:uid="{00000000-0005-0000-0000-00006E2F0000}"/>
    <cellStyle name="Normal 2 2 3 3 2 2 2 2" xfId="7681" xr:uid="{00000000-0005-0000-0000-00006F2F0000}"/>
    <cellStyle name="Normal 2 2 3 3 2 2 2 2 2" xfId="16859" xr:uid="{00000000-0005-0000-0000-0000702F0000}"/>
    <cellStyle name="Normal 2 2 3 3 2 2 2 2 2 2" xfId="33433" xr:uid="{00000000-0005-0000-0000-0000712F0000}"/>
    <cellStyle name="Normal 2 2 3 3 2 2 2 2 3" xfId="25386" xr:uid="{00000000-0005-0000-0000-0000722F0000}"/>
    <cellStyle name="Normal 2 2 3 3 2 2 2 3" xfId="12981" xr:uid="{00000000-0005-0000-0000-0000732F0000}"/>
    <cellStyle name="Normal 2 2 3 3 2 2 2 3 2" xfId="29521" xr:uid="{00000000-0005-0000-0000-0000742F0000}"/>
    <cellStyle name="Normal 2 2 3 3 2 2 2 4" xfId="21478" xr:uid="{00000000-0005-0000-0000-0000752F0000}"/>
    <cellStyle name="Normal 2 2 3 3 2 2 3" xfId="7682" xr:uid="{00000000-0005-0000-0000-0000762F0000}"/>
    <cellStyle name="Normal 2 2 3 3 2 2 3 2" xfId="16860" xr:uid="{00000000-0005-0000-0000-0000772F0000}"/>
    <cellStyle name="Normal 2 2 3 3 2 2 3 2 2" xfId="33434" xr:uid="{00000000-0005-0000-0000-0000782F0000}"/>
    <cellStyle name="Normal 2 2 3 3 2 2 3 3" xfId="25387" xr:uid="{00000000-0005-0000-0000-0000792F0000}"/>
    <cellStyle name="Normal 2 2 3 3 2 2 4" xfId="12980" xr:uid="{00000000-0005-0000-0000-00007A2F0000}"/>
    <cellStyle name="Normal 2 2 3 3 2 2 4 2" xfId="29520" xr:uid="{00000000-0005-0000-0000-00007B2F0000}"/>
    <cellStyle name="Normal 2 2 3 3 2 2 5" xfId="21477" xr:uid="{00000000-0005-0000-0000-00007C2F0000}"/>
    <cellStyle name="Normal 2 2 3 3 2 3" xfId="3543" xr:uid="{00000000-0005-0000-0000-00007D2F0000}"/>
    <cellStyle name="Normal 2 2 3 3 2 3 2" xfId="7683" xr:uid="{00000000-0005-0000-0000-00007E2F0000}"/>
    <cellStyle name="Normal 2 2 3 3 2 3 2 2" xfId="16861" xr:uid="{00000000-0005-0000-0000-00007F2F0000}"/>
    <cellStyle name="Normal 2 2 3 3 2 3 2 2 2" xfId="33435" xr:uid="{00000000-0005-0000-0000-0000802F0000}"/>
    <cellStyle name="Normal 2 2 3 3 2 3 2 3" xfId="25388" xr:uid="{00000000-0005-0000-0000-0000812F0000}"/>
    <cellStyle name="Normal 2 2 3 3 2 3 3" xfId="12982" xr:uid="{00000000-0005-0000-0000-0000822F0000}"/>
    <cellStyle name="Normal 2 2 3 3 2 3 3 2" xfId="29522" xr:uid="{00000000-0005-0000-0000-0000832F0000}"/>
    <cellStyle name="Normal 2 2 3 3 2 3 4" xfId="21479" xr:uid="{00000000-0005-0000-0000-0000842F0000}"/>
    <cellStyle name="Normal 2 2 3 3 2 4" xfId="7684" xr:uid="{00000000-0005-0000-0000-0000852F0000}"/>
    <cellStyle name="Normal 2 2 3 3 2 4 2" xfId="16862" xr:uid="{00000000-0005-0000-0000-0000862F0000}"/>
    <cellStyle name="Normal 2 2 3 3 2 4 2 2" xfId="33436" xr:uid="{00000000-0005-0000-0000-0000872F0000}"/>
    <cellStyle name="Normal 2 2 3 3 2 4 3" xfId="25389" xr:uid="{00000000-0005-0000-0000-0000882F0000}"/>
    <cellStyle name="Normal 2 2 3 3 2 5" xfId="12979" xr:uid="{00000000-0005-0000-0000-0000892F0000}"/>
    <cellStyle name="Normal 2 2 3 3 2 5 2" xfId="29519" xr:uid="{00000000-0005-0000-0000-00008A2F0000}"/>
    <cellStyle name="Normal 2 2 3 3 2 6" xfId="21476" xr:uid="{00000000-0005-0000-0000-00008B2F0000}"/>
    <cellStyle name="Normal 2 2 3 3 3" xfId="3544" xr:uid="{00000000-0005-0000-0000-00008C2F0000}"/>
    <cellStyle name="Normal 2 2 3 3 3 2" xfId="3545" xr:uid="{00000000-0005-0000-0000-00008D2F0000}"/>
    <cellStyle name="Normal 2 2 3 3 3 2 2" xfId="7685" xr:uid="{00000000-0005-0000-0000-00008E2F0000}"/>
    <cellStyle name="Normal 2 2 3 3 3 2 2 2" xfId="16863" xr:uid="{00000000-0005-0000-0000-00008F2F0000}"/>
    <cellStyle name="Normal 2 2 3 3 3 2 2 2 2" xfId="33437" xr:uid="{00000000-0005-0000-0000-0000902F0000}"/>
    <cellStyle name="Normal 2 2 3 3 3 2 2 3" xfId="25390" xr:uid="{00000000-0005-0000-0000-0000912F0000}"/>
    <cellStyle name="Normal 2 2 3 3 3 2 3" xfId="12984" xr:uid="{00000000-0005-0000-0000-0000922F0000}"/>
    <cellStyle name="Normal 2 2 3 3 3 2 3 2" xfId="29524" xr:uid="{00000000-0005-0000-0000-0000932F0000}"/>
    <cellStyle name="Normal 2 2 3 3 3 2 4" xfId="21481" xr:uid="{00000000-0005-0000-0000-0000942F0000}"/>
    <cellStyle name="Normal 2 2 3 3 3 3" xfId="7686" xr:uid="{00000000-0005-0000-0000-0000952F0000}"/>
    <cellStyle name="Normal 2 2 3 3 3 3 2" xfId="16864" xr:uid="{00000000-0005-0000-0000-0000962F0000}"/>
    <cellStyle name="Normal 2 2 3 3 3 3 2 2" xfId="33438" xr:uid="{00000000-0005-0000-0000-0000972F0000}"/>
    <cellStyle name="Normal 2 2 3 3 3 3 3" xfId="25391" xr:uid="{00000000-0005-0000-0000-0000982F0000}"/>
    <cellStyle name="Normal 2 2 3 3 3 4" xfId="12983" xr:uid="{00000000-0005-0000-0000-0000992F0000}"/>
    <cellStyle name="Normal 2 2 3 3 3 4 2" xfId="29523" xr:uid="{00000000-0005-0000-0000-00009A2F0000}"/>
    <cellStyle name="Normal 2 2 3 3 3 5" xfId="21480" xr:uid="{00000000-0005-0000-0000-00009B2F0000}"/>
    <cellStyle name="Normal 2 2 3 3 4" xfId="3546" xr:uid="{00000000-0005-0000-0000-00009C2F0000}"/>
    <cellStyle name="Normal 2 2 3 3 4 2" xfId="7687" xr:uid="{00000000-0005-0000-0000-00009D2F0000}"/>
    <cellStyle name="Normal 2 2 3 3 4 2 2" xfId="16865" xr:uid="{00000000-0005-0000-0000-00009E2F0000}"/>
    <cellStyle name="Normal 2 2 3 3 4 2 2 2" xfId="33439" xr:uid="{00000000-0005-0000-0000-00009F2F0000}"/>
    <cellStyle name="Normal 2 2 3 3 4 2 3" xfId="25392" xr:uid="{00000000-0005-0000-0000-0000A02F0000}"/>
    <cellStyle name="Normal 2 2 3 3 4 3" xfId="12985" xr:uid="{00000000-0005-0000-0000-0000A12F0000}"/>
    <cellStyle name="Normal 2 2 3 3 4 3 2" xfId="29525" xr:uid="{00000000-0005-0000-0000-0000A22F0000}"/>
    <cellStyle name="Normal 2 2 3 3 4 4" xfId="21482" xr:uid="{00000000-0005-0000-0000-0000A32F0000}"/>
    <cellStyle name="Normal 2 2 3 3 5" xfId="3547" xr:uid="{00000000-0005-0000-0000-0000A42F0000}"/>
    <cellStyle name="Normal 2 2 3 3 5 2" xfId="12986" xr:uid="{00000000-0005-0000-0000-0000A52F0000}"/>
    <cellStyle name="Normal 2 2 3 3 5 2 2" xfId="29526" xr:uid="{00000000-0005-0000-0000-0000A62F0000}"/>
    <cellStyle name="Normal 2 2 3 3 5 3" xfId="21483" xr:uid="{00000000-0005-0000-0000-0000A72F0000}"/>
    <cellStyle name="Normal 2 2 3 4" xfId="3548" xr:uid="{00000000-0005-0000-0000-0000A82F0000}"/>
    <cellStyle name="Normal 2 2 3 4 2" xfId="3549" xr:uid="{00000000-0005-0000-0000-0000A92F0000}"/>
    <cellStyle name="Normal 2 2 3 4 2 2" xfId="3550" xr:uid="{00000000-0005-0000-0000-0000AA2F0000}"/>
    <cellStyle name="Normal 2 2 3 4 2 2 2" xfId="3551" xr:uid="{00000000-0005-0000-0000-0000AB2F0000}"/>
    <cellStyle name="Normal 2 2 3 4 2 2 2 2" xfId="7688" xr:uid="{00000000-0005-0000-0000-0000AC2F0000}"/>
    <cellStyle name="Normal 2 2 3 4 2 2 2 2 2" xfId="16866" xr:uid="{00000000-0005-0000-0000-0000AD2F0000}"/>
    <cellStyle name="Normal 2 2 3 4 2 2 2 2 2 2" xfId="33440" xr:uid="{00000000-0005-0000-0000-0000AE2F0000}"/>
    <cellStyle name="Normal 2 2 3 4 2 2 2 2 3" xfId="25393" xr:uid="{00000000-0005-0000-0000-0000AF2F0000}"/>
    <cellStyle name="Normal 2 2 3 4 2 2 2 3" xfId="12990" xr:uid="{00000000-0005-0000-0000-0000B02F0000}"/>
    <cellStyle name="Normal 2 2 3 4 2 2 2 3 2" xfId="29530" xr:uid="{00000000-0005-0000-0000-0000B12F0000}"/>
    <cellStyle name="Normal 2 2 3 4 2 2 2 4" xfId="21487" xr:uid="{00000000-0005-0000-0000-0000B22F0000}"/>
    <cellStyle name="Normal 2 2 3 4 2 2 3" xfId="7689" xr:uid="{00000000-0005-0000-0000-0000B32F0000}"/>
    <cellStyle name="Normal 2 2 3 4 2 2 3 2" xfId="16867" xr:uid="{00000000-0005-0000-0000-0000B42F0000}"/>
    <cellStyle name="Normal 2 2 3 4 2 2 3 2 2" xfId="33441" xr:uid="{00000000-0005-0000-0000-0000B52F0000}"/>
    <cellStyle name="Normal 2 2 3 4 2 2 3 3" xfId="25394" xr:uid="{00000000-0005-0000-0000-0000B62F0000}"/>
    <cellStyle name="Normal 2 2 3 4 2 2 4" xfId="12989" xr:uid="{00000000-0005-0000-0000-0000B72F0000}"/>
    <cellStyle name="Normal 2 2 3 4 2 2 4 2" xfId="29529" xr:uid="{00000000-0005-0000-0000-0000B82F0000}"/>
    <cellStyle name="Normal 2 2 3 4 2 2 5" xfId="21486" xr:uid="{00000000-0005-0000-0000-0000B92F0000}"/>
    <cellStyle name="Normal 2 2 3 4 2 3" xfId="3552" xr:uid="{00000000-0005-0000-0000-0000BA2F0000}"/>
    <cellStyle name="Normal 2 2 3 4 2 3 2" xfId="7690" xr:uid="{00000000-0005-0000-0000-0000BB2F0000}"/>
    <cellStyle name="Normal 2 2 3 4 2 3 2 2" xfId="16868" xr:uid="{00000000-0005-0000-0000-0000BC2F0000}"/>
    <cellStyle name="Normal 2 2 3 4 2 3 2 2 2" xfId="33442" xr:uid="{00000000-0005-0000-0000-0000BD2F0000}"/>
    <cellStyle name="Normal 2 2 3 4 2 3 2 3" xfId="25395" xr:uid="{00000000-0005-0000-0000-0000BE2F0000}"/>
    <cellStyle name="Normal 2 2 3 4 2 3 3" xfId="12991" xr:uid="{00000000-0005-0000-0000-0000BF2F0000}"/>
    <cellStyle name="Normal 2 2 3 4 2 3 3 2" xfId="29531" xr:uid="{00000000-0005-0000-0000-0000C02F0000}"/>
    <cellStyle name="Normal 2 2 3 4 2 3 4" xfId="21488" xr:uid="{00000000-0005-0000-0000-0000C12F0000}"/>
    <cellStyle name="Normal 2 2 3 4 2 4" xfId="7691" xr:uid="{00000000-0005-0000-0000-0000C22F0000}"/>
    <cellStyle name="Normal 2 2 3 4 2 4 2" xfId="16869" xr:uid="{00000000-0005-0000-0000-0000C32F0000}"/>
    <cellStyle name="Normal 2 2 3 4 2 4 2 2" xfId="33443" xr:uid="{00000000-0005-0000-0000-0000C42F0000}"/>
    <cellStyle name="Normal 2 2 3 4 2 4 3" xfId="25396" xr:uid="{00000000-0005-0000-0000-0000C52F0000}"/>
    <cellStyle name="Normal 2 2 3 4 2 5" xfId="12988" xr:uid="{00000000-0005-0000-0000-0000C62F0000}"/>
    <cellStyle name="Normal 2 2 3 4 2 5 2" xfId="29528" xr:uid="{00000000-0005-0000-0000-0000C72F0000}"/>
    <cellStyle name="Normal 2 2 3 4 2 6" xfId="21485" xr:uid="{00000000-0005-0000-0000-0000C82F0000}"/>
    <cellStyle name="Normal 2 2 3 4 3" xfId="3553" xr:uid="{00000000-0005-0000-0000-0000C92F0000}"/>
    <cellStyle name="Normal 2 2 3 4 3 2" xfId="3554" xr:uid="{00000000-0005-0000-0000-0000CA2F0000}"/>
    <cellStyle name="Normal 2 2 3 4 3 2 2" xfId="7692" xr:uid="{00000000-0005-0000-0000-0000CB2F0000}"/>
    <cellStyle name="Normal 2 2 3 4 3 2 2 2" xfId="16870" xr:uid="{00000000-0005-0000-0000-0000CC2F0000}"/>
    <cellStyle name="Normal 2 2 3 4 3 2 2 2 2" xfId="33444" xr:uid="{00000000-0005-0000-0000-0000CD2F0000}"/>
    <cellStyle name="Normal 2 2 3 4 3 2 2 3" xfId="25397" xr:uid="{00000000-0005-0000-0000-0000CE2F0000}"/>
    <cellStyle name="Normal 2 2 3 4 3 2 3" xfId="12993" xr:uid="{00000000-0005-0000-0000-0000CF2F0000}"/>
    <cellStyle name="Normal 2 2 3 4 3 2 3 2" xfId="29533" xr:uid="{00000000-0005-0000-0000-0000D02F0000}"/>
    <cellStyle name="Normal 2 2 3 4 3 2 4" xfId="21490" xr:uid="{00000000-0005-0000-0000-0000D12F0000}"/>
    <cellStyle name="Normal 2 2 3 4 3 3" xfId="7693" xr:uid="{00000000-0005-0000-0000-0000D22F0000}"/>
    <cellStyle name="Normal 2 2 3 4 3 3 2" xfId="16871" xr:uid="{00000000-0005-0000-0000-0000D32F0000}"/>
    <cellStyle name="Normal 2 2 3 4 3 3 2 2" xfId="33445" xr:uid="{00000000-0005-0000-0000-0000D42F0000}"/>
    <cellStyle name="Normal 2 2 3 4 3 3 3" xfId="25398" xr:uid="{00000000-0005-0000-0000-0000D52F0000}"/>
    <cellStyle name="Normal 2 2 3 4 3 4" xfId="12992" xr:uid="{00000000-0005-0000-0000-0000D62F0000}"/>
    <cellStyle name="Normal 2 2 3 4 3 4 2" xfId="29532" xr:uid="{00000000-0005-0000-0000-0000D72F0000}"/>
    <cellStyle name="Normal 2 2 3 4 3 5" xfId="21489" xr:uid="{00000000-0005-0000-0000-0000D82F0000}"/>
    <cellStyle name="Normal 2 2 3 4 4" xfId="3555" xr:uid="{00000000-0005-0000-0000-0000D92F0000}"/>
    <cellStyle name="Normal 2 2 3 4 4 2" xfId="7694" xr:uid="{00000000-0005-0000-0000-0000DA2F0000}"/>
    <cellStyle name="Normal 2 2 3 4 4 2 2" xfId="16872" xr:uid="{00000000-0005-0000-0000-0000DB2F0000}"/>
    <cellStyle name="Normal 2 2 3 4 4 2 2 2" xfId="33446" xr:uid="{00000000-0005-0000-0000-0000DC2F0000}"/>
    <cellStyle name="Normal 2 2 3 4 4 2 3" xfId="25399" xr:uid="{00000000-0005-0000-0000-0000DD2F0000}"/>
    <cellStyle name="Normal 2 2 3 4 4 3" xfId="12994" xr:uid="{00000000-0005-0000-0000-0000DE2F0000}"/>
    <cellStyle name="Normal 2 2 3 4 4 3 2" xfId="29534" xr:uid="{00000000-0005-0000-0000-0000DF2F0000}"/>
    <cellStyle name="Normal 2 2 3 4 4 4" xfId="21491" xr:uid="{00000000-0005-0000-0000-0000E02F0000}"/>
    <cellStyle name="Normal 2 2 3 4 5" xfId="7695" xr:uid="{00000000-0005-0000-0000-0000E12F0000}"/>
    <cellStyle name="Normal 2 2 3 4 5 2" xfId="16873" xr:uid="{00000000-0005-0000-0000-0000E22F0000}"/>
    <cellStyle name="Normal 2 2 3 4 5 2 2" xfId="33447" xr:uid="{00000000-0005-0000-0000-0000E32F0000}"/>
    <cellStyle name="Normal 2 2 3 4 5 3" xfId="25400" xr:uid="{00000000-0005-0000-0000-0000E42F0000}"/>
    <cellStyle name="Normal 2 2 3 4 6" xfId="12987" xr:uid="{00000000-0005-0000-0000-0000E52F0000}"/>
    <cellStyle name="Normal 2 2 3 4 6 2" xfId="29527" xr:uid="{00000000-0005-0000-0000-0000E62F0000}"/>
    <cellStyle name="Normal 2 2 3 4 7" xfId="21484" xr:uid="{00000000-0005-0000-0000-0000E72F0000}"/>
    <cellStyle name="Normal 2 2 3 5" xfId="3556" xr:uid="{00000000-0005-0000-0000-0000E82F0000}"/>
    <cellStyle name="Normal 2 2 3 5 2" xfId="3557" xr:uid="{00000000-0005-0000-0000-0000E92F0000}"/>
    <cellStyle name="Normal 2 2 3 5 2 2" xfId="3558" xr:uid="{00000000-0005-0000-0000-0000EA2F0000}"/>
    <cellStyle name="Normal 2 2 3 5 2 2 2" xfId="3559" xr:uid="{00000000-0005-0000-0000-0000EB2F0000}"/>
    <cellStyle name="Normal 2 2 3 5 2 2 2 2" xfId="7696" xr:uid="{00000000-0005-0000-0000-0000EC2F0000}"/>
    <cellStyle name="Normal 2 2 3 5 2 2 2 2 2" xfId="16874" xr:uid="{00000000-0005-0000-0000-0000ED2F0000}"/>
    <cellStyle name="Normal 2 2 3 5 2 2 2 2 2 2" xfId="33448" xr:uid="{00000000-0005-0000-0000-0000EE2F0000}"/>
    <cellStyle name="Normal 2 2 3 5 2 2 2 2 3" xfId="25401" xr:uid="{00000000-0005-0000-0000-0000EF2F0000}"/>
    <cellStyle name="Normal 2 2 3 5 2 2 2 3" xfId="12998" xr:uid="{00000000-0005-0000-0000-0000F02F0000}"/>
    <cellStyle name="Normal 2 2 3 5 2 2 2 3 2" xfId="29538" xr:uid="{00000000-0005-0000-0000-0000F12F0000}"/>
    <cellStyle name="Normal 2 2 3 5 2 2 2 4" xfId="21495" xr:uid="{00000000-0005-0000-0000-0000F22F0000}"/>
    <cellStyle name="Normal 2 2 3 5 2 2 3" xfId="7697" xr:uid="{00000000-0005-0000-0000-0000F32F0000}"/>
    <cellStyle name="Normal 2 2 3 5 2 2 3 2" xfId="16875" xr:uid="{00000000-0005-0000-0000-0000F42F0000}"/>
    <cellStyle name="Normal 2 2 3 5 2 2 3 2 2" xfId="33449" xr:uid="{00000000-0005-0000-0000-0000F52F0000}"/>
    <cellStyle name="Normal 2 2 3 5 2 2 3 3" xfId="25402" xr:uid="{00000000-0005-0000-0000-0000F62F0000}"/>
    <cellStyle name="Normal 2 2 3 5 2 2 4" xfId="12997" xr:uid="{00000000-0005-0000-0000-0000F72F0000}"/>
    <cellStyle name="Normal 2 2 3 5 2 2 4 2" xfId="29537" xr:uid="{00000000-0005-0000-0000-0000F82F0000}"/>
    <cellStyle name="Normal 2 2 3 5 2 2 5" xfId="21494" xr:uid="{00000000-0005-0000-0000-0000F92F0000}"/>
    <cellStyle name="Normal 2 2 3 5 2 3" xfId="3560" xr:uid="{00000000-0005-0000-0000-0000FA2F0000}"/>
    <cellStyle name="Normal 2 2 3 5 2 3 2" xfId="7698" xr:uid="{00000000-0005-0000-0000-0000FB2F0000}"/>
    <cellStyle name="Normal 2 2 3 5 2 3 2 2" xfId="16876" xr:uid="{00000000-0005-0000-0000-0000FC2F0000}"/>
    <cellStyle name="Normal 2 2 3 5 2 3 2 2 2" xfId="33450" xr:uid="{00000000-0005-0000-0000-0000FD2F0000}"/>
    <cellStyle name="Normal 2 2 3 5 2 3 2 3" xfId="25403" xr:uid="{00000000-0005-0000-0000-0000FE2F0000}"/>
    <cellStyle name="Normal 2 2 3 5 2 3 3" xfId="12999" xr:uid="{00000000-0005-0000-0000-0000FF2F0000}"/>
    <cellStyle name="Normal 2 2 3 5 2 3 3 2" xfId="29539" xr:uid="{00000000-0005-0000-0000-000000300000}"/>
    <cellStyle name="Normal 2 2 3 5 2 3 4" xfId="21496" xr:uid="{00000000-0005-0000-0000-000001300000}"/>
    <cellStyle name="Normal 2 2 3 5 2 4" xfId="7699" xr:uid="{00000000-0005-0000-0000-000002300000}"/>
    <cellStyle name="Normal 2 2 3 5 2 4 2" xfId="16877" xr:uid="{00000000-0005-0000-0000-000003300000}"/>
    <cellStyle name="Normal 2 2 3 5 2 4 2 2" xfId="33451" xr:uid="{00000000-0005-0000-0000-000004300000}"/>
    <cellStyle name="Normal 2 2 3 5 2 4 3" xfId="25404" xr:uid="{00000000-0005-0000-0000-000005300000}"/>
    <cellStyle name="Normal 2 2 3 5 2 5" xfId="12996" xr:uid="{00000000-0005-0000-0000-000006300000}"/>
    <cellStyle name="Normal 2 2 3 5 2 5 2" xfId="29536" xr:uid="{00000000-0005-0000-0000-000007300000}"/>
    <cellStyle name="Normal 2 2 3 5 2 6" xfId="21493" xr:uid="{00000000-0005-0000-0000-000008300000}"/>
    <cellStyle name="Normal 2 2 3 5 3" xfId="3561" xr:uid="{00000000-0005-0000-0000-000009300000}"/>
    <cellStyle name="Normal 2 2 3 5 3 2" xfId="3562" xr:uid="{00000000-0005-0000-0000-00000A300000}"/>
    <cellStyle name="Normal 2 2 3 5 3 2 2" xfId="7700" xr:uid="{00000000-0005-0000-0000-00000B300000}"/>
    <cellStyle name="Normal 2 2 3 5 3 2 2 2" xfId="16878" xr:uid="{00000000-0005-0000-0000-00000C300000}"/>
    <cellStyle name="Normal 2 2 3 5 3 2 2 2 2" xfId="33452" xr:uid="{00000000-0005-0000-0000-00000D300000}"/>
    <cellStyle name="Normal 2 2 3 5 3 2 2 3" xfId="25405" xr:uid="{00000000-0005-0000-0000-00000E300000}"/>
    <cellStyle name="Normal 2 2 3 5 3 2 3" xfId="13001" xr:uid="{00000000-0005-0000-0000-00000F300000}"/>
    <cellStyle name="Normal 2 2 3 5 3 2 3 2" xfId="29541" xr:uid="{00000000-0005-0000-0000-000010300000}"/>
    <cellStyle name="Normal 2 2 3 5 3 2 4" xfId="21498" xr:uid="{00000000-0005-0000-0000-000011300000}"/>
    <cellStyle name="Normal 2 2 3 5 3 3" xfId="7701" xr:uid="{00000000-0005-0000-0000-000012300000}"/>
    <cellStyle name="Normal 2 2 3 5 3 3 2" xfId="16879" xr:uid="{00000000-0005-0000-0000-000013300000}"/>
    <cellStyle name="Normal 2 2 3 5 3 3 2 2" xfId="33453" xr:uid="{00000000-0005-0000-0000-000014300000}"/>
    <cellStyle name="Normal 2 2 3 5 3 3 3" xfId="25406" xr:uid="{00000000-0005-0000-0000-000015300000}"/>
    <cellStyle name="Normal 2 2 3 5 3 4" xfId="13000" xr:uid="{00000000-0005-0000-0000-000016300000}"/>
    <cellStyle name="Normal 2 2 3 5 3 4 2" xfId="29540" xr:uid="{00000000-0005-0000-0000-000017300000}"/>
    <cellStyle name="Normal 2 2 3 5 3 5" xfId="21497" xr:uid="{00000000-0005-0000-0000-000018300000}"/>
    <cellStyle name="Normal 2 2 3 5 4" xfId="3563" xr:uid="{00000000-0005-0000-0000-000019300000}"/>
    <cellStyle name="Normal 2 2 3 5 4 2" xfId="7702" xr:uid="{00000000-0005-0000-0000-00001A300000}"/>
    <cellStyle name="Normal 2 2 3 5 4 2 2" xfId="16880" xr:uid="{00000000-0005-0000-0000-00001B300000}"/>
    <cellStyle name="Normal 2 2 3 5 4 2 2 2" xfId="33454" xr:uid="{00000000-0005-0000-0000-00001C300000}"/>
    <cellStyle name="Normal 2 2 3 5 4 2 3" xfId="25407" xr:uid="{00000000-0005-0000-0000-00001D300000}"/>
    <cellStyle name="Normal 2 2 3 5 4 3" xfId="13002" xr:uid="{00000000-0005-0000-0000-00001E300000}"/>
    <cellStyle name="Normal 2 2 3 5 4 3 2" xfId="29542" xr:uid="{00000000-0005-0000-0000-00001F300000}"/>
    <cellStyle name="Normal 2 2 3 5 4 4" xfId="21499" xr:uid="{00000000-0005-0000-0000-000020300000}"/>
    <cellStyle name="Normal 2 2 3 5 5" xfId="7703" xr:uid="{00000000-0005-0000-0000-000021300000}"/>
    <cellStyle name="Normal 2 2 3 5 5 2" xfId="16881" xr:uid="{00000000-0005-0000-0000-000022300000}"/>
    <cellStyle name="Normal 2 2 3 5 5 2 2" xfId="33455" xr:uid="{00000000-0005-0000-0000-000023300000}"/>
    <cellStyle name="Normal 2 2 3 5 5 3" xfId="25408" xr:uid="{00000000-0005-0000-0000-000024300000}"/>
    <cellStyle name="Normal 2 2 3 5 6" xfId="12995" xr:uid="{00000000-0005-0000-0000-000025300000}"/>
    <cellStyle name="Normal 2 2 3 5 6 2" xfId="29535" xr:uid="{00000000-0005-0000-0000-000026300000}"/>
    <cellStyle name="Normal 2 2 3 5 7" xfId="21492" xr:uid="{00000000-0005-0000-0000-000027300000}"/>
    <cellStyle name="Normal 2 2 3 6" xfId="3564" xr:uid="{00000000-0005-0000-0000-000028300000}"/>
    <cellStyle name="Normal 2 2 3 6 2" xfId="3565" xr:uid="{00000000-0005-0000-0000-000029300000}"/>
    <cellStyle name="Normal 2 2 3 6 2 2" xfId="3566" xr:uid="{00000000-0005-0000-0000-00002A300000}"/>
    <cellStyle name="Normal 2 2 3 6 2 2 2" xfId="7704" xr:uid="{00000000-0005-0000-0000-00002B300000}"/>
    <cellStyle name="Normal 2 2 3 6 2 2 2 2" xfId="16882" xr:uid="{00000000-0005-0000-0000-00002C300000}"/>
    <cellStyle name="Normal 2 2 3 6 2 2 2 2 2" xfId="33456" xr:uid="{00000000-0005-0000-0000-00002D300000}"/>
    <cellStyle name="Normal 2 2 3 6 2 2 2 3" xfId="25409" xr:uid="{00000000-0005-0000-0000-00002E300000}"/>
    <cellStyle name="Normal 2 2 3 6 2 2 3" xfId="13005" xr:uid="{00000000-0005-0000-0000-00002F300000}"/>
    <cellStyle name="Normal 2 2 3 6 2 2 3 2" xfId="29545" xr:uid="{00000000-0005-0000-0000-000030300000}"/>
    <cellStyle name="Normal 2 2 3 6 2 2 4" xfId="21502" xr:uid="{00000000-0005-0000-0000-000031300000}"/>
    <cellStyle name="Normal 2 2 3 6 2 3" xfId="7705" xr:uid="{00000000-0005-0000-0000-000032300000}"/>
    <cellStyle name="Normal 2 2 3 6 2 3 2" xfId="16883" xr:uid="{00000000-0005-0000-0000-000033300000}"/>
    <cellStyle name="Normal 2 2 3 6 2 3 2 2" xfId="33457" xr:uid="{00000000-0005-0000-0000-000034300000}"/>
    <cellStyle name="Normal 2 2 3 6 2 3 3" xfId="25410" xr:uid="{00000000-0005-0000-0000-000035300000}"/>
    <cellStyle name="Normal 2 2 3 6 2 4" xfId="13004" xr:uid="{00000000-0005-0000-0000-000036300000}"/>
    <cellStyle name="Normal 2 2 3 6 2 4 2" xfId="29544" xr:uid="{00000000-0005-0000-0000-000037300000}"/>
    <cellStyle name="Normal 2 2 3 6 2 5" xfId="21501" xr:uid="{00000000-0005-0000-0000-000038300000}"/>
    <cellStyle name="Normal 2 2 3 6 3" xfId="3567" xr:uid="{00000000-0005-0000-0000-000039300000}"/>
    <cellStyle name="Normal 2 2 3 6 3 2" xfId="7706" xr:uid="{00000000-0005-0000-0000-00003A300000}"/>
    <cellStyle name="Normal 2 2 3 6 3 2 2" xfId="16884" xr:uid="{00000000-0005-0000-0000-00003B300000}"/>
    <cellStyle name="Normal 2 2 3 6 3 2 2 2" xfId="33458" xr:uid="{00000000-0005-0000-0000-00003C300000}"/>
    <cellStyle name="Normal 2 2 3 6 3 2 3" xfId="25411" xr:uid="{00000000-0005-0000-0000-00003D300000}"/>
    <cellStyle name="Normal 2 2 3 6 3 3" xfId="13006" xr:uid="{00000000-0005-0000-0000-00003E300000}"/>
    <cellStyle name="Normal 2 2 3 6 3 3 2" xfId="29546" xr:uid="{00000000-0005-0000-0000-00003F300000}"/>
    <cellStyle name="Normal 2 2 3 6 3 4" xfId="21503" xr:uid="{00000000-0005-0000-0000-000040300000}"/>
    <cellStyle name="Normal 2 2 3 6 4" xfId="7707" xr:uid="{00000000-0005-0000-0000-000041300000}"/>
    <cellStyle name="Normal 2 2 3 6 4 2" xfId="16885" xr:uid="{00000000-0005-0000-0000-000042300000}"/>
    <cellStyle name="Normal 2 2 3 6 4 2 2" xfId="33459" xr:uid="{00000000-0005-0000-0000-000043300000}"/>
    <cellStyle name="Normal 2 2 3 6 4 3" xfId="25412" xr:uid="{00000000-0005-0000-0000-000044300000}"/>
    <cellStyle name="Normal 2 2 3 6 5" xfId="13003" xr:uid="{00000000-0005-0000-0000-000045300000}"/>
    <cellStyle name="Normal 2 2 3 6 5 2" xfId="29543" xr:uid="{00000000-0005-0000-0000-000046300000}"/>
    <cellStyle name="Normal 2 2 3 6 6" xfId="21500" xr:uid="{00000000-0005-0000-0000-000047300000}"/>
    <cellStyle name="Normal 2 2 3 7" xfId="3568" xr:uid="{00000000-0005-0000-0000-000048300000}"/>
    <cellStyle name="Normal 2 2 3 7 2" xfId="3569" xr:uid="{00000000-0005-0000-0000-000049300000}"/>
    <cellStyle name="Normal 2 2 3 7 2 2" xfId="7708" xr:uid="{00000000-0005-0000-0000-00004A300000}"/>
    <cellStyle name="Normal 2 2 3 7 2 2 2" xfId="16886" xr:uid="{00000000-0005-0000-0000-00004B300000}"/>
    <cellStyle name="Normal 2 2 3 7 2 2 2 2" xfId="33460" xr:uid="{00000000-0005-0000-0000-00004C300000}"/>
    <cellStyle name="Normal 2 2 3 7 2 2 3" xfId="25413" xr:uid="{00000000-0005-0000-0000-00004D300000}"/>
    <cellStyle name="Normal 2 2 3 7 2 3" xfId="13008" xr:uid="{00000000-0005-0000-0000-00004E300000}"/>
    <cellStyle name="Normal 2 2 3 7 2 3 2" xfId="29548" xr:uid="{00000000-0005-0000-0000-00004F300000}"/>
    <cellStyle name="Normal 2 2 3 7 2 4" xfId="21505" xr:uid="{00000000-0005-0000-0000-000050300000}"/>
    <cellStyle name="Normal 2 2 3 7 3" xfId="7709" xr:uid="{00000000-0005-0000-0000-000051300000}"/>
    <cellStyle name="Normal 2 2 3 7 3 2" xfId="16887" xr:uid="{00000000-0005-0000-0000-000052300000}"/>
    <cellStyle name="Normal 2 2 3 7 3 2 2" xfId="33461" xr:uid="{00000000-0005-0000-0000-000053300000}"/>
    <cellStyle name="Normal 2 2 3 7 3 3" xfId="25414" xr:uid="{00000000-0005-0000-0000-000054300000}"/>
    <cellStyle name="Normal 2 2 3 7 4" xfId="13007" xr:uid="{00000000-0005-0000-0000-000055300000}"/>
    <cellStyle name="Normal 2 2 3 7 4 2" xfId="29547" xr:uid="{00000000-0005-0000-0000-000056300000}"/>
    <cellStyle name="Normal 2 2 3 7 5" xfId="21504" xr:uid="{00000000-0005-0000-0000-000057300000}"/>
    <cellStyle name="Normal 2 2 3 8" xfId="3570" xr:uid="{00000000-0005-0000-0000-000058300000}"/>
    <cellStyle name="Normal 2 2 3 8 2" xfId="7710" xr:uid="{00000000-0005-0000-0000-000059300000}"/>
    <cellStyle name="Normal 2 2 3 8 2 2" xfId="16888" xr:uid="{00000000-0005-0000-0000-00005A300000}"/>
    <cellStyle name="Normal 2 2 3 8 2 2 2" xfId="33462" xr:uid="{00000000-0005-0000-0000-00005B300000}"/>
    <cellStyle name="Normal 2 2 3 8 2 3" xfId="25415" xr:uid="{00000000-0005-0000-0000-00005C300000}"/>
    <cellStyle name="Normal 2 2 3 8 3" xfId="13009" xr:uid="{00000000-0005-0000-0000-00005D300000}"/>
    <cellStyle name="Normal 2 2 3 8 3 2" xfId="29549" xr:uid="{00000000-0005-0000-0000-00005E300000}"/>
    <cellStyle name="Normal 2 2 3 8 4" xfId="21506" xr:uid="{00000000-0005-0000-0000-00005F300000}"/>
    <cellStyle name="Normal 2 2 3 9" xfId="7711" xr:uid="{00000000-0005-0000-0000-000060300000}"/>
    <cellStyle name="Normal 2 2 3 9 2" xfId="16889" xr:uid="{00000000-0005-0000-0000-000061300000}"/>
    <cellStyle name="Normal 2 2 3 9 2 2" xfId="33463" xr:uid="{00000000-0005-0000-0000-000062300000}"/>
    <cellStyle name="Normal 2 2 3 9 3" xfId="25416" xr:uid="{00000000-0005-0000-0000-000063300000}"/>
    <cellStyle name="Normal 2 2 4" xfId="209" xr:uid="{00000000-0005-0000-0000-000064300000}"/>
    <cellStyle name="Normal 2 2 4 2" xfId="210" xr:uid="{00000000-0005-0000-0000-000065300000}"/>
    <cellStyle name="Normal 2 2 4 2 2" xfId="3571" xr:uid="{00000000-0005-0000-0000-000066300000}"/>
    <cellStyle name="Normal 2 2 5" xfId="211" xr:uid="{00000000-0005-0000-0000-000067300000}"/>
    <cellStyle name="Normal 2 2 5 2" xfId="3573" xr:uid="{00000000-0005-0000-0000-000068300000}"/>
    <cellStyle name="Normal 2 2 5 2 2" xfId="3574" xr:uid="{00000000-0005-0000-0000-000069300000}"/>
    <cellStyle name="Normal 2 2 5 2 2 2" xfId="3575" xr:uid="{00000000-0005-0000-0000-00006A300000}"/>
    <cellStyle name="Normal 2 2 5 2 2 2 2" xfId="7712" xr:uid="{00000000-0005-0000-0000-00006B300000}"/>
    <cellStyle name="Normal 2 2 5 2 2 2 2 2" xfId="16890" xr:uid="{00000000-0005-0000-0000-00006C300000}"/>
    <cellStyle name="Normal 2 2 5 2 2 2 2 2 2" xfId="33464" xr:uid="{00000000-0005-0000-0000-00006D300000}"/>
    <cellStyle name="Normal 2 2 5 2 2 2 2 3" xfId="25417" xr:uid="{00000000-0005-0000-0000-00006E300000}"/>
    <cellStyle name="Normal 2 2 5 2 2 2 3" xfId="13012" xr:uid="{00000000-0005-0000-0000-00006F300000}"/>
    <cellStyle name="Normal 2 2 5 2 2 2 3 2" xfId="29553" xr:uid="{00000000-0005-0000-0000-000070300000}"/>
    <cellStyle name="Normal 2 2 5 2 2 2 4" xfId="21510" xr:uid="{00000000-0005-0000-0000-000071300000}"/>
    <cellStyle name="Normal 2 2 5 2 2 3" xfId="7713" xr:uid="{00000000-0005-0000-0000-000072300000}"/>
    <cellStyle name="Normal 2 2 5 2 2 3 2" xfId="16891" xr:uid="{00000000-0005-0000-0000-000073300000}"/>
    <cellStyle name="Normal 2 2 5 2 2 3 2 2" xfId="33465" xr:uid="{00000000-0005-0000-0000-000074300000}"/>
    <cellStyle name="Normal 2 2 5 2 2 3 3" xfId="25418" xr:uid="{00000000-0005-0000-0000-000075300000}"/>
    <cellStyle name="Normal 2 2 5 2 2 4" xfId="13011" xr:uid="{00000000-0005-0000-0000-000076300000}"/>
    <cellStyle name="Normal 2 2 5 2 2 4 2" xfId="29552" xr:uid="{00000000-0005-0000-0000-000077300000}"/>
    <cellStyle name="Normal 2 2 5 2 2 5" xfId="21509" xr:uid="{00000000-0005-0000-0000-000078300000}"/>
    <cellStyle name="Normal 2 2 5 2 3" xfId="3576" xr:uid="{00000000-0005-0000-0000-000079300000}"/>
    <cellStyle name="Normal 2 2 5 2 3 2" xfId="7714" xr:uid="{00000000-0005-0000-0000-00007A300000}"/>
    <cellStyle name="Normal 2 2 5 2 3 2 2" xfId="16892" xr:uid="{00000000-0005-0000-0000-00007B300000}"/>
    <cellStyle name="Normal 2 2 5 2 3 2 2 2" xfId="33466" xr:uid="{00000000-0005-0000-0000-00007C300000}"/>
    <cellStyle name="Normal 2 2 5 2 3 2 3" xfId="25419" xr:uid="{00000000-0005-0000-0000-00007D300000}"/>
    <cellStyle name="Normal 2 2 5 2 3 3" xfId="13013" xr:uid="{00000000-0005-0000-0000-00007E300000}"/>
    <cellStyle name="Normal 2 2 5 2 3 3 2" xfId="29554" xr:uid="{00000000-0005-0000-0000-00007F300000}"/>
    <cellStyle name="Normal 2 2 5 2 3 4" xfId="21511" xr:uid="{00000000-0005-0000-0000-000080300000}"/>
    <cellStyle name="Normal 2 2 5 2 4" xfId="7715" xr:uid="{00000000-0005-0000-0000-000081300000}"/>
    <cellStyle name="Normal 2 2 5 2 4 2" xfId="16893" xr:uid="{00000000-0005-0000-0000-000082300000}"/>
    <cellStyle name="Normal 2 2 5 2 4 2 2" xfId="33467" xr:uid="{00000000-0005-0000-0000-000083300000}"/>
    <cellStyle name="Normal 2 2 5 2 4 3" xfId="25420" xr:uid="{00000000-0005-0000-0000-000084300000}"/>
    <cellStyle name="Normal 2 2 5 2 5" xfId="13010" xr:uid="{00000000-0005-0000-0000-000085300000}"/>
    <cellStyle name="Normal 2 2 5 2 5 2" xfId="29551" xr:uid="{00000000-0005-0000-0000-000086300000}"/>
    <cellStyle name="Normal 2 2 5 2 6" xfId="21508" xr:uid="{00000000-0005-0000-0000-000087300000}"/>
    <cellStyle name="Normal 2 2 5 3" xfId="3577" xr:uid="{00000000-0005-0000-0000-000088300000}"/>
    <cellStyle name="Normal 2 2 5 3 2" xfId="3578" xr:uid="{00000000-0005-0000-0000-000089300000}"/>
    <cellStyle name="Normal 2 2 5 3 2 2" xfId="7716" xr:uid="{00000000-0005-0000-0000-00008A300000}"/>
    <cellStyle name="Normal 2 2 5 3 2 2 2" xfId="16894" xr:uid="{00000000-0005-0000-0000-00008B300000}"/>
    <cellStyle name="Normal 2 2 5 3 2 2 2 2" xfId="33468" xr:uid="{00000000-0005-0000-0000-00008C300000}"/>
    <cellStyle name="Normal 2 2 5 3 2 2 3" xfId="25421" xr:uid="{00000000-0005-0000-0000-00008D300000}"/>
    <cellStyle name="Normal 2 2 5 3 2 3" xfId="13015" xr:uid="{00000000-0005-0000-0000-00008E300000}"/>
    <cellStyle name="Normal 2 2 5 3 2 3 2" xfId="29556" xr:uid="{00000000-0005-0000-0000-00008F300000}"/>
    <cellStyle name="Normal 2 2 5 3 2 4" xfId="21513" xr:uid="{00000000-0005-0000-0000-000090300000}"/>
    <cellStyle name="Normal 2 2 5 3 3" xfId="7717" xr:uid="{00000000-0005-0000-0000-000091300000}"/>
    <cellStyle name="Normal 2 2 5 3 3 2" xfId="16895" xr:uid="{00000000-0005-0000-0000-000092300000}"/>
    <cellStyle name="Normal 2 2 5 3 3 2 2" xfId="33469" xr:uid="{00000000-0005-0000-0000-000093300000}"/>
    <cellStyle name="Normal 2 2 5 3 3 3" xfId="25422" xr:uid="{00000000-0005-0000-0000-000094300000}"/>
    <cellStyle name="Normal 2 2 5 3 4" xfId="13014" xr:uid="{00000000-0005-0000-0000-000095300000}"/>
    <cellStyle name="Normal 2 2 5 3 4 2" xfId="29555" xr:uid="{00000000-0005-0000-0000-000096300000}"/>
    <cellStyle name="Normal 2 2 5 3 5" xfId="21512" xr:uid="{00000000-0005-0000-0000-000097300000}"/>
    <cellStyle name="Normal 2 2 5 4" xfId="3579" xr:uid="{00000000-0005-0000-0000-000098300000}"/>
    <cellStyle name="Normal 2 2 5 4 2" xfId="7718" xr:uid="{00000000-0005-0000-0000-000099300000}"/>
    <cellStyle name="Normal 2 2 5 4 2 2" xfId="16896" xr:uid="{00000000-0005-0000-0000-00009A300000}"/>
    <cellStyle name="Normal 2 2 5 4 2 2 2" xfId="33470" xr:uid="{00000000-0005-0000-0000-00009B300000}"/>
    <cellStyle name="Normal 2 2 5 4 2 3" xfId="25423" xr:uid="{00000000-0005-0000-0000-00009C300000}"/>
    <cellStyle name="Normal 2 2 5 4 3" xfId="13016" xr:uid="{00000000-0005-0000-0000-00009D300000}"/>
    <cellStyle name="Normal 2 2 5 4 3 2" xfId="29557" xr:uid="{00000000-0005-0000-0000-00009E300000}"/>
    <cellStyle name="Normal 2 2 5 4 4" xfId="21514" xr:uid="{00000000-0005-0000-0000-00009F300000}"/>
    <cellStyle name="Normal 2 2 5 5" xfId="7719" xr:uid="{00000000-0005-0000-0000-0000A0300000}"/>
    <cellStyle name="Normal 2 2 5 5 2" xfId="16897" xr:uid="{00000000-0005-0000-0000-0000A1300000}"/>
    <cellStyle name="Normal 2 2 5 5 2 2" xfId="33471" xr:uid="{00000000-0005-0000-0000-0000A2300000}"/>
    <cellStyle name="Normal 2 2 5 5 3" xfId="25424" xr:uid="{00000000-0005-0000-0000-0000A3300000}"/>
    <cellStyle name="Normal 2 2 5 6" xfId="3572" xr:uid="{00000000-0005-0000-0000-0000A4300000}"/>
    <cellStyle name="Normal 2 2 5 6 2" xfId="29550" xr:uid="{00000000-0005-0000-0000-0000A5300000}"/>
    <cellStyle name="Normal 2 2 5 7" xfId="21507" xr:uid="{00000000-0005-0000-0000-0000A6300000}"/>
    <cellStyle name="Normal 2 2 6" xfId="375" xr:uid="{00000000-0005-0000-0000-0000A7300000}"/>
    <cellStyle name="Normal 2 2 6 2" xfId="3581" xr:uid="{00000000-0005-0000-0000-0000A8300000}"/>
    <cellStyle name="Normal 2 2 6 2 2" xfId="3582" xr:uid="{00000000-0005-0000-0000-0000A9300000}"/>
    <cellStyle name="Normal 2 2 6 2 2 2" xfId="3583" xr:uid="{00000000-0005-0000-0000-0000AA300000}"/>
    <cellStyle name="Normal 2 2 6 2 2 2 2" xfId="7720" xr:uid="{00000000-0005-0000-0000-0000AB300000}"/>
    <cellStyle name="Normal 2 2 6 2 2 2 2 2" xfId="16898" xr:uid="{00000000-0005-0000-0000-0000AC300000}"/>
    <cellStyle name="Normal 2 2 6 2 2 2 2 2 2" xfId="33472" xr:uid="{00000000-0005-0000-0000-0000AD300000}"/>
    <cellStyle name="Normal 2 2 6 2 2 2 2 3" xfId="25425" xr:uid="{00000000-0005-0000-0000-0000AE300000}"/>
    <cellStyle name="Normal 2 2 6 2 2 2 3" xfId="13019" xr:uid="{00000000-0005-0000-0000-0000AF300000}"/>
    <cellStyle name="Normal 2 2 6 2 2 2 3 2" xfId="29560" xr:uid="{00000000-0005-0000-0000-0000B0300000}"/>
    <cellStyle name="Normal 2 2 6 2 2 2 4" xfId="21517" xr:uid="{00000000-0005-0000-0000-0000B1300000}"/>
    <cellStyle name="Normal 2 2 6 2 2 3" xfId="7721" xr:uid="{00000000-0005-0000-0000-0000B2300000}"/>
    <cellStyle name="Normal 2 2 6 2 2 3 2" xfId="16899" xr:uid="{00000000-0005-0000-0000-0000B3300000}"/>
    <cellStyle name="Normal 2 2 6 2 2 3 2 2" xfId="33473" xr:uid="{00000000-0005-0000-0000-0000B4300000}"/>
    <cellStyle name="Normal 2 2 6 2 2 3 3" xfId="25426" xr:uid="{00000000-0005-0000-0000-0000B5300000}"/>
    <cellStyle name="Normal 2 2 6 2 2 4" xfId="13018" xr:uid="{00000000-0005-0000-0000-0000B6300000}"/>
    <cellStyle name="Normal 2 2 6 2 2 4 2" xfId="29559" xr:uid="{00000000-0005-0000-0000-0000B7300000}"/>
    <cellStyle name="Normal 2 2 6 2 2 5" xfId="21516" xr:uid="{00000000-0005-0000-0000-0000B8300000}"/>
    <cellStyle name="Normal 2 2 6 2 3" xfId="3584" xr:uid="{00000000-0005-0000-0000-0000B9300000}"/>
    <cellStyle name="Normal 2 2 6 2 3 2" xfId="7722" xr:uid="{00000000-0005-0000-0000-0000BA300000}"/>
    <cellStyle name="Normal 2 2 6 2 3 2 2" xfId="16900" xr:uid="{00000000-0005-0000-0000-0000BB300000}"/>
    <cellStyle name="Normal 2 2 6 2 3 2 2 2" xfId="33474" xr:uid="{00000000-0005-0000-0000-0000BC300000}"/>
    <cellStyle name="Normal 2 2 6 2 3 2 3" xfId="25427" xr:uid="{00000000-0005-0000-0000-0000BD300000}"/>
    <cellStyle name="Normal 2 2 6 2 3 3" xfId="13020" xr:uid="{00000000-0005-0000-0000-0000BE300000}"/>
    <cellStyle name="Normal 2 2 6 2 3 3 2" xfId="29561" xr:uid="{00000000-0005-0000-0000-0000BF300000}"/>
    <cellStyle name="Normal 2 2 6 2 3 4" xfId="21518" xr:uid="{00000000-0005-0000-0000-0000C0300000}"/>
    <cellStyle name="Normal 2 2 6 2 4" xfId="7723" xr:uid="{00000000-0005-0000-0000-0000C1300000}"/>
    <cellStyle name="Normal 2 2 6 2 4 2" xfId="16901" xr:uid="{00000000-0005-0000-0000-0000C2300000}"/>
    <cellStyle name="Normal 2 2 6 2 4 2 2" xfId="33475" xr:uid="{00000000-0005-0000-0000-0000C3300000}"/>
    <cellStyle name="Normal 2 2 6 2 4 3" xfId="25428" xr:uid="{00000000-0005-0000-0000-0000C4300000}"/>
    <cellStyle name="Normal 2 2 6 2 5" xfId="13017" xr:uid="{00000000-0005-0000-0000-0000C5300000}"/>
    <cellStyle name="Normal 2 2 6 2 5 2" xfId="29558" xr:uid="{00000000-0005-0000-0000-0000C6300000}"/>
    <cellStyle name="Normal 2 2 6 2 6" xfId="21515" xr:uid="{00000000-0005-0000-0000-0000C7300000}"/>
    <cellStyle name="Normal 2 2 6 3" xfId="3585" xr:uid="{00000000-0005-0000-0000-0000C8300000}"/>
    <cellStyle name="Normal 2 2 6 3 2" xfId="3586" xr:uid="{00000000-0005-0000-0000-0000C9300000}"/>
    <cellStyle name="Normal 2 2 6 3 2 2" xfId="7724" xr:uid="{00000000-0005-0000-0000-0000CA300000}"/>
    <cellStyle name="Normal 2 2 6 3 2 2 2" xfId="16902" xr:uid="{00000000-0005-0000-0000-0000CB300000}"/>
    <cellStyle name="Normal 2 2 6 3 2 2 2 2" xfId="33476" xr:uid="{00000000-0005-0000-0000-0000CC300000}"/>
    <cellStyle name="Normal 2 2 6 3 2 2 3" xfId="25429" xr:uid="{00000000-0005-0000-0000-0000CD300000}"/>
    <cellStyle name="Normal 2 2 6 3 2 3" xfId="13022" xr:uid="{00000000-0005-0000-0000-0000CE300000}"/>
    <cellStyle name="Normal 2 2 6 3 2 3 2" xfId="29563" xr:uid="{00000000-0005-0000-0000-0000CF300000}"/>
    <cellStyle name="Normal 2 2 6 3 2 4" xfId="21520" xr:uid="{00000000-0005-0000-0000-0000D0300000}"/>
    <cellStyle name="Normal 2 2 6 3 3" xfId="7725" xr:uid="{00000000-0005-0000-0000-0000D1300000}"/>
    <cellStyle name="Normal 2 2 6 3 3 2" xfId="16903" xr:uid="{00000000-0005-0000-0000-0000D2300000}"/>
    <cellStyle name="Normal 2 2 6 3 3 2 2" xfId="33477" xr:uid="{00000000-0005-0000-0000-0000D3300000}"/>
    <cellStyle name="Normal 2 2 6 3 3 3" xfId="25430" xr:uid="{00000000-0005-0000-0000-0000D4300000}"/>
    <cellStyle name="Normal 2 2 6 3 4" xfId="13021" xr:uid="{00000000-0005-0000-0000-0000D5300000}"/>
    <cellStyle name="Normal 2 2 6 3 4 2" xfId="29562" xr:uid="{00000000-0005-0000-0000-0000D6300000}"/>
    <cellStyle name="Normal 2 2 6 3 5" xfId="21519" xr:uid="{00000000-0005-0000-0000-0000D7300000}"/>
    <cellStyle name="Normal 2 2 6 4" xfId="3587" xr:uid="{00000000-0005-0000-0000-0000D8300000}"/>
    <cellStyle name="Normal 2 2 6 4 2" xfId="7726" xr:uid="{00000000-0005-0000-0000-0000D9300000}"/>
    <cellStyle name="Normal 2 2 6 4 2 2" xfId="16904" xr:uid="{00000000-0005-0000-0000-0000DA300000}"/>
    <cellStyle name="Normal 2 2 6 4 2 2 2" xfId="33478" xr:uid="{00000000-0005-0000-0000-0000DB300000}"/>
    <cellStyle name="Normal 2 2 6 4 2 3" xfId="25431" xr:uid="{00000000-0005-0000-0000-0000DC300000}"/>
    <cellStyle name="Normal 2 2 6 4 3" xfId="13023" xr:uid="{00000000-0005-0000-0000-0000DD300000}"/>
    <cellStyle name="Normal 2 2 6 4 3 2" xfId="29564" xr:uid="{00000000-0005-0000-0000-0000DE300000}"/>
    <cellStyle name="Normal 2 2 6 4 4" xfId="21521" xr:uid="{00000000-0005-0000-0000-0000DF300000}"/>
    <cellStyle name="Normal 2 2 6 5" xfId="3588" xr:uid="{00000000-0005-0000-0000-0000E0300000}"/>
    <cellStyle name="Normal 2 2 6 5 2" xfId="13024" xr:uid="{00000000-0005-0000-0000-0000E1300000}"/>
    <cellStyle name="Normal 2 2 6 5 2 2" xfId="29565" xr:uid="{00000000-0005-0000-0000-0000E2300000}"/>
    <cellStyle name="Normal 2 2 6 5 3" xfId="21522" xr:uid="{00000000-0005-0000-0000-0000E3300000}"/>
    <cellStyle name="Normal 2 2 6 6" xfId="3580" xr:uid="{00000000-0005-0000-0000-0000E4300000}"/>
    <cellStyle name="Normal 2 2 7" xfId="1716" xr:uid="{00000000-0005-0000-0000-0000E5300000}"/>
    <cellStyle name="Normal 2 2 7 2" xfId="3590" xr:uid="{00000000-0005-0000-0000-0000E6300000}"/>
    <cellStyle name="Normal 2 2 7 2 2" xfId="3591" xr:uid="{00000000-0005-0000-0000-0000E7300000}"/>
    <cellStyle name="Normal 2 2 7 2 2 2" xfId="3592" xr:uid="{00000000-0005-0000-0000-0000E8300000}"/>
    <cellStyle name="Normal 2 2 7 2 2 2 2" xfId="7727" xr:uid="{00000000-0005-0000-0000-0000E9300000}"/>
    <cellStyle name="Normal 2 2 7 2 2 2 2 2" xfId="16905" xr:uid="{00000000-0005-0000-0000-0000EA300000}"/>
    <cellStyle name="Normal 2 2 7 2 2 2 2 2 2" xfId="33479" xr:uid="{00000000-0005-0000-0000-0000EB300000}"/>
    <cellStyle name="Normal 2 2 7 2 2 2 2 3" xfId="25432" xr:uid="{00000000-0005-0000-0000-0000EC300000}"/>
    <cellStyle name="Normal 2 2 7 2 2 2 3" xfId="13027" xr:uid="{00000000-0005-0000-0000-0000ED300000}"/>
    <cellStyle name="Normal 2 2 7 2 2 2 3 2" xfId="29569" xr:uid="{00000000-0005-0000-0000-0000EE300000}"/>
    <cellStyle name="Normal 2 2 7 2 2 2 4" xfId="21526" xr:uid="{00000000-0005-0000-0000-0000EF300000}"/>
    <cellStyle name="Normal 2 2 7 2 2 3" xfId="7728" xr:uid="{00000000-0005-0000-0000-0000F0300000}"/>
    <cellStyle name="Normal 2 2 7 2 2 3 2" xfId="16906" xr:uid="{00000000-0005-0000-0000-0000F1300000}"/>
    <cellStyle name="Normal 2 2 7 2 2 3 2 2" xfId="33480" xr:uid="{00000000-0005-0000-0000-0000F2300000}"/>
    <cellStyle name="Normal 2 2 7 2 2 3 3" xfId="25433" xr:uid="{00000000-0005-0000-0000-0000F3300000}"/>
    <cellStyle name="Normal 2 2 7 2 2 4" xfId="13026" xr:uid="{00000000-0005-0000-0000-0000F4300000}"/>
    <cellStyle name="Normal 2 2 7 2 2 4 2" xfId="29568" xr:uid="{00000000-0005-0000-0000-0000F5300000}"/>
    <cellStyle name="Normal 2 2 7 2 2 5" xfId="21525" xr:uid="{00000000-0005-0000-0000-0000F6300000}"/>
    <cellStyle name="Normal 2 2 7 2 3" xfId="3593" xr:uid="{00000000-0005-0000-0000-0000F7300000}"/>
    <cellStyle name="Normal 2 2 7 2 3 2" xfId="7729" xr:uid="{00000000-0005-0000-0000-0000F8300000}"/>
    <cellStyle name="Normal 2 2 7 2 3 2 2" xfId="16907" xr:uid="{00000000-0005-0000-0000-0000F9300000}"/>
    <cellStyle name="Normal 2 2 7 2 3 2 2 2" xfId="33481" xr:uid="{00000000-0005-0000-0000-0000FA300000}"/>
    <cellStyle name="Normal 2 2 7 2 3 2 3" xfId="25434" xr:uid="{00000000-0005-0000-0000-0000FB300000}"/>
    <cellStyle name="Normal 2 2 7 2 3 3" xfId="13028" xr:uid="{00000000-0005-0000-0000-0000FC300000}"/>
    <cellStyle name="Normal 2 2 7 2 3 3 2" xfId="29570" xr:uid="{00000000-0005-0000-0000-0000FD300000}"/>
    <cellStyle name="Normal 2 2 7 2 3 4" xfId="21527" xr:uid="{00000000-0005-0000-0000-0000FE300000}"/>
    <cellStyle name="Normal 2 2 7 2 4" xfId="7730" xr:uid="{00000000-0005-0000-0000-0000FF300000}"/>
    <cellStyle name="Normal 2 2 7 2 4 2" xfId="16908" xr:uid="{00000000-0005-0000-0000-000000310000}"/>
    <cellStyle name="Normal 2 2 7 2 4 2 2" xfId="33482" xr:uid="{00000000-0005-0000-0000-000001310000}"/>
    <cellStyle name="Normal 2 2 7 2 4 3" xfId="25435" xr:uid="{00000000-0005-0000-0000-000002310000}"/>
    <cellStyle name="Normal 2 2 7 2 5" xfId="13025" xr:uid="{00000000-0005-0000-0000-000003310000}"/>
    <cellStyle name="Normal 2 2 7 2 5 2" xfId="29567" xr:uid="{00000000-0005-0000-0000-000004310000}"/>
    <cellStyle name="Normal 2 2 7 2 6" xfId="21524" xr:uid="{00000000-0005-0000-0000-000005310000}"/>
    <cellStyle name="Normal 2 2 7 3" xfId="3594" xr:uid="{00000000-0005-0000-0000-000006310000}"/>
    <cellStyle name="Normal 2 2 7 3 2" xfId="3595" xr:uid="{00000000-0005-0000-0000-000007310000}"/>
    <cellStyle name="Normal 2 2 7 3 2 2" xfId="7731" xr:uid="{00000000-0005-0000-0000-000008310000}"/>
    <cellStyle name="Normal 2 2 7 3 2 2 2" xfId="16909" xr:uid="{00000000-0005-0000-0000-000009310000}"/>
    <cellStyle name="Normal 2 2 7 3 2 2 2 2" xfId="33483" xr:uid="{00000000-0005-0000-0000-00000A310000}"/>
    <cellStyle name="Normal 2 2 7 3 2 2 3" xfId="25436" xr:uid="{00000000-0005-0000-0000-00000B310000}"/>
    <cellStyle name="Normal 2 2 7 3 2 3" xfId="13030" xr:uid="{00000000-0005-0000-0000-00000C310000}"/>
    <cellStyle name="Normal 2 2 7 3 2 3 2" xfId="29572" xr:uid="{00000000-0005-0000-0000-00000D310000}"/>
    <cellStyle name="Normal 2 2 7 3 2 4" xfId="21529" xr:uid="{00000000-0005-0000-0000-00000E310000}"/>
    <cellStyle name="Normal 2 2 7 3 3" xfId="7732" xr:uid="{00000000-0005-0000-0000-00000F310000}"/>
    <cellStyle name="Normal 2 2 7 3 3 2" xfId="16910" xr:uid="{00000000-0005-0000-0000-000010310000}"/>
    <cellStyle name="Normal 2 2 7 3 3 2 2" xfId="33484" xr:uid="{00000000-0005-0000-0000-000011310000}"/>
    <cellStyle name="Normal 2 2 7 3 3 3" xfId="25437" xr:uid="{00000000-0005-0000-0000-000012310000}"/>
    <cellStyle name="Normal 2 2 7 3 4" xfId="13029" xr:uid="{00000000-0005-0000-0000-000013310000}"/>
    <cellStyle name="Normal 2 2 7 3 4 2" xfId="29571" xr:uid="{00000000-0005-0000-0000-000014310000}"/>
    <cellStyle name="Normal 2 2 7 3 5" xfId="21528" xr:uid="{00000000-0005-0000-0000-000015310000}"/>
    <cellStyle name="Normal 2 2 7 4" xfId="3596" xr:uid="{00000000-0005-0000-0000-000016310000}"/>
    <cellStyle name="Normal 2 2 7 4 2" xfId="7733" xr:uid="{00000000-0005-0000-0000-000017310000}"/>
    <cellStyle name="Normal 2 2 7 4 2 2" xfId="16911" xr:uid="{00000000-0005-0000-0000-000018310000}"/>
    <cellStyle name="Normal 2 2 7 4 2 2 2" xfId="33485" xr:uid="{00000000-0005-0000-0000-000019310000}"/>
    <cellStyle name="Normal 2 2 7 4 2 3" xfId="25438" xr:uid="{00000000-0005-0000-0000-00001A310000}"/>
    <cellStyle name="Normal 2 2 7 4 3" xfId="13031" xr:uid="{00000000-0005-0000-0000-00001B310000}"/>
    <cellStyle name="Normal 2 2 7 4 3 2" xfId="29573" xr:uid="{00000000-0005-0000-0000-00001C310000}"/>
    <cellStyle name="Normal 2 2 7 4 4" xfId="21530" xr:uid="{00000000-0005-0000-0000-00001D310000}"/>
    <cellStyle name="Normal 2 2 7 5" xfId="7734" xr:uid="{00000000-0005-0000-0000-00001E310000}"/>
    <cellStyle name="Normal 2 2 7 5 2" xfId="16912" xr:uid="{00000000-0005-0000-0000-00001F310000}"/>
    <cellStyle name="Normal 2 2 7 5 2 2" xfId="33486" xr:uid="{00000000-0005-0000-0000-000020310000}"/>
    <cellStyle name="Normal 2 2 7 5 3" xfId="25439" xr:uid="{00000000-0005-0000-0000-000021310000}"/>
    <cellStyle name="Normal 2 2 7 6" xfId="3589" xr:uid="{00000000-0005-0000-0000-000022310000}"/>
    <cellStyle name="Normal 2 2 7 6 2" xfId="29566" xr:uid="{00000000-0005-0000-0000-000023310000}"/>
    <cellStyle name="Normal 2 2 7 7" xfId="21523" xr:uid="{00000000-0005-0000-0000-000024310000}"/>
    <cellStyle name="Normal 2 2 8" xfId="1674" xr:uid="{00000000-0005-0000-0000-000025310000}"/>
    <cellStyle name="Normal 2 2 8 2" xfId="3598" xr:uid="{00000000-0005-0000-0000-000026310000}"/>
    <cellStyle name="Normal 2 2 8 2 2" xfId="3599" xr:uid="{00000000-0005-0000-0000-000027310000}"/>
    <cellStyle name="Normal 2 2 8 2 2 2" xfId="7735" xr:uid="{00000000-0005-0000-0000-000028310000}"/>
    <cellStyle name="Normal 2 2 8 2 2 2 2" xfId="16913" xr:uid="{00000000-0005-0000-0000-000029310000}"/>
    <cellStyle name="Normal 2 2 8 2 2 2 2 2" xfId="33487" xr:uid="{00000000-0005-0000-0000-00002A310000}"/>
    <cellStyle name="Normal 2 2 8 2 2 2 3" xfId="25440" xr:uid="{00000000-0005-0000-0000-00002B310000}"/>
    <cellStyle name="Normal 2 2 8 2 2 3" xfId="13033" xr:uid="{00000000-0005-0000-0000-00002C310000}"/>
    <cellStyle name="Normal 2 2 8 2 2 3 2" xfId="29576" xr:uid="{00000000-0005-0000-0000-00002D310000}"/>
    <cellStyle name="Normal 2 2 8 2 2 4" xfId="21533" xr:uid="{00000000-0005-0000-0000-00002E310000}"/>
    <cellStyle name="Normal 2 2 8 2 3" xfId="7736" xr:uid="{00000000-0005-0000-0000-00002F310000}"/>
    <cellStyle name="Normal 2 2 8 2 3 2" xfId="16914" xr:uid="{00000000-0005-0000-0000-000030310000}"/>
    <cellStyle name="Normal 2 2 8 2 3 2 2" xfId="33488" xr:uid="{00000000-0005-0000-0000-000031310000}"/>
    <cellStyle name="Normal 2 2 8 2 3 3" xfId="25441" xr:uid="{00000000-0005-0000-0000-000032310000}"/>
    <cellStyle name="Normal 2 2 8 2 4" xfId="13032" xr:uid="{00000000-0005-0000-0000-000033310000}"/>
    <cellStyle name="Normal 2 2 8 2 4 2" xfId="29575" xr:uid="{00000000-0005-0000-0000-000034310000}"/>
    <cellStyle name="Normal 2 2 8 2 5" xfId="21532" xr:uid="{00000000-0005-0000-0000-000035310000}"/>
    <cellStyle name="Normal 2 2 8 3" xfId="3600" xr:uid="{00000000-0005-0000-0000-000036310000}"/>
    <cellStyle name="Normal 2 2 8 3 2" xfId="7737" xr:uid="{00000000-0005-0000-0000-000037310000}"/>
    <cellStyle name="Normal 2 2 8 3 2 2" xfId="16915" xr:uid="{00000000-0005-0000-0000-000038310000}"/>
    <cellStyle name="Normal 2 2 8 3 2 2 2" xfId="33489" xr:uid="{00000000-0005-0000-0000-000039310000}"/>
    <cellStyle name="Normal 2 2 8 3 2 3" xfId="25442" xr:uid="{00000000-0005-0000-0000-00003A310000}"/>
    <cellStyle name="Normal 2 2 8 3 3" xfId="13034" xr:uid="{00000000-0005-0000-0000-00003B310000}"/>
    <cellStyle name="Normal 2 2 8 3 3 2" xfId="29577" xr:uid="{00000000-0005-0000-0000-00003C310000}"/>
    <cellStyle name="Normal 2 2 8 3 4" xfId="21534" xr:uid="{00000000-0005-0000-0000-00003D310000}"/>
    <cellStyle name="Normal 2 2 8 4" xfId="7738" xr:uid="{00000000-0005-0000-0000-00003E310000}"/>
    <cellStyle name="Normal 2 2 8 4 2" xfId="16916" xr:uid="{00000000-0005-0000-0000-00003F310000}"/>
    <cellStyle name="Normal 2 2 8 4 2 2" xfId="33490" xr:uid="{00000000-0005-0000-0000-000040310000}"/>
    <cellStyle name="Normal 2 2 8 4 3" xfId="25443" xr:uid="{00000000-0005-0000-0000-000041310000}"/>
    <cellStyle name="Normal 2 2 8 5" xfId="3597" xr:uid="{00000000-0005-0000-0000-000042310000}"/>
    <cellStyle name="Normal 2 2 8 5 2" xfId="29574" xr:uid="{00000000-0005-0000-0000-000043310000}"/>
    <cellStyle name="Normal 2 2 8 6" xfId="21531" xr:uid="{00000000-0005-0000-0000-000044310000}"/>
    <cellStyle name="Normal 2 2 9" xfId="3601" xr:uid="{00000000-0005-0000-0000-000045310000}"/>
    <cellStyle name="Normal 2 2 9 2" xfId="3602" xr:uid="{00000000-0005-0000-0000-000046310000}"/>
    <cellStyle name="Normal 2 2 9 2 2" xfId="7739" xr:uid="{00000000-0005-0000-0000-000047310000}"/>
    <cellStyle name="Normal 2 2 9 2 2 2" xfId="16917" xr:uid="{00000000-0005-0000-0000-000048310000}"/>
    <cellStyle name="Normal 2 2 9 2 2 2 2" xfId="33491" xr:uid="{00000000-0005-0000-0000-000049310000}"/>
    <cellStyle name="Normal 2 2 9 2 2 3" xfId="25444" xr:uid="{00000000-0005-0000-0000-00004A310000}"/>
    <cellStyle name="Normal 2 2 9 2 3" xfId="13036" xr:uid="{00000000-0005-0000-0000-00004B310000}"/>
    <cellStyle name="Normal 2 2 9 2 3 2" xfId="29579" xr:uid="{00000000-0005-0000-0000-00004C310000}"/>
    <cellStyle name="Normal 2 2 9 2 4" xfId="21536" xr:uid="{00000000-0005-0000-0000-00004D310000}"/>
    <cellStyle name="Normal 2 2 9 3" xfId="7740" xr:uid="{00000000-0005-0000-0000-00004E310000}"/>
    <cellStyle name="Normal 2 2 9 3 2" xfId="16918" xr:uid="{00000000-0005-0000-0000-00004F310000}"/>
    <cellStyle name="Normal 2 2 9 3 2 2" xfId="33492" xr:uid="{00000000-0005-0000-0000-000050310000}"/>
    <cellStyle name="Normal 2 2 9 3 3" xfId="25445" xr:uid="{00000000-0005-0000-0000-000051310000}"/>
    <cellStyle name="Normal 2 2 9 4" xfId="13035" xr:uid="{00000000-0005-0000-0000-000052310000}"/>
    <cellStyle name="Normal 2 2 9 4 2" xfId="29578" xr:uid="{00000000-0005-0000-0000-000053310000}"/>
    <cellStyle name="Normal 2 2 9 5" xfId="21535" xr:uid="{00000000-0005-0000-0000-000054310000}"/>
    <cellStyle name="Normal 2 2_Consultant and Outside Services - Nov 2011" xfId="212" xr:uid="{00000000-0005-0000-0000-000055310000}"/>
    <cellStyle name="Normal 2 3" xfId="213" xr:uid="{00000000-0005-0000-0000-000056310000}"/>
    <cellStyle name="Normal 2 3 2" xfId="214" xr:uid="{00000000-0005-0000-0000-000057310000}"/>
    <cellStyle name="Normal 2 3 2 2" xfId="376" xr:uid="{00000000-0005-0000-0000-000058310000}"/>
    <cellStyle name="Normal 2 3 3" xfId="377" xr:uid="{00000000-0005-0000-0000-000059310000}"/>
    <cellStyle name="Normal 2 3 3 2" xfId="3604" xr:uid="{00000000-0005-0000-0000-00005A310000}"/>
    <cellStyle name="Normal 2 3 4" xfId="1717" xr:uid="{00000000-0005-0000-0000-00005B310000}"/>
    <cellStyle name="Normal 2 3 5" xfId="3603" xr:uid="{00000000-0005-0000-0000-00005C310000}"/>
    <cellStyle name="Normal 2 3 6" xfId="10899" xr:uid="{00000000-0005-0000-0000-00005D310000}"/>
    <cellStyle name="Normal 2 3 6 2" xfId="28218" xr:uid="{00000000-0005-0000-0000-00005E310000}"/>
    <cellStyle name="Normal 2 3 6 3" xfId="11419" xr:uid="{00000000-0005-0000-0000-00005F310000}"/>
    <cellStyle name="Normal 2 3 7" xfId="2061" xr:uid="{00000000-0005-0000-0000-000060310000}"/>
    <cellStyle name="Normal 2 4" xfId="215" xr:uid="{00000000-0005-0000-0000-000061310000}"/>
    <cellStyle name="Normal 2 4 2" xfId="216" xr:uid="{00000000-0005-0000-0000-000062310000}"/>
    <cellStyle name="Normal 2 4 2 2" xfId="3605" xr:uid="{00000000-0005-0000-0000-000063310000}"/>
    <cellStyle name="Normal 2 4 2 2 2" xfId="13037" xr:uid="{00000000-0005-0000-0000-000064310000}"/>
    <cellStyle name="Normal 2 4 2 2 2 2" xfId="29580" xr:uid="{00000000-0005-0000-0000-000065310000}"/>
    <cellStyle name="Normal 2 4 2 2 3" xfId="21537" xr:uid="{00000000-0005-0000-0000-000066310000}"/>
    <cellStyle name="Normal 2 4 3" xfId="3606" xr:uid="{00000000-0005-0000-0000-000067310000}"/>
    <cellStyle name="Normal 2 5" xfId="19" xr:uid="{00000000-0005-0000-0000-000068310000}"/>
    <cellStyle name="Normal 2 5 2" xfId="3608" xr:uid="{00000000-0005-0000-0000-000069310000}"/>
    <cellStyle name="Normal 2 5 3" xfId="3609" xr:uid="{00000000-0005-0000-0000-00006A310000}"/>
    <cellStyle name="Normal 2 5 4" xfId="3607" xr:uid="{00000000-0005-0000-0000-00006B310000}"/>
    <cellStyle name="Normal 2 6" xfId="15" xr:uid="{00000000-0005-0000-0000-00006C310000}"/>
    <cellStyle name="Normal 2 6 2" xfId="3611" xr:uid="{00000000-0005-0000-0000-00006D310000}"/>
    <cellStyle name="Normal 2 6 3" xfId="3612" xr:uid="{00000000-0005-0000-0000-00006E310000}"/>
    <cellStyle name="Normal 2 6 4" xfId="3610" xr:uid="{00000000-0005-0000-0000-00006F310000}"/>
    <cellStyle name="Normal 2 7" xfId="328" xr:uid="{00000000-0005-0000-0000-000070310000}"/>
    <cellStyle name="Normal 2 7 2" xfId="3614" xr:uid="{00000000-0005-0000-0000-000071310000}"/>
    <cellStyle name="Normal 2 7 3" xfId="3613" xr:uid="{00000000-0005-0000-0000-000072310000}"/>
    <cellStyle name="Normal 2 8" xfId="378" xr:uid="{00000000-0005-0000-0000-000073310000}"/>
    <cellStyle name="Normal 2 8 2" xfId="3615" xr:uid="{00000000-0005-0000-0000-000074310000}"/>
    <cellStyle name="Normal 2 9" xfId="379" xr:uid="{00000000-0005-0000-0000-000075310000}"/>
    <cellStyle name="Normal 2 9 2" xfId="3616" xr:uid="{00000000-0005-0000-0000-000076310000}"/>
    <cellStyle name="Normal 2_BOD Financials_11.15.11" xfId="217" xr:uid="{00000000-0005-0000-0000-000077310000}"/>
    <cellStyle name="Normal 20" xfId="3617" xr:uid="{00000000-0005-0000-0000-000078310000}"/>
    <cellStyle name="Normal 20 10" xfId="13038" xr:uid="{00000000-0005-0000-0000-000079310000}"/>
    <cellStyle name="Normal 20 10 2" xfId="29581" xr:uid="{00000000-0005-0000-0000-00007A310000}"/>
    <cellStyle name="Normal 20 11" xfId="21538" xr:uid="{00000000-0005-0000-0000-00007B310000}"/>
    <cellStyle name="Normal 20 2" xfId="3618" xr:uid="{00000000-0005-0000-0000-00007C310000}"/>
    <cellStyle name="Normal 20 2 2" xfId="3619" xr:uid="{00000000-0005-0000-0000-00007D310000}"/>
    <cellStyle name="Normal 20 2 3" xfId="13039" xr:uid="{00000000-0005-0000-0000-00007E310000}"/>
    <cellStyle name="Normal 20 2 3 2" xfId="29582" xr:uid="{00000000-0005-0000-0000-00007F310000}"/>
    <cellStyle name="Normal 20 2 4" xfId="21539" xr:uid="{00000000-0005-0000-0000-000080310000}"/>
    <cellStyle name="Normal 20 3" xfId="3620" xr:uid="{00000000-0005-0000-0000-000081310000}"/>
    <cellStyle name="Normal 20 3 2" xfId="3621" xr:uid="{00000000-0005-0000-0000-000082310000}"/>
    <cellStyle name="Normal 20 3 2 2" xfId="3622" xr:uid="{00000000-0005-0000-0000-000083310000}"/>
    <cellStyle name="Normal 20 3 2 2 2" xfId="3623" xr:uid="{00000000-0005-0000-0000-000084310000}"/>
    <cellStyle name="Normal 20 3 2 2 2 2" xfId="7741" xr:uid="{00000000-0005-0000-0000-000085310000}"/>
    <cellStyle name="Normal 20 3 2 2 2 2 2" xfId="16919" xr:uid="{00000000-0005-0000-0000-000086310000}"/>
    <cellStyle name="Normal 20 3 2 2 2 2 2 2" xfId="33493" xr:uid="{00000000-0005-0000-0000-000087310000}"/>
    <cellStyle name="Normal 20 3 2 2 2 2 3" xfId="25446" xr:uid="{00000000-0005-0000-0000-000088310000}"/>
    <cellStyle name="Normal 20 3 2 2 2 3" xfId="13042" xr:uid="{00000000-0005-0000-0000-000089310000}"/>
    <cellStyle name="Normal 20 3 2 2 2 3 2" xfId="29585" xr:uid="{00000000-0005-0000-0000-00008A310000}"/>
    <cellStyle name="Normal 20 3 2 2 2 4" xfId="21542" xr:uid="{00000000-0005-0000-0000-00008B310000}"/>
    <cellStyle name="Normal 20 3 2 2 3" xfId="7742" xr:uid="{00000000-0005-0000-0000-00008C310000}"/>
    <cellStyle name="Normal 20 3 2 2 3 2" xfId="16920" xr:uid="{00000000-0005-0000-0000-00008D310000}"/>
    <cellStyle name="Normal 20 3 2 2 3 2 2" xfId="33494" xr:uid="{00000000-0005-0000-0000-00008E310000}"/>
    <cellStyle name="Normal 20 3 2 2 3 3" xfId="25447" xr:uid="{00000000-0005-0000-0000-00008F310000}"/>
    <cellStyle name="Normal 20 3 2 2 4" xfId="13041" xr:uid="{00000000-0005-0000-0000-000090310000}"/>
    <cellStyle name="Normal 20 3 2 2 4 2" xfId="29584" xr:uid="{00000000-0005-0000-0000-000091310000}"/>
    <cellStyle name="Normal 20 3 2 2 5" xfId="21541" xr:uid="{00000000-0005-0000-0000-000092310000}"/>
    <cellStyle name="Normal 20 3 2 3" xfId="3624" xr:uid="{00000000-0005-0000-0000-000093310000}"/>
    <cellStyle name="Normal 20 3 2 3 2" xfId="7743" xr:uid="{00000000-0005-0000-0000-000094310000}"/>
    <cellStyle name="Normal 20 3 2 3 2 2" xfId="16921" xr:uid="{00000000-0005-0000-0000-000095310000}"/>
    <cellStyle name="Normal 20 3 2 3 2 2 2" xfId="33495" xr:uid="{00000000-0005-0000-0000-000096310000}"/>
    <cellStyle name="Normal 20 3 2 3 2 3" xfId="25448" xr:uid="{00000000-0005-0000-0000-000097310000}"/>
    <cellStyle name="Normal 20 3 2 3 3" xfId="13043" xr:uid="{00000000-0005-0000-0000-000098310000}"/>
    <cellStyle name="Normal 20 3 2 3 3 2" xfId="29586" xr:uid="{00000000-0005-0000-0000-000099310000}"/>
    <cellStyle name="Normal 20 3 2 3 4" xfId="21543" xr:uid="{00000000-0005-0000-0000-00009A310000}"/>
    <cellStyle name="Normal 20 3 2 4" xfId="7744" xr:uid="{00000000-0005-0000-0000-00009B310000}"/>
    <cellStyle name="Normal 20 3 2 4 2" xfId="16922" xr:uid="{00000000-0005-0000-0000-00009C310000}"/>
    <cellStyle name="Normal 20 3 2 4 2 2" xfId="33496" xr:uid="{00000000-0005-0000-0000-00009D310000}"/>
    <cellStyle name="Normal 20 3 2 4 3" xfId="25449" xr:uid="{00000000-0005-0000-0000-00009E310000}"/>
    <cellStyle name="Normal 20 3 2 5" xfId="13040" xr:uid="{00000000-0005-0000-0000-00009F310000}"/>
    <cellStyle name="Normal 20 3 2 5 2" xfId="29583" xr:uid="{00000000-0005-0000-0000-0000A0310000}"/>
    <cellStyle name="Normal 20 3 2 6" xfId="21540" xr:uid="{00000000-0005-0000-0000-0000A1310000}"/>
    <cellStyle name="Normal 20 3 3" xfId="3625" xr:uid="{00000000-0005-0000-0000-0000A2310000}"/>
    <cellStyle name="Normal 20 3 3 2" xfId="3626" xr:uid="{00000000-0005-0000-0000-0000A3310000}"/>
    <cellStyle name="Normal 20 3 3 2 2" xfId="7745" xr:uid="{00000000-0005-0000-0000-0000A4310000}"/>
    <cellStyle name="Normal 20 3 3 2 2 2" xfId="16923" xr:uid="{00000000-0005-0000-0000-0000A5310000}"/>
    <cellStyle name="Normal 20 3 3 2 2 2 2" xfId="33497" xr:uid="{00000000-0005-0000-0000-0000A6310000}"/>
    <cellStyle name="Normal 20 3 3 2 2 3" xfId="25450" xr:uid="{00000000-0005-0000-0000-0000A7310000}"/>
    <cellStyle name="Normal 20 3 3 2 3" xfId="13045" xr:uid="{00000000-0005-0000-0000-0000A8310000}"/>
    <cellStyle name="Normal 20 3 3 2 3 2" xfId="29588" xr:uid="{00000000-0005-0000-0000-0000A9310000}"/>
    <cellStyle name="Normal 20 3 3 2 4" xfId="21545" xr:uid="{00000000-0005-0000-0000-0000AA310000}"/>
    <cellStyle name="Normal 20 3 3 3" xfId="7746" xr:uid="{00000000-0005-0000-0000-0000AB310000}"/>
    <cellStyle name="Normal 20 3 3 3 2" xfId="16924" xr:uid="{00000000-0005-0000-0000-0000AC310000}"/>
    <cellStyle name="Normal 20 3 3 3 2 2" xfId="33498" xr:uid="{00000000-0005-0000-0000-0000AD310000}"/>
    <cellStyle name="Normal 20 3 3 3 3" xfId="25451" xr:uid="{00000000-0005-0000-0000-0000AE310000}"/>
    <cellStyle name="Normal 20 3 3 4" xfId="13044" xr:uid="{00000000-0005-0000-0000-0000AF310000}"/>
    <cellStyle name="Normal 20 3 3 4 2" xfId="29587" xr:uid="{00000000-0005-0000-0000-0000B0310000}"/>
    <cellStyle name="Normal 20 3 3 5" xfId="21544" xr:uid="{00000000-0005-0000-0000-0000B1310000}"/>
    <cellStyle name="Normal 20 3 4" xfId="3627" xr:uid="{00000000-0005-0000-0000-0000B2310000}"/>
    <cellStyle name="Normal 20 3 4 2" xfId="7747" xr:uid="{00000000-0005-0000-0000-0000B3310000}"/>
    <cellStyle name="Normal 20 3 4 2 2" xfId="16925" xr:uid="{00000000-0005-0000-0000-0000B4310000}"/>
    <cellStyle name="Normal 20 3 4 2 2 2" xfId="33499" xr:uid="{00000000-0005-0000-0000-0000B5310000}"/>
    <cellStyle name="Normal 20 3 4 2 3" xfId="25452" xr:uid="{00000000-0005-0000-0000-0000B6310000}"/>
    <cellStyle name="Normal 20 3 4 3" xfId="13046" xr:uid="{00000000-0005-0000-0000-0000B7310000}"/>
    <cellStyle name="Normal 20 3 4 3 2" xfId="29589" xr:uid="{00000000-0005-0000-0000-0000B8310000}"/>
    <cellStyle name="Normal 20 3 4 4" xfId="21546" xr:uid="{00000000-0005-0000-0000-0000B9310000}"/>
    <cellStyle name="Normal 20 3 5" xfId="3628" xr:uid="{00000000-0005-0000-0000-0000BA310000}"/>
    <cellStyle name="Normal 20 3 5 2" xfId="13047" xr:uid="{00000000-0005-0000-0000-0000BB310000}"/>
    <cellStyle name="Normal 20 3 5 2 2" xfId="29590" xr:uid="{00000000-0005-0000-0000-0000BC310000}"/>
    <cellStyle name="Normal 20 3 5 3" xfId="21547" xr:uid="{00000000-0005-0000-0000-0000BD310000}"/>
    <cellStyle name="Normal 20 4" xfId="3629" xr:uid="{00000000-0005-0000-0000-0000BE310000}"/>
    <cellStyle name="Normal 20 4 2" xfId="3630" xr:uid="{00000000-0005-0000-0000-0000BF310000}"/>
    <cellStyle name="Normal 20 4 2 2" xfId="3631" xr:uid="{00000000-0005-0000-0000-0000C0310000}"/>
    <cellStyle name="Normal 20 4 2 2 2" xfId="3632" xr:uid="{00000000-0005-0000-0000-0000C1310000}"/>
    <cellStyle name="Normal 20 4 2 2 2 2" xfId="7748" xr:uid="{00000000-0005-0000-0000-0000C2310000}"/>
    <cellStyle name="Normal 20 4 2 2 2 2 2" xfId="16926" xr:uid="{00000000-0005-0000-0000-0000C3310000}"/>
    <cellStyle name="Normal 20 4 2 2 2 2 2 2" xfId="33500" xr:uid="{00000000-0005-0000-0000-0000C4310000}"/>
    <cellStyle name="Normal 20 4 2 2 2 2 3" xfId="25453" xr:uid="{00000000-0005-0000-0000-0000C5310000}"/>
    <cellStyle name="Normal 20 4 2 2 2 3" xfId="13051" xr:uid="{00000000-0005-0000-0000-0000C6310000}"/>
    <cellStyle name="Normal 20 4 2 2 2 3 2" xfId="29594" xr:uid="{00000000-0005-0000-0000-0000C7310000}"/>
    <cellStyle name="Normal 20 4 2 2 2 4" xfId="21551" xr:uid="{00000000-0005-0000-0000-0000C8310000}"/>
    <cellStyle name="Normal 20 4 2 2 3" xfId="7749" xr:uid="{00000000-0005-0000-0000-0000C9310000}"/>
    <cellStyle name="Normal 20 4 2 2 3 2" xfId="16927" xr:uid="{00000000-0005-0000-0000-0000CA310000}"/>
    <cellStyle name="Normal 20 4 2 2 3 2 2" xfId="33501" xr:uid="{00000000-0005-0000-0000-0000CB310000}"/>
    <cellStyle name="Normal 20 4 2 2 3 3" xfId="25454" xr:uid="{00000000-0005-0000-0000-0000CC310000}"/>
    <cellStyle name="Normal 20 4 2 2 4" xfId="13050" xr:uid="{00000000-0005-0000-0000-0000CD310000}"/>
    <cellStyle name="Normal 20 4 2 2 4 2" xfId="29593" xr:uid="{00000000-0005-0000-0000-0000CE310000}"/>
    <cellStyle name="Normal 20 4 2 2 5" xfId="21550" xr:uid="{00000000-0005-0000-0000-0000CF310000}"/>
    <cellStyle name="Normal 20 4 2 3" xfId="3633" xr:uid="{00000000-0005-0000-0000-0000D0310000}"/>
    <cellStyle name="Normal 20 4 2 3 2" xfId="7750" xr:uid="{00000000-0005-0000-0000-0000D1310000}"/>
    <cellStyle name="Normal 20 4 2 3 2 2" xfId="16928" xr:uid="{00000000-0005-0000-0000-0000D2310000}"/>
    <cellStyle name="Normal 20 4 2 3 2 2 2" xfId="33502" xr:uid="{00000000-0005-0000-0000-0000D3310000}"/>
    <cellStyle name="Normal 20 4 2 3 2 3" xfId="25455" xr:uid="{00000000-0005-0000-0000-0000D4310000}"/>
    <cellStyle name="Normal 20 4 2 3 3" xfId="13052" xr:uid="{00000000-0005-0000-0000-0000D5310000}"/>
    <cellStyle name="Normal 20 4 2 3 3 2" xfId="29595" xr:uid="{00000000-0005-0000-0000-0000D6310000}"/>
    <cellStyle name="Normal 20 4 2 3 4" xfId="21552" xr:uid="{00000000-0005-0000-0000-0000D7310000}"/>
    <cellStyle name="Normal 20 4 2 4" xfId="7751" xr:uid="{00000000-0005-0000-0000-0000D8310000}"/>
    <cellStyle name="Normal 20 4 2 4 2" xfId="16929" xr:uid="{00000000-0005-0000-0000-0000D9310000}"/>
    <cellStyle name="Normal 20 4 2 4 2 2" xfId="33503" xr:uid="{00000000-0005-0000-0000-0000DA310000}"/>
    <cellStyle name="Normal 20 4 2 4 3" xfId="25456" xr:uid="{00000000-0005-0000-0000-0000DB310000}"/>
    <cellStyle name="Normal 20 4 2 5" xfId="13049" xr:uid="{00000000-0005-0000-0000-0000DC310000}"/>
    <cellStyle name="Normal 20 4 2 5 2" xfId="29592" xr:uid="{00000000-0005-0000-0000-0000DD310000}"/>
    <cellStyle name="Normal 20 4 2 6" xfId="21549" xr:uid="{00000000-0005-0000-0000-0000DE310000}"/>
    <cellStyle name="Normal 20 4 3" xfId="3634" xr:uid="{00000000-0005-0000-0000-0000DF310000}"/>
    <cellStyle name="Normal 20 4 3 2" xfId="3635" xr:uid="{00000000-0005-0000-0000-0000E0310000}"/>
    <cellStyle name="Normal 20 4 3 2 2" xfId="7752" xr:uid="{00000000-0005-0000-0000-0000E1310000}"/>
    <cellStyle name="Normal 20 4 3 2 2 2" xfId="16930" xr:uid="{00000000-0005-0000-0000-0000E2310000}"/>
    <cellStyle name="Normal 20 4 3 2 2 2 2" xfId="33504" xr:uid="{00000000-0005-0000-0000-0000E3310000}"/>
    <cellStyle name="Normal 20 4 3 2 2 3" xfId="25457" xr:uid="{00000000-0005-0000-0000-0000E4310000}"/>
    <cellStyle name="Normal 20 4 3 2 3" xfId="13054" xr:uid="{00000000-0005-0000-0000-0000E5310000}"/>
    <cellStyle name="Normal 20 4 3 2 3 2" xfId="29597" xr:uid="{00000000-0005-0000-0000-0000E6310000}"/>
    <cellStyle name="Normal 20 4 3 2 4" xfId="21554" xr:uid="{00000000-0005-0000-0000-0000E7310000}"/>
    <cellStyle name="Normal 20 4 3 3" xfId="7753" xr:uid="{00000000-0005-0000-0000-0000E8310000}"/>
    <cellStyle name="Normal 20 4 3 3 2" xfId="16931" xr:uid="{00000000-0005-0000-0000-0000E9310000}"/>
    <cellStyle name="Normal 20 4 3 3 2 2" xfId="33505" xr:uid="{00000000-0005-0000-0000-0000EA310000}"/>
    <cellStyle name="Normal 20 4 3 3 3" xfId="25458" xr:uid="{00000000-0005-0000-0000-0000EB310000}"/>
    <cellStyle name="Normal 20 4 3 4" xfId="13053" xr:uid="{00000000-0005-0000-0000-0000EC310000}"/>
    <cellStyle name="Normal 20 4 3 4 2" xfId="29596" xr:uid="{00000000-0005-0000-0000-0000ED310000}"/>
    <cellStyle name="Normal 20 4 3 5" xfId="21553" xr:uid="{00000000-0005-0000-0000-0000EE310000}"/>
    <cellStyle name="Normal 20 4 4" xfId="3636" xr:uid="{00000000-0005-0000-0000-0000EF310000}"/>
    <cellStyle name="Normal 20 4 4 2" xfId="7754" xr:uid="{00000000-0005-0000-0000-0000F0310000}"/>
    <cellStyle name="Normal 20 4 4 2 2" xfId="16932" xr:uid="{00000000-0005-0000-0000-0000F1310000}"/>
    <cellStyle name="Normal 20 4 4 2 2 2" xfId="33506" xr:uid="{00000000-0005-0000-0000-0000F2310000}"/>
    <cellStyle name="Normal 20 4 4 2 3" xfId="25459" xr:uid="{00000000-0005-0000-0000-0000F3310000}"/>
    <cellStyle name="Normal 20 4 4 3" xfId="13055" xr:uid="{00000000-0005-0000-0000-0000F4310000}"/>
    <cellStyle name="Normal 20 4 4 3 2" xfId="29598" xr:uid="{00000000-0005-0000-0000-0000F5310000}"/>
    <cellStyle name="Normal 20 4 4 4" xfId="21555" xr:uid="{00000000-0005-0000-0000-0000F6310000}"/>
    <cellStyle name="Normal 20 4 5" xfId="7755" xr:uid="{00000000-0005-0000-0000-0000F7310000}"/>
    <cellStyle name="Normal 20 4 5 2" xfId="16933" xr:uid="{00000000-0005-0000-0000-0000F8310000}"/>
    <cellStyle name="Normal 20 4 5 2 2" xfId="33507" xr:uid="{00000000-0005-0000-0000-0000F9310000}"/>
    <cellStyle name="Normal 20 4 5 3" xfId="25460" xr:uid="{00000000-0005-0000-0000-0000FA310000}"/>
    <cellStyle name="Normal 20 4 6" xfId="13048" xr:uid="{00000000-0005-0000-0000-0000FB310000}"/>
    <cellStyle name="Normal 20 4 6 2" xfId="29591" xr:uid="{00000000-0005-0000-0000-0000FC310000}"/>
    <cellStyle name="Normal 20 4 7" xfId="21548" xr:uid="{00000000-0005-0000-0000-0000FD310000}"/>
    <cellStyle name="Normal 20 5" xfId="3637" xr:uid="{00000000-0005-0000-0000-0000FE310000}"/>
    <cellStyle name="Normal 20 5 2" xfId="3638" xr:uid="{00000000-0005-0000-0000-0000FF310000}"/>
    <cellStyle name="Normal 20 5 2 2" xfId="3639" xr:uid="{00000000-0005-0000-0000-000000320000}"/>
    <cellStyle name="Normal 20 5 2 2 2" xfId="3640" xr:uid="{00000000-0005-0000-0000-000001320000}"/>
    <cellStyle name="Normal 20 5 2 2 2 2" xfId="7756" xr:uid="{00000000-0005-0000-0000-000002320000}"/>
    <cellStyle name="Normal 20 5 2 2 2 2 2" xfId="16934" xr:uid="{00000000-0005-0000-0000-000003320000}"/>
    <cellStyle name="Normal 20 5 2 2 2 2 2 2" xfId="33508" xr:uid="{00000000-0005-0000-0000-000004320000}"/>
    <cellStyle name="Normal 20 5 2 2 2 2 3" xfId="25461" xr:uid="{00000000-0005-0000-0000-000005320000}"/>
    <cellStyle name="Normal 20 5 2 2 2 3" xfId="13059" xr:uid="{00000000-0005-0000-0000-000006320000}"/>
    <cellStyle name="Normal 20 5 2 2 2 3 2" xfId="29602" xr:uid="{00000000-0005-0000-0000-000007320000}"/>
    <cellStyle name="Normal 20 5 2 2 2 4" xfId="21559" xr:uid="{00000000-0005-0000-0000-000008320000}"/>
    <cellStyle name="Normal 20 5 2 2 3" xfId="7757" xr:uid="{00000000-0005-0000-0000-000009320000}"/>
    <cellStyle name="Normal 20 5 2 2 3 2" xfId="16935" xr:uid="{00000000-0005-0000-0000-00000A320000}"/>
    <cellStyle name="Normal 20 5 2 2 3 2 2" xfId="33509" xr:uid="{00000000-0005-0000-0000-00000B320000}"/>
    <cellStyle name="Normal 20 5 2 2 3 3" xfId="25462" xr:uid="{00000000-0005-0000-0000-00000C320000}"/>
    <cellStyle name="Normal 20 5 2 2 4" xfId="13058" xr:uid="{00000000-0005-0000-0000-00000D320000}"/>
    <cellStyle name="Normal 20 5 2 2 4 2" xfId="29601" xr:uid="{00000000-0005-0000-0000-00000E320000}"/>
    <cellStyle name="Normal 20 5 2 2 5" xfId="21558" xr:uid="{00000000-0005-0000-0000-00000F320000}"/>
    <cellStyle name="Normal 20 5 2 3" xfId="3641" xr:uid="{00000000-0005-0000-0000-000010320000}"/>
    <cellStyle name="Normal 20 5 2 3 2" xfId="7758" xr:uid="{00000000-0005-0000-0000-000011320000}"/>
    <cellStyle name="Normal 20 5 2 3 2 2" xfId="16936" xr:uid="{00000000-0005-0000-0000-000012320000}"/>
    <cellStyle name="Normal 20 5 2 3 2 2 2" xfId="33510" xr:uid="{00000000-0005-0000-0000-000013320000}"/>
    <cellStyle name="Normal 20 5 2 3 2 3" xfId="25463" xr:uid="{00000000-0005-0000-0000-000014320000}"/>
    <cellStyle name="Normal 20 5 2 3 3" xfId="13060" xr:uid="{00000000-0005-0000-0000-000015320000}"/>
    <cellStyle name="Normal 20 5 2 3 3 2" xfId="29603" xr:uid="{00000000-0005-0000-0000-000016320000}"/>
    <cellStyle name="Normal 20 5 2 3 4" xfId="21560" xr:uid="{00000000-0005-0000-0000-000017320000}"/>
    <cellStyle name="Normal 20 5 2 4" xfId="7759" xr:uid="{00000000-0005-0000-0000-000018320000}"/>
    <cellStyle name="Normal 20 5 2 4 2" xfId="16937" xr:uid="{00000000-0005-0000-0000-000019320000}"/>
    <cellStyle name="Normal 20 5 2 4 2 2" xfId="33511" xr:uid="{00000000-0005-0000-0000-00001A320000}"/>
    <cellStyle name="Normal 20 5 2 4 3" xfId="25464" xr:uid="{00000000-0005-0000-0000-00001B320000}"/>
    <cellStyle name="Normal 20 5 2 5" xfId="13057" xr:uid="{00000000-0005-0000-0000-00001C320000}"/>
    <cellStyle name="Normal 20 5 2 5 2" xfId="29600" xr:uid="{00000000-0005-0000-0000-00001D320000}"/>
    <cellStyle name="Normal 20 5 2 6" xfId="21557" xr:uid="{00000000-0005-0000-0000-00001E320000}"/>
    <cellStyle name="Normal 20 5 3" xfId="3642" xr:uid="{00000000-0005-0000-0000-00001F320000}"/>
    <cellStyle name="Normal 20 5 3 2" xfId="3643" xr:uid="{00000000-0005-0000-0000-000020320000}"/>
    <cellStyle name="Normal 20 5 3 2 2" xfId="7760" xr:uid="{00000000-0005-0000-0000-000021320000}"/>
    <cellStyle name="Normal 20 5 3 2 2 2" xfId="16938" xr:uid="{00000000-0005-0000-0000-000022320000}"/>
    <cellStyle name="Normal 20 5 3 2 2 2 2" xfId="33512" xr:uid="{00000000-0005-0000-0000-000023320000}"/>
    <cellStyle name="Normal 20 5 3 2 2 3" xfId="25465" xr:uid="{00000000-0005-0000-0000-000024320000}"/>
    <cellStyle name="Normal 20 5 3 2 3" xfId="13062" xr:uid="{00000000-0005-0000-0000-000025320000}"/>
    <cellStyle name="Normal 20 5 3 2 3 2" xfId="29605" xr:uid="{00000000-0005-0000-0000-000026320000}"/>
    <cellStyle name="Normal 20 5 3 2 4" xfId="21562" xr:uid="{00000000-0005-0000-0000-000027320000}"/>
    <cellStyle name="Normal 20 5 3 3" xfId="7761" xr:uid="{00000000-0005-0000-0000-000028320000}"/>
    <cellStyle name="Normal 20 5 3 3 2" xfId="16939" xr:uid="{00000000-0005-0000-0000-000029320000}"/>
    <cellStyle name="Normal 20 5 3 3 2 2" xfId="33513" xr:uid="{00000000-0005-0000-0000-00002A320000}"/>
    <cellStyle name="Normal 20 5 3 3 3" xfId="25466" xr:uid="{00000000-0005-0000-0000-00002B320000}"/>
    <cellStyle name="Normal 20 5 3 4" xfId="13061" xr:uid="{00000000-0005-0000-0000-00002C320000}"/>
    <cellStyle name="Normal 20 5 3 4 2" xfId="29604" xr:uid="{00000000-0005-0000-0000-00002D320000}"/>
    <cellStyle name="Normal 20 5 3 5" xfId="21561" xr:uid="{00000000-0005-0000-0000-00002E320000}"/>
    <cellStyle name="Normal 20 5 4" xfId="3644" xr:uid="{00000000-0005-0000-0000-00002F320000}"/>
    <cellStyle name="Normal 20 5 4 2" xfId="7762" xr:uid="{00000000-0005-0000-0000-000030320000}"/>
    <cellStyle name="Normal 20 5 4 2 2" xfId="16940" xr:uid="{00000000-0005-0000-0000-000031320000}"/>
    <cellStyle name="Normal 20 5 4 2 2 2" xfId="33514" xr:uid="{00000000-0005-0000-0000-000032320000}"/>
    <cellStyle name="Normal 20 5 4 2 3" xfId="25467" xr:uid="{00000000-0005-0000-0000-000033320000}"/>
    <cellStyle name="Normal 20 5 4 3" xfId="13063" xr:uid="{00000000-0005-0000-0000-000034320000}"/>
    <cellStyle name="Normal 20 5 4 3 2" xfId="29606" xr:uid="{00000000-0005-0000-0000-000035320000}"/>
    <cellStyle name="Normal 20 5 4 4" xfId="21563" xr:uid="{00000000-0005-0000-0000-000036320000}"/>
    <cellStyle name="Normal 20 5 5" xfId="7763" xr:uid="{00000000-0005-0000-0000-000037320000}"/>
    <cellStyle name="Normal 20 5 5 2" xfId="16941" xr:uid="{00000000-0005-0000-0000-000038320000}"/>
    <cellStyle name="Normal 20 5 5 2 2" xfId="33515" xr:uid="{00000000-0005-0000-0000-000039320000}"/>
    <cellStyle name="Normal 20 5 5 3" xfId="25468" xr:uid="{00000000-0005-0000-0000-00003A320000}"/>
    <cellStyle name="Normal 20 5 6" xfId="13056" xr:uid="{00000000-0005-0000-0000-00003B320000}"/>
    <cellStyle name="Normal 20 5 6 2" xfId="29599" xr:uid="{00000000-0005-0000-0000-00003C320000}"/>
    <cellStyle name="Normal 20 5 7" xfId="21556" xr:uid="{00000000-0005-0000-0000-00003D320000}"/>
    <cellStyle name="Normal 20 6" xfId="3645" xr:uid="{00000000-0005-0000-0000-00003E320000}"/>
    <cellStyle name="Normal 20 6 2" xfId="3646" xr:uid="{00000000-0005-0000-0000-00003F320000}"/>
    <cellStyle name="Normal 20 6 2 2" xfId="3647" xr:uid="{00000000-0005-0000-0000-000040320000}"/>
    <cellStyle name="Normal 20 6 2 2 2" xfId="7764" xr:uid="{00000000-0005-0000-0000-000041320000}"/>
    <cellStyle name="Normal 20 6 2 2 2 2" xfId="16942" xr:uid="{00000000-0005-0000-0000-000042320000}"/>
    <cellStyle name="Normal 20 6 2 2 2 2 2" xfId="33516" xr:uid="{00000000-0005-0000-0000-000043320000}"/>
    <cellStyle name="Normal 20 6 2 2 2 3" xfId="25469" xr:uid="{00000000-0005-0000-0000-000044320000}"/>
    <cellStyle name="Normal 20 6 2 2 3" xfId="13066" xr:uid="{00000000-0005-0000-0000-000045320000}"/>
    <cellStyle name="Normal 20 6 2 2 3 2" xfId="29609" xr:uid="{00000000-0005-0000-0000-000046320000}"/>
    <cellStyle name="Normal 20 6 2 2 4" xfId="21566" xr:uid="{00000000-0005-0000-0000-000047320000}"/>
    <cellStyle name="Normal 20 6 2 3" xfId="7765" xr:uid="{00000000-0005-0000-0000-000048320000}"/>
    <cellStyle name="Normal 20 6 2 3 2" xfId="16943" xr:uid="{00000000-0005-0000-0000-000049320000}"/>
    <cellStyle name="Normal 20 6 2 3 2 2" xfId="33517" xr:uid="{00000000-0005-0000-0000-00004A320000}"/>
    <cellStyle name="Normal 20 6 2 3 3" xfId="25470" xr:uid="{00000000-0005-0000-0000-00004B320000}"/>
    <cellStyle name="Normal 20 6 2 4" xfId="13065" xr:uid="{00000000-0005-0000-0000-00004C320000}"/>
    <cellStyle name="Normal 20 6 2 4 2" xfId="29608" xr:uid="{00000000-0005-0000-0000-00004D320000}"/>
    <cellStyle name="Normal 20 6 2 5" xfId="21565" xr:uid="{00000000-0005-0000-0000-00004E320000}"/>
    <cellStyle name="Normal 20 6 3" xfId="3648" xr:uid="{00000000-0005-0000-0000-00004F320000}"/>
    <cellStyle name="Normal 20 6 3 2" xfId="7766" xr:uid="{00000000-0005-0000-0000-000050320000}"/>
    <cellStyle name="Normal 20 6 3 2 2" xfId="16944" xr:uid="{00000000-0005-0000-0000-000051320000}"/>
    <cellStyle name="Normal 20 6 3 2 2 2" xfId="33518" xr:uid="{00000000-0005-0000-0000-000052320000}"/>
    <cellStyle name="Normal 20 6 3 2 3" xfId="25471" xr:uid="{00000000-0005-0000-0000-000053320000}"/>
    <cellStyle name="Normal 20 6 3 3" xfId="13067" xr:uid="{00000000-0005-0000-0000-000054320000}"/>
    <cellStyle name="Normal 20 6 3 3 2" xfId="29610" xr:uid="{00000000-0005-0000-0000-000055320000}"/>
    <cellStyle name="Normal 20 6 3 4" xfId="21567" xr:uid="{00000000-0005-0000-0000-000056320000}"/>
    <cellStyle name="Normal 20 6 4" xfId="7767" xr:uid="{00000000-0005-0000-0000-000057320000}"/>
    <cellStyle name="Normal 20 6 4 2" xfId="16945" xr:uid="{00000000-0005-0000-0000-000058320000}"/>
    <cellStyle name="Normal 20 6 4 2 2" xfId="33519" xr:uid="{00000000-0005-0000-0000-000059320000}"/>
    <cellStyle name="Normal 20 6 4 3" xfId="25472" xr:uid="{00000000-0005-0000-0000-00005A320000}"/>
    <cellStyle name="Normal 20 6 5" xfId="13064" xr:uid="{00000000-0005-0000-0000-00005B320000}"/>
    <cellStyle name="Normal 20 6 5 2" xfId="29607" xr:uid="{00000000-0005-0000-0000-00005C320000}"/>
    <cellStyle name="Normal 20 6 6" xfId="21564" xr:uid="{00000000-0005-0000-0000-00005D320000}"/>
    <cellStyle name="Normal 20 7" xfId="3649" xr:uid="{00000000-0005-0000-0000-00005E320000}"/>
    <cellStyle name="Normal 20 7 2" xfId="3650" xr:uid="{00000000-0005-0000-0000-00005F320000}"/>
    <cellStyle name="Normal 20 7 2 2" xfId="7768" xr:uid="{00000000-0005-0000-0000-000060320000}"/>
    <cellStyle name="Normal 20 7 2 2 2" xfId="16946" xr:uid="{00000000-0005-0000-0000-000061320000}"/>
    <cellStyle name="Normal 20 7 2 2 2 2" xfId="33520" xr:uid="{00000000-0005-0000-0000-000062320000}"/>
    <cellStyle name="Normal 20 7 2 2 3" xfId="25473" xr:uid="{00000000-0005-0000-0000-000063320000}"/>
    <cellStyle name="Normal 20 7 2 3" xfId="13069" xr:uid="{00000000-0005-0000-0000-000064320000}"/>
    <cellStyle name="Normal 20 7 2 3 2" xfId="29612" xr:uid="{00000000-0005-0000-0000-000065320000}"/>
    <cellStyle name="Normal 20 7 2 4" xfId="21569" xr:uid="{00000000-0005-0000-0000-000066320000}"/>
    <cellStyle name="Normal 20 7 3" xfId="7769" xr:uid="{00000000-0005-0000-0000-000067320000}"/>
    <cellStyle name="Normal 20 7 3 2" xfId="16947" xr:uid="{00000000-0005-0000-0000-000068320000}"/>
    <cellStyle name="Normal 20 7 3 2 2" xfId="33521" xr:uid="{00000000-0005-0000-0000-000069320000}"/>
    <cellStyle name="Normal 20 7 3 3" xfId="25474" xr:uid="{00000000-0005-0000-0000-00006A320000}"/>
    <cellStyle name="Normal 20 7 4" xfId="13068" xr:uid="{00000000-0005-0000-0000-00006B320000}"/>
    <cellStyle name="Normal 20 7 4 2" xfId="29611" xr:uid="{00000000-0005-0000-0000-00006C320000}"/>
    <cellStyle name="Normal 20 7 5" xfId="21568" xr:uid="{00000000-0005-0000-0000-00006D320000}"/>
    <cellStyle name="Normal 20 8" xfId="3651" xr:uid="{00000000-0005-0000-0000-00006E320000}"/>
    <cellStyle name="Normal 20 8 2" xfId="7770" xr:uid="{00000000-0005-0000-0000-00006F320000}"/>
    <cellStyle name="Normal 20 8 2 2" xfId="16948" xr:uid="{00000000-0005-0000-0000-000070320000}"/>
    <cellStyle name="Normal 20 8 2 2 2" xfId="33522" xr:uid="{00000000-0005-0000-0000-000071320000}"/>
    <cellStyle name="Normal 20 8 2 3" xfId="25475" xr:uid="{00000000-0005-0000-0000-000072320000}"/>
    <cellStyle name="Normal 20 8 3" xfId="13070" xr:uid="{00000000-0005-0000-0000-000073320000}"/>
    <cellStyle name="Normal 20 8 3 2" xfId="29613" xr:uid="{00000000-0005-0000-0000-000074320000}"/>
    <cellStyle name="Normal 20 8 4" xfId="21570" xr:uid="{00000000-0005-0000-0000-000075320000}"/>
    <cellStyle name="Normal 20 9" xfId="7771" xr:uid="{00000000-0005-0000-0000-000076320000}"/>
    <cellStyle name="Normal 20 9 2" xfId="16949" xr:uid="{00000000-0005-0000-0000-000077320000}"/>
    <cellStyle name="Normal 20 9 2 2" xfId="33523" xr:uid="{00000000-0005-0000-0000-000078320000}"/>
    <cellStyle name="Normal 20 9 3" xfId="25476" xr:uid="{00000000-0005-0000-0000-000079320000}"/>
    <cellStyle name="Normal 200" xfId="10604" xr:uid="{00000000-0005-0000-0000-00007A320000}"/>
    <cellStyle name="Normal 201" xfId="10607" xr:uid="{00000000-0005-0000-0000-00007B320000}"/>
    <cellStyle name="Normal 202" xfId="10610" xr:uid="{00000000-0005-0000-0000-00007C320000}"/>
    <cellStyle name="Normal 203" xfId="10613" xr:uid="{00000000-0005-0000-0000-00007D320000}"/>
    <cellStyle name="Normal 204" xfId="10616" xr:uid="{00000000-0005-0000-0000-00007E320000}"/>
    <cellStyle name="Normal 205" xfId="10619" xr:uid="{00000000-0005-0000-0000-00007F320000}"/>
    <cellStyle name="Normal 206" xfId="10622" xr:uid="{00000000-0005-0000-0000-000080320000}"/>
    <cellStyle name="Normal 207" xfId="10625" xr:uid="{00000000-0005-0000-0000-000081320000}"/>
    <cellStyle name="Normal 208" xfId="10628" xr:uid="{00000000-0005-0000-0000-000082320000}"/>
    <cellStyle name="Normal 209" xfId="10631" xr:uid="{00000000-0005-0000-0000-000083320000}"/>
    <cellStyle name="Normal 21" xfId="3652" xr:uid="{00000000-0005-0000-0000-000084320000}"/>
    <cellStyle name="Normal 21 10" xfId="13071" xr:uid="{00000000-0005-0000-0000-000085320000}"/>
    <cellStyle name="Normal 21 10 2" xfId="29614" xr:uid="{00000000-0005-0000-0000-000086320000}"/>
    <cellStyle name="Normal 21 11" xfId="21571" xr:uid="{00000000-0005-0000-0000-000087320000}"/>
    <cellStyle name="Normal 21 2" xfId="3653" xr:uid="{00000000-0005-0000-0000-000088320000}"/>
    <cellStyle name="Normal 21 2 2" xfId="3654" xr:uid="{00000000-0005-0000-0000-000089320000}"/>
    <cellStyle name="Normal 21 2 3" xfId="13072" xr:uid="{00000000-0005-0000-0000-00008A320000}"/>
    <cellStyle name="Normal 21 2 3 2" xfId="29615" xr:uid="{00000000-0005-0000-0000-00008B320000}"/>
    <cellStyle name="Normal 21 2 4" xfId="21572" xr:uid="{00000000-0005-0000-0000-00008C320000}"/>
    <cellStyle name="Normal 21 3" xfId="3655" xr:uid="{00000000-0005-0000-0000-00008D320000}"/>
    <cellStyle name="Normal 21 3 2" xfId="3656" xr:uid="{00000000-0005-0000-0000-00008E320000}"/>
    <cellStyle name="Normal 21 3 2 2" xfId="3657" xr:uid="{00000000-0005-0000-0000-00008F320000}"/>
    <cellStyle name="Normal 21 3 2 2 2" xfId="3658" xr:uid="{00000000-0005-0000-0000-000090320000}"/>
    <cellStyle name="Normal 21 3 2 2 2 2" xfId="7772" xr:uid="{00000000-0005-0000-0000-000091320000}"/>
    <cellStyle name="Normal 21 3 2 2 2 2 2" xfId="16950" xr:uid="{00000000-0005-0000-0000-000092320000}"/>
    <cellStyle name="Normal 21 3 2 2 2 2 2 2" xfId="33524" xr:uid="{00000000-0005-0000-0000-000093320000}"/>
    <cellStyle name="Normal 21 3 2 2 2 2 3" xfId="25477" xr:uid="{00000000-0005-0000-0000-000094320000}"/>
    <cellStyle name="Normal 21 3 2 2 2 3" xfId="13075" xr:uid="{00000000-0005-0000-0000-000095320000}"/>
    <cellStyle name="Normal 21 3 2 2 2 3 2" xfId="29618" xr:uid="{00000000-0005-0000-0000-000096320000}"/>
    <cellStyle name="Normal 21 3 2 2 2 4" xfId="21575" xr:uid="{00000000-0005-0000-0000-000097320000}"/>
    <cellStyle name="Normal 21 3 2 2 3" xfId="7773" xr:uid="{00000000-0005-0000-0000-000098320000}"/>
    <cellStyle name="Normal 21 3 2 2 3 2" xfId="16951" xr:uid="{00000000-0005-0000-0000-000099320000}"/>
    <cellStyle name="Normal 21 3 2 2 3 2 2" xfId="33525" xr:uid="{00000000-0005-0000-0000-00009A320000}"/>
    <cellStyle name="Normal 21 3 2 2 3 3" xfId="25478" xr:uid="{00000000-0005-0000-0000-00009B320000}"/>
    <cellStyle name="Normal 21 3 2 2 4" xfId="13074" xr:uid="{00000000-0005-0000-0000-00009C320000}"/>
    <cellStyle name="Normal 21 3 2 2 4 2" xfId="29617" xr:uid="{00000000-0005-0000-0000-00009D320000}"/>
    <cellStyle name="Normal 21 3 2 2 5" xfId="21574" xr:uid="{00000000-0005-0000-0000-00009E320000}"/>
    <cellStyle name="Normal 21 3 2 3" xfId="3659" xr:uid="{00000000-0005-0000-0000-00009F320000}"/>
    <cellStyle name="Normal 21 3 2 3 2" xfId="7774" xr:uid="{00000000-0005-0000-0000-0000A0320000}"/>
    <cellStyle name="Normal 21 3 2 3 2 2" xfId="16952" xr:uid="{00000000-0005-0000-0000-0000A1320000}"/>
    <cellStyle name="Normal 21 3 2 3 2 2 2" xfId="33526" xr:uid="{00000000-0005-0000-0000-0000A2320000}"/>
    <cellStyle name="Normal 21 3 2 3 2 3" xfId="25479" xr:uid="{00000000-0005-0000-0000-0000A3320000}"/>
    <cellStyle name="Normal 21 3 2 3 3" xfId="13076" xr:uid="{00000000-0005-0000-0000-0000A4320000}"/>
    <cellStyle name="Normal 21 3 2 3 3 2" xfId="29619" xr:uid="{00000000-0005-0000-0000-0000A5320000}"/>
    <cellStyle name="Normal 21 3 2 3 4" xfId="21576" xr:uid="{00000000-0005-0000-0000-0000A6320000}"/>
    <cellStyle name="Normal 21 3 2 4" xfId="7775" xr:uid="{00000000-0005-0000-0000-0000A7320000}"/>
    <cellStyle name="Normal 21 3 2 4 2" xfId="16953" xr:uid="{00000000-0005-0000-0000-0000A8320000}"/>
    <cellStyle name="Normal 21 3 2 4 2 2" xfId="33527" xr:uid="{00000000-0005-0000-0000-0000A9320000}"/>
    <cellStyle name="Normal 21 3 2 4 3" xfId="25480" xr:uid="{00000000-0005-0000-0000-0000AA320000}"/>
    <cellStyle name="Normal 21 3 2 5" xfId="13073" xr:uid="{00000000-0005-0000-0000-0000AB320000}"/>
    <cellStyle name="Normal 21 3 2 5 2" xfId="29616" xr:uid="{00000000-0005-0000-0000-0000AC320000}"/>
    <cellStyle name="Normal 21 3 2 6" xfId="21573" xr:uid="{00000000-0005-0000-0000-0000AD320000}"/>
    <cellStyle name="Normal 21 3 3" xfId="3660" xr:uid="{00000000-0005-0000-0000-0000AE320000}"/>
    <cellStyle name="Normal 21 3 3 2" xfId="3661" xr:uid="{00000000-0005-0000-0000-0000AF320000}"/>
    <cellStyle name="Normal 21 3 3 2 2" xfId="7776" xr:uid="{00000000-0005-0000-0000-0000B0320000}"/>
    <cellStyle name="Normal 21 3 3 2 2 2" xfId="16954" xr:uid="{00000000-0005-0000-0000-0000B1320000}"/>
    <cellStyle name="Normal 21 3 3 2 2 2 2" xfId="33528" xr:uid="{00000000-0005-0000-0000-0000B2320000}"/>
    <cellStyle name="Normal 21 3 3 2 2 3" xfId="25481" xr:uid="{00000000-0005-0000-0000-0000B3320000}"/>
    <cellStyle name="Normal 21 3 3 2 3" xfId="13078" xr:uid="{00000000-0005-0000-0000-0000B4320000}"/>
    <cellStyle name="Normal 21 3 3 2 3 2" xfId="29621" xr:uid="{00000000-0005-0000-0000-0000B5320000}"/>
    <cellStyle name="Normal 21 3 3 2 4" xfId="21578" xr:uid="{00000000-0005-0000-0000-0000B6320000}"/>
    <cellStyle name="Normal 21 3 3 3" xfId="7777" xr:uid="{00000000-0005-0000-0000-0000B7320000}"/>
    <cellStyle name="Normal 21 3 3 3 2" xfId="16955" xr:uid="{00000000-0005-0000-0000-0000B8320000}"/>
    <cellStyle name="Normal 21 3 3 3 2 2" xfId="33529" xr:uid="{00000000-0005-0000-0000-0000B9320000}"/>
    <cellStyle name="Normal 21 3 3 3 3" xfId="25482" xr:uid="{00000000-0005-0000-0000-0000BA320000}"/>
    <cellStyle name="Normal 21 3 3 4" xfId="13077" xr:uid="{00000000-0005-0000-0000-0000BB320000}"/>
    <cellStyle name="Normal 21 3 3 4 2" xfId="29620" xr:uid="{00000000-0005-0000-0000-0000BC320000}"/>
    <cellStyle name="Normal 21 3 3 5" xfId="21577" xr:uid="{00000000-0005-0000-0000-0000BD320000}"/>
    <cellStyle name="Normal 21 3 4" xfId="3662" xr:uid="{00000000-0005-0000-0000-0000BE320000}"/>
    <cellStyle name="Normal 21 3 4 2" xfId="7778" xr:uid="{00000000-0005-0000-0000-0000BF320000}"/>
    <cellStyle name="Normal 21 3 4 2 2" xfId="16956" xr:uid="{00000000-0005-0000-0000-0000C0320000}"/>
    <cellStyle name="Normal 21 3 4 2 2 2" xfId="33530" xr:uid="{00000000-0005-0000-0000-0000C1320000}"/>
    <cellStyle name="Normal 21 3 4 2 3" xfId="25483" xr:uid="{00000000-0005-0000-0000-0000C2320000}"/>
    <cellStyle name="Normal 21 3 4 3" xfId="13079" xr:uid="{00000000-0005-0000-0000-0000C3320000}"/>
    <cellStyle name="Normal 21 3 4 3 2" xfId="29622" xr:uid="{00000000-0005-0000-0000-0000C4320000}"/>
    <cellStyle name="Normal 21 3 4 4" xfId="21579" xr:uid="{00000000-0005-0000-0000-0000C5320000}"/>
    <cellStyle name="Normal 21 3 5" xfId="3663" xr:uid="{00000000-0005-0000-0000-0000C6320000}"/>
    <cellStyle name="Normal 21 3 5 2" xfId="13080" xr:uid="{00000000-0005-0000-0000-0000C7320000}"/>
    <cellStyle name="Normal 21 3 5 2 2" xfId="29623" xr:uid="{00000000-0005-0000-0000-0000C8320000}"/>
    <cellStyle name="Normal 21 3 5 3" xfId="21580" xr:uid="{00000000-0005-0000-0000-0000C9320000}"/>
    <cellStyle name="Normal 21 4" xfId="3664" xr:uid="{00000000-0005-0000-0000-0000CA320000}"/>
    <cellStyle name="Normal 21 4 2" xfId="3665" xr:uid="{00000000-0005-0000-0000-0000CB320000}"/>
    <cellStyle name="Normal 21 4 2 2" xfId="3666" xr:uid="{00000000-0005-0000-0000-0000CC320000}"/>
    <cellStyle name="Normal 21 4 2 2 2" xfId="3667" xr:uid="{00000000-0005-0000-0000-0000CD320000}"/>
    <cellStyle name="Normal 21 4 2 2 2 2" xfId="7779" xr:uid="{00000000-0005-0000-0000-0000CE320000}"/>
    <cellStyle name="Normal 21 4 2 2 2 2 2" xfId="16957" xr:uid="{00000000-0005-0000-0000-0000CF320000}"/>
    <cellStyle name="Normal 21 4 2 2 2 2 2 2" xfId="33531" xr:uid="{00000000-0005-0000-0000-0000D0320000}"/>
    <cellStyle name="Normal 21 4 2 2 2 2 3" xfId="25484" xr:uid="{00000000-0005-0000-0000-0000D1320000}"/>
    <cellStyle name="Normal 21 4 2 2 2 3" xfId="13084" xr:uid="{00000000-0005-0000-0000-0000D2320000}"/>
    <cellStyle name="Normal 21 4 2 2 2 3 2" xfId="29627" xr:uid="{00000000-0005-0000-0000-0000D3320000}"/>
    <cellStyle name="Normal 21 4 2 2 2 4" xfId="21584" xr:uid="{00000000-0005-0000-0000-0000D4320000}"/>
    <cellStyle name="Normal 21 4 2 2 3" xfId="7780" xr:uid="{00000000-0005-0000-0000-0000D5320000}"/>
    <cellStyle name="Normal 21 4 2 2 3 2" xfId="16958" xr:uid="{00000000-0005-0000-0000-0000D6320000}"/>
    <cellStyle name="Normal 21 4 2 2 3 2 2" xfId="33532" xr:uid="{00000000-0005-0000-0000-0000D7320000}"/>
    <cellStyle name="Normal 21 4 2 2 3 3" xfId="25485" xr:uid="{00000000-0005-0000-0000-0000D8320000}"/>
    <cellStyle name="Normal 21 4 2 2 4" xfId="13083" xr:uid="{00000000-0005-0000-0000-0000D9320000}"/>
    <cellStyle name="Normal 21 4 2 2 4 2" xfId="29626" xr:uid="{00000000-0005-0000-0000-0000DA320000}"/>
    <cellStyle name="Normal 21 4 2 2 5" xfId="21583" xr:uid="{00000000-0005-0000-0000-0000DB320000}"/>
    <cellStyle name="Normal 21 4 2 3" xfId="3668" xr:uid="{00000000-0005-0000-0000-0000DC320000}"/>
    <cellStyle name="Normal 21 4 2 3 2" xfId="7781" xr:uid="{00000000-0005-0000-0000-0000DD320000}"/>
    <cellStyle name="Normal 21 4 2 3 2 2" xfId="16959" xr:uid="{00000000-0005-0000-0000-0000DE320000}"/>
    <cellStyle name="Normal 21 4 2 3 2 2 2" xfId="33533" xr:uid="{00000000-0005-0000-0000-0000DF320000}"/>
    <cellStyle name="Normal 21 4 2 3 2 3" xfId="25486" xr:uid="{00000000-0005-0000-0000-0000E0320000}"/>
    <cellStyle name="Normal 21 4 2 3 3" xfId="13085" xr:uid="{00000000-0005-0000-0000-0000E1320000}"/>
    <cellStyle name="Normal 21 4 2 3 3 2" xfId="29628" xr:uid="{00000000-0005-0000-0000-0000E2320000}"/>
    <cellStyle name="Normal 21 4 2 3 4" xfId="21585" xr:uid="{00000000-0005-0000-0000-0000E3320000}"/>
    <cellStyle name="Normal 21 4 2 4" xfId="7782" xr:uid="{00000000-0005-0000-0000-0000E4320000}"/>
    <cellStyle name="Normal 21 4 2 4 2" xfId="16960" xr:uid="{00000000-0005-0000-0000-0000E5320000}"/>
    <cellStyle name="Normal 21 4 2 4 2 2" xfId="33534" xr:uid="{00000000-0005-0000-0000-0000E6320000}"/>
    <cellStyle name="Normal 21 4 2 4 3" xfId="25487" xr:uid="{00000000-0005-0000-0000-0000E7320000}"/>
    <cellStyle name="Normal 21 4 2 5" xfId="13082" xr:uid="{00000000-0005-0000-0000-0000E8320000}"/>
    <cellStyle name="Normal 21 4 2 5 2" xfId="29625" xr:uid="{00000000-0005-0000-0000-0000E9320000}"/>
    <cellStyle name="Normal 21 4 2 6" xfId="21582" xr:uid="{00000000-0005-0000-0000-0000EA320000}"/>
    <cellStyle name="Normal 21 4 3" xfId="3669" xr:uid="{00000000-0005-0000-0000-0000EB320000}"/>
    <cellStyle name="Normal 21 4 3 2" xfId="3670" xr:uid="{00000000-0005-0000-0000-0000EC320000}"/>
    <cellStyle name="Normal 21 4 3 2 2" xfId="7783" xr:uid="{00000000-0005-0000-0000-0000ED320000}"/>
    <cellStyle name="Normal 21 4 3 2 2 2" xfId="16961" xr:uid="{00000000-0005-0000-0000-0000EE320000}"/>
    <cellStyle name="Normal 21 4 3 2 2 2 2" xfId="33535" xr:uid="{00000000-0005-0000-0000-0000EF320000}"/>
    <cellStyle name="Normal 21 4 3 2 2 3" xfId="25488" xr:uid="{00000000-0005-0000-0000-0000F0320000}"/>
    <cellStyle name="Normal 21 4 3 2 3" xfId="13087" xr:uid="{00000000-0005-0000-0000-0000F1320000}"/>
    <cellStyle name="Normal 21 4 3 2 3 2" xfId="29630" xr:uid="{00000000-0005-0000-0000-0000F2320000}"/>
    <cellStyle name="Normal 21 4 3 2 4" xfId="21587" xr:uid="{00000000-0005-0000-0000-0000F3320000}"/>
    <cellStyle name="Normal 21 4 3 3" xfId="7784" xr:uid="{00000000-0005-0000-0000-0000F4320000}"/>
    <cellStyle name="Normal 21 4 3 3 2" xfId="16962" xr:uid="{00000000-0005-0000-0000-0000F5320000}"/>
    <cellStyle name="Normal 21 4 3 3 2 2" xfId="33536" xr:uid="{00000000-0005-0000-0000-0000F6320000}"/>
    <cellStyle name="Normal 21 4 3 3 3" xfId="25489" xr:uid="{00000000-0005-0000-0000-0000F7320000}"/>
    <cellStyle name="Normal 21 4 3 4" xfId="13086" xr:uid="{00000000-0005-0000-0000-0000F8320000}"/>
    <cellStyle name="Normal 21 4 3 4 2" xfId="29629" xr:uid="{00000000-0005-0000-0000-0000F9320000}"/>
    <cellStyle name="Normal 21 4 3 5" xfId="21586" xr:uid="{00000000-0005-0000-0000-0000FA320000}"/>
    <cellStyle name="Normal 21 4 4" xfId="3671" xr:uid="{00000000-0005-0000-0000-0000FB320000}"/>
    <cellStyle name="Normal 21 4 4 2" xfId="7785" xr:uid="{00000000-0005-0000-0000-0000FC320000}"/>
    <cellStyle name="Normal 21 4 4 2 2" xfId="16963" xr:uid="{00000000-0005-0000-0000-0000FD320000}"/>
    <cellStyle name="Normal 21 4 4 2 2 2" xfId="33537" xr:uid="{00000000-0005-0000-0000-0000FE320000}"/>
    <cellStyle name="Normal 21 4 4 2 3" xfId="25490" xr:uid="{00000000-0005-0000-0000-0000FF320000}"/>
    <cellStyle name="Normal 21 4 4 3" xfId="13088" xr:uid="{00000000-0005-0000-0000-000000330000}"/>
    <cellStyle name="Normal 21 4 4 3 2" xfId="29631" xr:uid="{00000000-0005-0000-0000-000001330000}"/>
    <cellStyle name="Normal 21 4 4 4" xfId="21588" xr:uid="{00000000-0005-0000-0000-000002330000}"/>
    <cellStyle name="Normal 21 4 5" xfId="7786" xr:uid="{00000000-0005-0000-0000-000003330000}"/>
    <cellStyle name="Normal 21 4 5 2" xfId="16964" xr:uid="{00000000-0005-0000-0000-000004330000}"/>
    <cellStyle name="Normal 21 4 5 2 2" xfId="33538" xr:uid="{00000000-0005-0000-0000-000005330000}"/>
    <cellStyle name="Normal 21 4 5 3" xfId="25491" xr:uid="{00000000-0005-0000-0000-000006330000}"/>
    <cellStyle name="Normal 21 4 6" xfId="13081" xr:uid="{00000000-0005-0000-0000-000007330000}"/>
    <cellStyle name="Normal 21 4 6 2" xfId="29624" xr:uid="{00000000-0005-0000-0000-000008330000}"/>
    <cellStyle name="Normal 21 4 7" xfId="21581" xr:uid="{00000000-0005-0000-0000-000009330000}"/>
    <cellStyle name="Normal 21 5" xfId="3672" xr:uid="{00000000-0005-0000-0000-00000A330000}"/>
    <cellStyle name="Normal 21 5 2" xfId="3673" xr:uid="{00000000-0005-0000-0000-00000B330000}"/>
    <cellStyle name="Normal 21 5 2 2" xfId="3674" xr:uid="{00000000-0005-0000-0000-00000C330000}"/>
    <cellStyle name="Normal 21 5 2 2 2" xfId="3675" xr:uid="{00000000-0005-0000-0000-00000D330000}"/>
    <cellStyle name="Normal 21 5 2 2 2 2" xfId="7787" xr:uid="{00000000-0005-0000-0000-00000E330000}"/>
    <cellStyle name="Normal 21 5 2 2 2 2 2" xfId="16965" xr:uid="{00000000-0005-0000-0000-00000F330000}"/>
    <cellStyle name="Normal 21 5 2 2 2 2 2 2" xfId="33539" xr:uid="{00000000-0005-0000-0000-000010330000}"/>
    <cellStyle name="Normal 21 5 2 2 2 2 3" xfId="25492" xr:uid="{00000000-0005-0000-0000-000011330000}"/>
    <cellStyle name="Normal 21 5 2 2 2 3" xfId="13092" xr:uid="{00000000-0005-0000-0000-000012330000}"/>
    <cellStyle name="Normal 21 5 2 2 2 3 2" xfId="29635" xr:uid="{00000000-0005-0000-0000-000013330000}"/>
    <cellStyle name="Normal 21 5 2 2 2 4" xfId="21592" xr:uid="{00000000-0005-0000-0000-000014330000}"/>
    <cellStyle name="Normal 21 5 2 2 3" xfId="7788" xr:uid="{00000000-0005-0000-0000-000015330000}"/>
    <cellStyle name="Normal 21 5 2 2 3 2" xfId="16966" xr:uid="{00000000-0005-0000-0000-000016330000}"/>
    <cellStyle name="Normal 21 5 2 2 3 2 2" xfId="33540" xr:uid="{00000000-0005-0000-0000-000017330000}"/>
    <cellStyle name="Normal 21 5 2 2 3 3" xfId="25493" xr:uid="{00000000-0005-0000-0000-000018330000}"/>
    <cellStyle name="Normal 21 5 2 2 4" xfId="13091" xr:uid="{00000000-0005-0000-0000-000019330000}"/>
    <cellStyle name="Normal 21 5 2 2 4 2" xfId="29634" xr:uid="{00000000-0005-0000-0000-00001A330000}"/>
    <cellStyle name="Normal 21 5 2 2 5" xfId="21591" xr:uid="{00000000-0005-0000-0000-00001B330000}"/>
    <cellStyle name="Normal 21 5 2 3" xfId="3676" xr:uid="{00000000-0005-0000-0000-00001C330000}"/>
    <cellStyle name="Normal 21 5 2 3 2" xfId="7789" xr:uid="{00000000-0005-0000-0000-00001D330000}"/>
    <cellStyle name="Normal 21 5 2 3 2 2" xfId="16967" xr:uid="{00000000-0005-0000-0000-00001E330000}"/>
    <cellStyle name="Normal 21 5 2 3 2 2 2" xfId="33541" xr:uid="{00000000-0005-0000-0000-00001F330000}"/>
    <cellStyle name="Normal 21 5 2 3 2 3" xfId="25494" xr:uid="{00000000-0005-0000-0000-000020330000}"/>
    <cellStyle name="Normal 21 5 2 3 3" xfId="13093" xr:uid="{00000000-0005-0000-0000-000021330000}"/>
    <cellStyle name="Normal 21 5 2 3 3 2" xfId="29636" xr:uid="{00000000-0005-0000-0000-000022330000}"/>
    <cellStyle name="Normal 21 5 2 3 4" xfId="21593" xr:uid="{00000000-0005-0000-0000-000023330000}"/>
    <cellStyle name="Normal 21 5 2 4" xfId="7790" xr:uid="{00000000-0005-0000-0000-000024330000}"/>
    <cellStyle name="Normal 21 5 2 4 2" xfId="16968" xr:uid="{00000000-0005-0000-0000-000025330000}"/>
    <cellStyle name="Normal 21 5 2 4 2 2" xfId="33542" xr:uid="{00000000-0005-0000-0000-000026330000}"/>
    <cellStyle name="Normal 21 5 2 4 3" xfId="25495" xr:uid="{00000000-0005-0000-0000-000027330000}"/>
    <cellStyle name="Normal 21 5 2 5" xfId="13090" xr:uid="{00000000-0005-0000-0000-000028330000}"/>
    <cellStyle name="Normal 21 5 2 5 2" xfId="29633" xr:uid="{00000000-0005-0000-0000-000029330000}"/>
    <cellStyle name="Normal 21 5 2 6" xfId="21590" xr:uid="{00000000-0005-0000-0000-00002A330000}"/>
    <cellStyle name="Normal 21 5 3" xfId="3677" xr:uid="{00000000-0005-0000-0000-00002B330000}"/>
    <cellStyle name="Normal 21 5 3 2" xfId="3678" xr:uid="{00000000-0005-0000-0000-00002C330000}"/>
    <cellStyle name="Normal 21 5 3 2 2" xfId="7791" xr:uid="{00000000-0005-0000-0000-00002D330000}"/>
    <cellStyle name="Normal 21 5 3 2 2 2" xfId="16969" xr:uid="{00000000-0005-0000-0000-00002E330000}"/>
    <cellStyle name="Normal 21 5 3 2 2 2 2" xfId="33543" xr:uid="{00000000-0005-0000-0000-00002F330000}"/>
    <cellStyle name="Normal 21 5 3 2 2 3" xfId="25496" xr:uid="{00000000-0005-0000-0000-000030330000}"/>
    <cellStyle name="Normal 21 5 3 2 3" xfId="13095" xr:uid="{00000000-0005-0000-0000-000031330000}"/>
    <cellStyle name="Normal 21 5 3 2 3 2" xfId="29638" xr:uid="{00000000-0005-0000-0000-000032330000}"/>
    <cellStyle name="Normal 21 5 3 2 4" xfId="21595" xr:uid="{00000000-0005-0000-0000-000033330000}"/>
    <cellStyle name="Normal 21 5 3 3" xfId="7792" xr:uid="{00000000-0005-0000-0000-000034330000}"/>
    <cellStyle name="Normal 21 5 3 3 2" xfId="16970" xr:uid="{00000000-0005-0000-0000-000035330000}"/>
    <cellStyle name="Normal 21 5 3 3 2 2" xfId="33544" xr:uid="{00000000-0005-0000-0000-000036330000}"/>
    <cellStyle name="Normal 21 5 3 3 3" xfId="25497" xr:uid="{00000000-0005-0000-0000-000037330000}"/>
    <cellStyle name="Normal 21 5 3 4" xfId="13094" xr:uid="{00000000-0005-0000-0000-000038330000}"/>
    <cellStyle name="Normal 21 5 3 4 2" xfId="29637" xr:uid="{00000000-0005-0000-0000-000039330000}"/>
    <cellStyle name="Normal 21 5 3 5" xfId="21594" xr:uid="{00000000-0005-0000-0000-00003A330000}"/>
    <cellStyle name="Normal 21 5 4" xfId="3679" xr:uid="{00000000-0005-0000-0000-00003B330000}"/>
    <cellStyle name="Normal 21 5 4 2" xfId="7793" xr:uid="{00000000-0005-0000-0000-00003C330000}"/>
    <cellStyle name="Normal 21 5 4 2 2" xfId="16971" xr:uid="{00000000-0005-0000-0000-00003D330000}"/>
    <cellStyle name="Normal 21 5 4 2 2 2" xfId="33545" xr:uid="{00000000-0005-0000-0000-00003E330000}"/>
    <cellStyle name="Normal 21 5 4 2 3" xfId="25498" xr:uid="{00000000-0005-0000-0000-00003F330000}"/>
    <cellStyle name="Normal 21 5 4 3" xfId="13096" xr:uid="{00000000-0005-0000-0000-000040330000}"/>
    <cellStyle name="Normal 21 5 4 3 2" xfId="29639" xr:uid="{00000000-0005-0000-0000-000041330000}"/>
    <cellStyle name="Normal 21 5 4 4" xfId="21596" xr:uid="{00000000-0005-0000-0000-000042330000}"/>
    <cellStyle name="Normal 21 5 5" xfId="7794" xr:uid="{00000000-0005-0000-0000-000043330000}"/>
    <cellStyle name="Normal 21 5 5 2" xfId="16972" xr:uid="{00000000-0005-0000-0000-000044330000}"/>
    <cellStyle name="Normal 21 5 5 2 2" xfId="33546" xr:uid="{00000000-0005-0000-0000-000045330000}"/>
    <cellStyle name="Normal 21 5 5 3" xfId="25499" xr:uid="{00000000-0005-0000-0000-000046330000}"/>
    <cellStyle name="Normal 21 5 6" xfId="13089" xr:uid="{00000000-0005-0000-0000-000047330000}"/>
    <cellStyle name="Normal 21 5 6 2" xfId="29632" xr:uid="{00000000-0005-0000-0000-000048330000}"/>
    <cellStyle name="Normal 21 5 7" xfId="21589" xr:uid="{00000000-0005-0000-0000-000049330000}"/>
    <cellStyle name="Normal 21 6" xfId="3680" xr:uid="{00000000-0005-0000-0000-00004A330000}"/>
    <cellStyle name="Normal 21 6 2" xfId="3681" xr:uid="{00000000-0005-0000-0000-00004B330000}"/>
    <cellStyle name="Normal 21 6 2 2" xfId="3682" xr:uid="{00000000-0005-0000-0000-00004C330000}"/>
    <cellStyle name="Normal 21 6 2 2 2" xfId="7795" xr:uid="{00000000-0005-0000-0000-00004D330000}"/>
    <cellStyle name="Normal 21 6 2 2 2 2" xfId="16973" xr:uid="{00000000-0005-0000-0000-00004E330000}"/>
    <cellStyle name="Normal 21 6 2 2 2 2 2" xfId="33547" xr:uid="{00000000-0005-0000-0000-00004F330000}"/>
    <cellStyle name="Normal 21 6 2 2 2 3" xfId="25500" xr:uid="{00000000-0005-0000-0000-000050330000}"/>
    <cellStyle name="Normal 21 6 2 2 3" xfId="13099" xr:uid="{00000000-0005-0000-0000-000051330000}"/>
    <cellStyle name="Normal 21 6 2 2 3 2" xfId="29642" xr:uid="{00000000-0005-0000-0000-000052330000}"/>
    <cellStyle name="Normal 21 6 2 2 4" xfId="21599" xr:uid="{00000000-0005-0000-0000-000053330000}"/>
    <cellStyle name="Normal 21 6 2 3" xfId="7796" xr:uid="{00000000-0005-0000-0000-000054330000}"/>
    <cellStyle name="Normal 21 6 2 3 2" xfId="16974" xr:uid="{00000000-0005-0000-0000-000055330000}"/>
    <cellStyle name="Normal 21 6 2 3 2 2" xfId="33548" xr:uid="{00000000-0005-0000-0000-000056330000}"/>
    <cellStyle name="Normal 21 6 2 3 3" xfId="25501" xr:uid="{00000000-0005-0000-0000-000057330000}"/>
    <cellStyle name="Normal 21 6 2 4" xfId="13098" xr:uid="{00000000-0005-0000-0000-000058330000}"/>
    <cellStyle name="Normal 21 6 2 4 2" xfId="29641" xr:uid="{00000000-0005-0000-0000-000059330000}"/>
    <cellStyle name="Normal 21 6 2 5" xfId="21598" xr:uid="{00000000-0005-0000-0000-00005A330000}"/>
    <cellStyle name="Normal 21 6 3" xfId="3683" xr:uid="{00000000-0005-0000-0000-00005B330000}"/>
    <cellStyle name="Normal 21 6 3 2" xfId="7797" xr:uid="{00000000-0005-0000-0000-00005C330000}"/>
    <cellStyle name="Normal 21 6 3 2 2" xfId="16975" xr:uid="{00000000-0005-0000-0000-00005D330000}"/>
    <cellStyle name="Normal 21 6 3 2 2 2" xfId="33549" xr:uid="{00000000-0005-0000-0000-00005E330000}"/>
    <cellStyle name="Normal 21 6 3 2 3" xfId="25502" xr:uid="{00000000-0005-0000-0000-00005F330000}"/>
    <cellStyle name="Normal 21 6 3 3" xfId="13100" xr:uid="{00000000-0005-0000-0000-000060330000}"/>
    <cellStyle name="Normal 21 6 3 3 2" xfId="29643" xr:uid="{00000000-0005-0000-0000-000061330000}"/>
    <cellStyle name="Normal 21 6 3 4" xfId="21600" xr:uid="{00000000-0005-0000-0000-000062330000}"/>
    <cellStyle name="Normal 21 6 4" xfId="7798" xr:uid="{00000000-0005-0000-0000-000063330000}"/>
    <cellStyle name="Normal 21 6 4 2" xfId="16976" xr:uid="{00000000-0005-0000-0000-000064330000}"/>
    <cellStyle name="Normal 21 6 4 2 2" xfId="33550" xr:uid="{00000000-0005-0000-0000-000065330000}"/>
    <cellStyle name="Normal 21 6 4 3" xfId="25503" xr:uid="{00000000-0005-0000-0000-000066330000}"/>
    <cellStyle name="Normal 21 6 5" xfId="13097" xr:uid="{00000000-0005-0000-0000-000067330000}"/>
    <cellStyle name="Normal 21 6 5 2" xfId="29640" xr:uid="{00000000-0005-0000-0000-000068330000}"/>
    <cellStyle name="Normal 21 6 6" xfId="21597" xr:uid="{00000000-0005-0000-0000-000069330000}"/>
    <cellStyle name="Normal 21 7" xfId="3684" xr:uid="{00000000-0005-0000-0000-00006A330000}"/>
    <cellStyle name="Normal 21 7 2" xfId="3685" xr:uid="{00000000-0005-0000-0000-00006B330000}"/>
    <cellStyle name="Normal 21 7 2 2" xfId="7799" xr:uid="{00000000-0005-0000-0000-00006C330000}"/>
    <cellStyle name="Normal 21 7 2 2 2" xfId="16977" xr:uid="{00000000-0005-0000-0000-00006D330000}"/>
    <cellStyle name="Normal 21 7 2 2 2 2" xfId="33551" xr:uid="{00000000-0005-0000-0000-00006E330000}"/>
    <cellStyle name="Normal 21 7 2 2 3" xfId="25504" xr:uid="{00000000-0005-0000-0000-00006F330000}"/>
    <cellStyle name="Normal 21 7 2 3" xfId="13102" xr:uid="{00000000-0005-0000-0000-000070330000}"/>
    <cellStyle name="Normal 21 7 2 3 2" xfId="29645" xr:uid="{00000000-0005-0000-0000-000071330000}"/>
    <cellStyle name="Normal 21 7 2 4" xfId="21602" xr:uid="{00000000-0005-0000-0000-000072330000}"/>
    <cellStyle name="Normal 21 7 3" xfId="7800" xr:uid="{00000000-0005-0000-0000-000073330000}"/>
    <cellStyle name="Normal 21 7 3 2" xfId="16978" xr:uid="{00000000-0005-0000-0000-000074330000}"/>
    <cellStyle name="Normal 21 7 3 2 2" xfId="33552" xr:uid="{00000000-0005-0000-0000-000075330000}"/>
    <cellStyle name="Normal 21 7 3 3" xfId="25505" xr:uid="{00000000-0005-0000-0000-000076330000}"/>
    <cellStyle name="Normal 21 7 4" xfId="13101" xr:uid="{00000000-0005-0000-0000-000077330000}"/>
    <cellStyle name="Normal 21 7 4 2" xfId="29644" xr:uid="{00000000-0005-0000-0000-000078330000}"/>
    <cellStyle name="Normal 21 7 5" xfId="21601" xr:uid="{00000000-0005-0000-0000-000079330000}"/>
    <cellStyle name="Normal 21 8" xfId="3686" xr:uid="{00000000-0005-0000-0000-00007A330000}"/>
    <cellStyle name="Normal 21 8 2" xfId="7801" xr:uid="{00000000-0005-0000-0000-00007B330000}"/>
    <cellStyle name="Normal 21 8 2 2" xfId="16979" xr:uid="{00000000-0005-0000-0000-00007C330000}"/>
    <cellStyle name="Normal 21 8 2 2 2" xfId="33553" xr:uid="{00000000-0005-0000-0000-00007D330000}"/>
    <cellStyle name="Normal 21 8 2 3" xfId="25506" xr:uid="{00000000-0005-0000-0000-00007E330000}"/>
    <cellStyle name="Normal 21 8 3" xfId="13103" xr:uid="{00000000-0005-0000-0000-00007F330000}"/>
    <cellStyle name="Normal 21 8 3 2" xfId="29646" xr:uid="{00000000-0005-0000-0000-000080330000}"/>
    <cellStyle name="Normal 21 8 4" xfId="21603" xr:uid="{00000000-0005-0000-0000-000081330000}"/>
    <cellStyle name="Normal 21 9" xfId="7802" xr:uid="{00000000-0005-0000-0000-000082330000}"/>
    <cellStyle name="Normal 21 9 2" xfId="16980" xr:uid="{00000000-0005-0000-0000-000083330000}"/>
    <cellStyle name="Normal 21 9 2 2" xfId="33554" xr:uid="{00000000-0005-0000-0000-000084330000}"/>
    <cellStyle name="Normal 21 9 3" xfId="25507" xr:uid="{00000000-0005-0000-0000-000085330000}"/>
    <cellStyle name="Normal 210" xfId="10634" xr:uid="{00000000-0005-0000-0000-000086330000}"/>
    <cellStyle name="Normal 211" xfId="10637" xr:uid="{00000000-0005-0000-0000-000087330000}"/>
    <cellStyle name="Normal 212" xfId="10640" xr:uid="{00000000-0005-0000-0000-000088330000}"/>
    <cellStyle name="Normal 213" xfId="10643" xr:uid="{00000000-0005-0000-0000-000089330000}"/>
    <cellStyle name="Normal 214" xfId="10646" xr:uid="{00000000-0005-0000-0000-00008A330000}"/>
    <cellStyle name="Normal 215" xfId="10649" xr:uid="{00000000-0005-0000-0000-00008B330000}"/>
    <cellStyle name="Normal 216" xfId="10652" xr:uid="{00000000-0005-0000-0000-00008C330000}"/>
    <cellStyle name="Normal 217" xfId="10655" xr:uid="{00000000-0005-0000-0000-00008D330000}"/>
    <cellStyle name="Normal 218" xfId="10658" xr:uid="{00000000-0005-0000-0000-00008E330000}"/>
    <cellStyle name="Normal 219" xfId="10661" xr:uid="{00000000-0005-0000-0000-00008F330000}"/>
    <cellStyle name="Normal 22" xfId="3687" xr:uid="{00000000-0005-0000-0000-000090330000}"/>
    <cellStyle name="Normal 22 10" xfId="13104" xr:uid="{00000000-0005-0000-0000-000091330000}"/>
    <cellStyle name="Normal 22 10 2" xfId="29647" xr:uid="{00000000-0005-0000-0000-000092330000}"/>
    <cellStyle name="Normal 22 11" xfId="21604" xr:uid="{00000000-0005-0000-0000-000093330000}"/>
    <cellStyle name="Normal 22 2" xfId="3688" xr:uid="{00000000-0005-0000-0000-000094330000}"/>
    <cellStyle name="Normal 22 2 2" xfId="3689" xr:uid="{00000000-0005-0000-0000-000095330000}"/>
    <cellStyle name="Normal 22 2 3" xfId="13105" xr:uid="{00000000-0005-0000-0000-000096330000}"/>
    <cellStyle name="Normal 22 2 3 2" xfId="29648" xr:uid="{00000000-0005-0000-0000-000097330000}"/>
    <cellStyle name="Normal 22 2 4" xfId="21605" xr:uid="{00000000-0005-0000-0000-000098330000}"/>
    <cellStyle name="Normal 22 3" xfId="3690" xr:uid="{00000000-0005-0000-0000-000099330000}"/>
    <cellStyle name="Normal 22 3 2" xfId="3691" xr:uid="{00000000-0005-0000-0000-00009A330000}"/>
    <cellStyle name="Normal 22 3 2 2" xfId="3692" xr:uid="{00000000-0005-0000-0000-00009B330000}"/>
    <cellStyle name="Normal 22 3 2 2 2" xfId="3693" xr:uid="{00000000-0005-0000-0000-00009C330000}"/>
    <cellStyle name="Normal 22 3 2 2 2 2" xfId="7803" xr:uid="{00000000-0005-0000-0000-00009D330000}"/>
    <cellStyle name="Normal 22 3 2 2 2 2 2" xfId="16981" xr:uid="{00000000-0005-0000-0000-00009E330000}"/>
    <cellStyle name="Normal 22 3 2 2 2 2 2 2" xfId="33555" xr:uid="{00000000-0005-0000-0000-00009F330000}"/>
    <cellStyle name="Normal 22 3 2 2 2 2 3" xfId="25508" xr:uid="{00000000-0005-0000-0000-0000A0330000}"/>
    <cellStyle name="Normal 22 3 2 2 2 3" xfId="13108" xr:uid="{00000000-0005-0000-0000-0000A1330000}"/>
    <cellStyle name="Normal 22 3 2 2 2 3 2" xfId="29651" xr:uid="{00000000-0005-0000-0000-0000A2330000}"/>
    <cellStyle name="Normal 22 3 2 2 2 4" xfId="21608" xr:uid="{00000000-0005-0000-0000-0000A3330000}"/>
    <cellStyle name="Normal 22 3 2 2 3" xfId="7804" xr:uid="{00000000-0005-0000-0000-0000A4330000}"/>
    <cellStyle name="Normal 22 3 2 2 3 2" xfId="16982" xr:uid="{00000000-0005-0000-0000-0000A5330000}"/>
    <cellStyle name="Normal 22 3 2 2 3 2 2" xfId="33556" xr:uid="{00000000-0005-0000-0000-0000A6330000}"/>
    <cellStyle name="Normal 22 3 2 2 3 3" xfId="25509" xr:uid="{00000000-0005-0000-0000-0000A7330000}"/>
    <cellStyle name="Normal 22 3 2 2 4" xfId="13107" xr:uid="{00000000-0005-0000-0000-0000A8330000}"/>
    <cellStyle name="Normal 22 3 2 2 4 2" xfId="29650" xr:uid="{00000000-0005-0000-0000-0000A9330000}"/>
    <cellStyle name="Normal 22 3 2 2 5" xfId="21607" xr:uid="{00000000-0005-0000-0000-0000AA330000}"/>
    <cellStyle name="Normal 22 3 2 3" xfId="3694" xr:uid="{00000000-0005-0000-0000-0000AB330000}"/>
    <cellStyle name="Normal 22 3 2 3 2" xfId="7805" xr:uid="{00000000-0005-0000-0000-0000AC330000}"/>
    <cellStyle name="Normal 22 3 2 3 2 2" xfId="16983" xr:uid="{00000000-0005-0000-0000-0000AD330000}"/>
    <cellStyle name="Normal 22 3 2 3 2 2 2" xfId="33557" xr:uid="{00000000-0005-0000-0000-0000AE330000}"/>
    <cellStyle name="Normal 22 3 2 3 2 3" xfId="25510" xr:uid="{00000000-0005-0000-0000-0000AF330000}"/>
    <cellStyle name="Normal 22 3 2 3 3" xfId="13109" xr:uid="{00000000-0005-0000-0000-0000B0330000}"/>
    <cellStyle name="Normal 22 3 2 3 3 2" xfId="29652" xr:uid="{00000000-0005-0000-0000-0000B1330000}"/>
    <cellStyle name="Normal 22 3 2 3 4" xfId="21609" xr:uid="{00000000-0005-0000-0000-0000B2330000}"/>
    <cellStyle name="Normal 22 3 2 4" xfId="7806" xr:uid="{00000000-0005-0000-0000-0000B3330000}"/>
    <cellStyle name="Normal 22 3 2 4 2" xfId="16984" xr:uid="{00000000-0005-0000-0000-0000B4330000}"/>
    <cellStyle name="Normal 22 3 2 4 2 2" xfId="33558" xr:uid="{00000000-0005-0000-0000-0000B5330000}"/>
    <cellStyle name="Normal 22 3 2 4 3" xfId="25511" xr:uid="{00000000-0005-0000-0000-0000B6330000}"/>
    <cellStyle name="Normal 22 3 2 5" xfId="13106" xr:uid="{00000000-0005-0000-0000-0000B7330000}"/>
    <cellStyle name="Normal 22 3 2 5 2" xfId="29649" xr:uid="{00000000-0005-0000-0000-0000B8330000}"/>
    <cellStyle name="Normal 22 3 2 6" xfId="21606" xr:uid="{00000000-0005-0000-0000-0000B9330000}"/>
    <cellStyle name="Normal 22 3 3" xfId="3695" xr:uid="{00000000-0005-0000-0000-0000BA330000}"/>
    <cellStyle name="Normal 22 3 3 2" xfId="3696" xr:uid="{00000000-0005-0000-0000-0000BB330000}"/>
    <cellStyle name="Normal 22 3 3 2 2" xfId="7807" xr:uid="{00000000-0005-0000-0000-0000BC330000}"/>
    <cellStyle name="Normal 22 3 3 2 2 2" xfId="16985" xr:uid="{00000000-0005-0000-0000-0000BD330000}"/>
    <cellStyle name="Normal 22 3 3 2 2 2 2" xfId="33559" xr:uid="{00000000-0005-0000-0000-0000BE330000}"/>
    <cellStyle name="Normal 22 3 3 2 2 3" xfId="25512" xr:uid="{00000000-0005-0000-0000-0000BF330000}"/>
    <cellStyle name="Normal 22 3 3 2 3" xfId="13111" xr:uid="{00000000-0005-0000-0000-0000C0330000}"/>
    <cellStyle name="Normal 22 3 3 2 3 2" xfId="29654" xr:uid="{00000000-0005-0000-0000-0000C1330000}"/>
    <cellStyle name="Normal 22 3 3 2 4" xfId="21611" xr:uid="{00000000-0005-0000-0000-0000C2330000}"/>
    <cellStyle name="Normal 22 3 3 3" xfId="7808" xr:uid="{00000000-0005-0000-0000-0000C3330000}"/>
    <cellStyle name="Normal 22 3 3 3 2" xfId="16986" xr:uid="{00000000-0005-0000-0000-0000C4330000}"/>
    <cellStyle name="Normal 22 3 3 3 2 2" xfId="33560" xr:uid="{00000000-0005-0000-0000-0000C5330000}"/>
    <cellStyle name="Normal 22 3 3 3 3" xfId="25513" xr:uid="{00000000-0005-0000-0000-0000C6330000}"/>
    <cellStyle name="Normal 22 3 3 4" xfId="13110" xr:uid="{00000000-0005-0000-0000-0000C7330000}"/>
    <cellStyle name="Normal 22 3 3 4 2" xfId="29653" xr:uid="{00000000-0005-0000-0000-0000C8330000}"/>
    <cellStyle name="Normal 22 3 3 5" xfId="21610" xr:uid="{00000000-0005-0000-0000-0000C9330000}"/>
    <cellStyle name="Normal 22 3 4" xfId="3697" xr:uid="{00000000-0005-0000-0000-0000CA330000}"/>
    <cellStyle name="Normal 22 3 4 2" xfId="7809" xr:uid="{00000000-0005-0000-0000-0000CB330000}"/>
    <cellStyle name="Normal 22 3 4 2 2" xfId="16987" xr:uid="{00000000-0005-0000-0000-0000CC330000}"/>
    <cellStyle name="Normal 22 3 4 2 2 2" xfId="33561" xr:uid="{00000000-0005-0000-0000-0000CD330000}"/>
    <cellStyle name="Normal 22 3 4 2 3" xfId="25514" xr:uid="{00000000-0005-0000-0000-0000CE330000}"/>
    <cellStyle name="Normal 22 3 4 3" xfId="13112" xr:uid="{00000000-0005-0000-0000-0000CF330000}"/>
    <cellStyle name="Normal 22 3 4 3 2" xfId="29655" xr:uid="{00000000-0005-0000-0000-0000D0330000}"/>
    <cellStyle name="Normal 22 3 4 4" xfId="21612" xr:uid="{00000000-0005-0000-0000-0000D1330000}"/>
    <cellStyle name="Normal 22 3 5" xfId="3698" xr:uid="{00000000-0005-0000-0000-0000D2330000}"/>
    <cellStyle name="Normal 22 3 5 2" xfId="13113" xr:uid="{00000000-0005-0000-0000-0000D3330000}"/>
    <cellStyle name="Normal 22 3 5 2 2" xfId="29656" xr:uid="{00000000-0005-0000-0000-0000D4330000}"/>
    <cellStyle name="Normal 22 3 5 3" xfId="21613" xr:uid="{00000000-0005-0000-0000-0000D5330000}"/>
    <cellStyle name="Normal 22 4" xfId="3699" xr:uid="{00000000-0005-0000-0000-0000D6330000}"/>
    <cellStyle name="Normal 22 4 2" xfId="3700" xr:uid="{00000000-0005-0000-0000-0000D7330000}"/>
    <cellStyle name="Normal 22 4 2 2" xfId="3701" xr:uid="{00000000-0005-0000-0000-0000D8330000}"/>
    <cellStyle name="Normal 22 4 2 2 2" xfId="3702" xr:uid="{00000000-0005-0000-0000-0000D9330000}"/>
    <cellStyle name="Normal 22 4 2 2 2 2" xfId="7810" xr:uid="{00000000-0005-0000-0000-0000DA330000}"/>
    <cellStyle name="Normal 22 4 2 2 2 2 2" xfId="16988" xr:uid="{00000000-0005-0000-0000-0000DB330000}"/>
    <cellStyle name="Normal 22 4 2 2 2 2 2 2" xfId="33562" xr:uid="{00000000-0005-0000-0000-0000DC330000}"/>
    <cellStyle name="Normal 22 4 2 2 2 2 3" xfId="25515" xr:uid="{00000000-0005-0000-0000-0000DD330000}"/>
    <cellStyle name="Normal 22 4 2 2 2 3" xfId="13117" xr:uid="{00000000-0005-0000-0000-0000DE330000}"/>
    <cellStyle name="Normal 22 4 2 2 2 3 2" xfId="29660" xr:uid="{00000000-0005-0000-0000-0000DF330000}"/>
    <cellStyle name="Normal 22 4 2 2 2 4" xfId="21617" xr:uid="{00000000-0005-0000-0000-0000E0330000}"/>
    <cellStyle name="Normal 22 4 2 2 3" xfId="7811" xr:uid="{00000000-0005-0000-0000-0000E1330000}"/>
    <cellStyle name="Normal 22 4 2 2 3 2" xfId="16989" xr:uid="{00000000-0005-0000-0000-0000E2330000}"/>
    <cellStyle name="Normal 22 4 2 2 3 2 2" xfId="33563" xr:uid="{00000000-0005-0000-0000-0000E3330000}"/>
    <cellStyle name="Normal 22 4 2 2 3 3" xfId="25516" xr:uid="{00000000-0005-0000-0000-0000E4330000}"/>
    <cellStyle name="Normal 22 4 2 2 4" xfId="13116" xr:uid="{00000000-0005-0000-0000-0000E5330000}"/>
    <cellStyle name="Normal 22 4 2 2 4 2" xfId="29659" xr:uid="{00000000-0005-0000-0000-0000E6330000}"/>
    <cellStyle name="Normal 22 4 2 2 5" xfId="21616" xr:uid="{00000000-0005-0000-0000-0000E7330000}"/>
    <cellStyle name="Normal 22 4 2 3" xfId="3703" xr:uid="{00000000-0005-0000-0000-0000E8330000}"/>
    <cellStyle name="Normal 22 4 2 3 2" xfId="7812" xr:uid="{00000000-0005-0000-0000-0000E9330000}"/>
    <cellStyle name="Normal 22 4 2 3 2 2" xfId="16990" xr:uid="{00000000-0005-0000-0000-0000EA330000}"/>
    <cellStyle name="Normal 22 4 2 3 2 2 2" xfId="33564" xr:uid="{00000000-0005-0000-0000-0000EB330000}"/>
    <cellStyle name="Normal 22 4 2 3 2 3" xfId="25517" xr:uid="{00000000-0005-0000-0000-0000EC330000}"/>
    <cellStyle name="Normal 22 4 2 3 3" xfId="13118" xr:uid="{00000000-0005-0000-0000-0000ED330000}"/>
    <cellStyle name="Normal 22 4 2 3 3 2" xfId="29661" xr:uid="{00000000-0005-0000-0000-0000EE330000}"/>
    <cellStyle name="Normal 22 4 2 3 4" xfId="21618" xr:uid="{00000000-0005-0000-0000-0000EF330000}"/>
    <cellStyle name="Normal 22 4 2 4" xfId="7813" xr:uid="{00000000-0005-0000-0000-0000F0330000}"/>
    <cellStyle name="Normal 22 4 2 4 2" xfId="16991" xr:uid="{00000000-0005-0000-0000-0000F1330000}"/>
    <cellStyle name="Normal 22 4 2 4 2 2" xfId="33565" xr:uid="{00000000-0005-0000-0000-0000F2330000}"/>
    <cellStyle name="Normal 22 4 2 4 3" xfId="25518" xr:uid="{00000000-0005-0000-0000-0000F3330000}"/>
    <cellStyle name="Normal 22 4 2 5" xfId="13115" xr:uid="{00000000-0005-0000-0000-0000F4330000}"/>
    <cellStyle name="Normal 22 4 2 5 2" xfId="29658" xr:uid="{00000000-0005-0000-0000-0000F5330000}"/>
    <cellStyle name="Normal 22 4 2 6" xfId="21615" xr:uid="{00000000-0005-0000-0000-0000F6330000}"/>
    <cellStyle name="Normal 22 4 3" xfId="3704" xr:uid="{00000000-0005-0000-0000-0000F7330000}"/>
    <cellStyle name="Normal 22 4 3 2" xfId="3705" xr:uid="{00000000-0005-0000-0000-0000F8330000}"/>
    <cellStyle name="Normal 22 4 3 2 2" xfId="7814" xr:uid="{00000000-0005-0000-0000-0000F9330000}"/>
    <cellStyle name="Normal 22 4 3 2 2 2" xfId="16992" xr:uid="{00000000-0005-0000-0000-0000FA330000}"/>
    <cellStyle name="Normal 22 4 3 2 2 2 2" xfId="33566" xr:uid="{00000000-0005-0000-0000-0000FB330000}"/>
    <cellStyle name="Normal 22 4 3 2 2 3" xfId="25519" xr:uid="{00000000-0005-0000-0000-0000FC330000}"/>
    <cellStyle name="Normal 22 4 3 2 3" xfId="13120" xr:uid="{00000000-0005-0000-0000-0000FD330000}"/>
    <cellStyle name="Normal 22 4 3 2 3 2" xfId="29663" xr:uid="{00000000-0005-0000-0000-0000FE330000}"/>
    <cellStyle name="Normal 22 4 3 2 4" xfId="21620" xr:uid="{00000000-0005-0000-0000-0000FF330000}"/>
    <cellStyle name="Normal 22 4 3 3" xfId="7815" xr:uid="{00000000-0005-0000-0000-000000340000}"/>
    <cellStyle name="Normal 22 4 3 3 2" xfId="16993" xr:uid="{00000000-0005-0000-0000-000001340000}"/>
    <cellStyle name="Normal 22 4 3 3 2 2" xfId="33567" xr:uid="{00000000-0005-0000-0000-000002340000}"/>
    <cellStyle name="Normal 22 4 3 3 3" xfId="25520" xr:uid="{00000000-0005-0000-0000-000003340000}"/>
    <cellStyle name="Normal 22 4 3 4" xfId="13119" xr:uid="{00000000-0005-0000-0000-000004340000}"/>
    <cellStyle name="Normal 22 4 3 4 2" xfId="29662" xr:uid="{00000000-0005-0000-0000-000005340000}"/>
    <cellStyle name="Normal 22 4 3 5" xfId="21619" xr:uid="{00000000-0005-0000-0000-000006340000}"/>
    <cellStyle name="Normal 22 4 4" xfId="3706" xr:uid="{00000000-0005-0000-0000-000007340000}"/>
    <cellStyle name="Normal 22 4 4 2" xfId="7816" xr:uid="{00000000-0005-0000-0000-000008340000}"/>
    <cellStyle name="Normal 22 4 4 2 2" xfId="16994" xr:uid="{00000000-0005-0000-0000-000009340000}"/>
    <cellStyle name="Normal 22 4 4 2 2 2" xfId="33568" xr:uid="{00000000-0005-0000-0000-00000A340000}"/>
    <cellStyle name="Normal 22 4 4 2 3" xfId="25521" xr:uid="{00000000-0005-0000-0000-00000B340000}"/>
    <cellStyle name="Normal 22 4 4 3" xfId="13121" xr:uid="{00000000-0005-0000-0000-00000C340000}"/>
    <cellStyle name="Normal 22 4 4 3 2" xfId="29664" xr:uid="{00000000-0005-0000-0000-00000D340000}"/>
    <cellStyle name="Normal 22 4 4 4" xfId="21621" xr:uid="{00000000-0005-0000-0000-00000E340000}"/>
    <cellStyle name="Normal 22 4 5" xfId="7817" xr:uid="{00000000-0005-0000-0000-00000F340000}"/>
    <cellStyle name="Normal 22 4 5 2" xfId="16995" xr:uid="{00000000-0005-0000-0000-000010340000}"/>
    <cellStyle name="Normal 22 4 5 2 2" xfId="33569" xr:uid="{00000000-0005-0000-0000-000011340000}"/>
    <cellStyle name="Normal 22 4 5 3" xfId="25522" xr:uid="{00000000-0005-0000-0000-000012340000}"/>
    <cellStyle name="Normal 22 4 6" xfId="13114" xr:uid="{00000000-0005-0000-0000-000013340000}"/>
    <cellStyle name="Normal 22 4 6 2" xfId="29657" xr:uid="{00000000-0005-0000-0000-000014340000}"/>
    <cellStyle name="Normal 22 4 7" xfId="21614" xr:uid="{00000000-0005-0000-0000-000015340000}"/>
    <cellStyle name="Normal 22 5" xfId="3707" xr:uid="{00000000-0005-0000-0000-000016340000}"/>
    <cellStyle name="Normal 22 5 2" xfId="3708" xr:uid="{00000000-0005-0000-0000-000017340000}"/>
    <cellStyle name="Normal 22 5 2 2" xfId="3709" xr:uid="{00000000-0005-0000-0000-000018340000}"/>
    <cellStyle name="Normal 22 5 2 2 2" xfId="3710" xr:uid="{00000000-0005-0000-0000-000019340000}"/>
    <cellStyle name="Normal 22 5 2 2 2 2" xfId="7818" xr:uid="{00000000-0005-0000-0000-00001A340000}"/>
    <cellStyle name="Normal 22 5 2 2 2 2 2" xfId="16996" xr:uid="{00000000-0005-0000-0000-00001B340000}"/>
    <cellStyle name="Normal 22 5 2 2 2 2 2 2" xfId="33570" xr:uid="{00000000-0005-0000-0000-00001C340000}"/>
    <cellStyle name="Normal 22 5 2 2 2 2 3" xfId="25523" xr:uid="{00000000-0005-0000-0000-00001D340000}"/>
    <cellStyle name="Normal 22 5 2 2 2 3" xfId="13125" xr:uid="{00000000-0005-0000-0000-00001E340000}"/>
    <cellStyle name="Normal 22 5 2 2 2 3 2" xfId="29668" xr:uid="{00000000-0005-0000-0000-00001F340000}"/>
    <cellStyle name="Normal 22 5 2 2 2 4" xfId="21625" xr:uid="{00000000-0005-0000-0000-000020340000}"/>
    <cellStyle name="Normal 22 5 2 2 3" xfId="7819" xr:uid="{00000000-0005-0000-0000-000021340000}"/>
    <cellStyle name="Normal 22 5 2 2 3 2" xfId="16997" xr:uid="{00000000-0005-0000-0000-000022340000}"/>
    <cellStyle name="Normal 22 5 2 2 3 2 2" xfId="33571" xr:uid="{00000000-0005-0000-0000-000023340000}"/>
    <cellStyle name="Normal 22 5 2 2 3 3" xfId="25524" xr:uid="{00000000-0005-0000-0000-000024340000}"/>
    <cellStyle name="Normal 22 5 2 2 4" xfId="13124" xr:uid="{00000000-0005-0000-0000-000025340000}"/>
    <cellStyle name="Normal 22 5 2 2 4 2" xfId="29667" xr:uid="{00000000-0005-0000-0000-000026340000}"/>
    <cellStyle name="Normal 22 5 2 2 5" xfId="21624" xr:uid="{00000000-0005-0000-0000-000027340000}"/>
    <cellStyle name="Normal 22 5 2 3" xfId="3711" xr:uid="{00000000-0005-0000-0000-000028340000}"/>
    <cellStyle name="Normal 22 5 2 3 2" xfId="7820" xr:uid="{00000000-0005-0000-0000-000029340000}"/>
    <cellStyle name="Normal 22 5 2 3 2 2" xfId="16998" xr:uid="{00000000-0005-0000-0000-00002A340000}"/>
    <cellStyle name="Normal 22 5 2 3 2 2 2" xfId="33572" xr:uid="{00000000-0005-0000-0000-00002B340000}"/>
    <cellStyle name="Normal 22 5 2 3 2 3" xfId="25525" xr:uid="{00000000-0005-0000-0000-00002C340000}"/>
    <cellStyle name="Normal 22 5 2 3 3" xfId="13126" xr:uid="{00000000-0005-0000-0000-00002D340000}"/>
    <cellStyle name="Normal 22 5 2 3 3 2" xfId="29669" xr:uid="{00000000-0005-0000-0000-00002E340000}"/>
    <cellStyle name="Normal 22 5 2 3 4" xfId="21626" xr:uid="{00000000-0005-0000-0000-00002F340000}"/>
    <cellStyle name="Normal 22 5 2 4" xfId="7821" xr:uid="{00000000-0005-0000-0000-000030340000}"/>
    <cellStyle name="Normal 22 5 2 4 2" xfId="16999" xr:uid="{00000000-0005-0000-0000-000031340000}"/>
    <cellStyle name="Normal 22 5 2 4 2 2" xfId="33573" xr:uid="{00000000-0005-0000-0000-000032340000}"/>
    <cellStyle name="Normal 22 5 2 4 3" xfId="25526" xr:uid="{00000000-0005-0000-0000-000033340000}"/>
    <cellStyle name="Normal 22 5 2 5" xfId="13123" xr:uid="{00000000-0005-0000-0000-000034340000}"/>
    <cellStyle name="Normal 22 5 2 5 2" xfId="29666" xr:uid="{00000000-0005-0000-0000-000035340000}"/>
    <cellStyle name="Normal 22 5 2 6" xfId="21623" xr:uid="{00000000-0005-0000-0000-000036340000}"/>
    <cellStyle name="Normal 22 5 3" xfId="3712" xr:uid="{00000000-0005-0000-0000-000037340000}"/>
    <cellStyle name="Normal 22 5 3 2" xfId="3713" xr:uid="{00000000-0005-0000-0000-000038340000}"/>
    <cellStyle name="Normal 22 5 3 2 2" xfId="7822" xr:uid="{00000000-0005-0000-0000-000039340000}"/>
    <cellStyle name="Normal 22 5 3 2 2 2" xfId="17000" xr:uid="{00000000-0005-0000-0000-00003A340000}"/>
    <cellStyle name="Normal 22 5 3 2 2 2 2" xfId="33574" xr:uid="{00000000-0005-0000-0000-00003B340000}"/>
    <cellStyle name="Normal 22 5 3 2 2 3" xfId="25527" xr:uid="{00000000-0005-0000-0000-00003C340000}"/>
    <cellStyle name="Normal 22 5 3 2 3" xfId="13128" xr:uid="{00000000-0005-0000-0000-00003D340000}"/>
    <cellStyle name="Normal 22 5 3 2 3 2" xfId="29671" xr:uid="{00000000-0005-0000-0000-00003E340000}"/>
    <cellStyle name="Normal 22 5 3 2 4" xfId="21628" xr:uid="{00000000-0005-0000-0000-00003F340000}"/>
    <cellStyle name="Normal 22 5 3 3" xfId="7823" xr:uid="{00000000-0005-0000-0000-000040340000}"/>
    <cellStyle name="Normal 22 5 3 3 2" xfId="17001" xr:uid="{00000000-0005-0000-0000-000041340000}"/>
    <cellStyle name="Normal 22 5 3 3 2 2" xfId="33575" xr:uid="{00000000-0005-0000-0000-000042340000}"/>
    <cellStyle name="Normal 22 5 3 3 3" xfId="25528" xr:uid="{00000000-0005-0000-0000-000043340000}"/>
    <cellStyle name="Normal 22 5 3 4" xfId="13127" xr:uid="{00000000-0005-0000-0000-000044340000}"/>
    <cellStyle name="Normal 22 5 3 4 2" xfId="29670" xr:uid="{00000000-0005-0000-0000-000045340000}"/>
    <cellStyle name="Normal 22 5 3 5" xfId="21627" xr:uid="{00000000-0005-0000-0000-000046340000}"/>
    <cellStyle name="Normal 22 5 4" xfId="3714" xr:uid="{00000000-0005-0000-0000-000047340000}"/>
    <cellStyle name="Normal 22 5 4 2" xfId="7824" xr:uid="{00000000-0005-0000-0000-000048340000}"/>
    <cellStyle name="Normal 22 5 4 2 2" xfId="17002" xr:uid="{00000000-0005-0000-0000-000049340000}"/>
    <cellStyle name="Normal 22 5 4 2 2 2" xfId="33576" xr:uid="{00000000-0005-0000-0000-00004A340000}"/>
    <cellStyle name="Normal 22 5 4 2 3" xfId="25529" xr:uid="{00000000-0005-0000-0000-00004B340000}"/>
    <cellStyle name="Normal 22 5 4 3" xfId="13129" xr:uid="{00000000-0005-0000-0000-00004C340000}"/>
    <cellStyle name="Normal 22 5 4 3 2" xfId="29672" xr:uid="{00000000-0005-0000-0000-00004D340000}"/>
    <cellStyle name="Normal 22 5 4 4" xfId="21629" xr:uid="{00000000-0005-0000-0000-00004E340000}"/>
    <cellStyle name="Normal 22 5 5" xfId="7825" xr:uid="{00000000-0005-0000-0000-00004F340000}"/>
    <cellStyle name="Normal 22 5 5 2" xfId="17003" xr:uid="{00000000-0005-0000-0000-000050340000}"/>
    <cellStyle name="Normal 22 5 5 2 2" xfId="33577" xr:uid="{00000000-0005-0000-0000-000051340000}"/>
    <cellStyle name="Normal 22 5 5 3" xfId="25530" xr:uid="{00000000-0005-0000-0000-000052340000}"/>
    <cellStyle name="Normal 22 5 6" xfId="13122" xr:uid="{00000000-0005-0000-0000-000053340000}"/>
    <cellStyle name="Normal 22 5 6 2" xfId="29665" xr:uid="{00000000-0005-0000-0000-000054340000}"/>
    <cellStyle name="Normal 22 5 7" xfId="21622" xr:uid="{00000000-0005-0000-0000-000055340000}"/>
    <cellStyle name="Normal 22 6" xfId="3715" xr:uid="{00000000-0005-0000-0000-000056340000}"/>
    <cellStyle name="Normal 22 6 2" xfId="3716" xr:uid="{00000000-0005-0000-0000-000057340000}"/>
    <cellStyle name="Normal 22 6 2 2" xfId="3717" xr:uid="{00000000-0005-0000-0000-000058340000}"/>
    <cellStyle name="Normal 22 6 2 2 2" xfId="7826" xr:uid="{00000000-0005-0000-0000-000059340000}"/>
    <cellStyle name="Normal 22 6 2 2 2 2" xfId="17004" xr:uid="{00000000-0005-0000-0000-00005A340000}"/>
    <cellStyle name="Normal 22 6 2 2 2 2 2" xfId="33578" xr:uid="{00000000-0005-0000-0000-00005B340000}"/>
    <cellStyle name="Normal 22 6 2 2 2 3" xfId="25531" xr:uid="{00000000-0005-0000-0000-00005C340000}"/>
    <cellStyle name="Normal 22 6 2 2 3" xfId="13132" xr:uid="{00000000-0005-0000-0000-00005D340000}"/>
    <cellStyle name="Normal 22 6 2 2 3 2" xfId="29675" xr:uid="{00000000-0005-0000-0000-00005E340000}"/>
    <cellStyle name="Normal 22 6 2 2 4" xfId="21632" xr:uid="{00000000-0005-0000-0000-00005F340000}"/>
    <cellStyle name="Normal 22 6 2 3" xfId="7827" xr:uid="{00000000-0005-0000-0000-000060340000}"/>
    <cellStyle name="Normal 22 6 2 3 2" xfId="17005" xr:uid="{00000000-0005-0000-0000-000061340000}"/>
    <cellStyle name="Normal 22 6 2 3 2 2" xfId="33579" xr:uid="{00000000-0005-0000-0000-000062340000}"/>
    <cellStyle name="Normal 22 6 2 3 3" xfId="25532" xr:uid="{00000000-0005-0000-0000-000063340000}"/>
    <cellStyle name="Normal 22 6 2 4" xfId="13131" xr:uid="{00000000-0005-0000-0000-000064340000}"/>
    <cellStyle name="Normal 22 6 2 4 2" xfId="29674" xr:uid="{00000000-0005-0000-0000-000065340000}"/>
    <cellStyle name="Normal 22 6 2 5" xfId="21631" xr:uid="{00000000-0005-0000-0000-000066340000}"/>
    <cellStyle name="Normal 22 6 3" xfId="3718" xr:uid="{00000000-0005-0000-0000-000067340000}"/>
    <cellStyle name="Normal 22 6 3 2" xfId="7828" xr:uid="{00000000-0005-0000-0000-000068340000}"/>
    <cellStyle name="Normal 22 6 3 2 2" xfId="17006" xr:uid="{00000000-0005-0000-0000-000069340000}"/>
    <cellStyle name="Normal 22 6 3 2 2 2" xfId="33580" xr:uid="{00000000-0005-0000-0000-00006A340000}"/>
    <cellStyle name="Normal 22 6 3 2 3" xfId="25533" xr:uid="{00000000-0005-0000-0000-00006B340000}"/>
    <cellStyle name="Normal 22 6 3 3" xfId="13133" xr:uid="{00000000-0005-0000-0000-00006C340000}"/>
    <cellStyle name="Normal 22 6 3 3 2" xfId="29676" xr:uid="{00000000-0005-0000-0000-00006D340000}"/>
    <cellStyle name="Normal 22 6 3 4" xfId="21633" xr:uid="{00000000-0005-0000-0000-00006E340000}"/>
    <cellStyle name="Normal 22 6 4" xfId="7829" xr:uid="{00000000-0005-0000-0000-00006F340000}"/>
    <cellStyle name="Normal 22 6 4 2" xfId="17007" xr:uid="{00000000-0005-0000-0000-000070340000}"/>
    <cellStyle name="Normal 22 6 4 2 2" xfId="33581" xr:uid="{00000000-0005-0000-0000-000071340000}"/>
    <cellStyle name="Normal 22 6 4 3" xfId="25534" xr:uid="{00000000-0005-0000-0000-000072340000}"/>
    <cellStyle name="Normal 22 6 5" xfId="13130" xr:uid="{00000000-0005-0000-0000-000073340000}"/>
    <cellStyle name="Normal 22 6 5 2" xfId="29673" xr:uid="{00000000-0005-0000-0000-000074340000}"/>
    <cellStyle name="Normal 22 6 6" xfId="21630" xr:uid="{00000000-0005-0000-0000-000075340000}"/>
    <cellStyle name="Normal 22 7" xfId="3719" xr:uid="{00000000-0005-0000-0000-000076340000}"/>
    <cellStyle name="Normal 22 7 2" xfId="3720" xr:uid="{00000000-0005-0000-0000-000077340000}"/>
    <cellStyle name="Normal 22 7 2 2" xfId="7830" xr:uid="{00000000-0005-0000-0000-000078340000}"/>
    <cellStyle name="Normal 22 7 2 2 2" xfId="17008" xr:uid="{00000000-0005-0000-0000-000079340000}"/>
    <cellStyle name="Normal 22 7 2 2 2 2" xfId="33582" xr:uid="{00000000-0005-0000-0000-00007A340000}"/>
    <cellStyle name="Normal 22 7 2 2 3" xfId="25535" xr:uid="{00000000-0005-0000-0000-00007B340000}"/>
    <cellStyle name="Normal 22 7 2 3" xfId="13135" xr:uid="{00000000-0005-0000-0000-00007C340000}"/>
    <cellStyle name="Normal 22 7 2 3 2" xfId="29678" xr:uid="{00000000-0005-0000-0000-00007D340000}"/>
    <cellStyle name="Normal 22 7 2 4" xfId="21635" xr:uid="{00000000-0005-0000-0000-00007E340000}"/>
    <cellStyle name="Normal 22 7 3" xfId="7831" xr:uid="{00000000-0005-0000-0000-00007F340000}"/>
    <cellStyle name="Normal 22 7 3 2" xfId="17009" xr:uid="{00000000-0005-0000-0000-000080340000}"/>
    <cellStyle name="Normal 22 7 3 2 2" xfId="33583" xr:uid="{00000000-0005-0000-0000-000081340000}"/>
    <cellStyle name="Normal 22 7 3 3" xfId="25536" xr:uid="{00000000-0005-0000-0000-000082340000}"/>
    <cellStyle name="Normal 22 7 4" xfId="13134" xr:uid="{00000000-0005-0000-0000-000083340000}"/>
    <cellStyle name="Normal 22 7 4 2" xfId="29677" xr:uid="{00000000-0005-0000-0000-000084340000}"/>
    <cellStyle name="Normal 22 7 5" xfId="21634" xr:uid="{00000000-0005-0000-0000-000085340000}"/>
    <cellStyle name="Normal 22 8" xfId="3721" xr:uid="{00000000-0005-0000-0000-000086340000}"/>
    <cellStyle name="Normal 22 8 2" xfId="7832" xr:uid="{00000000-0005-0000-0000-000087340000}"/>
    <cellStyle name="Normal 22 8 2 2" xfId="17010" xr:uid="{00000000-0005-0000-0000-000088340000}"/>
    <cellStyle name="Normal 22 8 2 2 2" xfId="33584" xr:uid="{00000000-0005-0000-0000-000089340000}"/>
    <cellStyle name="Normal 22 8 2 3" xfId="25537" xr:uid="{00000000-0005-0000-0000-00008A340000}"/>
    <cellStyle name="Normal 22 8 3" xfId="13136" xr:uid="{00000000-0005-0000-0000-00008B340000}"/>
    <cellStyle name="Normal 22 8 3 2" xfId="29679" xr:uid="{00000000-0005-0000-0000-00008C340000}"/>
    <cellStyle name="Normal 22 8 4" xfId="21636" xr:uid="{00000000-0005-0000-0000-00008D340000}"/>
    <cellStyle name="Normal 22 9" xfId="7833" xr:uid="{00000000-0005-0000-0000-00008E340000}"/>
    <cellStyle name="Normal 22 9 2" xfId="17011" xr:uid="{00000000-0005-0000-0000-00008F340000}"/>
    <cellStyle name="Normal 22 9 2 2" xfId="33585" xr:uid="{00000000-0005-0000-0000-000090340000}"/>
    <cellStyle name="Normal 22 9 3" xfId="25538" xr:uid="{00000000-0005-0000-0000-000091340000}"/>
    <cellStyle name="Normal 220" xfId="10664" xr:uid="{00000000-0005-0000-0000-000092340000}"/>
    <cellStyle name="Normal 221" xfId="10667" xr:uid="{00000000-0005-0000-0000-000093340000}"/>
    <cellStyle name="Normal 222" xfId="10670" xr:uid="{00000000-0005-0000-0000-000094340000}"/>
    <cellStyle name="Normal 223" xfId="10673" xr:uid="{00000000-0005-0000-0000-000095340000}"/>
    <cellStyle name="Normal 224" xfId="10676" xr:uid="{00000000-0005-0000-0000-000096340000}"/>
    <cellStyle name="Normal 225" xfId="10679" xr:uid="{00000000-0005-0000-0000-000097340000}"/>
    <cellStyle name="Normal 226" xfId="10682" xr:uid="{00000000-0005-0000-0000-000098340000}"/>
    <cellStyle name="Normal 227" xfId="10685" xr:uid="{00000000-0005-0000-0000-000099340000}"/>
    <cellStyle name="Normal 228" xfId="10688" xr:uid="{00000000-0005-0000-0000-00009A340000}"/>
    <cellStyle name="Normal 229" xfId="10691" xr:uid="{00000000-0005-0000-0000-00009B340000}"/>
    <cellStyle name="Normal 23" xfId="3722" xr:uid="{00000000-0005-0000-0000-00009C340000}"/>
    <cellStyle name="Normal 23 10" xfId="13137" xr:uid="{00000000-0005-0000-0000-00009D340000}"/>
    <cellStyle name="Normal 23 10 2" xfId="29680" xr:uid="{00000000-0005-0000-0000-00009E340000}"/>
    <cellStyle name="Normal 23 11" xfId="21637" xr:uid="{00000000-0005-0000-0000-00009F340000}"/>
    <cellStyle name="Normal 23 2" xfId="3723" xr:uid="{00000000-0005-0000-0000-0000A0340000}"/>
    <cellStyle name="Normal 23 2 2" xfId="3724" xr:uid="{00000000-0005-0000-0000-0000A1340000}"/>
    <cellStyle name="Normal 23 2 3" xfId="13138" xr:uid="{00000000-0005-0000-0000-0000A2340000}"/>
    <cellStyle name="Normal 23 2 3 2" xfId="29681" xr:uid="{00000000-0005-0000-0000-0000A3340000}"/>
    <cellStyle name="Normal 23 2 4" xfId="21638" xr:uid="{00000000-0005-0000-0000-0000A4340000}"/>
    <cellStyle name="Normal 23 3" xfId="3725" xr:uid="{00000000-0005-0000-0000-0000A5340000}"/>
    <cellStyle name="Normal 23 3 2" xfId="3726" xr:uid="{00000000-0005-0000-0000-0000A6340000}"/>
    <cellStyle name="Normal 23 3 2 2" xfId="3727" xr:uid="{00000000-0005-0000-0000-0000A7340000}"/>
    <cellStyle name="Normal 23 3 2 2 2" xfId="3728" xr:uid="{00000000-0005-0000-0000-0000A8340000}"/>
    <cellStyle name="Normal 23 3 2 2 2 2" xfId="7834" xr:uid="{00000000-0005-0000-0000-0000A9340000}"/>
    <cellStyle name="Normal 23 3 2 2 2 2 2" xfId="17012" xr:uid="{00000000-0005-0000-0000-0000AA340000}"/>
    <cellStyle name="Normal 23 3 2 2 2 2 2 2" xfId="33586" xr:uid="{00000000-0005-0000-0000-0000AB340000}"/>
    <cellStyle name="Normal 23 3 2 2 2 2 3" xfId="25539" xr:uid="{00000000-0005-0000-0000-0000AC340000}"/>
    <cellStyle name="Normal 23 3 2 2 2 3" xfId="13141" xr:uid="{00000000-0005-0000-0000-0000AD340000}"/>
    <cellStyle name="Normal 23 3 2 2 2 3 2" xfId="29684" xr:uid="{00000000-0005-0000-0000-0000AE340000}"/>
    <cellStyle name="Normal 23 3 2 2 2 4" xfId="21641" xr:uid="{00000000-0005-0000-0000-0000AF340000}"/>
    <cellStyle name="Normal 23 3 2 2 3" xfId="7835" xr:uid="{00000000-0005-0000-0000-0000B0340000}"/>
    <cellStyle name="Normal 23 3 2 2 3 2" xfId="17013" xr:uid="{00000000-0005-0000-0000-0000B1340000}"/>
    <cellStyle name="Normal 23 3 2 2 3 2 2" xfId="33587" xr:uid="{00000000-0005-0000-0000-0000B2340000}"/>
    <cellStyle name="Normal 23 3 2 2 3 3" xfId="25540" xr:uid="{00000000-0005-0000-0000-0000B3340000}"/>
    <cellStyle name="Normal 23 3 2 2 4" xfId="13140" xr:uid="{00000000-0005-0000-0000-0000B4340000}"/>
    <cellStyle name="Normal 23 3 2 2 4 2" xfId="29683" xr:uid="{00000000-0005-0000-0000-0000B5340000}"/>
    <cellStyle name="Normal 23 3 2 2 5" xfId="21640" xr:uid="{00000000-0005-0000-0000-0000B6340000}"/>
    <cellStyle name="Normal 23 3 2 3" xfId="3729" xr:uid="{00000000-0005-0000-0000-0000B7340000}"/>
    <cellStyle name="Normal 23 3 2 3 2" xfId="7836" xr:uid="{00000000-0005-0000-0000-0000B8340000}"/>
    <cellStyle name="Normal 23 3 2 3 2 2" xfId="17014" xr:uid="{00000000-0005-0000-0000-0000B9340000}"/>
    <cellStyle name="Normal 23 3 2 3 2 2 2" xfId="33588" xr:uid="{00000000-0005-0000-0000-0000BA340000}"/>
    <cellStyle name="Normal 23 3 2 3 2 3" xfId="25541" xr:uid="{00000000-0005-0000-0000-0000BB340000}"/>
    <cellStyle name="Normal 23 3 2 3 3" xfId="13142" xr:uid="{00000000-0005-0000-0000-0000BC340000}"/>
    <cellStyle name="Normal 23 3 2 3 3 2" xfId="29685" xr:uid="{00000000-0005-0000-0000-0000BD340000}"/>
    <cellStyle name="Normal 23 3 2 3 4" xfId="21642" xr:uid="{00000000-0005-0000-0000-0000BE340000}"/>
    <cellStyle name="Normal 23 3 2 4" xfId="7837" xr:uid="{00000000-0005-0000-0000-0000BF340000}"/>
    <cellStyle name="Normal 23 3 2 4 2" xfId="17015" xr:uid="{00000000-0005-0000-0000-0000C0340000}"/>
    <cellStyle name="Normal 23 3 2 4 2 2" xfId="33589" xr:uid="{00000000-0005-0000-0000-0000C1340000}"/>
    <cellStyle name="Normal 23 3 2 4 3" xfId="25542" xr:uid="{00000000-0005-0000-0000-0000C2340000}"/>
    <cellStyle name="Normal 23 3 2 5" xfId="13139" xr:uid="{00000000-0005-0000-0000-0000C3340000}"/>
    <cellStyle name="Normal 23 3 2 5 2" xfId="29682" xr:uid="{00000000-0005-0000-0000-0000C4340000}"/>
    <cellStyle name="Normal 23 3 2 6" xfId="21639" xr:uid="{00000000-0005-0000-0000-0000C5340000}"/>
    <cellStyle name="Normal 23 3 3" xfId="3730" xr:uid="{00000000-0005-0000-0000-0000C6340000}"/>
    <cellStyle name="Normal 23 3 3 2" xfId="3731" xr:uid="{00000000-0005-0000-0000-0000C7340000}"/>
    <cellStyle name="Normal 23 3 3 2 2" xfId="7838" xr:uid="{00000000-0005-0000-0000-0000C8340000}"/>
    <cellStyle name="Normal 23 3 3 2 2 2" xfId="17016" xr:uid="{00000000-0005-0000-0000-0000C9340000}"/>
    <cellStyle name="Normal 23 3 3 2 2 2 2" xfId="33590" xr:uid="{00000000-0005-0000-0000-0000CA340000}"/>
    <cellStyle name="Normal 23 3 3 2 2 3" xfId="25543" xr:uid="{00000000-0005-0000-0000-0000CB340000}"/>
    <cellStyle name="Normal 23 3 3 2 3" xfId="13144" xr:uid="{00000000-0005-0000-0000-0000CC340000}"/>
    <cellStyle name="Normal 23 3 3 2 3 2" xfId="29687" xr:uid="{00000000-0005-0000-0000-0000CD340000}"/>
    <cellStyle name="Normal 23 3 3 2 4" xfId="21644" xr:uid="{00000000-0005-0000-0000-0000CE340000}"/>
    <cellStyle name="Normal 23 3 3 3" xfId="7839" xr:uid="{00000000-0005-0000-0000-0000CF340000}"/>
    <cellStyle name="Normal 23 3 3 3 2" xfId="17017" xr:uid="{00000000-0005-0000-0000-0000D0340000}"/>
    <cellStyle name="Normal 23 3 3 3 2 2" xfId="33591" xr:uid="{00000000-0005-0000-0000-0000D1340000}"/>
    <cellStyle name="Normal 23 3 3 3 3" xfId="25544" xr:uid="{00000000-0005-0000-0000-0000D2340000}"/>
    <cellStyle name="Normal 23 3 3 4" xfId="13143" xr:uid="{00000000-0005-0000-0000-0000D3340000}"/>
    <cellStyle name="Normal 23 3 3 4 2" xfId="29686" xr:uid="{00000000-0005-0000-0000-0000D4340000}"/>
    <cellStyle name="Normal 23 3 3 5" xfId="21643" xr:uid="{00000000-0005-0000-0000-0000D5340000}"/>
    <cellStyle name="Normal 23 3 4" xfId="3732" xr:uid="{00000000-0005-0000-0000-0000D6340000}"/>
    <cellStyle name="Normal 23 3 4 2" xfId="7840" xr:uid="{00000000-0005-0000-0000-0000D7340000}"/>
    <cellStyle name="Normal 23 3 4 2 2" xfId="17018" xr:uid="{00000000-0005-0000-0000-0000D8340000}"/>
    <cellStyle name="Normal 23 3 4 2 2 2" xfId="33592" xr:uid="{00000000-0005-0000-0000-0000D9340000}"/>
    <cellStyle name="Normal 23 3 4 2 3" xfId="25545" xr:uid="{00000000-0005-0000-0000-0000DA340000}"/>
    <cellStyle name="Normal 23 3 4 3" xfId="13145" xr:uid="{00000000-0005-0000-0000-0000DB340000}"/>
    <cellStyle name="Normal 23 3 4 3 2" xfId="29688" xr:uid="{00000000-0005-0000-0000-0000DC340000}"/>
    <cellStyle name="Normal 23 3 4 4" xfId="21645" xr:uid="{00000000-0005-0000-0000-0000DD340000}"/>
    <cellStyle name="Normal 23 3 5" xfId="3733" xr:uid="{00000000-0005-0000-0000-0000DE340000}"/>
    <cellStyle name="Normal 23 3 5 2" xfId="13146" xr:uid="{00000000-0005-0000-0000-0000DF340000}"/>
    <cellStyle name="Normal 23 3 5 2 2" xfId="29689" xr:uid="{00000000-0005-0000-0000-0000E0340000}"/>
    <cellStyle name="Normal 23 3 5 3" xfId="21646" xr:uid="{00000000-0005-0000-0000-0000E1340000}"/>
    <cellStyle name="Normal 23 4" xfId="3734" xr:uid="{00000000-0005-0000-0000-0000E2340000}"/>
    <cellStyle name="Normal 23 4 2" xfId="3735" xr:uid="{00000000-0005-0000-0000-0000E3340000}"/>
    <cellStyle name="Normal 23 4 2 2" xfId="3736" xr:uid="{00000000-0005-0000-0000-0000E4340000}"/>
    <cellStyle name="Normal 23 4 2 2 2" xfId="3737" xr:uid="{00000000-0005-0000-0000-0000E5340000}"/>
    <cellStyle name="Normal 23 4 2 2 2 2" xfId="7841" xr:uid="{00000000-0005-0000-0000-0000E6340000}"/>
    <cellStyle name="Normal 23 4 2 2 2 2 2" xfId="17019" xr:uid="{00000000-0005-0000-0000-0000E7340000}"/>
    <cellStyle name="Normal 23 4 2 2 2 2 2 2" xfId="33593" xr:uid="{00000000-0005-0000-0000-0000E8340000}"/>
    <cellStyle name="Normal 23 4 2 2 2 2 3" xfId="25546" xr:uid="{00000000-0005-0000-0000-0000E9340000}"/>
    <cellStyle name="Normal 23 4 2 2 2 3" xfId="13150" xr:uid="{00000000-0005-0000-0000-0000EA340000}"/>
    <cellStyle name="Normal 23 4 2 2 2 3 2" xfId="29693" xr:uid="{00000000-0005-0000-0000-0000EB340000}"/>
    <cellStyle name="Normal 23 4 2 2 2 4" xfId="21650" xr:uid="{00000000-0005-0000-0000-0000EC340000}"/>
    <cellStyle name="Normal 23 4 2 2 3" xfId="7842" xr:uid="{00000000-0005-0000-0000-0000ED340000}"/>
    <cellStyle name="Normal 23 4 2 2 3 2" xfId="17020" xr:uid="{00000000-0005-0000-0000-0000EE340000}"/>
    <cellStyle name="Normal 23 4 2 2 3 2 2" xfId="33594" xr:uid="{00000000-0005-0000-0000-0000EF340000}"/>
    <cellStyle name="Normal 23 4 2 2 3 3" xfId="25547" xr:uid="{00000000-0005-0000-0000-0000F0340000}"/>
    <cellStyle name="Normal 23 4 2 2 4" xfId="13149" xr:uid="{00000000-0005-0000-0000-0000F1340000}"/>
    <cellStyle name="Normal 23 4 2 2 4 2" xfId="29692" xr:uid="{00000000-0005-0000-0000-0000F2340000}"/>
    <cellStyle name="Normal 23 4 2 2 5" xfId="21649" xr:uid="{00000000-0005-0000-0000-0000F3340000}"/>
    <cellStyle name="Normal 23 4 2 3" xfId="3738" xr:uid="{00000000-0005-0000-0000-0000F4340000}"/>
    <cellStyle name="Normal 23 4 2 3 2" xfId="7843" xr:uid="{00000000-0005-0000-0000-0000F5340000}"/>
    <cellStyle name="Normal 23 4 2 3 2 2" xfId="17021" xr:uid="{00000000-0005-0000-0000-0000F6340000}"/>
    <cellStyle name="Normal 23 4 2 3 2 2 2" xfId="33595" xr:uid="{00000000-0005-0000-0000-0000F7340000}"/>
    <cellStyle name="Normal 23 4 2 3 2 3" xfId="25548" xr:uid="{00000000-0005-0000-0000-0000F8340000}"/>
    <cellStyle name="Normal 23 4 2 3 3" xfId="13151" xr:uid="{00000000-0005-0000-0000-0000F9340000}"/>
    <cellStyle name="Normal 23 4 2 3 3 2" xfId="29694" xr:uid="{00000000-0005-0000-0000-0000FA340000}"/>
    <cellStyle name="Normal 23 4 2 3 4" xfId="21651" xr:uid="{00000000-0005-0000-0000-0000FB340000}"/>
    <cellStyle name="Normal 23 4 2 4" xfId="7844" xr:uid="{00000000-0005-0000-0000-0000FC340000}"/>
    <cellStyle name="Normal 23 4 2 4 2" xfId="17022" xr:uid="{00000000-0005-0000-0000-0000FD340000}"/>
    <cellStyle name="Normal 23 4 2 4 2 2" xfId="33596" xr:uid="{00000000-0005-0000-0000-0000FE340000}"/>
    <cellStyle name="Normal 23 4 2 4 3" xfId="25549" xr:uid="{00000000-0005-0000-0000-0000FF340000}"/>
    <cellStyle name="Normal 23 4 2 5" xfId="13148" xr:uid="{00000000-0005-0000-0000-000000350000}"/>
    <cellStyle name="Normal 23 4 2 5 2" xfId="29691" xr:uid="{00000000-0005-0000-0000-000001350000}"/>
    <cellStyle name="Normal 23 4 2 6" xfId="21648" xr:uid="{00000000-0005-0000-0000-000002350000}"/>
    <cellStyle name="Normal 23 4 3" xfId="3739" xr:uid="{00000000-0005-0000-0000-000003350000}"/>
    <cellStyle name="Normal 23 4 3 2" xfId="3740" xr:uid="{00000000-0005-0000-0000-000004350000}"/>
    <cellStyle name="Normal 23 4 3 2 2" xfId="7845" xr:uid="{00000000-0005-0000-0000-000005350000}"/>
    <cellStyle name="Normal 23 4 3 2 2 2" xfId="17023" xr:uid="{00000000-0005-0000-0000-000006350000}"/>
    <cellStyle name="Normal 23 4 3 2 2 2 2" xfId="33597" xr:uid="{00000000-0005-0000-0000-000007350000}"/>
    <cellStyle name="Normal 23 4 3 2 2 3" xfId="25550" xr:uid="{00000000-0005-0000-0000-000008350000}"/>
    <cellStyle name="Normal 23 4 3 2 3" xfId="13153" xr:uid="{00000000-0005-0000-0000-000009350000}"/>
    <cellStyle name="Normal 23 4 3 2 3 2" xfId="29696" xr:uid="{00000000-0005-0000-0000-00000A350000}"/>
    <cellStyle name="Normal 23 4 3 2 4" xfId="21653" xr:uid="{00000000-0005-0000-0000-00000B350000}"/>
    <cellStyle name="Normal 23 4 3 3" xfId="7846" xr:uid="{00000000-0005-0000-0000-00000C350000}"/>
    <cellStyle name="Normal 23 4 3 3 2" xfId="17024" xr:uid="{00000000-0005-0000-0000-00000D350000}"/>
    <cellStyle name="Normal 23 4 3 3 2 2" xfId="33598" xr:uid="{00000000-0005-0000-0000-00000E350000}"/>
    <cellStyle name="Normal 23 4 3 3 3" xfId="25551" xr:uid="{00000000-0005-0000-0000-00000F350000}"/>
    <cellStyle name="Normal 23 4 3 4" xfId="13152" xr:uid="{00000000-0005-0000-0000-000010350000}"/>
    <cellStyle name="Normal 23 4 3 4 2" xfId="29695" xr:uid="{00000000-0005-0000-0000-000011350000}"/>
    <cellStyle name="Normal 23 4 3 5" xfId="21652" xr:uid="{00000000-0005-0000-0000-000012350000}"/>
    <cellStyle name="Normal 23 4 4" xfId="3741" xr:uid="{00000000-0005-0000-0000-000013350000}"/>
    <cellStyle name="Normal 23 4 4 2" xfId="7847" xr:uid="{00000000-0005-0000-0000-000014350000}"/>
    <cellStyle name="Normal 23 4 4 2 2" xfId="17025" xr:uid="{00000000-0005-0000-0000-000015350000}"/>
    <cellStyle name="Normal 23 4 4 2 2 2" xfId="33599" xr:uid="{00000000-0005-0000-0000-000016350000}"/>
    <cellStyle name="Normal 23 4 4 2 3" xfId="25552" xr:uid="{00000000-0005-0000-0000-000017350000}"/>
    <cellStyle name="Normal 23 4 4 3" xfId="13154" xr:uid="{00000000-0005-0000-0000-000018350000}"/>
    <cellStyle name="Normal 23 4 4 3 2" xfId="29697" xr:uid="{00000000-0005-0000-0000-000019350000}"/>
    <cellStyle name="Normal 23 4 4 4" xfId="21654" xr:uid="{00000000-0005-0000-0000-00001A350000}"/>
    <cellStyle name="Normal 23 4 5" xfId="7848" xr:uid="{00000000-0005-0000-0000-00001B350000}"/>
    <cellStyle name="Normal 23 4 5 2" xfId="17026" xr:uid="{00000000-0005-0000-0000-00001C350000}"/>
    <cellStyle name="Normal 23 4 5 2 2" xfId="33600" xr:uid="{00000000-0005-0000-0000-00001D350000}"/>
    <cellStyle name="Normal 23 4 5 3" xfId="25553" xr:uid="{00000000-0005-0000-0000-00001E350000}"/>
    <cellStyle name="Normal 23 4 6" xfId="13147" xr:uid="{00000000-0005-0000-0000-00001F350000}"/>
    <cellStyle name="Normal 23 4 6 2" xfId="29690" xr:uid="{00000000-0005-0000-0000-000020350000}"/>
    <cellStyle name="Normal 23 4 7" xfId="21647" xr:uid="{00000000-0005-0000-0000-000021350000}"/>
    <cellStyle name="Normal 23 5" xfId="3742" xr:uid="{00000000-0005-0000-0000-000022350000}"/>
    <cellStyle name="Normal 23 5 2" xfId="3743" xr:uid="{00000000-0005-0000-0000-000023350000}"/>
    <cellStyle name="Normal 23 5 2 2" xfId="3744" xr:uid="{00000000-0005-0000-0000-000024350000}"/>
    <cellStyle name="Normal 23 5 2 2 2" xfId="3745" xr:uid="{00000000-0005-0000-0000-000025350000}"/>
    <cellStyle name="Normal 23 5 2 2 2 2" xfId="7849" xr:uid="{00000000-0005-0000-0000-000026350000}"/>
    <cellStyle name="Normal 23 5 2 2 2 2 2" xfId="17027" xr:uid="{00000000-0005-0000-0000-000027350000}"/>
    <cellStyle name="Normal 23 5 2 2 2 2 2 2" xfId="33601" xr:uid="{00000000-0005-0000-0000-000028350000}"/>
    <cellStyle name="Normal 23 5 2 2 2 2 3" xfId="25554" xr:uid="{00000000-0005-0000-0000-000029350000}"/>
    <cellStyle name="Normal 23 5 2 2 2 3" xfId="13158" xr:uid="{00000000-0005-0000-0000-00002A350000}"/>
    <cellStyle name="Normal 23 5 2 2 2 3 2" xfId="29701" xr:uid="{00000000-0005-0000-0000-00002B350000}"/>
    <cellStyle name="Normal 23 5 2 2 2 4" xfId="21658" xr:uid="{00000000-0005-0000-0000-00002C350000}"/>
    <cellStyle name="Normal 23 5 2 2 3" xfId="7850" xr:uid="{00000000-0005-0000-0000-00002D350000}"/>
    <cellStyle name="Normal 23 5 2 2 3 2" xfId="17028" xr:uid="{00000000-0005-0000-0000-00002E350000}"/>
    <cellStyle name="Normal 23 5 2 2 3 2 2" xfId="33602" xr:uid="{00000000-0005-0000-0000-00002F350000}"/>
    <cellStyle name="Normal 23 5 2 2 3 3" xfId="25555" xr:uid="{00000000-0005-0000-0000-000030350000}"/>
    <cellStyle name="Normal 23 5 2 2 4" xfId="13157" xr:uid="{00000000-0005-0000-0000-000031350000}"/>
    <cellStyle name="Normal 23 5 2 2 4 2" xfId="29700" xr:uid="{00000000-0005-0000-0000-000032350000}"/>
    <cellStyle name="Normal 23 5 2 2 5" xfId="21657" xr:uid="{00000000-0005-0000-0000-000033350000}"/>
    <cellStyle name="Normal 23 5 2 3" xfId="3746" xr:uid="{00000000-0005-0000-0000-000034350000}"/>
    <cellStyle name="Normal 23 5 2 3 2" xfId="7851" xr:uid="{00000000-0005-0000-0000-000035350000}"/>
    <cellStyle name="Normal 23 5 2 3 2 2" xfId="17029" xr:uid="{00000000-0005-0000-0000-000036350000}"/>
    <cellStyle name="Normal 23 5 2 3 2 2 2" xfId="33603" xr:uid="{00000000-0005-0000-0000-000037350000}"/>
    <cellStyle name="Normal 23 5 2 3 2 3" xfId="25556" xr:uid="{00000000-0005-0000-0000-000038350000}"/>
    <cellStyle name="Normal 23 5 2 3 3" xfId="13159" xr:uid="{00000000-0005-0000-0000-000039350000}"/>
    <cellStyle name="Normal 23 5 2 3 3 2" xfId="29702" xr:uid="{00000000-0005-0000-0000-00003A350000}"/>
    <cellStyle name="Normal 23 5 2 3 4" xfId="21659" xr:uid="{00000000-0005-0000-0000-00003B350000}"/>
    <cellStyle name="Normal 23 5 2 4" xfId="7852" xr:uid="{00000000-0005-0000-0000-00003C350000}"/>
    <cellStyle name="Normal 23 5 2 4 2" xfId="17030" xr:uid="{00000000-0005-0000-0000-00003D350000}"/>
    <cellStyle name="Normal 23 5 2 4 2 2" xfId="33604" xr:uid="{00000000-0005-0000-0000-00003E350000}"/>
    <cellStyle name="Normal 23 5 2 4 3" xfId="25557" xr:uid="{00000000-0005-0000-0000-00003F350000}"/>
    <cellStyle name="Normal 23 5 2 5" xfId="13156" xr:uid="{00000000-0005-0000-0000-000040350000}"/>
    <cellStyle name="Normal 23 5 2 5 2" xfId="29699" xr:uid="{00000000-0005-0000-0000-000041350000}"/>
    <cellStyle name="Normal 23 5 2 6" xfId="21656" xr:uid="{00000000-0005-0000-0000-000042350000}"/>
    <cellStyle name="Normal 23 5 3" xfId="3747" xr:uid="{00000000-0005-0000-0000-000043350000}"/>
    <cellStyle name="Normal 23 5 3 2" xfId="3748" xr:uid="{00000000-0005-0000-0000-000044350000}"/>
    <cellStyle name="Normal 23 5 3 2 2" xfId="7853" xr:uid="{00000000-0005-0000-0000-000045350000}"/>
    <cellStyle name="Normal 23 5 3 2 2 2" xfId="17031" xr:uid="{00000000-0005-0000-0000-000046350000}"/>
    <cellStyle name="Normal 23 5 3 2 2 2 2" xfId="33605" xr:uid="{00000000-0005-0000-0000-000047350000}"/>
    <cellStyle name="Normal 23 5 3 2 2 3" xfId="25558" xr:uid="{00000000-0005-0000-0000-000048350000}"/>
    <cellStyle name="Normal 23 5 3 2 3" xfId="13161" xr:uid="{00000000-0005-0000-0000-000049350000}"/>
    <cellStyle name="Normal 23 5 3 2 3 2" xfId="29704" xr:uid="{00000000-0005-0000-0000-00004A350000}"/>
    <cellStyle name="Normal 23 5 3 2 4" xfId="21661" xr:uid="{00000000-0005-0000-0000-00004B350000}"/>
    <cellStyle name="Normal 23 5 3 3" xfId="7854" xr:uid="{00000000-0005-0000-0000-00004C350000}"/>
    <cellStyle name="Normal 23 5 3 3 2" xfId="17032" xr:uid="{00000000-0005-0000-0000-00004D350000}"/>
    <cellStyle name="Normal 23 5 3 3 2 2" xfId="33606" xr:uid="{00000000-0005-0000-0000-00004E350000}"/>
    <cellStyle name="Normal 23 5 3 3 3" xfId="25559" xr:uid="{00000000-0005-0000-0000-00004F350000}"/>
    <cellStyle name="Normal 23 5 3 4" xfId="13160" xr:uid="{00000000-0005-0000-0000-000050350000}"/>
    <cellStyle name="Normal 23 5 3 4 2" xfId="29703" xr:uid="{00000000-0005-0000-0000-000051350000}"/>
    <cellStyle name="Normal 23 5 3 5" xfId="21660" xr:uid="{00000000-0005-0000-0000-000052350000}"/>
    <cellStyle name="Normal 23 5 4" xfId="3749" xr:uid="{00000000-0005-0000-0000-000053350000}"/>
    <cellStyle name="Normal 23 5 4 2" xfId="7855" xr:uid="{00000000-0005-0000-0000-000054350000}"/>
    <cellStyle name="Normal 23 5 4 2 2" xfId="17033" xr:uid="{00000000-0005-0000-0000-000055350000}"/>
    <cellStyle name="Normal 23 5 4 2 2 2" xfId="33607" xr:uid="{00000000-0005-0000-0000-000056350000}"/>
    <cellStyle name="Normal 23 5 4 2 3" xfId="25560" xr:uid="{00000000-0005-0000-0000-000057350000}"/>
    <cellStyle name="Normal 23 5 4 3" xfId="13162" xr:uid="{00000000-0005-0000-0000-000058350000}"/>
    <cellStyle name="Normal 23 5 4 3 2" xfId="29705" xr:uid="{00000000-0005-0000-0000-000059350000}"/>
    <cellStyle name="Normal 23 5 4 4" xfId="21662" xr:uid="{00000000-0005-0000-0000-00005A350000}"/>
    <cellStyle name="Normal 23 5 5" xfId="7856" xr:uid="{00000000-0005-0000-0000-00005B350000}"/>
    <cellStyle name="Normal 23 5 5 2" xfId="17034" xr:uid="{00000000-0005-0000-0000-00005C350000}"/>
    <cellStyle name="Normal 23 5 5 2 2" xfId="33608" xr:uid="{00000000-0005-0000-0000-00005D350000}"/>
    <cellStyle name="Normal 23 5 5 3" xfId="25561" xr:uid="{00000000-0005-0000-0000-00005E350000}"/>
    <cellStyle name="Normal 23 5 6" xfId="13155" xr:uid="{00000000-0005-0000-0000-00005F350000}"/>
    <cellStyle name="Normal 23 5 6 2" xfId="29698" xr:uid="{00000000-0005-0000-0000-000060350000}"/>
    <cellStyle name="Normal 23 5 7" xfId="21655" xr:uid="{00000000-0005-0000-0000-000061350000}"/>
    <cellStyle name="Normal 23 6" xfId="3750" xr:uid="{00000000-0005-0000-0000-000062350000}"/>
    <cellStyle name="Normal 23 6 2" xfId="3751" xr:uid="{00000000-0005-0000-0000-000063350000}"/>
    <cellStyle name="Normal 23 6 2 2" xfId="3752" xr:uid="{00000000-0005-0000-0000-000064350000}"/>
    <cellStyle name="Normal 23 6 2 2 2" xfId="7857" xr:uid="{00000000-0005-0000-0000-000065350000}"/>
    <cellStyle name="Normal 23 6 2 2 2 2" xfId="17035" xr:uid="{00000000-0005-0000-0000-000066350000}"/>
    <cellStyle name="Normal 23 6 2 2 2 2 2" xfId="33609" xr:uid="{00000000-0005-0000-0000-000067350000}"/>
    <cellStyle name="Normal 23 6 2 2 2 3" xfId="25562" xr:uid="{00000000-0005-0000-0000-000068350000}"/>
    <cellStyle name="Normal 23 6 2 2 3" xfId="13165" xr:uid="{00000000-0005-0000-0000-000069350000}"/>
    <cellStyle name="Normal 23 6 2 2 3 2" xfId="29708" xr:uid="{00000000-0005-0000-0000-00006A350000}"/>
    <cellStyle name="Normal 23 6 2 2 4" xfId="21665" xr:uid="{00000000-0005-0000-0000-00006B350000}"/>
    <cellStyle name="Normal 23 6 2 3" xfId="7858" xr:uid="{00000000-0005-0000-0000-00006C350000}"/>
    <cellStyle name="Normal 23 6 2 3 2" xfId="17036" xr:uid="{00000000-0005-0000-0000-00006D350000}"/>
    <cellStyle name="Normal 23 6 2 3 2 2" xfId="33610" xr:uid="{00000000-0005-0000-0000-00006E350000}"/>
    <cellStyle name="Normal 23 6 2 3 3" xfId="25563" xr:uid="{00000000-0005-0000-0000-00006F350000}"/>
    <cellStyle name="Normal 23 6 2 4" xfId="13164" xr:uid="{00000000-0005-0000-0000-000070350000}"/>
    <cellStyle name="Normal 23 6 2 4 2" xfId="29707" xr:uid="{00000000-0005-0000-0000-000071350000}"/>
    <cellStyle name="Normal 23 6 2 5" xfId="21664" xr:uid="{00000000-0005-0000-0000-000072350000}"/>
    <cellStyle name="Normal 23 6 3" xfId="3753" xr:uid="{00000000-0005-0000-0000-000073350000}"/>
    <cellStyle name="Normal 23 6 3 2" xfId="7859" xr:uid="{00000000-0005-0000-0000-000074350000}"/>
    <cellStyle name="Normal 23 6 3 2 2" xfId="17037" xr:uid="{00000000-0005-0000-0000-000075350000}"/>
    <cellStyle name="Normal 23 6 3 2 2 2" xfId="33611" xr:uid="{00000000-0005-0000-0000-000076350000}"/>
    <cellStyle name="Normal 23 6 3 2 3" xfId="25564" xr:uid="{00000000-0005-0000-0000-000077350000}"/>
    <cellStyle name="Normal 23 6 3 3" xfId="13166" xr:uid="{00000000-0005-0000-0000-000078350000}"/>
    <cellStyle name="Normal 23 6 3 3 2" xfId="29709" xr:uid="{00000000-0005-0000-0000-000079350000}"/>
    <cellStyle name="Normal 23 6 3 4" xfId="21666" xr:uid="{00000000-0005-0000-0000-00007A350000}"/>
    <cellStyle name="Normal 23 6 4" xfId="7860" xr:uid="{00000000-0005-0000-0000-00007B350000}"/>
    <cellStyle name="Normal 23 6 4 2" xfId="17038" xr:uid="{00000000-0005-0000-0000-00007C350000}"/>
    <cellStyle name="Normal 23 6 4 2 2" xfId="33612" xr:uid="{00000000-0005-0000-0000-00007D350000}"/>
    <cellStyle name="Normal 23 6 4 3" xfId="25565" xr:uid="{00000000-0005-0000-0000-00007E350000}"/>
    <cellStyle name="Normal 23 6 5" xfId="13163" xr:uid="{00000000-0005-0000-0000-00007F350000}"/>
    <cellStyle name="Normal 23 6 5 2" xfId="29706" xr:uid="{00000000-0005-0000-0000-000080350000}"/>
    <cellStyle name="Normal 23 6 6" xfId="21663" xr:uid="{00000000-0005-0000-0000-000081350000}"/>
    <cellStyle name="Normal 23 7" xfId="3754" xr:uid="{00000000-0005-0000-0000-000082350000}"/>
    <cellStyle name="Normal 23 7 2" xfId="3755" xr:uid="{00000000-0005-0000-0000-000083350000}"/>
    <cellStyle name="Normal 23 7 2 2" xfId="7861" xr:uid="{00000000-0005-0000-0000-000084350000}"/>
    <cellStyle name="Normal 23 7 2 2 2" xfId="17039" xr:uid="{00000000-0005-0000-0000-000085350000}"/>
    <cellStyle name="Normal 23 7 2 2 2 2" xfId="33613" xr:uid="{00000000-0005-0000-0000-000086350000}"/>
    <cellStyle name="Normal 23 7 2 2 3" xfId="25566" xr:uid="{00000000-0005-0000-0000-000087350000}"/>
    <cellStyle name="Normal 23 7 2 3" xfId="13168" xr:uid="{00000000-0005-0000-0000-000088350000}"/>
    <cellStyle name="Normal 23 7 2 3 2" xfId="29711" xr:uid="{00000000-0005-0000-0000-000089350000}"/>
    <cellStyle name="Normal 23 7 2 4" xfId="21668" xr:uid="{00000000-0005-0000-0000-00008A350000}"/>
    <cellStyle name="Normal 23 7 3" xfId="7862" xr:uid="{00000000-0005-0000-0000-00008B350000}"/>
    <cellStyle name="Normal 23 7 3 2" xfId="17040" xr:uid="{00000000-0005-0000-0000-00008C350000}"/>
    <cellStyle name="Normal 23 7 3 2 2" xfId="33614" xr:uid="{00000000-0005-0000-0000-00008D350000}"/>
    <cellStyle name="Normal 23 7 3 3" xfId="25567" xr:uid="{00000000-0005-0000-0000-00008E350000}"/>
    <cellStyle name="Normal 23 7 4" xfId="13167" xr:uid="{00000000-0005-0000-0000-00008F350000}"/>
    <cellStyle name="Normal 23 7 4 2" xfId="29710" xr:uid="{00000000-0005-0000-0000-000090350000}"/>
    <cellStyle name="Normal 23 7 5" xfId="21667" xr:uid="{00000000-0005-0000-0000-000091350000}"/>
    <cellStyle name="Normal 23 8" xfId="3756" xr:uid="{00000000-0005-0000-0000-000092350000}"/>
    <cellStyle name="Normal 23 8 2" xfId="7863" xr:uid="{00000000-0005-0000-0000-000093350000}"/>
    <cellStyle name="Normal 23 8 2 2" xfId="17041" xr:uid="{00000000-0005-0000-0000-000094350000}"/>
    <cellStyle name="Normal 23 8 2 2 2" xfId="33615" xr:uid="{00000000-0005-0000-0000-000095350000}"/>
    <cellStyle name="Normal 23 8 2 3" xfId="25568" xr:uid="{00000000-0005-0000-0000-000096350000}"/>
    <cellStyle name="Normal 23 8 3" xfId="13169" xr:uid="{00000000-0005-0000-0000-000097350000}"/>
    <cellStyle name="Normal 23 8 3 2" xfId="29712" xr:uid="{00000000-0005-0000-0000-000098350000}"/>
    <cellStyle name="Normal 23 8 4" xfId="21669" xr:uid="{00000000-0005-0000-0000-000099350000}"/>
    <cellStyle name="Normal 23 9" xfId="7864" xr:uid="{00000000-0005-0000-0000-00009A350000}"/>
    <cellStyle name="Normal 23 9 2" xfId="17042" xr:uid="{00000000-0005-0000-0000-00009B350000}"/>
    <cellStyle name="Normal 23 9 2 2" xfId="33616" xr:uid="{00000000-0005-0000-0000-00009C350000}"/>
    <cellStyle name="Normal 23 9 3" xfId="25569" xr:uid="{00000000-0005-0000-0000-00009D350000}"/>
    <cellStyle name="Normal 230" xfId="10694" xr:uid="{00000000-0005-0000-0000-00009E350000}"/>
    <cellStyle name="Normal 231" xfId="10697" xr:uid="{00000000-0005-0000-0000-00009F350000}"/>
    <cellStyle name="Normal 232" xfId="10700" xr:uid="{00000000-0005-0000-0000-0000A0350000}"/>
    <cellStyle name="Normal 233" xfId="10703" xr:uid="{00000000-0005-0000-0000-0000A1350000}"/>
    <cellStyle name="Normal 234" xfId="10706" xr:uid="{00000000-0005-0000-0000-0000A2350000}"/>
    <cellStyle name="Normal 235" xfId="10709" xr:uid="{00000000-0005-0000-0000-0000A3350000}"/>
    <cellStyle name="Normal 236" xfId="10712" xr:uid="{00000000-0005-0000-0000-0000A4350000}"/>
    <cellStyle name="Normal 237" xfId="10715" xr:uid="{00000000-0005-0000-0000-0000A5350000}"/>
    <cellStyle name="Normal 238" xfId="10718" xr:uid="{00000000-0005-0000-0000-0000A6350000}"/>
    <cellStyle name="Normal 239" xfId="10721" xr:uid="{00000000-0005-0000-0000-0000A7350000}"/>
    <cellStyle name="Normal 24" xfId="3757" xr:uid="{00000000-0005-0000-0000-0000A8350000}"/>
    <cellStyle name="Normal 24 10" xfId="13170" xr:uid="{00000000-0005-0000-0000-0000A9350000}"/>
    <cellStyle name="Normal 24 10 2" xfId="29713" xr:uid="{00000000-0005-0000-0000-0000AA350000}"/>
    <cellStyle name="Normal 24 11" xfId="21670" xr:uid="{00000000-0005-0000-0000-0000AB350000}"/>
    <cellStyle name="Normal 24 2" xfId="3758" xr:uid="{00000000-0005-0000-0000-0000AC350000}"/>
    <cellStyle name="Normal 24 2 2" xfId="3759" xr:uid="{00000000-0005-0000-0000-0000AD350000}"/>
    <cellStyle name="Normal 24 2 3" xfId="13171" xr:uid="{00000000-0005-0000-0000-0000AE350000}"/>
    <cellStyle name="Normal 24 2 3 2" xfId="29714" xr:uid="{00000000-0005-0000-0000-0000AF350000}"/>
    <cellStyle name="Normal 24 2 4" xfId="21671" xr:uid="{00000000-0005-0000-0000-0000B0350000}"/>
    <cellStyle name="Normal 24 3" xfId="3760" xr:uid="{00000000-0005-0000-0000-0000B1350000}"/>
    <cellStyle name="Normal 24 3 2" xfId="3761" xr:uid="{00000000-0005-0000-0000-0000B2350000}"/>
    <cellStyle name="Normal 24 3 2 2" xfId="3762" xr:uid="{00000000-0005-0000-0000-0000B3350000}"/>
    <cellStyle name="Normal 24 3 2 2 2" xfId="3763" xr:uid="{00000000-0005-0000-0000-0000B4350000}"/>
    <cellStyle name="Normal 24 3 2 2 2 2" xfId="7865" xr:uid="{00000000-0005-0000-0000-0000B5350000}"/>
    <cellStyle name="Normal 24 3 2 2 2 2 2" xfId="17043" xr:uid="{00000000-0005-0000-0000-0000B6350000}"/>
    <cellStyle name="Normal 24 3 2 2 2 2 2 2" xfId="33617" xr:uid="{00000000-0005-0000-0000-0000B7350000}"/>
    <cellStyle name="Normal 24 3 2 2 2 2 3" xfId="25570" xr:uid="{00000000-0005-0000-0000-0000B8350000}"/>
    <cellStyle name="Normal 24 3 2 2 2 3" xfId="13174" xr:uid="{00000000-0005-0000-0000-0000B9350000}"/>
    <cellStyle name="Normal 24 3 2 2 2 3 2" xfId="29717" xr:uid="{00000000-0005-0000-0000-0000BA350000}"/>
    <cellStyle name="Normal 24 3 2 2 2 4" xfId="21674" xr:uid="{00000000-0005-0000-0000-0000BB350000}"/>
    <cellStyle name="Normal 24 3 2 2 3" xfId="7866" xr:uid="{00000000-0005-0000-0000-0000BC350000}"/>
    <cellStyle name="Normal 24 3 2 2 3 2" xfId="17044" xr:uid="{00000000-0005-0000-0000-0000BD350000}"/>
    <cellStyle name="Normal 24 3 2 2 3 2 2" xfId="33618" xr:uid="{00000000-0005-0000-0000-0000BE350000}"/>
    <cellStyle name="Normal 24 3 2 2 3 3" xfId="25571" xr:uid="{00000000-0005-0000-0000-0000BF350000}"/>
    <cellStyle name="Normal 24 3 2 2 4" xfId="13173" xr:uid="{00000000-0005-0000-0000-0000C0350000}"/>
    <cellStyle name="Normal 24 3 2 2 4 2" xfId="29716" xr:uid="{00000000-0005-0000-0000-0000C1350000}"/>
    <cellStyle name="Normal 24 3 2 2 5" xfId="21673" xr:uid="{00000000-0005-0000-0000-0000C2350000}"/>
    <cellStyle name="Normal 24 3 2 3" xfId="3764" xr:uid="{00000000-0005-0000-0000-0000C3350000}"/>
    <cellStyle name="Normal 24 3 2 3 2" xfId="7867" xr:uid="{00000000-0005-0000-0000-0000C4350000}"/>
    <cellStyle name="Normal 24 3 2 3 2 2" xfId="17045" xr:uid="{00000000-0005-0000-0000-0000C5350000}"/>
    <cellStyle name="Normal 24 3 2 3 2 2 2" xfId="33619" xr:uid="{00000000-0005-0000-0000-0000C6350000}"/>
    <cellStyle name="Normal 24 3 2 3 2 3" xfId="25572" xr:uid="{00000000-0005-0000-0000-0000C7350000}"/>
    <cellStyle name="Normal 24 3 2 3 3" xfId="13175" xr:uid="{00000000-0005-0000-0000-0000C8350000}"/>
    <cellStyle name="Normal 24 3 2 3 3 2" xfId="29718" xr:uid="{00000000-0005-0000-0000-0000C9350000}"/>
    <cellStyle name="Normal 24 3 2 3 4" xfId="21675" xr:uid="{00000000-0005-0000-0000-0000CA350000}"/>
    <cellStyle name="Normal 24 3 2 4" xfId="7868" xr:uid="{00000000-0005-0000-0000-0000CB350000}"/>
    <cellStyle name="Normal 24 3 2 4 2" xfId="17046" xr:uid="{00000000-0005-0000-0000-0000CC350000}"/>
    <cellStyle name="Normal 24 3 2 4 2 2" xfId="33620" xr:uid="{00000000-0005-0000-0000-0000CD350000}"/>
    <cellStyle name="Normal 24 3 2 4 3" xfId="25573" xr:uid="{00000000-0005-0000-0000-0000CE350000}"/>
    <cellStyle name="Normal 24 3 2 5" xfId="13172" xr:uid="{00000000-0005-0000-0000-0000CF350000}"/>
    <cellStyle name="Normal 24 3 2 5 2" xfId="29715" xr:uid="{00000000-0005-0000-0000-0000D0350000}"/>
    <cellStyle name="Normal 24 3 2 6" xfId="21672" xr:uid="{00000000-0005-0000-0000-0000D1350000}"/>
    <cellStyle name="Normal 24 3 3" xfId="3765" xr:uid="{00000000-0005-0000-0000-0000D2350000}"/>
    <cellStyle name="Normal 24 3 3 2" xfId="3766" xr:uid="{00000000-0005-0000-0000-0000D3350000}"/>
    <cellStyle name="Normal 24 3 3 2 2" xfId="7869" xr:uid="{00000000-0005-0000-0000-0000D4350000}"/>
    <cellStyle name="Normal 24 3 3 2 2 2" xfId="17047" xr:uid="{00000000-0005-0000-0000-0000D5350000}"/>
    <cellStyle name="Normal 24 3 3 2 2 2 2" xfId="33621" xr:uid="{00000000-0005-0000-0000-0000D6350000}"/>
    <cellStyle name="Normal 24 3 3 2 2 3" xfId="25574" xr:uid="{00000000-0005-0000-0000-0000D7350000}"/>
    <cellStyle name="Normal 24 3 3 2 3" xfId="13177" xr:uid="{00000000-0005-0000-0000-0000D8350000}"/>
    <cellStyle name="Normal 24 3 3 2 3 2" xfId="29720" xr:uid="{00000000-0005-0000-0000-0000D9350000}"/>
    <cellStyle name="Normal 24 3 3 2 4" xfId="21677" xr:uid="{00000000-0005-0000-0000-0000DA350000}"/>
    <cellStyle name="Normal 24 3 3 3" xfId="7870" xr:uid="{00000000-0005-0000-0000-0000DB350000}"/>
    <cellStyle name="Normal 24 3 3 3 2" xfId="17048" xr:uid="{00000000-0005-0000-0000-0000DC350000}"/>
    <cellStyle name="Normal 24 3 3 3 2 2" xfId="33622" xr:uid="{00000000-0005-0000-0000-0000DD350000}"/>
    <cellStyle name="Normal 24 3 3 3 3" xfId="25575" xr:uid="{00000000-0005-0000-0000-0000DE350000}"/>
    <cellStyle name="Normal 24 3 3 4" xfId="13176" xr:uid="{00000000-0005-0000-0000-0000DF350000}"/>
    <cellStyle name="Normal 24 3 3 4 2" xfId="29719" xr:uid="{00000000-0005-0000-0000-0000E0350000}"/>
    <cellStyle name="Normal 24 3 3 5" xfId="21676" xr:uid="{00000000-0005-0000-0000-0000E1350000}"/>
    <cellStyle name="Normal 24 3 4" xfId="3767" xr:uid="{00000000-0005-0000-0000-0000E2350000}"/>
    <cellStyle name="Normal 24 3 4 2" xfId="7871" xr:uid="{00000000-0005-0000-0000-0000E3350000}"/>
    <cellStyle name="Normal 24 3 4 2 2" xfId="17049" xr:uid="{00000000-0005-0000-0000-0000E4350000}"/>
    <cellStyle name="Normal 24 3 4 2 2 2" xfId="33623" xr:uid="{00000000-0005-0000-0000-0000E5350000}"/>
    <cellStyle name="Normal 24 3 4 2 3" xfId="25576" xr:uid="{00000000-0005-0000-0000-0000E6350000}"/>
    <cellStyle name="Normal 24 3 4 3" xfId="13178" xr:uid="{00000000-0005-0000-0000-0000E7350000}"/>
    <cellStyle name="Normal 24 3 4 3 2" xfId="29721" xr:uid="{00000000-0005-0000-0000-0000E8350000}"/>
    <cellStyle name="Normal 24 3 4 4" xfId="21678" xr:uid="{00000000-0005-0000-0000-0000E9350000}"/>
    <cellStyle name="Normal 24 3 5" xfId="3768" xr:uid="{00000000-0005-0000-0000-0000EA350000}"/>
    <cellStyle name="Normal 24 3 5 2" xfId="13179" xr:uid="{00000000-0005-0000-0000-0000EB350000}"/>
    <cellStyle name="Normal 24 3 5 2 2" xfId="29722" xr:uid="{00000000-0005-0000-0000-0000EC350000}"/>
    <cellStyle name="Normal 24 3 5 3" xfId="21679" xr:uid="{00000000-0005-0000-0000-0000ED350000}"/>
    <cellStyle name="Normal 24 4" xfId="3769" xr:uid="{00000000-0005-0000-0000-0000EE350000}"/>
    <cellStyle name="Normal 24 4 2" xfId="3770" xr:uid="{00000000-0005-0000-0000-0000EF350000}"/>
    <cellStyle name="Normal 24 4 2 2" xfId="3771" xr:uid="{00000000-0005-0000-0000-0000F0350000}"/>
    <cellStyle name="Normal 24 4 2 2 2" xfId="3772" xr:uid="{00000000-0005-0000-0000-0000F1350000}"/>
    <cellStyle name="Normal 24 4 2 2 2 2" xfId="7872" xr:uid="{00000000-0005-0000-0000-0000F2350000}"/>
    <cellStyle name="Normal 24 4 2 2 2 2 2" xfId="17050" xr:uid="{00000000-0005-0000-0000-0000F3350000}"/>
    <cellStyle name="Normal 24 4 2 2 2 2 2 2" xfId="33624" xr:uid="{00000000-0005-0000-0000-0000F4350000}"/>
    <cellStyle name="Normal 24 4 2 2 2 2 3" xfId="25577" xr:uid="{00000000-0005-0000-0000-0000F5350000}"/>
    <cellStyle name="Normal 24 4 2 2 2 3" xfId="13183" xr:uid="{00000000-0005-0000-0000-0000F6350000}"/>
    <cellStyle name="Normal 24 4 2 2 2 3 2" xfId="29726" xr:uid="{00000000-0005-0000-0000-0000F7350000}"/>
    <cellStyle name="Normal 24 4 2 2 2 4" xfId="21683" xr:uid="{00000000-0005-0000-0000-0000F8350000}"/>
    <cellStyle name="Normal 24 4 2 2 3" xfId="7873" xr:uid="{00000000-0005-0000-0000-0000F9350000}"/>
    <cellStyle name="Normal 24 4 2 2 3 2" xfId="17051" xr:uid="{00000000-0005-0000-0000-0000FA350000}"/>
    <cellStyle name="Normal 24 4 2 2 3 2 2" xfId="33625" xr:uid="{00000000-0005-0000-0000-0000FB350000}"/>
    <cellStyle name="Normal 24 4 2 2 3 3" xfId="25578" xr:uid="{00000000-0005-0000-0000-0000FC350000}"/>
    <cellStyle name="Normal 24 4 2 2 4" xfId="13182" xr:uid="{00000000-0005-0000-0000-0000FD350000}"/>
    <cellStyle name="Normal 24 4 2 2 4 2" xfId="29725" xr:uid="{00000000-0005-0000-0000-0000FE350000}"/>
    <cellStyle name="Normal 24 4 2 2 5" xfId="21682" xr:uid="{00000000-0005-0000-0000-0000FF350000}"/>
    <cellStyle name="Normal 24 4 2 3" xfId="3773" xr:uid="{00000000-0005-0000-0000-000000360000}"/>
    <cellStyle name="Normal 24 4 2 3 2" xfId="7874" xr:uid="{00000000-0005-0000-0000-000001360000}"/>
    <cellStyle name="Normal 24 4 2 3 2 2" xfId="17052" xr:uid="{00000000-0005-0000-0000-000002360000}"/>
    <cellStyle name="Normal 24 4 2 3 2 2 2" xfId="33626" xr:uid="{00000000-0005-0000-0000-000003360000}"/>
    <cellStyle name="Normal 24 4 2 3 2 3" xfId="25579" xr:uid="{00000000-0005-0000-0000-000004360000}"/>
    <cellStyle name="Normal 24 4 2 3 3" xfId="13184" xr:uid="{00000000-0005-0000-0000-000005360000}"/>
    <cellStyle name="Normal 24 4 2 3 3 2" xfId="29727" xr:uid="{00000000-0005-0000-0000-000006360000}"/>
    <cellStyle name="Normal 24 4 2 3 4" xfId="21684" xr:uid="{00000000-0005-0000-0000-000007360000}"/>
    <cellStyle name="Normal 24 4 2 4" xfId="7875" xr:uid="{00000000-0005-0000-0000-000008360000}"/>
    <cellStyle name="Normal 24 4 2 4 2" xfId="17053" xr:uid="{00000000-0005-0000-0000-000009360000}"/>
    <cellStyle name="Normal 24 4 2 4 2 2" xfId="33627" xr:uid="{00000000-0005-0000-0000-00000A360000}"/>
    <cellStyle name="Normal 24 4 2 4 3" xfId="25580" xr:uid="{00000000-0005-0000-0000-00000B360000}"/>
    <cellStyle name="Normal 24 4 2 5" xfId="13181" xr:uid="{00000000-0005-0000-0000-00000C360000}"/>
    <cellStyle name="Normal 24 4 2 5 2" xfId="29724" xr:uid="{00000000-0005-0000-0000-00000D360000}"/>
    <cellStyle name="Normal 24 4 2 6" xfId="21681" xr:uid="{00000000-0005-0000-0000-00000E360000}"/>
    <cellStyle name="Normal 24 4 3" xfId="3774" xr:uid="{00000000-0005-0000-0000-00000F360000}"/>
    <cellStyle name="Normal 24 4 3 2" xfId="3775" xr:uid="{00000000-0005-0000-0000-000010360000}"/>
    <cellStyle name="Normal 24 4 3 2 2" xfId="7876" xr:uid="{00000000-0005-0000-0000-000011360000}"/>
    <cellStyle name="Normal 24 4 3 2 2 2" xfId="17054" xr:uid="{00000000-0005-0000-0000-000012360000}"/>
    <cellStyle name="Normal 24 4 3 2 2 2 2" xfId="33628" xr:uid="{00000000-0005-0000-0000-000013360000}"/>
    <cellStyle name="Normal 24 4 3 2 2 3" xfId="25581" xr:uid="{00000000-0005-0000-0000-000014360000}"/>
    <cellStyle name="Normal 24 4 3 2 3" xfId="13186" xr:uid="{00000000-0005-0000-0000-000015360000}"/>
    <cellStyle name="Normal 24 4 3 2 3 2" xfId="29729" xr:uid="{00000000-0005-0000-0000-000016360000}"/>
    <cellStyle name="Normal 24 4 3 2 4" xfId="21686" xr:uid="{00000000-0005-0000-0000-000017360000}"/>
    <cellStyle name="Normal 24 4 3 3" xfId="7877" xr:uid="{00000000-0005-0000-0000-000018360000}"/>
    <cellStyle name="Normal 24 4 3 3 2" xfId="17055" xr:uid="{00000000-0005-0000-0000-000019360000}"/>
    <cellStyle name="Normal 24 4 3 3 2 2" xfId="33629" xr:uid="{00000000-0005-0000-0000-00001A360000}"/>
    <cellStyle name="Normal 24 4 3 3 3" xfId="25582" xr:uid="{00000000-0005-0000-0000-00001B360000}"/>
    <cellStyle name="Normal 24 4 3 4" xfId="13185" xr:uid="{00000000-0005-0000-0000-00001C360000}"/>
    <cellStyle name="Normal 24 4 3 4 2" xfId="29728" xr:uid="{00000000-0005-0000-0000-00001D360000}"/>
    <cellStyle name="Normal 24 4 3 5" xfId="21685" xr:uid="{00000000-0005-0000-0000-00001E360000}"/>
    <cellStyle name="Normal 24 4 4" xfId="3776" xr:uid="{00000000-0005-0000-0000-00001F360000}"/>
    <cellStyle name="Normal 24 4 4 2" xfId="7878" xr:uid="{00000000-0005-0000-0000-000020360000}"/>
    <cellStyle name="Normal 24 4 4 2 2" xfId="17056" xr:uid="{00000000-0005-0000-0000-000021360000}"/>
    <cellStyle name="Normal 24 4 4 2 2 2" xfId="33630" xr:uid="{00000000-0005-0000-0000-000022360000}"/>
    <cellStyle name="Normal 24 4 4 2 3" xfId="25583" xr:uid="{00000000-0005-0000-0000-000023360000}"/>
    <cellStyle name="Normal 24 4 4 3" xfId="13187" xr:uid="{00000000-0005-0000-0000-000024360000}"/>
    <cellStyle name="Normal 24 4 4 3 2" xfId="29730" xr:uid="{00000000-0005-0000-0000-000025360000}"/>
    <cellStyle name="Normal 24 4 4 4" xfId="21687" xr:uid="{00000000-0005-0000-0000-000026360000}"/>
    <cellStyle name="Normal 24 4 5" xfId="7879" xr:uid="{00000000-0005-0000-0000-000027360000}"/>
    <cellStyle name="Normal 24 4 5 2" xfId="17057" xr:uid="{00000000-0005-0000-0000-000028360000}"/>
    <cellStyle name="Normal 24 4 5 2 2" xfId="33631" xr:uid="{00000000-0005-0000-0000-000029360000}"/>
    <cellStyle name="Normal 24 4 5 3" xfId="25584" xr:uid="{00000000-0005-0000-0000-00002A360000}"/>
    <cellStyle name="Normal 24 4 6" xfId="13180" xr:uid="{00000000-0005-0000-0000-00002B360000}"/>
    <cellStyle name="Normal 24 4 6 2" xfId="29723" xr:uid="{00000000-0005-0000-0000-00002C360000}"/>
    <cellStyle name="Normal 24 4 7" xfId="21680" xr:uid="{00000000-0005-0000-0000-00002D360000}"/>
    <cellStyle name="Normal 24 5" xfId="3777" xr:uid="{00000000-0005-0000-0000-00002E360000}"/>
    <cellStyle name="Normal 24 5 2" xfId="3778" xr:uid="{00000000-0005-0000-0000-00002F360000}"/>
    <cellStyle name="Normal 24 5 2 2" xfId="3779" xr:uid="{00000000-0005-0000-0000-000030360000}"/>
    <cellStyle name="Normal 24 5 2 2 2" xfId="3780" xr:uid="{00000000-0005-0000-0000-000031360000}"/>
    <cellStyle name="Normal 24 5 2 2 2 2" xfId="7880" xr:uid="{00000000-0005-0000-0000-000032360000}"/>
    <cellStyle name="Normal 24 5 2 2 2 2 2" xfId="17058" xr:uid="{00000000-0005-0000-0000-000033360000}"/>
    <cellStyle name="Normal 24 5 2 2 2 2 2 2" xfId="33632" xr:uid="{00000000-0005-0000-0000-000034360000}"/>
    <cellStyle name="Normal 24 5 2 2 2 2 3" xfId="25585" xr:uid="{00000000-0005-0000-0000-000035360000}"/>
    <cellStyle name="Normal 24 5 2 2 2 3" xfId="13191" xr:uid="{00000000-0005-0000-0000-000036360000}"/>
    <cellStyle name="Normal 24 5 2 2 2 3 2" xfId="29734" xr:uid="{00000000-0005-0000-0000-000037360000}"/>
    <cellStyle name="Normal 24 5 2 2 2 4" xfId="21691" xr:uid="{00000000-0005-0000-0000-000038360000}"/>
    <cellStyle name="Normal 24 5 2 2 3" xfId="7881" xr:uid="{00000000-0005-0000-0000-000039360000}"/>
    <cellStyle name="Normal 24 5 2 2 3 2" xfId="17059" xr:uid="{00000000-0005-0000-0000-00003A360000}"/>
    <cellStyle name="Normal 24 5 2 2 3 2 2" xfId="33633" xr:uid="{00000000-0005-0000-0000-00003B360000}"/>
    <cellStyle name="Normal 24 5 2 2 3 3" xfId="25586" xr:uid="{00000000-0005-0000-0000-00003C360000}"/>
    <cellStyle name="Normal 24 5 2 2 4" xfId="13190" xr:uid="{00000000-0005-0000-0000-00003D360000}"/>
    <cellStyle name="Normal 24 5 2 2 4 2" xfId="29733" xr:uid="{00000000-0005-0000-0000-00003E360000}"/>
    <cellStyle name="Normal 24 5 2 2 5" xfId="21690" xr:uid="{00000000-0005-0000-0000-00003F360000}"/>
    <cellStyle name="Normal 24 5 2 3" xfId="3781" xr:uid="{00000000-0005-0000-0000-000040360000}"/>
    <cellStyle name="Normal 24 5 2 3 2" xfId="7882" xr:uid="{00000000-0005-0000-0000-000041360000}"/>
    <cellStyle name="Normal 24 5 2 3 2 2" xfId="17060" xr:uid="{00000000-0005-0000-0000-000042360000}"/>
    <cellStyle name="Normal 24 5 2 3 2 2 2" xfId="33634" xr:uid="{00000000-0005-0000-0000-000043360000}"/>
    <cellStyle name="Normal 24 5 2 3 2 3" xfId="25587" xr:uid="{00000000-0005-0000-0000-000044360000}"/>
    <cellStyle name="Normal 24 5 2 3 3" xfId="13192" xr:uid="{00000000-0005-0000-0000-000045360000}"/>
    <cellStyle name="Normal 24 5 2 3 3 2" xfId="29735" xr:uid="{00000000-0005-0000-0000-000046360000}"/>
    <cellStyle name="Normal 24 5 2 3 4" xfId="21692" xr:uid="{00000000-0005-0000-0000-000047360000}"/>
    <cellStyle name="Normal 24 5 2 4" xfId="7883" xr:uid="{00000000-0005-0000-0000-000048360000}"/>
    <cellStyle name="Normal 24 5 2 4 2" xfId="17061" xr:uid="{00000000-0005-0000-0000-000049360000}"/>
    <cellStyle name="Normal 24 5 2 4 2 2" xfId="33635" xr:uid="{00000000-0005-0000-0000-00004A360000}"/>
    <cellStyle name="Normal 24 5 2 4 3" xfId="25588" xr:uid="{00000000-0005-0000-0000-00004B360000}"/>
    <cellStyle name="Normal 24 5 2 5" xfId="13189" xr:uid="{00000000-0005-0000-0000-00004C360000}"/>
    <cellStyle name="Normal 24 5 2 5 2" xfId="29732" xr:uid="{00000000-0005-0000-0000-00004D360000}"/>
    <cellStyle name="Normal 24 5 2 6" xfId="21689" xr:uid="{00000000-0005-0000-0000-00004E360000}"/>
    <cellStyle name="Normal 24 5 3" xfId="3782" xr:uid="{00000000-0005-0000-0000-00004F360000}"/>
    <cellStyle name="Normal 24 5 3 2" xfId="3783" xr:uid="{00000000-0005-0000-0000-000050360000}"/>
    <cellStyle name="Normal 24 5 3 2 2" xfId="7884" xr:uid="{00000000-0005-0000-0000-000051360000}"/>
    <cellStyle name="Normal 24 5 3 2 2 2" xfId="17062" xr:uid="{00000000-0005-0000-0000-000052360000}"/>
    <cellStyle name="Normal 24 5 3 2 2 2 2" xfId="33636" xr:uid="{00000000-0005-0000-0000-000053360000}"/>
    <cellStyle name="Normal 24 5 3 2 2 3" xfId="25589" xr:uid="{00000000-0005-0000-0000-000054360000}"/>
    <cellStyle name="Normal 24 5 3 2 3" xfId="13194" xr:uid="{00000000-0005-0000-0000-000055360000}"/>
    <cellStyle name="Normal 24 5 3 2 3 2" xfId="29737" xr:uid="{00000000-0005-0000-0000-000056360000}"/>
    <cellStyle name="Normal 24 5 3 2 4" xfId="21694" xr:uid="{00000000-0005-0000-0000-000057360000}"/>
    <cellStyle name="Normal 24 5 3 3" xfId="7885" xr:uid="{00000000-0005-0000-0000-000058360000}"/>
    <cellStyle name="Normal 24 5 3 3 2" xfId="17063" xr:uid="{00000000-0005-0000-0000-000059360000}"/>
    <cellStyle name="Normal 24 5 3 3 2 2" xfId="33637" xr:uid="{00000000-0005-0000-0000-00005A360000}"/>
    <cellStyle name="Normal 24 5 3 3 3" xfId="25590" xr:uid="{00000000-0005-0000-0000-00005B360000}"/>
    <cellStyle name="Normal 24 5 3 4" xfId="13193" xr:uid="{00000000-0005-0000-0000-00005C360000}"/>
    <cellStyle name="Normal 24 5 3 4 2" xfId="29736" xr:uid="{00000000-0005-0000-0000-00005D360000}"/>
    <cellStyle name="Normal 24 5 3 5" xfId="21693" xr:uid="{00000000-0005-0000-0000-00005E360000}"/>
    <cellStyle name="Normal 24 5 4" xfId="3784" xr:uid="{00000000-0005-0000-0000-00005F360000}"/>
    <cellStyle name="Normal 24 5 4 2" xfId="7886" xr:uid="{00000000-0005-0000-0000-000060360000}"/>
    <cellStyle name="Normal 24 5 4 2 2" xfId="17064" xr:uid="{00000000-0005-0000-0000-000061360000}"/>
    <cellStyle name="Normal 24 5 4 2 2 2" xfId="33638" xr:uid="{00000000-0005-0000-0000-000062360000}"/>
    <cellStyle name="Normal 24 5 4 2 3" xfId="25591" xr:uid="{00000000-0005-0000-0000-000063360000}"/>
    <cellStyle name="Normal 24 5 4 3" xfId="13195" xr:uid="{00000000-0005-0000-0000-000064360000}"/>
    <cellStyle name="Normal 24 5 4 3 2" xfId="29738" xr:uid="{00000000-0005-0000-0000-000065360000}"/>
    <cellStyle name="Normal 24 5 4 4" xfId="21695" xr:uid="{00000000-0005-0000-0000-000066360000}"/>
    <cellStyle name="Normal 24 5 5" xfId="7887" xr:uid="{00000000-0005-0000-0000-000067360000}"/>
    <cellStyle name="Normal 24 5 5 2" xfId="17065" xr:uid="{00000000-0005-0000-0000-000068360000}"/>
    <cellStyle name="Normal 24 5 5 2 2" xfId="33639" xr:uid="{00000000-0005-0000-0000-000069360000}"/>
    <cellStyle name="Normal 24 5 5 3" xfId="25592" xr:uid="{00000000-0005-0000-0000-00006A360000}"/>
    <cellStyle name="Normal 24 5 6" xfId="13188" xr:uid="{00000000-0005-0000-0000-00006B360000}"/>
    <cellStyle name="Normal 24 5 6 2" xfId="29731" xr:uid="{00000000-0005-0000-0000-00006C360000}"/>
    <cellStyle name="Normal 24 5 7" xfId="21688" xr:uid="{00000000-0005-0000-0000-00006D360000}"/>
    <cellStyle name="Normal 24 6" xfId="3785" xr:uid="{00000000-0005-0000-0000-00006E360000}"/>
    <cellStyle name="Normal 24 6 2" xfId="3786" xr:uid="{00000000-0005-0000-0000-00006F360000}"/>
    <cellStyle name="Normal 24 6 2 2" xfId="3787" xr:uid="{00000000-0005-0000-0000-000070360000}"/>
    <cellStyle name="Normal 24 6 2 2 2" xfId="7888" xr:uid="{00000000-0005-0000-0000-000071360000}"/>
    <cellStyle name="Normal 24 6 2 2 2 2" xfId="17066" xr:uid="{00000000-0005-0000-0000-000072360000}"/>
    <cellStyle name="Normal 24 6 2 2 2 2 2" xfId="33640" xr:uid="{00000000-0005-0000-0000-000073360000}"/>
    <cellStyle name="Normal 24 6 2 2 2 3" xfId="25593" xr:uid="{00000000-0005-0000-0000-000074360000}"/>
    <cellStyle name="Normal 24 6 2 2 3" xfId="13198" xr:uid="{00000000-0005-0000-0000-000075360000}"/>
    <cellStyle name="Normal 24 6 2 2 3 2" xfId="29741" xr:uid="{00000000-0005-0000-0000-000076360000}"/>
    <cellStyle name="Normal 24 6 2 2 4" xfId="21698" xr:uid="{00000000-0005-0000-0000-000077360000}"/>
    <cellStyle name="Normal 24 6 2 3" xfId="7889" xr:uid="{00000000-0005-0000-0000-000078360000}"/>
    <cellStyle name="Normal 24 6 2 3 2" xfId="17067" xr:uid="{00000000-0005-0000-0000-000079360000}"/>
    <cellStyle name="Normal 24 6 2 3 2 2" xfId="33641" xr:uid="{00000000-0005-0000-0000-00007A360000}"/>
    <cellStyle name="Normal 24 6 2 3 3" xfId="25594" xr:uid="{00000000-0005-0000-0000-00007B360000}"/>
    <cellStyle name="Normal 24 6 2 4" xfId="13197" xr:uid="{00000000-0005-0000-0000-00007C360000}"/>
    <cellStyle name="Normal 24 6 2 4 2" xfId="29740" xr:uid="{00000000-0005-0000-0000-00007D360000}"/>
    <cellStyle name="Normal 24 6 2 5" xfId="21697" xr:uid="{00000000-0005-0000-0000-00007E360000}"/>
    <cellStyle name="Normal 24 6 3" xfId="3788" xr:uid="{00000000-0005-0000-0000-00007F360000}"/>
    <cellStyle name="Normal 24 6 3 2" xfId="7890" xr:uid="{00000000-0005-0000-0000-000080360000}"/>
    <cellStyle name="Normal 24 6 3 2 2" xfId="17068" xr:uid="{00000000-0005-0000-0000-000081360000}"/>
    <cellStyle name="Normal 24 6 3 2 2 2" xfId="33642" xr:uid="{00000000-0005-0000-0000-000082360000}"/>
    <cellStyle name="Normal 24 6 3 2 3" xfId="25595" xr:uid="{00000000-0005-0000-0000-000083360000}"/>
    <cellStyle name="Normal 24 6 3 3" xfId="13199" xr:uid="{00000000-0005-0000-0000-000084360000}"/>
    <cellStyle name="Normal 24 6 3 3 2" xfId="29742" xr:uid="{00000000-0005-0000-0000-000085360000}"/>
    <cellStyle name="Normal 24 6 3 4" xfId="21699" xr:uid="{00000000-0005-0000-0000-000086360000}"/>
    <cellStyle name="Normal 24 6 4" xfId="7891" xr:uid="{00000000-0005-0000-0000-000087360000}"/>
    <cellStyle name="Normal 24 6 4 2" xfId="17069" xr:uid="{00000000-0005-0000-0000-000088360000}"/>
    <cellStyle name="Normal 24 6 4 2 2" xfId="33643" xr:uid="{00000000-0005-0000-0000-000089360000}"/>
    <cellStyle name="Normal 24 6 4 3" xfId="25596" xr:uid="{00000000-0005-0000-0000-00008A360000}"/>
    <cellStyle name="Normal 24 6 5" xfId="13196" xr:uid="{00000000-0005-0000-0000-00008B360000}"/>
    <cellStyle name="Normal 24 6 5 2" xfId="29739" xr:uid="{00000000-0005-0000-0000-00008C360000}"/>
    <cellStyle name="Normal 24 6 6" xfId="21696" xr:uid="{00000000-0005-0000-0000-00008D360000}"/>
    <cellStyle name="Normal 24 7" xfId="3789" xr:uid="{00000000-0005-0000-0000-00008E360000}"/>
    <cellStyle name="Normal 24 7 2" xfId="3790" xr:uid="{00000000-0005-0000-0000-00008F360000}"/>
    <cellStyle name="Normal 24 7 2 2" xfId="7892" xr:uid="{00000000-0005-0000-0000-000090360000}"/>
    <cellStyle name="Normal 24 7 2 2 2" xfId="17070" xr:uid="{00000000-0005-0000-0000-000091360000}"/>
    <cellStyle name="Normal 24 7 2 2 2 2" xfId="33644" xr:uid="{00000000-0005-0000-0000-000092360000}"/>
    <cellStyle name="Normal 24 7 2 2 3" xfId="25597" xr:uid="{00000000-0005-0000-0000-000093360000}"/>
    <cellStyle name="Normal 24 7 2 3" xfId="13201" xr:uid="{00000000-0005-0000-0000-000094360000}"/>
    <cellStyle name="Normal 24 7 2 3 2" xfId="29744" xr:uid="{00000000-0005-0000-0000-000095360000}"/>
    <cellStyle name="Normal 24 7 2 4" xfId="21701" xr:uid="{00000000-0005-0000-0000-000096360000}"/>
    <cellStyle name="Normal 24 7 3" xfId="7893" xr:uid="{00000000-0005-0000-0000-000097360000}"/>
    <cellStyle name="Normal 24 7 3 2" xfId="17071" xr:uid="{00000000-0005-0000-0000-000098360000}"/>
    <cellStyle name="Normal 24 7 3 2 2" xfId="33645" xr:uid="{00000000-0005-0000-0000-000099360000}"/>
    <cellStyle name="Normal 24 7 3 3" xfId="25598" xr:uid="{00000000-0005-0000-0000-00009A360000}"/>
    <cellStyle name="Normal 24 7 4" xfId="13200" xr:uid="{00000000-0005-0000-0000-00009B360000}"/>
    <cellStyle name="Normal 24 7 4 2" xfId="29743" xr:uid="{00000000-0005-0000-0000-00009C360000}"/>
    <cellStyle name="Normal 24 7 5" xfId="21700" xr:uid="{00000000-0005-0000-0000-00009D360000}"/>
    <cellStyle name="Normal 24 8" xfId="3791" xr:uid="{00000000-0005-0000-0000-00009E360000}"/>
    <cellStyle name="Normal 24 8 2" xfId="7894" xr:uid="{00000000-0005-0000-0000-00009F360000}"/>
    <cellStyle name="Normal 24 8 2 2" xfId="17072" xr:uid="{00000000-0005-0000-0000-0000A0360000}"/>
    <cellStyle name="Normal 24 8 2 2 2" xfId="33646" xr:uid="{00000000-0005-0000-0000-0000A1360000}"/>
    <cellStyle name="Normal 24 8 2 3" xfId="25599" xr:uid="{00000000-0005-0000-0000-0000A2360000}"/>
    <cellStyle name="Normal 24 8 3" xfId="13202" xr:uid="{00000000-0005-0000-0000-0000A3360000}"/>
    <cellStyle name="Normal 24 8 3 2" xfId="29745" xr:uid="{00000000-0005-0000-0000-0000A4360000}"/>
    <cellStyle name="Normal 24 8 4" xfId="21702" xr:uid="{00000000-0005-0000-0000-0000A5360000}"/>
    <cellStyle name="Normal 24 9" xfId="7895" xr:uid="{00000000-0005-0000-0000-0000A6360000}"/>
    <cellStyle name="Normal 24 9 2" xfId="17073" xr:uid="{00000000-0005-0000-0000-0000A7360000}"/>
    <cellStyle name="Normal 24 9 2 2" xfId="33647" xr:uid="{00000000-0005-0000-0000-0000A8360000}"/>
    <cellStyle name="Normal 24 9 3" xfId="25600" xr:uid="{00000000-0005-0000-0000-0000A9360000}"/>
    <cellStyle name="Normal 240" xfId="10724" xr:uid="{00000000-0005-0000-0000-0000AA360000}"/>
    <cellStyle name="Normal 241" xfId="10727" xr:uid="{00000000-0005-0000-0000-0000AB360000}"/>
    <cellStyle name="Normal 242" xfId="10730" xr:uid="{00000000-0005-0000-0000-0000AC360000}"/>
    <cellStyle name="Normal 243" xfId="10733" xr:uid="{00000000-0005-0000-0000-0000AD360000}"/>
    <cellStyle name="Normal 244" xfId="10736" xr:uid="{00000000-0005-0000-0000-0000AE360000}"/>
    <cellStyle name="Normal 245" xfId="10739" xr:uid="{00000000-0005-0000-0000-0000AF360000}"/>
    <cellStyle name="Normal 246" xfId="10742" xr:uid="{00000000-0005-0000-0000-0000B0360000}"/>
    <cellStyle name="Normal 247" xfId="10745" xr:uid="{00000000-0005-0000-0000-0000B1360000}"/>
    <cellStyle name="Normal 248" xfId="10748" xr:uid="{00000000-0005-0000-0000-0000B2360000}"/>
    <cellStyle name="Normal 249" xfId="10751" xr:uid="{00000000-0005-0000-0000-0000B3360000}"/>
    <cellStyle name="Normal 25" xfId="3792" xr:uid="{00000000-0005-0000-0000-0000B4360000}"/>
    <cellStyle name="Normal 25 10" xfId="13203" xr:uid="{00000000-0005-0000-0000-0000B5360000}"/>
    <cellStyle name="Normal 25 10 2" xfId="29746" xr:uid="{00000000-0005-0000-0000-0000B6360000}"/>
    <cellStyle name="Normal 25 11" xfId="21703" xr:uid="{00000000-0005-0000-0000-0000B7360000}"/>
    <cellStyle name="Normal 25 2" xfId="3793" xr:uid="{00000000-0005-0000-0000-0000B8360000}"/>
    <cellStyle name="Normal 25 2 2" xfId="3794" xr:uid="{00000000-0005-0000-0000-0000B9360000}"/>
    <cellStyle name="Normal 25 2 3" xfId="13204" xr:uid="{00000000-0005-0000-0000-0000BA360000}"/>
    <cellStyle name="Normal 25 2 3 2" xfId="29747" xr:uid="{00000000-0005-0000-0000-0000BB360000}"/>
    <cellStyle name="Normal 25 2 4" xfId="21704" xr:uid="{00000000-0005-0000-0000-0000BC360000}"/>
    <cellStyle name="Normal 25 3" xfId="3795" xr:uid="{00000000-0005-0000-0000-0000BD360000}"/>
    <cellStyle name="Normal 25 3 2" xfId="3796" xr:uid="{00000000-0005-0000-0000-0000BE360000}"/>
    <cellStyle name="Normal 25 3 2 2" xfId="3797" xr:uid="{00000000-0005-0000-0000-0000BF360000}"/>
    <cellStyle name="Normal 25 3 2 2 2" xfId="3798" xr:uid="{00000000-0005-0000-0000-0000C0360000}"/>
    <cellStyle name="Normal 25 3 2 2 2 2" xfId="7896" xr:uid="{00000000-0005-0000-0000-0000C1360000}"/>
    <cellStyle name="Normal 25 3 2 2 2 2 2" xfId="17074" xr:uid="{00000000-0005-0000-0000-0000C2360000}"/>
    <cellStyle name="Normal 25 3 2 2 2 2 2 2" xfId="33648" xr:uid="{00000000-0005-0000-0000-0000C3360000}"/>
    <cellStyle name="Normal 25 3 2 2 2 2 3" xfId="25601" xr:uid="{00000000-0005-0000-0000-0000C4360000}"/>
    <cellStyle name="Normal 25 3 2 2 2 3" xfId="13207" xr:uid="{00000000-0005-0000-0000-0000C5360000}"/>
    <cellStyle name="Normal 25 3 2 2 2 3 2" xfId="29750" xr:uid="{00000000-0005-0000-0000-0000C6360000}"/>
    <cellStyle name="Normal 25 3 2 2 2 4" xfId="21707" xr:uid="{00000000-0005-0000-0000-0000C7360000}"/>
    <cellStyle name="Normal 25 3 2 2 3" xfId="7897" xr:uid="{00000000-0005-0000-0000-0000C8360000}"/>
    <cellStyle name="Normal 25 3 2 2 3 2" xfId="17075" xr:uid="{00000000-0005-0000-0000-0000C9360000}"/>
    <cellStyle name="Normal 25 3 2 2 3 2 2" xfId="33649" xr:uid="{00000000-0005-0000-0000-0000CA360000}"/>
    <cellStyle name="Normal 25 3 2 2 3 3" xfId="25602" xr:uid="{00000000-0005-0000-0000-0000CB360000}"/>
    <cellStyle name="Normal 25 3 2 2 4" xfId="13206" xr:uid="{00000000-0005-0000-0000-0000CC360000}"/>
    <cellStyle name="Normal 25 3 2 2 4 2" xfId="29749" xr:uid="{00000000-0005-0000-0000-0000CD360000}"/>
    <cellStyle name="Normal 25 3 2 2 5" xfId="21706" xr:uid="{00000000-0005-0000-0000-0000CE360000}"/>
    <cellStyle name="Normal 25 3 2 3" xfId="3799" xr:uid="{00000000-0005-0000-0000-0000CF360000}"/>
    <cellStyle name="Normal 25 3 2 3 2" xfId="7898" xr:uid="{00000000-0005-0000-0000-0000D0360000}"/>
    <cellStyle name="Normal 25 3 2 3 2 2" xfId="17076" xr:uid="{00000000-0005-0000-0000-0000D1360000}"/>
    <cellStyle name="Normal 25 3 2 3 2 2 2" xfId="33650" xr:uid="{00000000-0005-0000-0000-0000D2360000}"/>
    <cellStyle name="Normal 25 3 2 3 2 3" xfId="25603" xr:uid="{00000000-0005-0000-0000-0000D3360000}"/>
    <cellStyle name="Normal 25 3 2 3 3" xfId="13208" xr:uid="{00000000-0005-0000-0000-0000D4360000}"/>
    <cellStyle name="Normal 25 3 2 3 3 2" xfId="29751" xr:uid="{00000000-0005-0000-0000-0000D5360000}"/>
    <cellStyle name="Normal 25 3 2 3 4" xfId="21708" xr:uid="{00000000-0005-0000-0000-0000D6360000}"/>
    <cellStyle name="Normal 25 3 2 4" xfId="7899" xr:uid="{00000000-0005-0000-0000-0000D7360000}"/>
    <cellStyle name="Normal 25 3 2 4 2" xfId="17077" xr:uid="{00000000-0005-0000-0000-0000D8360000}"/>
    <cellStyle name="Normal 25 3 2 4 2 2" xfId="33651" xr:uid="{00000000-0005-0000-0000-0000D9360000}"/>
    <cellStyle name="Normal 25 3 2 4 3" xfId="25604" xr:uid="{00000000-0005-0000-0000-0000DA360000}"/>
    <cellStyle name="Normal 25 3 2 5" xfId="13205" xr:uid="{00000000-0005-0000-0000-0000DB360000}"/>
    <cellStyle name="Normal 25 3 2 5 2" xfId="29748" xr:uid="{00000000-0005-0000-0000-0000DC360000}"/>
    <cellStyle name="Normal 25 3 2 6" xfId="21705" xr:uid="{00000000-0005-0000-0000-0000DD360000}"/>
    <cellStyle name="Normal 25 3 3" xfId="3800" xr:uid="{00000000-0005-0000-0000-0000DE360000}"/>
    <cellStyle name="Normal 25 3 3 2" xfId="3801" xr:uid="{00000000-0005-0000-0000-0000DF360000}"/>
    <cellStyle name="Normal 25 3 3 2 2" xfId="7900" xr:uid="{00000000-0005-0000-0000-0000E0360000}"/>
    <cellStyle name="Normal 25 3 3 2 2 2" xfId="17078" xr:uid="{00000000-0005-0000-0000-0000E1360000}"/>
    <cellStyle name="Normal 25 3 3 2 2 2 2" xfId="33652" xr:uid="{00000000-0005-0000-0000-0000E2360000}"/>
    <cellStyle name="Normal 25 3 3 2 2 3" xfId="25605" xr:uid="{00000000-0005-0000-0000-0000E3360000}"/>
    <cellStyle name="Normal 25 3 3 2 3" xfId="13210" xr:uid="{00000000-0005-0000-0000-0000E4360000}"/>
    <cellStyle name="Normal 25 3 3 2 3 2" xfId="29753" xr:uid="{00000000-0005-0000-0000-0000E5360000}"/>
    <cellStyle name="Normal 25 3 3 2 4" xfId="21710" xr:uid="{00000000-0005-0000-0000-0000E6360000}"/>
    <cellStyle name="Normal 25 3 3 3" xfId="7901" xr:uid="{00000000-0005-0000-0000-0000E7360000}"/>
    <cellStyle name="Normal 25 3 3 3 2" xfId="17079" xr:uid="{00000000-0005-0000-0000-0000E8360000}"/>
    <cellStyle name="Normal 25 3 3 3 2 2" xfId="33653" xr:uid="{00000000-0005-0000-0000-0000E9360000}"/>
    <cellStyle name="Normal 25 3 3 3 3" xfId="25606" xr:uid="{00000000-0005-0000-0000-0000EA360000}"/>
    <cellStyle name="Normal 25 3 3 4" xfId="13209" xr:uid="{00000000-0005-0000-0000-0000EB360000}"/>
    <cellStyle name="Normal 25 3 3 4 2" xfId="29752" xr:uid="{00000000-0005-0000-0000-0000EC360000}"/>
    <cellStyle name="Normal 25 3 3 5" xfId="21709" xr:uid="{00000000-0005-0000-0000-0000ED360000}"/>
    <cellStyle name="Normal 25 3 4" xfId="3802" xr:uid="{00000000-0005-0000-0000-0000EE360000}"/>
    <cellStyle name="Normal 25 3 4 2" xfId="7902" xr:uid="{00000000-0005-0000-0000-0000EF360000}"/>
    <cellStyle name="Normal 25 3 4 2 2" xfId="17080" xr:uid="{00000000-0005-0000-0000-0000F0360000}"/>
    <cellStyle name="Normal 25 3 4 2 2 2" xfId="33654" xr:uid="{00000000-0005-0000-0000-0000F1360000}"/>
    <cellStyle name="Normal 25 3 4 2 3" xfId="25607" xr:uid="{00000000-0005-0000-0000-0000F2360000}"/>
    <cellStyle name="Normal 25 3 4 3" xfId="13211" xr:uid="{00000000-0005-0000-0000-0000F3360000}"/>
    <cellStyle name="Normal 25 3 4 3 2" xfId="29754" xr:uid="{00000000-0005-0000-0000-0000F4360000}"/>
    <cellStyle name="Normal 25 3 4 4" xfId="21711" xr:uid="{00000000-0005-0000-0000-0000F5360000}"/>
    <cellStyle name="Normal 25 3 5" xfId="3803" xr:uid="{00000000-0005-0000-0000-0000F6360000}"/>
    <cellStyle name="Normal 25 3 5 2" xfId="13212" xr:uid="{00000000-0005-0000-0000-0000F7360000}"/>
    <cellStyle name="Normal 25 3 5 2 2" xfId="29755" xr:uid="{00000000-0005-0000-0000-0000F8360000}"/>
    <cellStyle name="Normal 25 3 5 3" xfId="21712" xr:uid="{00000000-0005-0000-0000-0000F9360000}"/>
    <cellStyle name="Normal 25 4" xfId="3804" xr:uid="{00000000-0005-0000-0000-0000FA360000}"/>
    <cellStyle name="Normal 25 4 2" xfId="3805" xr:uid="{00000000-0005-0000-0000-0000FB360000}"/>
    <cellStyle name="Normal 25 4 2 2" xfId="3806" xr:uid="{00000000-0005-0000-0000-0000FC360000}"/>
    <cellStyle name="Normal 25 4 2 2 2" xfId="3807" xr:uid="{00000000-0005-0000-0000-0000FD360000}"/>
    <cellStyle name="Normal 25 4 2 2 2 2" xfId="7903" xr:uid="{00000000-0005-0000-0000-0000FE360000}"/>
    <cellStyle name="Normal 25 4 2 2 2 2 2" xfId="17081" xr:uid="{00000000-0005-0000-0000-0000FF360000}"/>
    <cellStyle name="Normal 25 4 2 2 2 2 2 2" xfId="33655" xr:uid="{00000000-0005-0000-0000-000000370000}"/>
    <cellStyle name="Normal 25 4 2 2 2 2 3" xfId="25608" xr:uid="{00000000-0005-0000-0000-000001370000}"/>
    <cellStyle name="Normal 25 4 2 2 2 3" xfId="13216" xr:uid="{00000000-0005-0000-0000-000002370000}"/>
    <cellStyle name="Normal 25 4 2 2 2 3 2" xfId="29759" xr:uid="{00000000-0005-0000-0000-000003370000}"/>
    <cellStyle name="Normal 25 4 2 2 2 4" xfId="21716" xr:uid="{00000000-0005-0000-0000-000004370000}"/>
    <cellStyle name="Normal 25 4 2 2 3" xfId="7904" xr:uid="{00000000-0005-0000-0000-000005370000}"/>
    <cellStyle name="Normal 25 4 2 2 3 2" xfId="17082" xr:uid="{00000000-0005-0000-0000-000006370000}"/>
    <cellStyle name="Normal 25 4 2 2 3 2 2" xfId="33656" xr:uid="{00000000-0005-0000-0000-000007370000}"/>
    <cellStyle name="Normal 25 4 2 2 3 3" xfId="25609" xr:uid="{00000000-0005-0000-0000-000008370000}"/>
    <cellStyle name="Normal 25 4 2 2 4" xfId="13215" xr:uid="{00000000-0005-0000-0000-000009370000}"/>
    <cellStyle name="Normal 25 4 2 2 4 2" xfId="29758" xr:uid="{00000000-0005-0000-0000-00000A370000}"/>
    <cellStyle name="Normal 25 4 2 2 5" xfId="21715" xr:uid="{00000000-0005-0000-0000-00000B370000}"/>
    <cellStyle name="Normal 25 4 2 3" xfId="3808" xr:uid="{00000000-0005-0000-0000-00000C370000}"/>
    <cellStyle name="Normal 25 4 2 3 2" xfId="7905" xr:uid="{00000000-0005-0000-0000-00000D370000}"/>
    <cellStyle name="Normal 25 4 2 3 2 2" xfId="17083" xr:uid="{00000000-0005-0000-0000-00000E370000}"/>
    <cellStyle name="Normal 25 4 2 3 2 2 2" xfId="33657" xr:uid="{00000000-0005-0000-0000-00000F370000}"/>
    <cellStyle name="Normal 25 4 2 3 2 3" xfId="25610" xr:uid="{00000000-0005-0000-0000-000010370000}"/>
    <cellStyle name="Normal 25 4 2 3 3" xfId="13217" xr:uid="{00000000-0005-0000-0000-000011370000}"/>
    <cellStyle name="Normal 25 4 2 3 3 2" xfId="29760" xr:uid="{00000000-0005-0000-0000-000012370000}"/>
    <cellStyle name="Normal 25 4 2 3 4" xfId="21717" xr:uid="{00000000-0005-0000-0000-000013370000}"/>
    <cellStyle name="Normal 25 4 2 4" xfId="7906" xr:uid="{00000000-0005-0000-0000-000014370000}"/>
    <cellStyle name="Normal 25 4 2 4 2" xfId="17084" xr:uid="{00000000-0005-0000-0000-000015370000}"/>
    <cellStyle name="Normal 25 4 2 4 2 2" xfId="33658" xr:uid="{00000000-0005-0000-0000-000016370000}"/>
    <cellStyle name="Normal 25 4 2 4 3" xfId="25611" xr:uid="{00000000-0005-0000-0000-000017370000}"/>
    <cellStyle name="Normal 25 4 2 5" xfId="13214" xr:uid="{00000000-0005-0000-0000-000018370000}"/>
    <cellStyle name="Normal 25 4 2 5 2" xfId="29757" xr:uid="{00000000-0005-0000-0000-000019370000}"/>
    <cellStyle name="Normal 25 4 2 6" xfId="21714" xr:uid="{00000000-0005-0000-0000-00001A370000}"/>
    <cellStyle name="Normal 25 4 3" xfId="3809" xr:uid="{00000000-0005-0000-0000-00001B370000}"/>
    <cellStyle name="Normal 25 4 3 2" xfId="3810" xr:uid="{00000000-0005-0000-0000-00001C370000}"/>
    <cellStyle name="Normal 25 4 3 2 2" xfId="7907" xr:uid="{00000000-0005-0000-0000-00001D370000}"/>
    <cellStyle name="Normal 25 4 3 2 2 2" xfId="17085" xr:uid="{00000000-0005-0000-0000-00001E370000}"/>
    <cellStyle name="Normal 25 4 3 2 2 2 2" xfId="33659" xr:uid="{00000000-0005-0000-0000-00001F370000}"/>
    <cellStyle name="Normal 25 4 3 2 2 3" xfId="25612" xr:uid="{00000000-0005-0000-0000-000020370000}"/>
    <cellStyle name="Normal 25 4 3 2 3" xfId="13219" xr:uid="{00000000-0005-0000-0000-000021370000}"/>
    <cellStyle name="Normal 25 4 3 2 3 2" xfId="29762" xr:uid="{00000000-0005-0000-0000-000022370000}"/>
    <cellStyle name="Normal 25 4 3 2 4" xfId="21719" xr:uid="{00000000-0005-0000-0000-000023370000}"/>
    <cellStyle name="Normal 25 4 3 3" xfId="7908" xr:uid="{00000000-0005-0000-0000-000024370000}"/>
    <cellStyle name="Normal 25 4 3 3 2" xfId="17086" xr:uid="{00000000-0005-0000-0000-000025370000}"/>
    <cellStyle name="Normal 25 4 3 3 2 2" xfId="33660" xr:uid="{00000000-0005-0000-0000-000026370000}"/>
    <cellStyle name="Normal 25 4 3 3 3" xfId="25613" xr:uid="{00000000-0005-0000-0000-000027370000}"/>
    <cellStyle name="Normal 25 4 3 4" xfId="13218" xr:uid="{00000000-0005-0000-0000-000028370000}"/>
    <cellStyle name="Normal 25 4 3 4 2" xfId="29761" xr:uid="{00000000-0005-0000-0000-000029370000}"/>
    <cellStyle name="Normal 25 4 3 5" xfId="21718" xr:uid="{00000000-0005-0000-0000-00002A370000}"/>
    <cellStyle name="Normal 25 4 4" xfId="3811" xr:uid="{00000000-0005-0000-0000-00002B370000}"/>
    <cellStyle name="Normal 25 4 4 2" xfId="7909" xr:uid="{00000000-0005-0000-0000-00002C370000}"/>
    <cellStyle name="Normal 25 4 4 2 2" xfId="17087" xr:uid="{00000000-0005-0000-0000-00002D370000}"/>
    <cellStyle name="Normal 25 4 4 2 2 2" xfId="33661" xr:uid="{00000000-0005-0000-0000-00002E370000}"/>
    <cellStyle name="Normal 25 4 4 2 3" xfId="25614" xr:uid="{00000000-0005-0000-0000-00002F370000}"/>
    <cellStyle name="Normal 25 4 4 3" xfId="13220" xr:uid="{00000000-0005-0000-0000-000030370000}"/>
    <cellStyle name="Normal 25 4 4 3 2" xfId="29763" xr:uid="{00000000-0005-0000-0000-000031370000}"/>
    <cellStyle name="Normal 25 4 4 4" xfId="21720" xr:uid="{00000000-0005-0000-0000-000032370000}"/>
    <cellStyle name="Normal 25 4 5" xfId="7910" xr:uid="{00000000-0005-0000-0000-000033370000}"/>
    <cellStyle name="Normal 25 4 5 2" xfId="17088" xr:uid="{00000000-0005-0000-0000-000034370000}"/>
    <cellStyle name="Normal 25 4 5 2 2" xfId="33662" xr:uid="{00000000-0005-0000-0000-000035370000}"/>
    <cellStyle name="Normal 25 4 5 3" xfId="25615" xr:uid="{00000000-0005-0000-0000-000036370000}"/>
    <cellStyle name="Normal 25 4 6" xfId="13213" xr:uid="{00000000-0005-0000-0000-000037370000}"/>
    <cellStyle name="Normal 25 4 6 2" xfId="29756" xr:uid="{00000000-0005-0000-0000-000038370000}"/>
    <cellStyle name="Normal 25 4 7" xfId="21713" xr:uid="{00000000-0005-0000-0000-000039370000}"/>
    <cellStyle name="Normal 25 5" xfId="3812" xr:uid="{00000000-0005-0000-0000-00003A370000}"/>
    <cellStyle name="Normal 25 5 2" xfId="3813" xr:uid="{00000000-0005-0000-0000-00003B370000}"/>
    <cellStyle name="Normal 25 5 2 2" xfId="3814" xr:uid="{00000000-0005-0000-0000-00003C370000}"/>
    <cellStyle name="Normal 25 5 2 2 2" xfId="3815" xr:uid="{00000000-0005-0000-0000-00003D370000}"/>
    <cellStyle name="Normal 25 5 2 2 2 2" xfId="7911" xr:uid="{00000000-0005-0000-0000-00003E370000}"/>
    <cellStyle name="Normal 25 5 2 2 2 2 2" xfId="17089" xr:uid="{00000000-0005-0000-0000-00003F370000}"/>
    <cellStyle name="Normal 25 5 2 2 2 2 2 2" xfId="33663" xr:uid="{00000000-0005-0000-0000-000040370000}"/>
    <cellStyle name="Normal 25 5 2 2 2 2 3" xfId="25616" xr:uid="{00000000-0005-0000-0000-000041370000}"/>
    <cellStyle name="Normal 25 5 2 2 2 3" xfId="13224" xr:uid="{00000000-0005-0000-0000-000042370000}"/>
    <cellStyle name="Normal 25 5 2 2 2 3 2" xfId="29767" xr:uid="{00000000-0005-0000-0000-000043370000}"/>
    <cellStyle name="Normal 25 5 2 2 2 4" xfId="21724" xr:uid="{00000000-0005-0000-0000-000044370000}"/>
    <cellStyle name="Normal 25 5 2 2 3" xfId="7912" xr:uid="{00000000-0005-0000-0000-000045370000}"/>
    <cellStyle name="Normal 25 5 2 2 3 2" xfId="17090" xr:uid="{00000000-0005-0000-0000-000046370000}"/>
    <cellStyle name="Normal 25 5 2 2 3 2 2" xfId="33664" xr:uid="{00000000-0005-0000-0000-000047370000}"/>
    <cellStyle name="Normal 25 5 2 2 3 3" xfId="25617" xr:uid="{00000000-0005-0000-0000-000048370000}"/>
    <cellStyle name="Normal 25 5 2 2 4" xfId="13223" xr:uid="{00000000-0005-0000-0000-000049370000}"/>
    <cellStyle name="Normal 25 5 2 2 4 2" xfId="29766" xr:uid="{00000000-0005-0000-0000-00004A370000}"/>
    <cellStyle name="Normal 25 5 2 2 5" xfId="21723" xr:uid="{00000000-0005-0000-0000-00004B370000}"/>
    <cellStyle name="Normal 25 5 2 3" xfId="3816" xr:uid="{00000000-0005-0000-0000-00004C370000}"/>
    <cellStyle name="Normal 25 5 2 3 2" xfId="7913" xr:uid="{00000000-0005-0000-0000-00004D370000}"/>
    <cellStyle name="Normal 25 5 2 3 2 2" xfId="17091" xr:uid="{00000000-0005-0000-0000-00004E370000}"/>
    <cellStyle name="Normal 25 5 2 3 2 2 2" xfId="33665" xr:uid="{00000000-0005-0000-0000-00004F370000}"/>
    <cellStyle name="Normal 25 5 2 3 2 3" xfId="25618" xr:uid="{00000000-0005-0000-0000-000050370000}"/>
    <cellStyle name="Normal 25 5 2 3 3" xfId="13225" xr:uid="{00000000-0005-0000-0000-000051370000}"/>
    <cellStyle name="Normal 25 5 2 3 3 2" xfId="29768" xr:uid="{00000000-0005-0000-0000-000052370000}"/>
    <cellStyle name="Normal 25 5 2 3 4" xfId="21725" xr:uid="{00000000-0005-0000-0000-000053370000}"/>
    <cellStyle name="Normal 25 5 2 4" xfId="7914" xr:uid="{00000000-0005-0000-0000-000054370000}"/>
    <cellStyle name="Normal 25 5 2 4 2" xfId="17092" xr:uid="{00000000-0005-0000-0000-000055370000}"/>
    <cellStyle name="Normal 25 5 2 4 2 2" xfId="33666" xr:uid="{00000000-0005-0000-0000-000056370000}"/>
    <cellStyle name="Normal 25 5 2 4 3" xfId="25619" xr:uid="{00000000-0005-0000-0000-000057370000}"/>
    <cellStyle name="Normal 25 5 2 5" xfId="13222" xr:uid="{00000000-0005-0000-0000-000058370000}"/>
    <cellStyle name="Normal 25 5 2 5 2" xfId="29765" xr:uid="{00000000-0005-0000-0000-000059370000}"/>
    <cellStyle name="Normal 25 5 2 6" xfId="21722" xr:uid="{00000000-0005-0000-0000-00005A370000}"/>
    <cellStyle name="Normal 25 5 3" xfId="3817" xr:uid="{00000000-0005-0000-0000-00005B370000}"/>
    <cellStyle name="Normal 25 5 3 2" xfId="3818" xr:uid="{00000000-0005-0000-0000-00005C370000}"/>
    <cellStyle name="Normal 25 5 3 2 2" xfId="7915" xr:uid="{00000000-0005-0000-0000-00005D370000}"/>
    <cellStyle name="Normal 25 5 3 2 2 2" xfId="17093" xr:uid="{00000000-0005-0000-0000-00005E370000}"/>
    <cellStyle name="Normal 25 5 3 2 2 2 2" xfId="33667" xr:uid="{00000000-0005-0000-0000-00005F370000}"/>
    <cellStyle name="Normal 25 5 3 2 2 3" xfId="25620" xr:uid="{00000000-0005-0000-0000-000060370000}"/>
    <cellStyle name="Normal 25 5 3 2 3" xfId="13227" xr:uid="{00000000-0005-0000-0000-000061370000}"/>
    <cellStyle name="Normal 25 5 3 2 3 2" xfId="29770" xr:uid="{00000000-0005-0000-0000-000062370000}"/>
    <cellStyle name="Normal 25 5 3 2 4" xfId="21727" xr:uid="{00000000-0005-0000-0000-000063370000}"/>
    <cellStyle name="Normal 25 5 3 3" xfId="7916" xr:uid="{00000000-0005-0000-0000-000064370000}"/>
    <cellStyle name="Normal 25 5 3 3 2" xfId="17094" xr:uid="{00000000-0005-0000-0000-000065370000}"/>
    <cellStyle name="Normal 25 5 3 3 2 2" xfId="33668" xr:uid="{00000000-0005-0000-0000-000066370000}"/>
    <cellStyle name="Normal 25 5 3 3 3" xfId="25621" xr:uid="{00000000-0005-0000-0000-000067370000}"/>
    <cellStyle name="Normal 25 5 3 4" xfId="13226" xr:uid="{00000000-0005-0000-0000-000068370000}"/>
    <cellStyle name="Normal 25 5 3 4 2" xfId="29769" xr:uid="{00000000-0005-0000-0000-000069370000}"/>
    <cellStyle name="Normal 25 5 3 5" xfId="21726" xr:uid="{00000000-0005-0000-0000-00006A370000}"/>
    <cellStyle name="Normal 25 5 4" xfId="3819" xr:uid="{00000000-0005-0000-0000-00006B370000}"/>
    <cellStyle name="Normal 25 5 4 2" xfId="7917" xr:uid="{00000000-0005-0000-0000-00006C370000}"/>
    <cellStyle name="Normal 25 5 4 2 2" xfId="17095" xr:uid="{00000000-0005-0000-0000-00006D370000}"/>
    <cellStyle name="Normal 25 5 4 2 2 2" xfId="33669" xr:uid="{00000000-0005-0000-0000-00006E370000}"/>
    <cellStyle name="Normal 25 5 4 2 3" xfId="25622" xr:uid="{00000000-0005-0000-0000-00006F370000}"/>
    <cellStyle name="Normal 25 5 4 3" xfId="13228" xr:uid="{00000000-0005-0000-0000-000070370000}"/>
    <cellStyle name="Normal 25 5 4 3 2" xfId="29771" xr:uid="{00000000-0005-0000-0000-000071370000}"/>
    <cellStyle name="Normal 25 5 4 4" xfId="21728" xr:uid="{00000000-0005-0000-0000-000072370000}"/>
    <cellStyle name="Normal 25 5 5" xfId="7918" xr:uid="{00000000-0005-0000-0000-000073370000}"/>
    <cellStyle name="Normal 25 5 5 2" xfId="17096" xr:uid="{00000000-0005-0000-0000-000074370000}"/>
    <cellStyle name="Normal 25 5 5 2 2" xfId="33670" xr:uid="{00000000-0005-0000-0000-000075370000}"/>
    <cellStyle name="Normal 25 5 5 3" xfId="25623" xr:uid="{00000000-0005-0000-0000-000076370000}"/>
    <cellStyle name="Normal 25 5 6" xfId="13221" xr:uid="{00000000-0005-0000-0000-000077370000}"/>
    <cellStyle name="Normal 25 5 6 2" xfId="29764" xr:uid="{00000000-0005-0000-0000-000078370000}"/>
    <cellStyle name="Normal 25 5 7" xfId="21721" xr:uid="{00000000-0005-0000-0000-000079370000}"/>
    <cellStyle name="Normal 25 6" xfId="3820" xr:uid="{00000000-0005-0000-0000-00007A370000}"/>
    <cellStyle name="Normal 25 6 2" xfId="3821" xr:uid="{00000000-0005-0000-0000-00007B370000}"/>
    <cellStyle name="Normal 25 6 2 2" xfId="3822" xr:uid="{00000000-0005-0000-0000-00007C370000}"/>
    <cellStyle name="Normal 25 6 2 2 2" xfId="7919" xr:uid="{00000000-0005-0000-0000-00007D370000}"/>
    <cellStyle name="Normal 25 6 2 2 2 2" xfId="17097" xr:uid="{00000000-0005-0000-0000-00007E370000}"/>
    <cellStyle name="Normal 25 6 2 2 2 2 2" xfId="33671" xr:uid="{00000000-0005-0000-0000-00007F370000}"/>
    <cellStyle name="Normal 25 6 2 2 2 3" xfId="25624" xr:uid="{00000000-0005-0000-0000-000080370000}"/>
    <cellStyle name="Normal 25 6 2 2 3" xfId="13231" xr:uid="{00000000-0005-0000-0000-000081370000}"/>
    <cellStyle name="Normal 25 6 2 2 3 2" xfId="29774" xr:uid="{00000000-0005-0000-0000-000082370000}"/>
    <cellStyle name="Normal 25 6 2 2 4" xfId="21731" xr:uid="{00000000-0005-0000-0000-000083370000}"/>
    <cellStyle name="Normal 25 6 2 3" xfId="7920" xr:uid="{00000000-0005-0000-0000-000084370000}"/>
    <cellStyle name="Normal 25 6 2 3 2" xfId="17098" xr:uid="{00000000-0005-0000-0000-000085370000}"/>
    <cellStyle name="Normal 25 6 2 3 2 2" xfId="33672" xr:uid="{00000000-0005-0000-0000-000086370000}"/>
    <cellStyle name="Normal 25 6 2 3 3" xfId="25625" xr:uid="{00000000-0005-0000-0000-000087370000}"/>
    <cellStyle name="Normal 25 6 2 4" xfId="13230" xr:uid="{00000000-0005-0000-0000-000088370000}"/>
    <cellStyle name="Normal 25 6 2 4 2" xfId="29773" xr:uid="{00000000-0005-0000-0000-000089370000}"/>
    <cellStyle name="Normal 25 6 2 5" xfId="21730" xr:uid="{00000000-0005-0000-0000-00008A370000}"/>
    <cellStyle name="Normal 25 6 3" xfId="3823" xr:uid="{00000000-0005-0000-0000-00008B370000}"/>
    <cellStyle name="Normal 25 6 3 2" xfId="7921" xr:uid="{00000000-0005-0000-0000-00008C370000}"/>
    <cellStyle name="Normal 25 6 3 2 2" xfId="17099" xr:uid="{00000000-0005-0000-0000-00008D370000}"/>
    <cellStyle name="Normal 25 6 3 2 2 2" xfId="33673" xr:uid="{00000000-0005-0000-0000-00008E370000}"/>
    <cellStyle name="Normal 25 6 3 2 3" xfId="25626" xr:uid="{00000000-0005-0000-0000-00008F370000}"/>
    <cellStyle name="Normal 25 6 3 3" xfId="13232" xr:uid="{00000000-0005-0000-0000-000090370000}"/>
    <cellStyle name="Normal 25 6 3 3 2" xfId="29775" xr:uid="{00000000-0005-0000-0000-000091370000}"/>
    <cellStyle name="Normal 25 6 3 4" xfId="21732" xr:uid="{00000000-0005-0000-0000-000092370000}"/>
    <cellStyle name="Normal 25 6 4" xfId="7922" xr:uid="{00000000-0005-0000-0000-000093370000}"/>
    <cellStyle name="Normal 25 6 4 2" xfId="17100" xr:uid="{00000000-0005-0000-0000-000094370000}"/>
    <cellStyle name="Normal 25 6 4 2 2" xfId="33674" xr:uid="{00000000-0005-0000-0000-000095370000}"/>
    <cellStyle name="Normal 25 6 4 3" xfId="25627" xr:uid="{00000000-0005-0000-0000-000096370000}"/>
    <cellStyle name="Normal 25 6 5" xfId="13229" xr:uid="{00000000-0005-0000-0000-000097370000}"/>
    <cellStyle name="Normal 25 6 5 2" xfId="29772" xr:uid="{00000000-0005-0000-0000-000098370000}"/>
    <cellStyle name="Normal 25 6 6" xfId="21729" xr:uid="{00000000-0005-0000-0000-000099370000}"/>
    <cellStyle name="Normal 25 7" xfId="3824" xr:uid="{00000000-0005-0000-0000-00009A370000}"/>
    <cellStyle name="Normal 25 7 2" xfId="3825" xr:uid="{00000000-0005-0000-0000-00009B370000}"/>
    <cellStyle name="Normal 25 7 2 2" xfId="7923" xr:uid="{00000000-0005-0000-0000-00009C370000}"/>
    <cellStyle name="Normal 25 7 2 2 2" xfId="17101" xr:uid="{00000000-0005-0000-0000-00009D370000}"/>
    <cellStyle name="Normal 25 7 2 2 2 2" xfId="33675" xr:uid="{00000000-0005-0000-0000-00009E370000}"/>
    <cellStyle name="Normal 25 7 2 2 3" xfId="25628" xr:uid="{00000000-0005-0000-0000-00009F370000}"/>
    <cellStyle name="Normal 25 7 2 3" xfId="13234" xr:uid="{00000000-0005-0000-0000-0000A0370000}"/>
    <cellStyle name="Normal 25 7 2 3 2" xfId="29777" xr:uid="{00000000-0005-0000-0000-0000A1370000}"/>
    <cellStyle name="Normal 25 7 2 4" xfId="21734" xr:uid="{00000000-0005-0000-0000-0000A2370000}"/>
    <cellStyle name="Normal 25 7 3" xfId="7924" xr:uid="{00000000-0005-0000-0000-0000A3370000}"/>
    <cellStyle name="Normal 25 7 3 2" xfId="17102" xr:uid="{00000000-0005-0000-0000-0000A4370000}"/>
    <cellStyle name="Normal 25 7 3 2 2" xfId="33676" xr:uid="{00000000-0005-0000-0000-0000A5370000}"/>
    <cellStyle name="Normal 25 7 3 3" xfId="25629" xr:uid="{00000000-0005-0000-0000-0000A6370000}"/>
    <cellStyle name="Normal 25 7 4" xfId="13233" xr:uid="{00000000-0005-0000-0000-0000A7370000}"/>
    <cellStyle name="Normal 25 7 4 2" xfId="29776" xr:uid="{00000000-0005-0000-0000-0000A8370000}"/>
    <cellStyle name="Normal 25 7 5" xfId="21733" xr:uid="{00000000-0005-0000-0000-0000A9370000}"/>
    <cellStyle name="Normal 25 8" xfId="3826" xr:uid="{00000000-0005-0000-0000-0000AA370000}"/>
    <cellStyle name="Normal 25 8 2" xfId="7925" xr:uid="{00000000-0005-0000-0000-0000AB370000}"/>
    <cellStyle name="Normal 25 8 2 2" xfId="17103" xr:uid="{00000000-0005-0000-0000-0000AC370000}"/>
    <cellStyle name="Normal 25 8 2 2 2" xfId="33677" xr:uid="{00000000-0005-0000-0000-0000AD370000}"/>
    <cellStyle name="Normal 25 8 2 3" xfId="25630" xr:uid="{00000000-0005-0000-0000-0000AE370000}"/>
    <cellStyle name="Normal 25 8 3" xfId="13235" xr:uid="{00000000-0005-0000-0000-0000AF370000}"/>
    <cellStyle name="Normal 25 8 3 2" xfId="29778" xr:uid="{00000000-0005-0000-0000-0000B0370000}"/>
    <cellStyle name="Normal 25 8 4" xfId="21735" xr:uid="{00000000-0005-0000-0000-0000B1370000}"/>
    <cellStyle name="Normal 25 9" xfId="7926" xr:uid="{00000000-0005-0000-0000-0000B2370000}"/>
    <cellStyle name="Normal 25 9 2" xfId="17104" xr:uid="{00000000-0005-0000-0000-0000B3370000}"/>
    <cellStyle name="Normal 25 9 2 2" xfId="33678" xr:uid="{00000000-0005-0000-0000-0000B4370000}"/>
    <cellStyle name="Normal 25 9 3" xfId="25631" xr:uid="{00000000-0005-0000-0000-0000B5370000}"/>
    <cellStyle name="Normal 250" xfId="10754" xr:uid="{00000000-0005-0000-0000-0000B6370000}"/>
    <cellStyle name="Normal 251" xfId="10757" xr:uid="{00000000-0005-0000-0000-0000B7370000}"/>
    <cellStyle name="Normal 252" xfId="10760" xr:uid="{00000000-0005-0000-0000-0000B8370000}"/>
    <cellStyle name="Normal 253" xfId="10763" xr:uid="{00000000-0005-0000-0000-0000B9370000}"/>
    <cellStyle name="Normal 254" xfId="10766" xr:uid="{00000000-0005-0000-0000-0000BA370000}"/>
    <cellStyle name="Normal 255" xfId="10769" xr:uid="{00000000-0005-0000-0000-0000BB370000}"/>
    <cellStyle name="Normal 256" xfId="10772" xr:uid="{00000000-0005-0000-0000-0000BC370000}"/>
    <cellStyle name="Normal 257" xfId="10775" xr:uid="{00000000-0005-0000-0000-0000BD370000}"/>
    <cellStyle name="Normal 258" xfId="10778" xr:uid="{00000000-0005-0000-0000-0000BE370000}"/>
    <cellStyle name="Normal 259" xfId="10781" xr:uid="{00000000-0005-0000-0000-0000BF370000}"/>
    <cellStyle name="Normal 26" xfId="3827" xr:uid="{00000000-0005-0000-0000-0000C0370000}"/>
    <cellStyle name="Normal 26 10" xfId="13236" xr:uid="{00000000-0005-0000-0000-0000C1370000}"/>
    <cellStyle name="Normal 26 10 2" xfId="29779" xr:uid="{00000000-0005-0000-0000-0000C2370000}"/>
    <cellStyle name="Normal 26 11" xfId="21736" xr:uid="{00000000-0005-0000-0000-0000C3370000}"/>
    <cellStyle name="Normal 26 2" xfId="3828" xr:uid="{00000000-0005-0000-0000-0000C4370000}"/>
    <cellStyle name="Normal 26 2 2" xfId="3829" xr:uid="{00000000-0005-0000-0000-0000C5370000}"/>
    <cellStyle name="Normal 26 2 3" xfId="13237" xr:uid="{00000000-0005-0000-0000-0000C6370000}"/>
    <cellStyle name="Normal 26 2 3 2" xfId="29780" xr:uid="{00000000-0005-0000-0000-0000C7370000}"/>
    <cellStyle name="Normal 26 2 4" xfId="21737" xr:uid="{00000000-0005-0000-0000-0000C8370000}"/>
    <cellStyle name="Normal 26 3" xfId="3830" xr:uid="{00000000-0005-0000-0000-0000C9370000}"/>
    <cellStyle name="Normal 26 3 2" xfId="3831" xr:uid="{00000000-0005-0000-0000-0000CA370000}"/>
    <cellStyle name="Normal 26 3 2 2" xfId="3832" xr:uid="{00000000-0005-0000-0000-0000CB370000}"/>
    <cellStyle name="Normal 26 3 2 2 2" xfId="3833" xr:uid="{00000000-0005-0000-0000-0000CC370000}"/>
    <cellStyle name="Normal 26 3 2 2 2 2" xfId="7927" xr:uid="{00000000-0005-0000-0000-0000CD370000}"/>
    <cellStyle name="Normal 26 3 2 2 2 2 2" xfId="17105" xr:uid="{00000000-0005-0000-0000-0000CE370000}"/>
    <cellStyle name="Normal 26 3 2 2 2 2 2 2" xfId="33679" xr:uid="{00000000-0005-0000-0000-0000CF370000}"/>
    <cellStyle name="Normal 26 3 2 2 2 2 3" xfId="25632" xr:uid="{00000000-0005-0000-0000-0000D0370000}"/>
    <cellStyle name="Normal 26 3 2 2 2 3" xfId="13240" xr:uid="{00000000-0005-0000-0000-0000D1370000}"/>
    <cellStyle name="Normal 26 3 2 2 2 3 2" xfId="29783" xr:uid="{00000000-0005-0000-0000-0000D2370000}"/>
    <cellStyle name="Normal 26 3 2 2 2 4" xfId="21740" xr:uid="{00000000-0005-0000-0000-0000D3370000}"/>
    <cellStyle name="Normal 26 3 2 2 3" xfId="7928" xr:uid="{00000000-0005-0000-0000-0000D4370000}"/>
    <cellStyle name="Normal 26 3 2 2 3 2" xfId="17106" xr:uid="{00000000-0005-0000-0000-0000D5370000}"/>
    <cellStyle name="Normal 26 3 2 2 3 2 2" xfId="33680" xr:uid="{00000000-0005-0000-0000-0000D6370000}"/>
    <cellStyle name="Normal 26 3 2 2 3 3" xfId="25633" xr:uid="{00000000-0005-0000-0000-0000D7370000}"/>
    <cellStyle name="Normal 26 3 2 2 4" xfId="13239" xr:uid="{00000000-0005-0000-0000-0000D8370000}"/>
    <cellStyle name="Normal 26 3 2 2 4 2" xfId="29782" xr:uid="{00000000-0005-0000-0000-0000D9370000}"/>
    <cellStyle name="Normal 26 3 2 2 5" xfId="21739" xr:uid="{00000000-0005-0000-0000-0000DA370000}"/>
    <cellStyle name="Normal 26 3 2 3" xfId="3834" xr:uid="{00000000-0005-0000-0000-0000DB370000}"/>
    <cellStyle name="Normal 26 3 2 3 2" xfId="7929" xr:uid="{00000000-0005-0000-0000-0000DC370000}"/>
    <cellStyle name="Normal 26 3 2 3 2 2" xfId="17107" xr:uid="{00000000-0005-0000-0000-0000DD370000}"/>
    <cellStyle name="Normal 26 3 2 3 2 2 2" xfId="33681" xr:uid="{00000000-0005-0000-0000-0000DE370000}"/>
    <cellStyle name="Normal 26 3 2 3 2 3" xfId="25634" xr:uid="{00000000-0005-0000-0000-0000DF370000}"/>
    <cellStyle name="Normal 26 3 2 3 3" xfId="13241" xr:uid="{00000000-0005-0000-0000-0000E0370000}"/>
    <cellStyle name="Normal 26 3 2 3 3 2" xfId="29784" xr:uid="{00000000-0005-0000-0000-0000E1370000}"/>
    <cellStyle name="Normal 26 3 2 3 4" xfId="21741" xr:uid="{00000000-0005-0000-0000-0000E2370000}"/>
    <cellStyle name="Normal 26 3 2 4" xfId="7930" xr:uid="{00000000-0005-0000-0000-0000E3370000}"/>
    <cellStyle name="Normal 26 3 2 4 2" xfId="17108" xr:uid="{00000000-0005-0000-0000-0000E4370000}"/>
    <cellStyle name="Normal 26 3 2 4 2 2" xfId="33682" xr:uid="{00000000-0005-0000-0000-0000E5370000}"/>
    <cellStyle name="Normal 26 3 2 4 3" xfId="25635" xr:uid="{00000000-0005-0000-0000-0000E6370000}"/>
    <cellStyle name="Normal 26 3 2 5" xfId="13238" xr:uid="{00000000-0005-0000-0000-0000E7370000}"/>
    <cellStyle name="Normal 26 3 2 5 2" xfId="29781" xr:uid="{00000000-0005-0000-0000-0000E8370000}"/>
    <cellStyle name="Normal 26 3 2 6" xfId="21738" xr:uid="{00000000-0005-0000-0000-0000E9370000}"/>
    <cellStyle name="Normal 26 3 3" xfId="3835" xr:uid="{00000000-0005-0000-0000-0000EA370000}"/>
    <cellStyle name="Normal 26 3 3 2" xfId="3836" xr:uid="{00000000-0005-0000-0000-0000EB370000}"/>
    <cellStyle name="Normal 26 3 3 2 2" xfId="7931" xr:uid="{00000000-0005-0000-0000-0000EC370000}"/>
    <cellStyle name="Normal 26 3 3 2 2 2" xfId="17109" xr:uid="{00000000-0005-0000-0000-0000ED370000}"/>
    <cellStyle name="Normal 26 3 3 2 2 2 2" xfId="33683" xr:uid="{00000000-0005-0000-0000-0000EE370000}"/>
    <cellStyle name="Normal 26 3 3 2 2 3" xfId="25636" xr:uid="{00000000-0005-0000-0000-0000EF370000}"/>
    <cellStyle name="Normal 26 3 3 2 3" xfId="13243" xr:uid="{00000000-0005-0000-0000-0000F0370000}"/>
    <cellStyle name="Normal 26 3 3 2 3 2" xfId="29786" xr:uid="{00000000-0005-0000-0000-0000F1370000}"/>
    <cellStyle name="Normal 26 3 3 2 4" xfId="21743" xr:uid="{00000000-0005-0000-0000-0000F2370000}"/>
    <cellStyle name="Normal 26 3 3 3" xfId="7932" xr:uid="{00000000-0005-0000-0000-0000F3370000}"/>
    <cellStyle name="Normal 26 3 3 3 2" xfId="17110" xr:uid="{00000000-0005-0000-0000-0000F4370000}"/>
    <cellStyle name="Normal 26 3 3 3 2 2" xfId="33684" xr:uid="{00000000-0005-0000-0000-0000F5370000}"/>
    <cellStyle name="Normal 26 3 3 3 3" xfId="25637" xr:uid="{00000000-0005-0000-0000-0000F6370000}"/>
    <cellStyle name="Normal 26 3 3 4" xfId="13242" xr:uid="{00000000-0005-0000-0000-0000F7370000}"/>
    <cellStyle name="Normal 26 3 3 4 2" xfId="29785" xr:uid="{00000000-0005-0000-0000-0000F8370000}"/>
    <cellStyle name="Normal 26 3 3 5" xfId="21742" xr:uid="{00000000-0005-0000-0000-0000F9370000}"/>
    <cellStyle name="Normal 26 3 4" xfId="3837" xr:uid="{00000000-0005-0000-0000-0000FA370000}"/>
    <cellStyle name="Normal 26 3 4 2" xfId="7933" xr:uid="{00000000-0005-0000-0000-0000FB370000}"/>
    <cellStyle name="Normal 26 3 4 2 2" xfId="17111" xr:uid="{00000000-0005-0000-0000-0000FC370000}"/>
    <cellStyle name="Normal 26 3 4 2 2 2" xfId="33685" xr:uid="{00000000-0005-0000-0000-0000FD370000}"/>
    <cellStyle name="Normal 26 3 4 2 3" xfId="25638" xr:uid="{00000000-0005-0000-0000-0000FE370000}"/>
    <cellStyle name="Normal 26 3 4 3" xfId="13244" xr:uid="{00000000-0005-0000-0000-0000FF370000}"/>
    <cellStyle name="Normal 26 3 4 3 2" xfId="29787" xr:uid="{00000000-0005-0000-0000-000000380000}"/>
    <cellStyle name="Normal 26 3 4 4" xfId="21744" xr:uid="{00000000-0005-0000-0000-000001380000}"/>
    <cellStyle name="Normal 26 3 5" xfId="3838" xr:uid="{00000000-0005-0000-0000-000002380000}"/>
    <cellStyle name="Normal 26 3 5 2" xfId="13245" xr:uid="{00000000-0005-0000-0000-000003380000}"/>
    <cellStyle name="Normal 26 3 5 2 2" xfId="29788" xr:uid="{00000000-0005-0000-0000-000004380000}"/>
    <cellStyle name="Normal 26 3 5 3" xfId="21745" xr:uid="{00000000-0005-0000-0000-000005380000}"/>
    <cellStyle name="Normal 26 4" xfId="3839" xr:uid="{00000000-0005-0000-0000-000006380000}"/>
    <cellStyle name="Normal 26 4 2" xfId="3840" xr:uid="{00000000-0005-0000-0000-000007380000}"/>
    <cellStyle name="Normal 26 4 2 2" xfId="3841" xr:uid="{00000000-0005-0000-0000-000008380000}"/>
    <cellStyle name="Normal 26 4 2 2 2" xfId="3842" xr:uid="{00000000-0005-0000-0000-000009380000}"/>
    <cellStyle name="Normal 26 4 2 2 2 2" xfId="7934" xr:uid="{00000000-0005-0000-0000-00000A380000}"/>
    <cellStyle name="Normal 26 4 2 2 2 2 2" xfId="17112" xr:uid="{00000000-0005-0000-0000-00000B380000}"/>
    <cellStyle name="Normal 26 4 2 2 2 2 2 2" xfId="33686" xr:uid="{00000000-0005-0000-0000-00000C380000}"/>
    <cellStyle name="Normal 26 4 2 2 2 2 3" xfId="25639" xr:uid="{00000000-0005-0000-0000-00000D380000}"/>
    <cellStyle name="Normal 26 4 2 2 2 3" xfId="13249" xr:uid="{00000000-0005-0000-0000-00000E380000}"/>
    <cellStyle name="Normal 26 4 2 2 2 3 2" xfId="29792" xr:uid="{00000000-0005-0000-0000-00000F380000}"/>
    <cellStyle name="Normal 26 4 2 2 2 4" xfId="21749" xr:uid="{00000000-0005-0000-0000-000010380000}"/>
    <cellStyle name="Normal 26 4 2 2 3" xfId="7935" xr:uid="{00000000-0005-0000-0000-000011380000}"/>
    <cellStyle name="Normal 26 4 2 2 3 2" xfId="17113" xr:uid="{00000000-0005-0000-0000-000012380000}"/>
    <cellStyle name="Normal 26 4 2 2 3 2 2" xfId="33687" xr:uid="{00000000-0005-0000-0000-000013380000}"/>
    <cellStyle name="Normal 26 4 2 2 3 3" xfId="25640" xr:uid="{00000000-0005-0000-0000-000014380000}"/>
    <cellStyle name="Normal 26 4 2 2 4" xfId="13248" xr:uid="{00000000-0005-0000-0000-000015380000}"/>
    <cellStyle name="Normal 26 4 2 2 4 2" xfId="29791" xr:uid="{00000000-0005-0000-0000-000016380000}"/>
    <cellStyle name="Normal 26 4 2 2 5" xfId="21748" xr:uid="{00000000-0005-0000-0000-000017380000}"/>
    <cellStyle name="Normal 26 4 2 3" xfId="3843" xr:uid="{00000000-0005-0000-0000-000018380000}"/>
    <cellStyle name="Normal 26 4 2 3 2" xfId="7936" xr:uid="{00000000-0005-0000-0000-000019380000}"/>
    <cellStyle name="Normal 26 4 2 3 2 2" xfId="17114" xr:uid="{00000000-0005-0000-0000-00001A380000}"/>
    <cellStyle name="Normal 26 4 2 3 2 2 2" xfId="33688" xr:uid="{00000000-0005-0000-0000-00001B380000}"/>
    <cellStyle name="Normal 26 4 2 3 2 3" xfId="25641" xr:uid="{00000000-0005-0000-0000-00001C380000}"/>
    <cellStyle name="Normal 26 4 2 3 3" xfId="13250" xr:uid="{00000000-0005-0000-0000-00001D380000}"/>
    <cellStyle name="Normal 26 4 2 3 3 2" xfId="29793" xr:uid="{00000000-0005-0000-0000-00001E380000}"/>
    <cellStyle name="Normal 26 4 2 3 4" xfId="21750" xr:uid="{00000000-0005-0000-0000-00001F380000}"/>
    <cellStyle name="Normal 26 4 2 4" xfId="7937" xr:uid="{00000000-0005-0000-0000-000020380000}"/>
    <cellStyle name="Normal 26 4 2 4 2" xfId="17115" xr:uid="{00000000-0005-0000-0000-000021380000}"/>
    <cellStyle name="Normal 26 4 2 4 2 2" xfId="33689" xr:uid="{00000000-0005-0000-0000-000022380000}"/>
    <cellStyle name="Normal 26 4 2 4 3" xfId="25642" xr:uid="{00000000-0005-0000-0000-000023380000}"/>
    <cellStyle name="Normal 26 4 2 5" xfId="13247" xr:uid="{00000000-0005-0000-0000-000024380000}"/>
    <cellStyle name="Normal 26 4 2 5 2" xfId="29790" xr:uid="{00000000-0005-0000-0000-000025380000}"/>
    <cellStyle name="Normal 26 4 2 6" xfId="21747" xr:uid="{00000000-0005-0000-0000-000026380000}"/>
    <cellStyle name="Normal 26 4 3" xfId="3844" xr:uid="{00000000-0005-0000-0000-000027380000}"/>
    <cellStyle name="Normal 26 4 3 2" xfId="3845" xr:uid="{00000000-0005-0000-0000-000028380000}"/>
    <cellStyle name="Normal 26 4 3 2 2" xfId="7938" xr:uid="{00000000-0005-0000-0000-000029380000}"/>
    <cellStyle name="Normal 26 4 3 2 2 2" xfId="17116" xr:uid="{00000000-0005-0000-0000-00002A380000}"/>
    <cellStyle name="Normal 26 4 3 2 2 2 2" xfId="33690" xr:uid="{00000000-0005-0000-0000-00002B380000}"/>
    <cellStyle name="Normal 26 4 3 2 2 3" xfId="25643" xr:uid="{00000000-0005-0000-0000-00002C380000}"/>
    <cellStyle name="Normal 26 4 3 2 3" xfId="13252" xr:uid="{00000000-0005-0000-0000-00002D380000}"/>
    <cellStyle name="Normal 26 4 3 2 3 2" xfId="29795" xr:uid="{00000000-0005-0000-0000-00002E380000}"/>
    <cellStyle name="Normal 26 4 3 2 4" xfId="21752" xr:uid="{00000000-0005-0000-0000-00002F380000}"/>
    <cellStyle name="Normal 26 4 3 3" xfId="7939" xr:uid="{00000000-0005-0000-0000-000030380000}"/>
    <cellStyle name="Normal 26 4 3 3 2" xfId="17117" xr:uid="{00000000-0005-0000-0000-000031380000}"/>
    <cellStyle name="Normal 26 4 3 3 2 2" xfId="33691" xr:uid="{00000000-0005-0000-0000-000032380000}"/>
    <cellStyle name="Normal 26 4 3 3 3" xfId="25644" xr:uid="{00000000-0005-0000-0000-000033380000}"/>
    <cellStyle name="Normal 26 4 3 4" xfId="13251" xr:uid="{00000000-0005-0000-0000-000034380000}"/>
    <cellStyle name="Normal 26 4 3 4 2" xfId="29794" xr:uid="{00000000-0005-0000-0000-000035380000}"/>
    <cellStyle name="Normal 26 4 3 5" xfId="21751" xr:uid="{00000000-0005-0000-0000-000036380000}"/>
    <cellStyle name="Normal 26 4 4" xfId="3846" xr:uid="{00000000-0005-0000-0000-000037380000}"/>
    <cellStyle name="Normal 26 4 4 2" xfId="7940" xr:uid="{00000000-0005-0000-0000-000038380000}"/>
    <cellStyle name="Normal 26 4 4 2 2" xfId="17118" xr:uid="{00000000-0005-0000-0000-000039380000}"/>
    <cellStyle name="Normal 26 4 4 2 2 2" xfId="33692" xr:uid="{00000000-0005-0000-0000-00003A380000}"/>
    <cellStyle name="Normal 26 4 4 2 3" xfId="25645" xr:uid="{00000000-0005-0000-0000-00003B380000}"/>
    <cellStyle name="Normal 26 4 4 3" xfId="13253" xr:uid="{00000000-0005-0000-0000-00003C380000}"/>
    <cellStyle name="Normal 26 4 4 3 2" xfId="29796" xr:uid="{00000000-0005-0000-0000-00003D380000}"/>
    <cellStyle name="Normal 26 4 4 4" xfId="21753" xr:uid="{00000000-0005-0000-0000-00003E380000}"/>
    <cellStyle name="Normal 26 4 5" xfId="7941" xr:uid="{00000000-0005-0000-0000-00003F380000}"/>
    <cellStyle name="Normal 26 4 5 2" xfId="17119" xr:uid="{00000000-0005-0000-0000-000040380000}"/>
    <cellStyle name="Normal 26 4 5 2 2" xfId="33693" xr:uid="{00000000-0005-0000-0000-000041380000}"/>
    <cellStyle name="Normal 26 4 5 3" xfId="25646" xr:uid="{00000000-0005-0000-0000-000042380000}"/>
    <cellStyle name="Normal 26 4 6" xfId="13246" xr:uid="{00000000-0005-0000-0000-000043380000}"/>
    <cellStyle name="Normal 26 4 6 2" xfId="29789" xr:uid="{00000000-0005-0000-0000-000044380000}"/>
    <cellStyle name="Normal 26 4 7" xfId="21746" xr:uid="{00000000-0005-0000-0000-000045380000}"/>
    <cellStyle name="Normal 26 5" xfId="3847" xr:uid="{00000000-0005-0000-0000-000046380000}"/>
    <cellStyle name="Normal 26 5 2" xfId="3848" xr:uid="{00000000-0005-0000-0000-000047380000}"/>
    <cellStyle name="Normal 26 5 2 2" xfId="3849" xr:uid="{00000000-0005-0000-0000-000048380000}"/>
    <cellStyle name="Normal 26 5 2 2 2" xfId="3850" xr:uid="{00000000-0005-0000-0000-000049380000}"/>
    <cellStyle name="Normal 26 5 2 2 2 2" xfId="7942" xr:uid="{00000000-0005-0000-0000-00004A380000}"/>
    <cellStyle name="Normal 26 5 2 2 2 2 2" xfId="17120" xr:uid="{00000000-0005-0000-0000-00004B380000}"/>
    <cellStyle name="Normal 26 5 2 2 2 2 2 2" xfId="33694" xr:uid="{00000000-0005-0000-0000-00004C380000}"/>
    <cellStyle name="Normal 26 5 2 2 2 2 3" xfId="25647" xr:uid="{00000000-0005-0000-0000-00004D380000}"/>
    <cellStyle name="Normal 26 5 2 2 2 3" xfId="13257" xr:uid="{00000000-0005-0000-0000-00004E380000}"/>
    <cellStyle name="Normal 26 5 2 2 2 3 2" xfId="29800" xr:uid="{00000000-0005-0000-0000-00004F380000}"/>
    <cellStyle name="Normal 26 5 2 2 2 4" xfId="21757" xr:uid="{00000000-0005-0000-0000-000050380000}"/>
    <cellStyle name="Normal 26 5 2 2 3" xfId="7943" xr:uid="{00000000-0005-0000-0000-000051380000}"/>
    <cellStyle name="Normal 26 5 2 2 3 2" xfId="17121" xr:uid="{00000000-0005-0000-0000-000052380000}"/>
    <cellStyle name="Normal 26 5 2 2 3 2 2" xfId="33695" xr:uid="{00000000-0005-0000-0000-000053380000}"/>
    <cellStyle name="Normal 26 5 2 2 3 3" xfId="25648" xr:uid="{00000000-0005-0000-0000-000054380000}"/>
    <cellStyle name="Normal 26 5 2 2 4" xfId="13256" xr:uid="{00000000-0005-0000-0000-000055380000}"/>
    <cellStyle name="Normal 26 5 2 2 4 2" xfId="29799" xr:uid="{00000000-0005-0000-0000-000056380000}"/>
    <cellStyle name="Normal 26 5 2 2 5" xfId="21756" xr:uid="{00000000-0005-0000-0000-000057380000}"/>
    <cellStyle name="Normal 26 5 2 3" xfId="3851" xr:uid="{00000000-0005-0000-0000-000058380000}"/>
    <cellStyle name="Normal 26 5 2 3 2" xfId="7944" xr:uid="{00000000-0005-0000-0000-000059380000}"/>
    <cellStyle name="Normal 26 5 2 3 2 2" xfId="17122" xr:uid="{00000000-0005-0000-0000-00005A380000}"/>
    <cellStyle name="Normal 26 5 2 3 2 2 2" xfId="33696" xr:uid="{00000000-0005-0000-0000-00005B380000}"/>
    <cellStyle name="Normal 26 5 2 3 2 3" xfId="25649" xr:uid="{00000000-0005-0000-0000-00005C380000}"/>
    <cellStyle name="Normal 26 5 2 3 3" xfId="13258" xr:uid="{00000000-0005-0000-0000-00005D380000}"/>
    <cellStyle name="Normal 26 5 2 3 3 2" xfId="29801" xr:uid="{00000000-0005-0000-0000-00005E380000}"/>
    <cellStyle name="Normal 26 5 2 3 4" xfId="21758" xr:uid="{00000000-0005-0000-0000-00005F380000}"/>
    <cellStyle name="Normal 26 5 2 4" xfId="7945" xr:uid="{00000000-0005-0000-0000-000060380000}"/>
    <cellStyle name="Normal 26 5 2 4 2" xfId="17123" xr:uid="{00000000-0005-0000-0000-000061380000}"/>
    <cellStyle name="Normal 26 5 2 4 2 2" xfId="33697" xr:uid="{00000000-0005-0000-0000-000062380000}"/>
    <cellStyle name="Normal 26 5 2 4 3" xfId="25650" xr:uid="{00000000-0005-0000-0000-000063380000}"/>
    <cellStyle name="Normal 26 5 2 5" xfId="13255" xr:uid="{00000000-0005-0000-0000-000064380000}"/>
    <cellStyle name="Normal 26 5 2 5 2" xfId="29798" xr:uid="{00000000-0005-0000-0000-000065380000}"/>
    <cellStyle name="Normal 26 5 2 6" xfId="21755" xr:uid="{00000000-0005-0000-0000-000066380000}"/>
    <cellStyle name="Normal 26 5 3" xfId="3852" xr:uid="{00000000-0005-0000-0000-000067380000}"/>
    <cellStyle name="Normal 26 5 3 2" xfId="3853" xr:uid="{00000000-0005-0000-0000-000068380000}"/>
    <cellStyle name="Normal 26 5 3 2 2" xfId="7946" xr:uid="{00000000-0005-0000-0000-000069380000}"/>
    <cellStyle name="Normal 26 5 3 2 2 2" xfId="17124" xr:uid="{00000000-0005-0000-0000-00006A380000}"/>
    <cellStyle name="Normal 26 5 3 2 2 2 2" xfId="33698" xr:uid="{00000000-0005-0000-0000-00006B380000}"/>
    <cellStyle name="Normal 26 5 3 2 2 3" xfId="25651" xr:uid="{00000000-0005-0000-0000-00006C380000}"/>
    <cellStyle name="Normal 26 5 3 2 3" xfId="13260" xr:uid="{00000000-0005-0000-0000-00006D380000}"/>
    <cellStyle name="Normal 26 5 3 2 3 2" xfId="29803" xr:uid="{00000000-0005-0000-0000-00006E380000}"/>
    <cellStyle name="Normal 26 5 3 2 4" xfId="21760" xr:uid="{00000000-0005-0000-0000-00006F380000}"/>
    <cellStyle name="Normal 26 5 3 3" xfId="7947" xr:uid="{00000000-0005-0000-0000-000070380000}"/>
    <cellStyle name="Normal 26 5 3 3 2" xfId="17125" xr:uid="{00000000-0005-0000-0000-000071380000}"/>
    <cellStyle name="Normal 26 5 3 3 2 2" xfId="33699" xr:uid="{00000000-0005-0000-0000-000072380000}"/>
    <cellStyle name="Normal 26 5 3 3 3" xfId="25652" xr:uid="{00000000-0005-0000-0000-000073380000}"/>
    <cellStyle name="Normal 26 5 3 4" xfId="13259" xr:uid="{00000000-0005-0000-0000-000074380000}"/>
    <cellStyle name="Normal 26 5 3 4 2" xfId="29802" xr:uid="{00000000-0005-0000-0000-000075380000}"/>
    <cellStyle name="Normal 26 5 3 5" xfId="21759" xr:uid="{00000000-0005-0000-0000-000076380000}"/>
    <cellStyle name="Normal 26 5 4" xfId="3854" xr:uid="{00000000-0005-0000-0000-000077380000}"/>
    <cellStyle name="Normal 26 5 4 2" xfId="7948" xr:uid="{00000000-0005-0000-0000-000078380000}"/>
    <cellStyle name="Normal 26 5 4 2 2" xfId="17126" xr:uid="{00000000-0005-0000-0000-000079380000}"/>
    <cellStyle name="Normal 26 5 4 2 2 2" xfId="33700" xr:uid="{00000000-0005-0000-0000-00007A380000}"/>
    <cellStyle name="Normal 26 5 4 2 3" xfId="25653" xr:uid="{00000000-0005-0000-0000-00007B380000}"/>
    <cellStyle name="Normal 26 5 4 3" xfId="13261" xr:uid="{00000000-0005-0000-0000-00007C380000}"/>
    <cellStyle name="Normal 26 5 4 3 2" xfId="29804" xr:uid="{00000000-0005-0000-0000-00007D380000}"/>
    <cellStyle name="Normal 26 5 4 4" xfId="21761" xr:uid="{00000000-0005-0000-0000-00007E380000}"/>
    <cellStyle name="Normal 26 5 5" xfId="7949" xr:uid="{00000000-0005-0000-0000-00007F380000}"/>
    <cellStyle name="Normal 26 5 5 2" xfId="17127" xr:uid="{00000000-0005-0000-0000-000080380000}"/>
    <cellStyle name="Normal 26 5 5 2 2" xfId="33701" xr:uid="{00000000-0005-0000-0000-000081380000}"/>
    <cellStyle name="Normal 26 5 5 3" xfId="25654" xr:uid="{00000000-0005-0000-0000-000082380000}"/>
    <cellStyle name="Normal 26 5 6" xfId="13254" xr:uid="{00000000-0005-0000-0000-000083380000}"/>
    <cellStyle name="Normal 26 5 6 2" xfId="29797" xr:uid="{00000000-0005-0000-0000-000084380000}"/>
    <cellStyle name="Normal 26 5 7" xfId="21754" xr:uid="{00000000-0005-0000-0000-000085380000}"/>
    <cellStyle name="Normal 26 6" xfId="3855" xr:uid="{00000000-0005-0000-0000-000086380000}"/>
    <cellStyle name="Normal 26 6 2" xfId="3856" xr:uid="{00000000-0005-0000-0000-000087380000}"/>
    <cellStyle name="Normal 26 6 2 2" xfId="3857" xr:uid="{00000000-0005-0000-0000-000088380000}"/>
    <cellStyle name="Normal 26 6 2 2 2" xfId="7950" xr:uid="{00000000-0005-0000-0000-000089380000}"/>
    <cellStyle name="Normal 26 6 2 2 2 2" xfId="17128" xr:uid="{00000000-0005-0000-0000-00008A380000}"/>
    <cellStyle name="Normal 26 6 2 2 2 2 2" xfId="33702" xr:uid="{00000000-0005-0000-0000-00008B380000}"/>
    <cellStyle name="Normal 26 6 2 2 2 3" xfId="25655" xr:uid="{00000000-0005-0000-0000-00008C380000}"/>
    <cellStyle name="Normal 26 6 2 2 3" xfId="13264" xr:uid="{00000000-0005-0000-0000-00008D380000}"/>
    <cellStyle name="Normal 26 6 2 2 3 2" xfId="29807" xr:uid="{00000000-0005-0000-0000-00008E380000}"/>
    <cellStyle name="Normal 26 6 2 2 4" xfId="21764" xr:uid="{00000000-0005-0000-0000-00008F380000}"/>
    <cellStyle name="Normal 26 6 2 3" xfId="7951" xr:uid="{00000000-0005-0000-0000-000090380000}"/>
    <cellStyle name="Normal 26 6 2 3 2" xfId="17129" xr:uid="{00000000-0005-0000-0000-000091380000}"/>
    <cellStyle name="Normal 26 6 2 3 2 2" xfId="33703" xr:uid="{00000000-0005-0000-0000-000092380000}"/>
    <cellStyle name="Normal 26 6 2 3 3" xfId="25656" xr:uid="{00000000-0005-0000-0000-000093380000}"/>
    <cellStyle name="Normal 26 6 2 4" xfId="13263" xr:uid="{00000000-0005-0000-0000-000094380000}"/>
    <cellStyle name="Normal 26 6 2 4 2" xfId="29806" xr:uid="{00000000-0005-0000-0000-000095380000}"/>
    <cellStyle name="Normal 26 6 2 5" xfId="21763" xr:uid="{00000000-0005-0000-0000-000096380000}"/>
    <cellStyle name="Normal 26 6 3" xfId="3858" xr:uid="{00000000-0005-0000-0000-000097380000}"/>
    <cellStyle name="Normal 26 6 3 2" xfId="7952" xr:uid="{00000000-0005-0000-0000-000098380000}"/>
    <cellStyle name="Normal 26 6 3 2 2" xfId="17130" xr:uid="{00000000-0005-0000-0000-000099380000}"/>
    <cellStyle name="Normal 26 6 3 2 2 2" xfId="33704" xr:uid="{00000000-0005-0000-0000-00009A380000}"/>
    <cellStyle name="Normal 26 6 3 2 3" xfId="25657" xr:uid="{00000000-0005-0000-0000-00009B380000}"/>
    <cellStyle name="Normal 26 6 3 3" xfId="13265" xr:uid="{00000000-0005-0000-0000-00009C380000}"/>
    <cellStyle name="Normal 26 6 3 3 2" xfId="29808" xr:uid="{00000000-0005-0000-0000-00009D380000}"/>
    <cellStyle name="Normal 26 6 3 4" xfId="21765" xr:uid="{00000000-0005-0000-0000-00009E380000}"/>
    <cellStyle name="Normal 26 6 4" xfId="7953" xr:uid="{00000000-0005-0000-0000-00009F380000}"/>
    <cellStyle name="Normal 26 6 4 2" xfId="17131" xr:uid="{00000000-0005-0000-0000-0000A0380000}"/>
    <cellStyle name="Normal 26 6 4 2 2" xfId="33705" xr:uid="{00000000-0005-0000-0000-0000A1380000}"/>
    <cellStyle name="Normal 26 6 4 3" xfId="25658" xr:uid="{00000000-0005-0000-0000-0000A2380000}"/>
    <cellStyle name="Normal 26 6 5" xfId="13262" xr:uid="{00000000-0005-0000-0000-0000A3380000}"/>
    <cellStyle name="Normal 26 6 5 2" xfId="29805" xr:uid="{00000000-0005-0000-0000-0000A4380000}"/>
    <cellStyle name="Normal 26 6 6" xfId="21762" xr:uid="{00000000-0005-0000-0000-0000A5380000}"/>
    <cellStyle name="Normal 26 7" xfId="3859" xr:uid="{00000000-0005-0000-0000-0000A6380000}"/>
    <cellStyle name="Normal 26 7 2" xfId="3860" xr:uid="{00000000-0005-0000-0000-0000A7380000}"/>
    <cellStyle name="Normal 26 7 2 2" xfId="7954" xr:uid="{00000000-0005-0000-0000-0000A8380000}"/>
    <cellStyle name="Normal 26 7 2 2 2" xfId="17132" xr:uid="{00000000-0005-0000-0000-0000A9380000}"/>
    <cellStyle name="Normal 26 7 2 2 2 2" xfId="33706" xr:uid="{00000000-0005-0000-0000-0000AA380000}"/>
    <cellStyle name="Normal 26 7 2 2 3" xfId="25659" xr:uid="{00000000-0005-0000-0000-0000AB380000}"/>
    <cellStyle name="Normal 26 7 2 3" xfId="13267" xr:uid="{00000000-0005-0000-0000-0000AC380000}"/>
    <cellStyle name="Normal 26 7 2 3 2" xfId="29810" xr:uid="{00000000-0005-0000-0000-0000AD380000}"/>
    <cellStyle name="Normal 26 7 2 4" xfId="21767" xr:uid="{00000000-0005-0000-0000-0000AE380000}"/>
    <cellStyle name="Normal 26 7 3" xfId="7955" xr:uid="{00000000-0005-0000-0000-0000AF380000}"/>
    <cellStyle name="Normal 26 7 3 2" xfId="17133" xr:uid="{00000000-0005-0000-0000-0000B0380000}"/>
    <cellStyle name="Normal 26 7 3 2 2" xfId="33707" xr:uid="{00000000-0005-0000-0000-0000B1380000}"/>
    <cellStyle name="Normal 26 7 3 3" xfId="25660" xr:uid="{00000000-0005-0000-0000-0000B2380000}"/>
    <cellStyle name="Normal 26 7 4" xfId="13266" xr:uid="{00000000-0005-0000-0000-0000B3380000}"/>
    <cellStyle name="Normal 26 7 4 2" xfId="29809" xr:uid="{00000000-0005-0000-0000-0000B4380000}"/>
    <cellStyle name="Normal 26 7 5" xfId="21766" xr:uid="{00000000-0005-0000-0000-0000B5380000}"/>
    <cellStyle name="Normal 26 8" xfId="3861" xr:uid="{00000000-0005-0000-0000-0000B6380000}"/>
    <cellStyle name="Normal 26 8 2" xfId="7956" xr:uid="{00000000-0005-0000-0000-0000B7380000}"/>
    <cellStyle name="Normal 26 8 2 2" xfId="17134" xr:uid="{00000000-0005-0000-0000-0000B8380000}"/>
    <cellStyle name="Normal 26 8 2 2 2" xfId="33708" xr:uid="{00000000-0005-0000-0000-0000B9380000}"/>
    <cellStyle name="Normal 26 8 2 3" xfId="25661" xr:uid="{00000000-0005-0000-0000-0000BA380000}"/>
    <cellStyle name="Normal 26 8 3" xfId="13268" xr:uid="{00000000-0005-0000-0000-0000BB380000}"/>
    <cellStyle name="Normal 26 8 3 2" xfId="29811" xr:uid="{00000000-0005-0000-0000-0000BC380000}"/>
    <cellStyle name="Normal 26 8 4" xfId="21768" xr:uid="{00000000-0005-0000-0000-0000BD380000}"/>
    <cellStyle name="Normal 26 9" xfId="7957" xr:uid="{00000000-0005-0000-0000-0000BE380000}"/>
    <cellStyle name="Normal 26 9 2" xfId="17135" xr:uid="{00000000-0005-0000-0000-0000BF380000}"/>
    <cellStyle name="Normal 26 9 2 2" xfId="33709" xr:uid="{00000000-0005-0000-0000-0000C0380000}"/>
    <cellStyle name="Normal 26 9 3" xfId="25662" xr:uid="{00000000-0005-0000-0000-0000C1380000}"/>
    <cellStyle name="Normal 260" xfId="10784" xr:uid="{00000000-0005-0000-0000-0000C2380000}"/>
    <cellStyle name="Normal 261" xfId="10787" xr:uid="{00000000-0005-0000-0000-0000C3380000}"/>
    <cellStyle name="Normal 262" xfId="10790" xr:uid="{00000000-0005-0000-0000-0000C4380000}"/>
    <cellStyle name="Normal 263" xfId="10793" xr:uid="{00000000-0005-0000-0000-0000C5380000}"/>
    <cellStyle name="Normal 264" xfId="10796" xr:uid="{00000000-0005-0000-0000-0000C6380000}"/>
    <cellStyle name="Normal 265" xfId="10799" xr:uid="{00000000-0005-0000-0000-0000C7380000}"/>
    <cellStyle name="Normal 266" xfId="10802" xr:uid="{00000000-0005-0000-0000-0000C8380000}"/>
    <cellStyle name="Normal 267" xfId="10805" xr:uid="{00000000-0005-0000-0000-0000C9380000}"/>
    <cellStyle name="Normal 268" xfId="10808" xr:uid="{00000000-0005-0000-0000-0000CA380000}"/>
    <cellStyle name="Normal 269" xfId="10811" xr:uid="{00000000-0005-0000-0000-0000CB380000}"/>
    <cellStyle name="Normal 27" xfId="3862" xr:uid="{00000000-0005-0000-0000-0000CC380000}"/>
    <cellStyle name="Normal 27 10" xfId="13269" xr:uid="{00000000-0005-0000-0000-0000CD380000}"/>
    <cellStyle name="Normal 27 10 2" xfId="29812" xr:uid="{00000000-0005-0000-0000-0000CE380000}"/>
    <cellStyle name="Normal 27 11" xfId="21769" xr:uid="{00000000-0005-0000-0000-0000CF380000}"/>
    <cellStyle name="Normal 27 2" xfId="3863" xr:uid="{00000000-0005-0000-0000-0000D0380000}"/>
    <cellStyle name="Normal 27 2 2" xfId="3864" xr:uid="{00000000-0005-0000-0000-0000D1380000}"/>
    <cellStyle name="Normal 27 2 3" xfId="13270" xr:uid="{00000000-0005-0000-0000-0000D2380000}"/>
    <cellStyle name="Normal 27 2 3 2" xfId="29813" xr:uid="{00000000-0005-0000-0000-0000D3380000}"/>
    <cellStyle name="Normal 27 2 4" xfId="21770" xr:uid="{00000000-0005-0000-0000-0000D4380000}"/>
    <cellStyle name="Normal 27 3" xfId="3865" xr:uid="{00000000-0005-0000-0000-0000D5380000}"/>
    <cellStyle name="Normal 27 3 2" xfId="3866" xr:uid="{00000000-0005-0000-0000-0000D6380000}"/>
    <cellStyle name="Normal 27 3 2 2" xfId="3867" xr:uid="{00000000-0005-0000-0000-0000D7380000}"/>
    <cellStyle name="Normal 27 3 2 2 2" xfId="3868" xr:uid="{00000000-0005-0000-0000-0000D8380000}"/>
    <cellStyle name="Normal 27 3 2 2 2 2" xfId="7958" xr:uid="{00000000-0005-0000-0000-0000D9380000}"/>
    <cellStyle name="Normal 27 3 2 2 2 2 2" xfId="17136" xr:uid="{00000000-0005-0000-0000-0000DA380000}"/>
    <cellStyle name="Normal 27 3 2 2 2 2 2 2" xfId="33710" xr:uid="{00000000-0005-0000-0000-0000DB380000}"/>
    <cellStyle name="Normal 27 3 2 2 2 2 3" xfId="25663" xr:uid="{00000000-0005-0000-0000-0000DC380000}"/>
    <cellStyle name="Normal 27 3 2 2 2 3" xfId="13273" xr:uid="{00000000-0005-0000-0000-0000DD380000}"/>
    <cellStyle name="Normal 27 3 2 2 2 3 2" xfId="29816" xr:uid="{00000000-0005-0000-0000-0000DE380000}"/>
    <cellStyle name="Normal 27 3 2 2 2 4" xfId="21773" xr:uid="{00000000-0005-0000-0000-0000DF380000}"/>
    <cellStyle name="Normal 27 3 2 2 3" xfId="7959" xr:uid="{00000000-0005-0000-0000-0000E0380000}"/>
    <cellStyle name="Normal 27 3 2 2 3 2" xfId="17137" xr:uid="{00000000-0005-0000-0000-0000E1380000}"/>
    <cellStyle name="Normal 27 3 2 2 3 2 2" xfId="33711" xr:uid="{00000000-0005-0000-0000-0000E2380000}"/>
    <cellStyle name="Normal 27 3 2 2 3 3" xfId="25664" xr:uid="{00000000-0005-0000-0000-0000E3380000}"/>
    <cellStyle name="Normal 27 3 2 2 4" xfId="13272" xr:uid="{00000000-0005-0000-0000-0000E4380000}"/>
    <cellStyle name="Normal 27 3 2 2 4 2" xfId="29815" xr:uid="{00000000-0005-0000-0000-0000E5380000}"/>
    <cellStyle name="Normal 27 3 2 2 5" xfId="21772" xr:uid="{00000000-0005-0000-0000-0000E6380000}"/>
    <cellStyle name="Normal 27 3 2 3" xfId="3869" xr:uid="{00000000-0005-0000-0000-0000E7380000}"/>
    <cellStyle name="Normal 27 3 2 3 2" xfId="7960" xr:uid="{00000000-0005-0000-0000-0000E8380000}"/>
    <cellStyle name="Normal 27 3 2 3 2 2" xfId="17138" xr:uid="{00000000-0005-0000-0000-0000E9380000}"/>
    <cellStyle name="Normal 27 3 2 3 2 2 2" xfId="33712" xr:uid="{00000000-0005-0000-0000-0000EA380000}"/>
    <cellStyle name="Normal 27 3 2 3 2 3" xfId="25665" xr:uid="{00000000-0005-0000-0000-0000EB380000}"/>
    <cellStyle name="Normal 27 3 2 3 3" xfId="13274" xr:uid="{00000000-0005-0000-0000-0000EC380000}"/>
    <cellStyle name="Normal 27 3 2 3 3 2" xfId="29817" xr:uid="{00000000-0005-0000-0000-0000ED380000}"/>
    <cellStyle name="Normal 27 3 2 3 4" xfId="21774" xr:uid="{00000000-0005-0000-0000-0000EE380000}"/>
    <cellStyle name="Normal 27 3 2 4" xfId="7961" xr:uid="{00000000-0005-0000-0000-0000EF380000}"/>
    <cellStyle name="Normal 27 3 2 4 2" xfId="17139" xr:uid="{00000000-0005-0000-0000-0000F0380000}"/>
    <cellStyle name="Normal 27 3 2 4 2 2" xfId="33713" xr:uid="{00000000-0005-0000-0000-0000F1380000}"/>
    <cellStyle name="Normal 27 3 2 4 3" xfId="25666" xr:uid="{00000000-0005-0000-0000-0000F2380000}"/>
    <cellStyle name="Normal 27 3 2 5" xfId="13271" xr:uid="{00000000-0005-0000-0000-0000F3380000}"/>
    <cellStyle name="Normal 27 3 2 5 2" xfId="29814" xr:uid="{00000000-0005-0000-0000-0000F4380000}"/>
    <cellStyle name="Normal 27 3 2 6" xfId="21771" xr:uid="{00000000-0005-0000-0000-0000F5380000}"/>
    <cellStyle name="Normal 27 3 3" xfId="3870" xr:uid="{00000000-0005-0000-0000-0000F6380000}"/>
    <cellStyle name="Normal 27 3 3 2" xfId="3871" xr:uid="{00000000-0005-0000-0000-0000F7380000}"/>
    <cellStyle name="Normal 27 3 3 2 2" xfId="7962" xr:uid="{00000000-0005-0000-0000-0000F8380000}"/>
    <cellStyle name="Normal 27 3 3 2 2 2" xfId="17140" xr:uid="{00000000-0005-0000-0000-0000F9380000}"/>
    <cellStyle name="Normal 27 3 3 2 2 2 2" xfId="33714" xr:uid="{00000000-0005-0000-0000-0000FA380000}"/>
    <cellStyle name="Normal 27 3 3 2 2 3" xfId="25667" xr:uid="{00000000-0005-0000-0000-0000FB380000}"/>
    <cellStyle name="Normal 27 3 3 2 3" xfId="13276" xr:uid="{00000000-0005-0000-0000-0000FC380000}"/>
    <cellStyle name="Normal 27 3 3 2 3 2" xfId="29819" xr:uid="{00000000-0005-0000-0000-0000FD380000}"/>
    <cellStyle name="Normal 27 3 3 2 4" xfId="21776" xr:uid="{00000000-0005-0000-0000-0000FE380000}"/>
    <cellStyle name="Normal 27 3 3 3" xfId="7963" xr:uid="{00000000-0005-0000-0000-0000FF380000}"/>
    <cellStyle name="Normal 27 3 3 3 2" xfId="17141" xr:uid="{00000000-0005-0000-0000-000000390000}"/>
    <cellStyle name="Normal 27 3 3 3 2 2" xfId="33715" xr:uid="{00000000-0005-0000-0000-000001390000}"/>
    <cellStyle name="Normal 27 3 3 3 3" xfId="25668" xr:uid="{00000000-0005-0000-0000-000002390000}"/>
    <cellStyle name="Normal 27 3 3 4" xfId="13275" xr:uid="{00000000-0005-0000-0000-000003390000}"/>
    <cellStyle name="Normal 27 3 3 4 2" xfId="29818" xr:uid="{00000000-0005-0000-0000-000004390000}"/>
    <cellStyle name="Normal 27 3 3 5" xfId="21775" xr:uid="{00000000-0005-0000-0000-000005390000}"/>
    <cellStyle name="Normal 27 3 4" xfId="3872" xr:uid="{00000000-0005-0000-0000-000006390000}"/>
    <cellStyle name="Normal 27 3 4 2" xfId="7964" xr:uid="{00000000-0005-0000-0000-000007390000}"/>
    <cellStyle name="Normal 27 3 4 2 2" xfId="17142" xr:uid="{00000000-0005-0000-0000-000008390000}"/>
    <cellStyle name="Normal 27 3 4 2 2 2" xfId="33716" xr:uid="{00000000-0005-0000-0000-000009390000}"/>
    <cellStyle name="Normal 27 3 4 2 3" xfId="25669" xr:uid="{00000000-0005-0000-0000-00000A390000}"/>
    <cellStyle name="Normal 27 3 4 3" xfId="13277" xr:uid="{00000000-0005-0000-0000-00000B390000}"/>
    <cellStyle name="Normal 27 3 4 3 2" xfId="29820" xr:uid="{00000000-0005-0000-0000-00000C390000}"/>
    <cellStyle name="Normal 27 3 4 4" xfId="21777" xr:uid="{00000000-0005-0000-0000-00000D390000}"/>
    <cellStyle name="Normal 27 3 5" xfId="3873" xr:uid="{00000000-0005-0000-0000-00000E390000}"/>
    <cellStyle name="Normal 27 3 5 2" xfId="13278" xr:uid="{00000000-0005-0000-0000-00000F390000}"/>
    <cellStyle name="Normal 27 3 5 2 2" xfId="29821" xr:uid="{00000000-0005-0000-0000-000010390000}"/>
    <cellStyle name="Normal 27 3 5 3" xfId="21778" xr:uid="{00000000-0005-0000-0000-000011390000}"/>
    <cellStyle name="Normal 27 4" xfId="3874" xr:uid="{00000000-0005-0000-0000-000012390000}"/>
    <cellStyle name="Normal 27 4 2" xfId="3875" xr:uid="{00000000-0005-0000-0000-000013390000}"/>
    <cellStyle name="Normal 27 4 2 2" xfId="3876" xr:uid="{00000000-0005-0000-0000-000014390000}"/>
    <cellStyle name="Normal 27 4 2 2 2" xfId="3877" xr:uid="{00000000-0005-0000-0000-000015390000}"/>
    <cellStyle name="Normal 27 4 2 2 2 2" xfId="7965" xr:uid="{00000000-0005-0000-0000-000016390000}"/>
    <cellStyle name="Normal 27 4 2 2 2 2 2" xfId="17143" xr:uid="{00000000-0005-0000-0000-000017390000}"/>
    <cellStyle name="Normal 27 4 2 2 2 2 2 2" xfId="33717" xr:uid="{00000000-0005-0000-0000-000018390000}"/>
    <cellStyle name="Normal 27 4 2 2 2 2 3" xfId="25670" xr:uid="{00000000-0005-0000-0000-000019390000}"/>
    <cellStyle name="Normal 27 4 2 2 2 3" xfId="13282" xr:uid="{00000000-0005-0000-0000-00001A390000}"/>
    <cellStyle name="Normal 27 4 2 2 2 3 2" xfId="29825" xr:uid="{00000000-0005-0000-0000-00001B390000}"/>
    <cellStyle name="Normal 27 4 2 2 2 4" xfId="21782" xr:uid="{00000000-0005-0000-0000-00001C390000}"/>
    <cellStyle name="Normal 27 4 2 2 3" xfId="7966" xr:uid="{00000000-0005-0000-0000-00001D390000}"/>
    <cellStyle name="Normal 27 4 2 2 3 2" xfId="17144" xr:uid="{00000000-0005-0000-0000-00001E390000}"/>
    <cellStyle name="Normal 27 4 2 2 3 2 2" xfId="33718" xr:uid="{00000000-0005-0000-0000-00001F390000}"/>
    <cellStyle name="Normal 27 4 2 2 3 3" xfId="25671" xr:uid="{00000000-0005-0000-0000-000020390000}"/>
    <cellStyle name="Normal 27 4 2 2 4" xfId="13281" xr:uid="{00000000-0005-0000-0000-000021390000}"/>
    <cellStyle name="Normal 27 4 2 2 4 2" xfId="29824" xr:uid="{00000000-0005-0000-0000-000022390000}"/>
    <cellStyle name="Normal 27 4 2 2 5" xfId="21781" xr:uid="{00000000-0005-0000-0000-000023390000}"/>
    <cellStyle name="Normal 27 4 2 3" xfId="3878" xr:uid="{00000000-0005-0000-0000-000024390000}"/>
    <cellStyle name="Normal 27 4 2 3 2" xfId="7967" xr:uid="{00000000-0005-0000-0000-000025390000}"/>
    <cellStyle name="Normal 27 4 2 3 2 2" xfId="17145" xr:uid="{00000000-0005-0000-0000-000026390000}"/>
    <cellStyle name="Normal 27 4 2 3 2 2 2" xfId="33719" xr:uid="{00000000-0005-0000-0000-000027390000}"/>
    <cellStyle name="Normal 27 4 2 3 2 3" xfId="25672" xr:uid="{00000000-0005-0000-0000-000028390000}"/>
    <cellStyle name="Normal 27 4 2 3 3" xfId="13283" xr:uid="{00000000-0005-0000-0000-000029390000}"/>
    <cellStyle name="Normal 27 4 2 3 3 2" xfId="29826" xr:uid="{00000000-0005-0000-0000-00002A390000}"/>
    <cellStyle name="Normal 27 4 2 3 4" xfId="21783" xr:uid="{00000000-0005-0000-0000-00002B390000}"/>
    <cellStyle name="Normal 27 4 2 4" xfId="7968" xr:uid="{00000000-0005-0000-0000-00002C390000}"/>
    <cellStyle name="Normal 27 4 2 4 2" xfId="17146" xr:uid="{00000000-0005-0000-0000-00002D390000}"/>
    <cellStyle name="Normal 27 4 2 4 2 2" xfId="33720" xr:uid="{00000000-0005-0000-0000-00002E390000}"/>
    <cellStyle name="Normal 27 4 2 4 3" xfId="25673" xr:uid="{00000000-0005-0000-0000-00002F390000}"/>
    <cellStyle name="Normal 27 4 2 5" xfId="13280" xr:uid="{00000000-0005-0000-0000-000030390000}"/>
    <cellStyle name="Normal 27 4 2 5 2" xfId="29823" xr:uid="{00000000-0005-0000-0000-000031390000}"/>
    <cellStyle name="Normal 27 4 2 6" xfId="21780" xr:uid="{00000000-0005-0000-0000-000032390000}"/>
    <cellStyle name="Normal 27 4 3" xfId="3879" xr:uid="{00000000-0005-0000-0000-000033390000}"/>
    <cellStyle name="Normal 27 4 3 2" xfId="3880" xr:uid="{00000000-0005-0000-0000-000034390000}"/>
    <cellStyle name="Normal 27 4 3 2 2" xfId="7969" xr:uid="{00000000-0005-0000-0000-000035390000}"/>
    <cellStyle name="Normal 27 4 3 2 2 2" xfId="17147" xr:uid="{00000000-0005-0000-0000-000036390000}"/>
    <cellStyle name="Normal 27 4 3 2 2 2 2" xfId="33721" xr:uid="{00000000-0005-0000-0000-000037390000}"/>
    <cellStyle name="Normal 27 4 3 2 2 3" xfId="25674" xr:uid="{00000000-0005-0000-0000-000038390000}"/>
    <cellStyle name="Normal 27 4 3 2 3" xfId="13285" xr:uid="{00000000-0005-0000-0000-000039390000}"/>
    <cellStyle name="Normal 27 4 3 2 3 2" xfId="29828" xr:uid="{00000000-0005-0000-0000-00003A390000}"/>
    <cellStyle name="Normal 27 4 3 2 4" xfId="21785" xr:uid="{00000000-0005-0000-0000-00003B390000}"/>
    <cellStyle name="Normal 27 4 3 3" xfId="7970" xr:uid="{00000000-0005-0000-0000-00003C390000}"/>
    <cellStyle name="Normal 27 4 3 3 2" xfId="17148" xr:uid="{00000000-0005-0000-0000-00003D390000}"/>
    <cellStyle name="Normal 27 4 3 3 2 2" xfId="33722" xr:uid="{00000000-0005-0000-0000-00003E390000}"/>
    <cellStyle name="Normal 27 4 3 3 3" xfId="25675" xr:uid="{00000000-0005-0000-0000-00003F390000}"/>
    <cellStyle name="Normal 27 4 3 4" xfId="13284" xr:uid="{00000000-0005-0000-0000-000040390000}"/>
    <cellStyle name="Normal 27 4 3 4 2" xfId="29827" xr:uid="{00000000-0005-0000-0000-000041390000}"/>
    <cellStyle name="Normal 27 4 3 5" xfId="21784" xr:uid="{00000000-0005-0000-0000-000042390000}"/>
    <cellStyle name="Normal 27 4 4" xfId="3881" xr:uid="{00000000-0005-0000-0000-000043390000}"/>
    <cellStyle name="Normal 27 4 4 2" xfId="7971" xr:uid="{00000000-0005-0000-0000-000044390000}"/>
    <cellStyle name="Normal 27 4 4 2 2" xfId="17149" xr:uid="{00000000-0005-0000-0000-000045390000}"/>
    <cellStyle name="Normal 27 4 4 2 2 2" xfId="33723" xr:uid="{00000000-0005-0000-0000-000046390000}"/>
    <cellStyle name="Normal 27 4 4 2 3" xfId="25676" xr:uid="{00000000-0005-0000-0000-000047390000}"/>
    <cellStyle name="Normal 27 4 4 3" xfId="13286" xr:uid="{00000000-0005-0000-0000-000048390000}"/>
    <cellStyle name="Normal 27 4 4 3 2" xfId="29829" xr:uid="{00000000-0005-0000-0000-000049390000}"/>
    <cellStyle name="Normal 27 4 4 4" xfId="21786" xr:uid="{00000000-0005-0000-0000-00004A390000}"/>
    <cellStyle name="Normal 27 4 5" xfId="7972" xr:uid="{00000000-0005-0000-0000-00004B390000}"/>
    <cellStyle name="Normal 27 4 5 2" xfId="17150" xr:uid="{00000000-0005-0000-0000-00004C390000}"/>
    <cellStyle name="Normal 27 4 5 2 2" xfId="33724" xr:uid="{00000000-0005-0000-0000-00004D390000}"/>
    <cellStyle name="Normal 27 4 5 3" xfId="25677" xr:uid="{00000000-0005-0000-0000-00004E390000}"/>
    <cellStyle name="Normal 27 4 6" xfId="13279" xr:uid="{00000000-0005-0000-0000-00004F390000}"/>
    <cellStyle name="Normal 27 4 6 2" xfId="29822" xr:uid="{00000000-0005-0000-0000-000050390000}"/>
    <cellStyle name="Normal 27 4 7" xfId="21779" xr:uid="{00000000-0005-0000-0000-000051390000}"/>
    <cellStyle name="Normal 27 5" xfId="3882" xr:uid="{00000000-0005-0000-0000-000052390000}"/>
    <cellStyle name="Normal 27 5 2" xfId="3883" xr:uid="{00000000-0005-0000-0000-000053390000}"/>
    <cellStyle name="Normal 27 5 2 2" xfId="3884" xr:uid="{00000000-0005-0000-0000-000054390000}"/>
    <cellStyle name="Normal 27 5 2 2 2" xfId="3885" xr:uid="{00000000-0005-0000-0000-000055390000}"/>
    <cellStyle name="Normal 27 5 2 2 2 2" xfId="7973" xr:uid="{00000000-0005-0000-0000-000056390000}"/>
    <cellStyle name="Normal 27 5 2 2 2 2 2" xfId="17151" xr:uid="{00000000-0005-0000-0000-000057390000}"/>
    <cellStyle name="Normal 27 5 2 2 2 2 2 2" xfId="33725" xr:uid="{00000000-0005-0000-0000-000058390000}"/>
    <cellStyle name="Normal 27 5 2 2 2 2 3" xfId="25678" xr:uid="{00000000-0005-0000-0000-000059390000}"/>
    <cellStyle name="Normal 27 5 2 2 2 3" xfId="13290" xr:uid="{00000000-0005-0000-0000-00005A390000}"/>
    <cellStyle name="Normal 27 5 2 2 2 3 2" xfId="29833" xr:uid="{00000000-0005-0000-0000-00005B390000}"/>
    <cellStyle name="Normal 27 5 2 2 2 4" xfId="21790" xr:uid="{00000000-0005-0000-0000-00005C390000}"/>
    <cellStyle name="Normal 27 5 2 2 3" xfId="7974" xr:uid="{00000000-0005-0000-0000-00005D390000}"/>
    <cellStyle name="Normal 27 5 2 2 3 2" xfId="17152" xr:uid="{00000000-0005-0000-0000-00005E390000}"/>
    <cellStyle name="Normal 27 5 2 2 3 2 2" xfId="33726" xr:uid="{00000000-0005-0000-0000-00005F390000}"/>
    <cellStyle name="Normal 27 5 2 2 3 3" xfId="25679" xr:uid="{00000000-0005-0000-0000-000060390000}"/>
    <cellStyle name="Normal 27 5 2 2 4" xfId="13289" xr:uid="{00000000-0005-0000-0000-000061390000}"/>
    <cellStyle name="Normal 27 5 2 2 4 2" xfId="29832" xr:uid="{00000000-0005-0000-0000-000062390000}"/>
    <cellStyle name="Normal 27 5 2 2 5" xfId="21789" xr:uid="{00000000-0005-0000-0000-000063390000}"/>
    <cellStyle name="Normal 27 5 2 3" xfId="3886" xr:uid="{00000000-0005-0000-0000-000064390000}"/>
    <cellStyle name="Normal 27 5 2 3 2" xfId="7975" xr:uid="{00000000-0005-0000-0000-000065390000}"/>
    <cellStyle name="Normal 27 5 2 3 2 2" xfId="17153" xr:uid="{00000000-0005-0000-0000-000066390000}"/>
    <cellStyle name="Normal 27 5 2 3 2 2 2" xfId="33727" xr:uid="{00000000-0005-0000-0000-000067390000}"/>
    <cellStyle name="Normal 27 5 2 3 2 3" xfId="25680" xr:uid="{00000000-0005-0000-0000-000068390000}"/>
    <cellStyle name="Normal 27 5 2 3 3" xfId="13291" xr:uid="{00000000-0005-0000-0000-000069390000}"/>
    <cellStyle name="Normal 27 5 2 3 3 2" xfId="29834" xr:uid="{00000000-0005-0000-0000-00006A390000}"/>
    <cellStyle name="Normal 27 5 2 3 4" xfId="21791" xr:uid="{00000000-0005-0000-0000-00006B390000}"/>
    <cellStyle name="Normal 27 5 2 4" xfId="7976" xr:uid="{00000000-0005-0000-0000-00006C390000}"/>
    <cellStyle name="Normal 27 5 2 4 2" xfId="17154" xr:uid="{00000000-0005-0000-0000-00006D390000}"/>
    <cellStyle name="Normal 27 5 2 4 2 2" xfId="33728" xr:uid="{00000000-0005-0000-0000-00006E390000}"/>
    <cellStyle name="Normal 27 5 2 4 3" xfId="25681" xr:uid="{00000000-0005-0000-0000-00006F390000}"/>
    <cellStyle name="Normal 27 5 2 5" xfId="13288" xr:uid="{00000000-0005-0000-0000-000070390000}"/>
    <cellStyle name="Normal 27 5 2 5 2" xfId="29831" xr:uid="{00000000-0005-0000-0000-000071390000}"/>
    <cellStyle name="Normal 27 5 2 6" xfId="21788" xr:uid="{00000000-0005-0000-0000-000072390000}"/>
    <cellStyle name="Normal 27 5 3" xfId="3887" xr:uid="{00000000-0005-0000-0000-000073390000}"/>
    <cellStyle name="Normal 27 5 3 2" xfId="3888" xr:uid="{00000000-0005-0000-0000-000074390000}"/>
    <cellStyle name="Normal 27 5 3 2 2" xfId="7977" xr:uid="{00000000-0005-0000-0000-000075390000}"/>
    <cellStyle name="Normal 27 5 3 2 2 2" xfId="17155" xr:uid="{00000000-0005-0000-0000-000076390000}"/>
    <cellStyle name="Normal 27 5 3 2 2 2 2" xfId="33729" xr:uid="{00000000-0005-0000-0000-000077390000}"/>
    <cellStyle name="Normal 27 5 3 2 2 3" xfId="25682" xr:uid="{00000000-0005-0000-0000-000078390000}"/>
    <cellStyle name="Normal 27 5 3 2 3" xfId="13293" xr:uid="{00000000-0005-0000-0000-000079390000}"/>
    <cellStyle name="Normal 27 5 3 2 3 2" xfId="29836" xr:uid="{00000000-0005-0000-0000-00007A390000}"/>
    <cellStyle name="Normal 27 5 3 2 4" xfId="21793" xr:uid="{00000000-0005-0000-0000-00007B390000}"/>
    <cellStyle name="Normal 27 5 3 3" xfId="7978" xr:uid="{00000000-0005-0000-0000-00007C390000}"/>
    <cellStyle name="Normal 27 5 3 3 2" xfId="17156" xr:uid="{00000000-0005-0000-0000-00007D390000}"/>
    <cellStyle name="Normal 27 5 3 3 2 2" xfId="33730" xr:uid="{00000000-0005-0000-0000-00007E390000}"/>
    <cellStyle name="Normal 27 5 3 3 3" xfId="25683" xr:uid="{00000000-0005-0000-0000-00007F390000}"/>
    <cellStyle name="Normal 27 5 3 4" xfId="13292" xr:uid="{00000000-0005-0000-0000-000080390000}"/>
    <cellStyle name="Normal 27 5 3 4 2" xfId="29835" xr:uid="{00000000-0005-0000-0000-000081390000}"/>
    <cellStyle name="Normal 27 5 3 5" xfId="21792" xr:uid="{00000000-0005-0000-0000-000082390000}"/>
    <cellStyle name="Normal 27 5 4" xfId="3889" xr:uid="{00000000-0005-0000-0000-000083390000}"/>
    <cellStyle name="Normal 27 5 4 2" xfId="7979" xr:uid="{00000000-0005-0000-0000-000084390000}"/>
    <cellStyle name="Normal 27 5 4 2 2" xfId="17157" xr:uid="{00000000-0005-0000-0000-000085390000}"/>
    <cellStyle name="Normal 27 5 4 2 2 2" xfId="33731" xr:uid="{00000000-0005-0000-0000-000086390000}"/>
    <cellStyle name="Normal 27 5 4 2 3" xfId="25684" xr:uid="{00000000-0005-0000-0000-000087390000}"/>
    <cellStyle name="Normal 27 5 4 3" xfId="13294" xr:uid="{00000000-0005-0000-0000-000088390000}"/>
    <cellStyle name="Normal 27 5 4 3 2" xfId="29837" xr:uid="{00000000-0005-0000-0000-000089390000}"/>
    <cellStyle name="Normal 27 5 4 4" xfId="21794" xr:uid="{00000000-0005-0000-0000-00008A390000}"/>
    <cellStyle name="Normal 27 5 5" xfId="7980" xr:uid="{00000000-0005-0000-0000-00008B390000}"/>
    <cellStyle name="Normal 27 5 5 2" xfId="17158" xr:uid="{00000000-0005-0000-0000-00008C390000}"/>
    <cellStyle name="Normal 27 5 5 2 2" xfId="33732" xr:uid="{00000000-0005-0000-0000-00008D390000}"/>
    <cellStyle name="Normal 27 5 5 3" xfId="25685" xr:uid="{00000000-0005-0000-0000-00008E390000}"/>
    <cellStyle name="Normal 27 5 6" xfId="13287" xr:uid="{00000000-0005-0000-0000-00008F390000}"/>
    <cellStyle name="Normal 27 5 6 2" xfId="29830" xr:uid="{00000000-0005-0000-0000-000090390000}"/>
    <cellStyle name="Normal 27 5 7" xfId="21787" xr:uid="{00000000-0005-0000-0000-000091390000}"/>
    <cellStyle name="Normal 27 6" xfId="3890" xr:uid="{00000000-0005-0000-0000-000092390000}"/>
    <cellStyle name="Normal 27 6 2" xfId="3891" xr:uid="{00000000-0005-0000-0000-000093390000}"/>
    <cellStyle name="Normal 27 6 2 2" xfId="3892" xr:uid="{00000000-0005-0000-0000-000094390000}"/>
    <cellStyle name="Normal 27 6 2 2 2" xfId="7981" xr:uid="{00000000-0005-0000-0000-000095390000}"/>
    <cellStyle name="Normal 27 6 2 2 2 2" xfId="17159" xr:uid="{00000000-0005-0000-0000-000096390000}"/>
    <cellStyle name="Normal 27 6 2 2 2 2 2" xfId="33733" xr:uid="{00000000-0005-0000-0000-000097390000}"/>
    <cellStyle name="Normal 27 6 2 2 2 3" xfId="25686" xr:uid="{00000000-0005-0000-0000-000098390000}"/>
    <cellStyle name="Normal 27 6 2 2 3" xfId="13297" xr:uid="{00000000-0005-0000-0000-000099390000}"/>
    <cellStyle name="Normal 27 6 2 2 3 2" xfId="29840" xr:uid="{00000000-0005-0000-0000-00009A390000}"/>
    <cellStyle name="Normal 27 6 2 2 4" xfId="21797" xr:uid="{00000000-0005-0000-0000-00009B390000}"/>
    <cellStyle name="Normal 27 6 2 3" xfId="7982" xr:uid="{00000000-0005-0000-0000-00009C390000}"/>
    <cellStyle name="Normal 27 6 2 3 2" xfId="17160" xr:uid="{00000000-0005-0000-0000-00009D390000}"/>
    <cellStyle name="Normal 27 6 2 3 2 2" xfId="33734" xr:uid="{00000000-0005-0000-0000-00009E390000}"/>
    <cellStyle name="Normal 27 6 2 3 3" xfId="25687" xr:uid="{00000000-0005-0000-0000-00009F390000}"/>
    <cellStyle name="Normal 27 6 2 4" xfId="13296" xr:uid="{00000000-0005-0000-0000-0000A0390000}"/>
    <cellStyle name="Normal 27 6 2 4 2" xfId="29839" xr:uid="{00000000-0005-0000-0000-0000A1390000}"/>
    <cellStyle name="Normal 27 6 2 5" xfId="21796" xr:uid="{00000000-0005-0000-0000-0000A2390000}"/>
    <cellStyle name="Normal 27 6 3" xfId="3893" xr:uid="{00000000-0005-0000-0000-0000A3390000}"/>
    <cellStyle name="Normal 27 6 3 2" xfId="7983" xr:uid="{00000000-0005-0000-0000-0000A4390000}"/>
    <cellStyle name="Normal 27 6 3 2 2" xfId="17161" xr:uid="{00000000-0005-0000-0000-0000A5390000}"/>
    <cellStyle name="Normal 27 6 3 2 2 2" xfId="33735" xr:uid="{00000000-0005-0000-0000-0000A6390000}"/>
    <cellStyle name="Normal 27 6 3 2 3" xfId="25688" xr:uid="{00000000-0005-0000-0000-0000A7390000}"/>
    <cellStyle name="Normal 27 6 3 3" xfId="13298" xr:uid="{00000000-0005-0000-0000-0000A8390000}"/>
    <cellStyle name="Normal 27 6 3 3 2" xfId="29841" xr:uid="{00000000-0005-0000-0000-0000A9390000}"/>
    <cellStyle name="Normal 27 6 3 4" xfId="21798" xr:uid="{00000000-0005-0000-0000-0000AA390000}"/>
    <cellStyle name="Normal 27 6 4" xfId="7984" xr:uid="{00000000-0005-0000-0000-0000AB390000}"/>
    <cellStyle name="Normal 27 6 4 2" xfId="17162" xr:uid="{00000000-0005-0000-0000-0000AC390000}"/>
    <cellStyle name="Normal 27 6 4 2 2" xfId="33736" xr:uid="{00000000-0005-0000-0000-0000AD390000}"/>
    <cellStyle name="Normal 27 6 4 3" xfId="25689" xr:uid="{00000000-0005-0000-0000-0000AE390000}"/>
    <cellStyle name="Normal 27 6 5" xfId="13295" xr:uid="{00000000-0005-0000-0000-0000AF390000}"/>
    <cellStyle name="Normal 27 6 5 2" xfId="29838" xr:uid="{00000000-0005-0000-0000-0000B0390000}"/>
    <cellStyle name="Normal 27 6 6" xfId="21795" xr:uid="{00000000-0005-0000-0000-0000B1390000}"/>
    <cellStyle name="Normal 27 7" xfId="3894" xr:uid="{00000000-0005-0000-0000-0000B2390000}"/>
    <cellStyle name="Normal 27 7 2" xfId="3895" xr:uid="{00000000-0005-0000-0000-0000B3390000}"/>
    <cellStyle name="Normal 27 7 2 2" xfId="7985" xr:uid="{00000000-0005-0000-0000-0000B4390000}"/>
    <cellStyle name="Normal 27 7 2 2 2" xfId="17163" xr:uid="{00000000-0005-0000-0000-0000B5390000}"/>
    <cellStyle name="Normal 27 7 2 2 2 2" xfId="33737" xr:uid="{00000000-0005-0000-0000-0000B6390000}"/>
    <cellStyle name="Normal 27 7 2 2 3" xfId="25690" xr:uid="{00000000-0005-0000-0000-0000B7390000}"/>
    <cellStyle name="Normal 27 7 2 3" xfId="13300" xr:uid="{00000000-0005-0000-0000-0000B8390000}"/>
    <cellStyle name="Normal 27 7 2 3 2" xfId="29843" xr:uid="{00000000-0005-0000-0000-0000B9390000}"/>
    <cellStyle name="Normal 27 7 2 4" xfId="21800" xr:uid="{00000000-0005-0000-0000-0000BA390000}"/>
    <cellStyle name="Normal 27 7 3" xfId="7986" xr:uid="{00000000-0005-0000-0000-0000BB390000}"/>
    <cellStyle name="Normal 27 7 3 2" xfId="17164" xr:uid="{00000000-0005-0000-0000-0000BC390000}"/>
    <cellStyle name="Normal 27 7 3 2 2" xfId="33738" xr:uid="{00000000-0005-0000-0000-0000BD390000}"/>
    <cellStyle name="Normal 27 7 3 3" xfId="25691" xr:uid="{00000000-0005-0000-0000-0000BE390000}"/>
    <cellStyle name="Normal 27 7 4" xfId="13299" xr:uid="{00000000-0005-0000-0000-0000BF390000}"/>
    <cellStyle name="Normal 27 7 4 2" xfId="29842" xr:uid="{00000000-0005-0000-0000-0000C0390000}"/>
    <cellStyle name="Normal 27 7 5" xfId="21799" xr:uid="{00000000-0005-0000-0000-0000C1390000}"/>
    <cellStyle name="Normal 27 8" xfId="3896" xr:uid="{00000000-0005-0000-0000-0000C2390000}"/>
    <cellStyle name="Normal 27 8 2" xfId="7987" xr:uid="{00000000-0005-0000-0000-0000C3390000}"/>
    <cellStyle name="Normal 27 8 2 2" xfId="17165" xr:uid="{00000000-0005-0000-0000-0000C4390000}"/>
    <cellStyle name="Normal 27 8 2 2 2" xfId="33739" xr:uid="{00000000-0005-0000-0000-0000C5390000}"/>
    <cellStyle name="Normal 27 8 2 3" xfId="25692" xr:uid="{00000000-0005-0000-0000-0000C6390000}"/>
    <cellStyle name="Normal 27 8 3" xfId="13301" xr:uid="{00000000-0005-0000-0000-0000C7390000}"/>
    <cellStyle name="Normal 27 8 3 2" xfId="29844" xr:uid="{00000000-0005-0000-0000-0000C8390000}"/>
    <cellStyle name="Normal 27 8 4" xfId="21801" xr:uid="{00000000-0005-0000-0000-0000C9390000}"/>
    <cellStyle name="Normal 27 9" xfId="7988" xr:uid="{00000000-0005-0000-0000-0000CA390000}"/>
    <cellStyle name="Normal 27 9 2" xfId="17166" xr:uid="{00000000-0005-0000-0000-0000CB390000}"/>
    <cellStyle name="Normal 27 9 2 2" xfId="33740" xr:uid="{00000000-0005-0000-0000-0000CC390000}"/>
    <cellStyle name="Normal 27 9 3" xfId="25693" xr:uid="{00000000-0005-0000-0000-0000CD390000}"/>
    <cellStyle name="Normal 270" xfId="10814" xr:uid="{00000000-0005-0000-0000-0000CE390000}"/>
    <cellStyle name="Normal 271" xfId="10817" xr:uid="{00000000-0005-0000-0000-0000CF390000}"/>
    <cellStyle name="Normal 272" xfId="10820" xr:uid="{00000000-0005-0000-0000-0000D0390000}"/>
    <cellStyle name="Normal 273" xfId="10823" xr:uid="{00000000-0005-0000-0000-0000D1390000}"/>
    <cellStyle name="Normal 274" xfId="10826" xr:uid="{00000000-0005-0000-0000-0000D2390000}"/>
    <cellStyle name="Normal 275" xfId="10829" xr:uid="{00000000-0005-0000-0000-0000D3390000}"/>
    <cellStyle name="Normal 276" xfId="10832" xr:uid="{00000000-0005-0000-0000-0000D4390000}"/>
    <cellStyle name="Normal 277" xfId="10835" xr:uid="{00000000-0005-0000-0000-0000D5390000}"/>
    <cellStyle name="Normal 278" xfId="10838" xr:uid="{00000000-0005-0000-0000-0000D6390000}"/>
    <cellStyle name="Normal 279" xfId="10841" xr:uid="{00000000-0005-0000-0000-0000D7390000}"/>
    <cellStyle name="Normal 28" xfId="3897" xr:uid="{00000000-0005-0000-0000-0000D8390000}"/>
    <cellStyle name="Normal 28 10" xfId="13302" xr:uid="{00000000-0005-0000-0000-0000D9390000}"/>
    <cellStyle name="Normal 28 10 2" xfId="29845" xr:uid="{00000000-0005-0000-0000-0000DA390000}"/>
    <cellStyle name="Normal 28 11" xfId="21802" xr:uid="{00000000-0005-0000-0000-0000DB390000}"/>
    <cellStyle name="Normal 28 2" xfId="3898" xr:uid="{00000000-0005-0000-0000-0000DC390000}"/>
    <cellStyle name="Normal 28 2 2" xfId="3899" xr:uid="{00000000-0005-0000-0000-0000DD390000}"/>
    <cellStyle name="Normal 28 2 3" xfId="13303" xr:uid="{00000000-0005-0000-0000-0000DE390000}"/>
    <cellStyle name="Normal 28 2 3 2" xfId="29846" xr:uid="{00000000-0005-0000-0000-0000DF390000}"/>
    <cellStyle name="Normal 28 2 4" xfId="21803" xr:uid="{00000000-0005-0000-0000-0000E0390000}"/>
    <cellStyle name="Normal 28 3" xfId="3900" xr:uid="{00000000-0005-0000-0000-0000E1390000}"/>
    <cellStyle name="Normal 28 3 2" xfId="3901" xr:uid="{00000000-0005-0000-0000-0000E2390000}"/>
    <cellStyle name="Normal 28 3 2 2" xfId="3902" xr:uid="{00000000-0005-0000-0000-0000E3390000}"/>
    <cellStyle name="Normal 28 3 2 2 2" xfId="3903" xr:uid="{00000000-0005-0000-0000-0000E4390000}"/>
    <cellStyle name="Normal 28 3 2 2 2 2" xfId="7989" xr:uid="{00000000-0005-0000-0000-0000E5390000}"/>
    <cellStyle name="Normal 28 3 2 2 2 2 2" xfId="17167" xr:uid="{00000000-0005-0000-0000-0000E6390000}"/>
    <cellStyle name="Normal 28 3 2 2 2 2 2 2" xfId="33741" xr:uid="{00000000-0005-0000-0000-0000E7390000}"/>
    <cellStyle name="Normal 28 3 2 2 2 2 3" xfId="25694" xr:uid="{00000000-0005-0000-0000-0000E8390000}"/>
    <cellStyle name="Normal 28 3 2 2 2 3" xfId="13306" xr:uid="{00000000-0005-0000-0000-0000E9390000}"/>
    <cellStyle name="Normal 28 3 2 2 2 3 2" xfId="29849" xr:uid="{00000000-0005-0000-0000-0000EA390000}"/>
    <cellStyle name="Normal 28 3 2 2 2 4" xfId="21806" xr:uid="{00000000-0005-0000-0000-0000EB390000}"/>
    <cellStyle name="Normal 28 3 2 2 3" xfId="7990" xr:uid="{00000000-0005-0000-0000-0000EC390000}"/>
    <cellStyle name="Normal 28 3 2 2 3 2" xfId="17168" xr:uid="{00000000-0005-0000-0000-0000ED390000}"/>
    <cellStyle name="Normal 28 3 2 2 3 2 2" xfId="33742" xr:uid="{00000000-0005-0000-0000-0000EE390000}"/>
    <cellStyle name="Normal 28 3 2 2 3 3" xfId="25695" xr:uid="{00000000-0005-0000-0000-0000EF390000}"/>
    <cellStyle name="Normal 28 3 2 2 4" xfId="13305" xr:uid="{00000000-0005-0000-0000-0000F0390000}"/>
    <cellStyle name="Normal 28 3 2 2 4 2" xfId="29848" xr:uid="{00000000-0005-0000-0000-0000F1390000}"/>
    <cellStyle name="Normal 28 3 2 2 5" xfId="21805" xr:uid="{00000000-0005-0000-0000-0000F2390000}"/>
    <cellStyle name="Normal 28 3 2 3" xfId="3904" xr:uid="{00000000-0005-0000-0000-0000F3390000}"/>
    <cellStyle name="Normal 28 3 2 3 2" xfId="7991" xr:uid="{00000000-0005-0000-0000-0000F4390000}"/>
    <cellStyle name="Normal 28 3 2 3 2 2" xfId="17169" xr:uid="{00000000-0005-0000-0000-0000F5390000}"/>
    <cellStyle name="Normal 28 3 2 3 2 2 2" xfId="33743" xr:uid="{00000000-0005-0000-0000-0000F6390000}"/>
    <cellStyle name="Normal 28 3 2 3 2 3" xfId="25696" xr:uid="{00000000-0005-0000-0000-0000F7390000}"/>
    <cellStyle name="Normal 28 3 2 3 3" xfId="13307" xr:uid="{00000000-0005-0000-0000-0000F8390000}"/>
    <cellStyle name="Normal 28 3 2 3 3 2" xfId="29850" xr:uid="{00000000-0005-0000-0000-0000F9390000}"/>
    <cellStyle name="Normal 28 3 2 3 4" xfId="21807" xr:uid="{00000000-0005-0000-0000-0000FA390000}"/>
    <cellStyle name="Normal 28 3 2 4" xfId="7992" xr:uid="{00000000-0005-0000-0000-0000FB390000}"/>
    <cellStyle name="Normal 28 3 2 4 2" xfId="17170" xr:uid="{00000000-0005-0000-0000-0000FC390000}"/>
    <cellStyle name="Normal 28 3 2 4 2 2" xfId="33744" xr:uid="{00000000-0005-0000-0000-0000FD390000}"/>
    <cellStyle name="Normal 28 3 2 4 3" xfId="25697" xr:uid="{00000000-0005-0000-0000-0000FE390000}"/>
    <cellStyle name="Normal 28 3 2 5" xfId="13304" xr:uid="{00000000-0005-0000-0000-0000FF390000}"/>
    <cellStyle name="Normal 28 3 2 5 2" xfId="29847" xr:uid="{00000000-0005-0000-0000-0000003A0000}"/>
    <cellStyle name="Normal 28 3 2 6" xfId="21804" xr:uid="{00000000-0005-0000-0000-0000013A0000}"/>
    <cellStyle name="Normal 28 3 3" xfId="3905" xr:uid="{00000000-0005-0000-0000-0000023A0000}"/>
    <cellStyle name="Normal 28 3 3 2" xfId="3906" xr:uid="{00000000-0005-0000-0000-0000033A0000}"/>
    <cellStyle name="Normal 28 3 3 2 2" xfId="7993" xr:uid="{00000000-0005-0000-0000-0000043A0000}"/>
    <cellStyle name="Normal 28 3 3 2 2 2" xfId="17171" xr:uid="{00000000-0005-0000-0000-0000053A0000}"/>
    <cellStyle name="Normal 28 3 3 2 2 2 2" xfId="33745" xr:uid="{00000000-0005-0000-0000-0000063A0000}"/>
    <cellStyle name="Normal 28 3 3 2 2 3" xfId="25698" xr:uid="{00000000-0005-0000-0000-0000073A0000}"/>
    <cellStyle name="Normal 28 3 3 2 3" xfId="13309" xr:uid="{00000000-0005-0000-0000-0000083A0000}"/>
    <cellStyle name="Normal 28 3 3 2 3 2" xfId="29852" xr:uid="{00000000-0005-0000-0000-0000093A0000}"/>
    <cellStyle name="Normal 28 3 3 2 4" xfId="21809" xr:uid="{00000000-0005-0000-0000-00000A3A0000}"/>
    <cellStyle name="Normal 28 3 3 3" xfId="7994" xr:uid="{00000000-0005-0000-0000-00000B3A0000}"/>
    <cellStyle name="Normal 28 3 3 3 2" xfId="17172" xr:uid="{00000000-0005-0000-0000-00000C3A0000}"/>
    <cellStyle name="Normal 28 3 3 3 2 2" xfId="33746" xr:uid="{00000000-0005-0000-0000-00000D3A0000}"/>
    <cellStyle name="Normal 28 3 3 3 3" xfId="25699" xr:uid="{00000000-0005-0000-0000-00000E3A0000}"/>
    <cellStyle name="Normal 28 3 3 4" xfId="13308" xr:uid="{00000000-0005-0000-0000-00000F3A0000}"/>
    <cellStyle name="Normal 28 3 3 4 2" xfId="29851" xr:uid="{00000000-0005-0000-0000-0000103A0000}"/>
    <cellStyle name="Normal 28 3 3 5" xfId="21808" xr:uid="{00000000-0005-0000-0000-0000113A0000}"/>
    <cellStyle name="Normal 28 3 4" xfId="3907" xr:uid="{00000000-0005-0000-0000-0000123A0000}"/>
    <cellStyle name="Normal 28 3 4 2" xfId="7995" xr:uid="{00000000-0005-0000-0000-0000133A0000}"/>
    <cellStyle name="Normal 28 3 4 2 2" xfId="17173" xr:uid="{00000000-0005-0000-0000-0000143A0000}"/>
    <cellStyle name="Normal 28 3 4 2 2 2" xfId="33747" xr:uid="{00000000-0005-0000-0000-0000153A0000}"/>
    <cellStyle name="Normal 28 3 4 2 3" xfId="25700" xr:uid="{00000000-0005-0000-0000-0000163A0000}"/>
    <cellStyle name="Normal 28 3 4 3" xfId="13310" xr:uid="{00000000-0005-0000-0000-0000173A0000}"/>
    <cellStyle name="Normal 28 3 4 3 2" xfId="29853" xr:uid="{00000000-0005-0000-0000-0000183A0000}"/>
    <cellStyle name="Normal 28 3 4 4" xfId="21810" xr:uid="{00000000-0005-0000-0000-0000193A0000}"/>
    <cellStyle name="Normal 28 3 5" xfId="3908" xr:uid="{00000000-0005-0000-0000-00001A3A0000}"/>
    <cellStyle name="Normal 28 3 5 2" xfId="13311" xr:uid="{00000000-0005-0000-0000-00001B3A0000}"/>
    <cellStyle name="Normal 28 3 5 2 2" xfId="29854" xr:uid="{00000000-0005-0000-0000-00001C3A0000}"/>
    <cellStyle name="Normal 28 3 5 3" xfId="21811" xr:uid="{00000000-0005-0000-0000-00001D3A0000}"/>
    <cellStyle name="Normal 28 4" xfId="3909" xr:uid="{00000000-0005-0000-0000-00001E3A0000}"/>
    <cellStyle name="Normal 28 4 2" xfId="3910" xr:uid="{00000000-0005-0000-0000-00001F3A0000}"/>
    <cellStyle name="Normal 28 4 2 2" xfId="3911" xr:uid="{00000000-0005-0000-0000-0000203A0000}"/>
    <cellStyle name="Normal 28 4 2 2 2" xfId="3912" xr:uid="{00000000-0005-0000-0000-0000213A0000}"/>
    <cellStyle name="Normal 28 4 2 2 2 2" xfId="7996" xr:uid="{00000000-0005-0000-0000-0000223A0000}"/>
    <cellStyle name="Normal 28 4 2 2 2 2 2" xfId="17174" xr:uid="{00000000-0005-0000-0000-0000233A0000}"/>
    <cellStyle name="Normal 28 4 2 2 2 2 2 2" xfId="33748" xr:uid="{00000000-0005-0000-0000-0000243A0000}"/>
    <cellStyle name="Normal 28 4 2 2 2 2 3" xfId="25701" xr:uid="{00000000-0005-0000-0000-0000253A0000}"/>
    <cellStyle name="Normal 28 4 2 2 2 3" xfId="13315" xr:uid="{00000000-0005-0000-0000-0000263A0000}"/>
    <cellStyle name="Normal 28 4 2 2 2 3 2" xfId="29858" xr:uid="{00000000-0005-0000-0000-0000273A0000}"/>
    <cellStyle name="Normal 28 4 2 2 2 4" xfId="21815" xr:uid="{00000000-0005-0000-0000-0000283A0000}"/>
    <cellStyle name="Normal 28 4 2 2 3" xfId="7997" xr:uid="{00000000-0005-0000-0000-0000293A0000}"/>
    <cellStyle name="Normal 28 4 2 2 3 2" xfId="17175" xr:uid="{00000000-0005-0000-0000-00002A3A0000}"/>
    <cellStyle name="Normal 28 4 2 2 3 2 2" xfId="33749" xr:uid="{00000000-0005-0000-0000-00002B3A0000}"/>
    <cellStyle name="Normal 28 4 2 2 3 3" xfId="25702" xr:uid="{00000000-0005-0000-0000-00002C3A0000}"/>
    <cellStyle name="Normal 28 4 2 2 4" xfId="13314" xr:uid="{00000000-0005-0000-0000-00002D3A0000}"/>
    <cellStyle name="Normal 28 4 2 2 4 2" xfId="29857" xr:uid="{00000000-0005-0000-0000-00002E3A0000}"/>
    <cellStyle name="Normal 28 4 2 2 5" xfId="21814" xr:uid="{00000000-0005-0000-0000-00002F3A0000}"/>
    <cellStyle name="Normal 28 4 2 3" xfId="3913" xr:uid="{00000000-0005-0000-0000-0000303A0000}"/>
    <cellStyle name="Normal 28 4 2 3 2" xfId="7998" xr:uid="{00000000-0005-0000-0000-0000313A0000}"/>
    <cellStyle name="Normal 28 4 2 3 2 2" xfId="17176" xr:uid="{00000000-0005-0000-0000-0000323A0000}"/>
    <cellStyle name="Normal 28 4 2 3 2 2 2" xfId="33750" xr:uid="{00000000-0005-0000-0000-0000333A0000}"/>
    <cellStyle name="Normal 28 4 2 3 2 3" xfId="25703" xr:uid="{00000000-0005-0000-0000-0000343A0000}"/>
    <cellStyle name="Normal 28 4 2 3 3" xfId="13316" xr:uid="{00000000-0005-0000-0000-0000353A0000}"/>
    <cellStyle name="Normal 28 4 2 3 3 2" xfId="29859" xr:uid="{00000000-0005-0000-0000-0000363A0000}"/>
    <cellStyle name="Normal 28 4 2 3 4" xfId="21816" xr:uid="{00000000-0005-0000-0000-0000373A0000}"/>
    <cellStyle name="Normal 28 4 2 4" xfId="7999" xr:uid="{00000000-0005-0000-0000-0000383A0000}"/>
    <cellStyle name="Normal 28 4 2 4 2" xfId="17177" xr:uid="{00000000-0005-0000-0000-0000393A0000}"/>
    <cellStyle name="Normal 28 4 2 4 2 2" xfId="33751" xr:uid="{00000000-0005-0000-0000-00003A3A0000}"/>
    <cellStyle name="Normal 28 4 2 4 3" xfId="25704" xr:uid="{00000000-0005-0000-0000-00003B3A0000}"/>
    <cellStyle name="Normal 28 4 2 5" xfId="13313" xr:uid="{00000000-0005-0000-0000-00003C3A0000}"/>
    <cellStyle name="Normal 28 4 2 5 2" xfId="29856" xr:uid="{00000000-0005-0000-0000-00003D3A0000}"/>
    <cellStyle name="Normal 28 4 2 6" xfId="21813" xr:uid="{00000000-0005-0000-0000-00003E3A0000}"/>
    <cellStyle name="Normal 28 4 3" xfId="3914" xr:uid="{00000000-0005-0000-0000-00003F3A0000}"/>
    <cellStyle name="Normal 28 4 3 2" xfId="3915" xr:uid="{00000000-0005-0000-0000-0000403A0000}"/>
    <cellStyle name="Normal 28 4 3 2 2" xfId="8000" xr:uid="{00000000-0005-0000-0000-0000413A0000}"/>
    <cellStyle name="Normal 28 4 3 2 2 2" xfId="17178" xr:uid="{00000000-0005-0000-0000-0000423A0000}"/>
    <cellStyle name="Normal 28 4 3 2 2 2 2" xfId="33752" xr:uid="{00000000-0005-0000-0000-0000433A0000}"/>
    <cellStyle name="Normal 28 4 3 2 2 3" xfId="25705" xr:uid="{00000000-0005-0000-0000-0000443A0000}"/>
    <cellStyle name="Normal 28 4 3 2 3" xfId="13318" xr:uid="{00000000-0005-0000-0000-0000453A0000}"/>
    <cellStyle name="Normal 28 4 3 2 3 2" xfId="29861" xr:uid="{00000000-0005-0000-0000-0000463A0000}"/>
    <cellStyle name="Normal 28 4 3 2 4" xfId="21818" xr:uid="{00000000-0005-0000-0000-0000473A0000}"/>
    <cellStyle name="Normal 28 4 3 3" xfId="8001" xr:uid="{00000000-0005-0000-0000-0000483A0000}"/>
    <cellStyle name="Normal 28 4 3 3 2" xfId="17179" xr:uid="{00000000-0005-0000-0000-0000493A0000}"/>
    <cellStyle name="Normal 28 4 3 3 2 2" xfId="33753" xr:uid="{00000000-0005-0000-0000-00004A3A0000}"/>
    <cellStyle name="Normal 28 4 3 3 3" xfId="25706" xr:uid="{00000000-0005-0000-0000-00004B3A0000}"/>
    <cellStyle name="Normal 28 4 3 4" xfId="13317" xr:uid="{00000000-0005-0000-0000-00004C3A0000}"/>
    <cellStyle name="Normal 28 4 3 4 2" xfId="29860" xr:uid="{00000000-0005-0000-0000-00004D3A0000}"/>
    <cellStyle name="Normal 28 4 3 5" xfId="21817" xr:uid="{00000000-0005-0000-0000-00004E3A0000}"/>
    <cellStyle name="Normal 28 4 4" xfId="3916" xr:uid="{00000000-0005-0000-0000-00004F3A0000}"/>
    <cellStyle name="Normal 28 4 4 2" xfId="8002" xr:uid="{00000000-0005-0000-0000-0000503A0000}"/>
    <cellStyle name="Normal 28 4 4 2 2" xfId="17180" xr:uid="{00000000-0005-0000-0000-0000513A0000}"/>
    <cellStyle name="Normal 28 4 4 2 2 2" xfId="33754" xr:uid="{00000000-0005-0000-0000-0000523A0000}"/>
    <cellStyle name="Normal 28 4 4 2 3" xfId="25707" xr:uid="{00000000-0005-0000-0000-0000533A0000}"/>
    <cellStyle name="Normal 28 4 4 3" xfId="13319" xr:uid="{00000000-0005-0000-0000-0000543A0000}"/>
    <cellStyle name="Normal 28 4 4 3 2" xfId="29862" xr:uid="{00000000-0005-0000-0000-0000553A0000}"/>
    <cellStyle name="Normal 28 4 4 4" xfId="21819" xr:uid="{00000000-0005-0000-0000-0000563A0000}"/>
    <cellStyle name="Normal 28 4 5" xfId="8003" xr:uid="{00000000-0005-0000-0000-0000573A0000}"/>
    <cellStyle name="Normal 28 4 5 2" xfId="17181" xr:uid="{00000000-0005-0000-0000-0000583A0000}"/>
    <cellStyle name="Normal 28 4 5 2 2" xfId="33755" xr:uid="{00000000-0005-0000-0000-0000593A0000}"/>
    <cellStyle name="Normal 28 4 5 3" xfId="25708" xr:uid="{00000000-0005-0000-0000-00005A3A0000}"/>
    <cellStyle name="Normal 28 4 6" xfId="13312" xr:uid="{00000000-0005-0000-0000-00005B3A0000}"/>
    <cellStyle name="Normal 28 4 6 2" xfId="29855" xr:uid="{00000000-0005-0000-0000-00005C3A0000}"/>
    <cellStyle name="Normal 28 4 7" xfId="21812" xr:uid="{00000000-0005-0000-0000-00005D3A0000}"/>
    <cellStyle name="Normal 28 5" xfId="3917" xr:uid="{00000000-0005-0000-0000-00005E3A0000}"/>
    <cellStyle name="Normal 28 5 2" xfId="3918" xr:uid="{00000000-0005-0000-0000-00005F3A0000}"/>
    <cellStyle name="Normal 28 5 2 2" xfId="3919" xr:uid="{00000000-0005-0000-0000-0000603A0000}"/>
    <cellStyle name="Normal 28 5 2 2 2" xfId="3920" xr:uid="{00000000-0005-0000-0000-0000613A0000}"/>
    <cellStyle name="Normal 28 5 2 2 2 2" xfId="8004" xr:uid="{00000000-0005-0000-0000-0000623A0000}"/>
    <cellStyle name="Normal 28 5 2 2 2 2 2" xfId="17182" xr:uid="{00000000-0005-0000-0000-0000633A0000}"/>
    <cellStyle name="Normal 28 5 2 2 2 2 2 2" xfId="33756" xr:uid="{00000000-0005-0000-0000-0000643A0000}"/>
    <cellStyle name="Normal 28 5 2 2 2 2 3" xfId="25709" xr:uid="{00000000-0005-0000-0000-0000653A0000}"/>
    <cellStyle name="Normal 28 5 2 2 2 3" xfId="13323" xr:uid="{00000000-0005-0000-0000-0000663A0000}"/>
    <cellStyle name="Normal 28 5 2 2 2 3 2" xfId="29866" xr:uid="{00000000-0005-0000-0000-0000673A0000}"/>
    <cellStyle name="Normal 28 5 2 2 2 4" xfId="21823" xr:uid="{00000000-0005-0000-0000-0000683A0000}"/>
    <cellStyle name="Normal 28 5 2 2 3" xfId="8005" xr:uid="{00000000-0005-0000-0000-0000693A0000}"/>
    <cellStyle name="Normal 28 5 2 2 3 2" xfId="17183" xr:uid="{00000000-0005-0000-0000-00006A3A0000}"/>
    <cellStyle name="Normal 28 5 2 2 3 2 2" xfId="33757" xr:uid="{00000000-0005-0000-0000-00006B3A0000}"/>
    <cellStyle name="Normal 28 5 2 2 3 3" xfId="25710" xr:uid="{00000000-0005-0000-0000-00006C3A0000}"/>
    <cellStyle name="Normal 28 5 2 2 4" xfId="13322" xr:uid="{00000000-0005-0000-0000-00006D3A0000}"/>
    <cellStyle name="Normal 28 5 2 2 4 2" xfId="29865" xr:uid="{00000000-0005-0000-0000-00006E3A0000}"/>
    <cellStyle name="Normal 28 5 2 2 5" xfId="21822" xr:uid="{00000000-0005-0000-0000-00006F3A0000}"/>
    <cellStyle name="Normal 28 5 2 3" xfId="3921" xr:uid="{00000000-0005-0000-0000-0000703A0000}"/>
    <cellStyle name="Normal 28 5 2 3 2" xfId="8006" xr:uid="{00000000-0005-0000-0000-0000713A0000}"/>
    <cellStyle name="Normal 28 5 2 3 2 2" xfId="17184" xr:uid="{00000000-0005-0000-0000-0000723A0000}"/>
    <cellStyle name="Normal 28 5 2 3 2 2 2" xfId="33758" xr:uid="{00000000-0005-0000-0000-0000733A0000}"/>
    <cellStyle name="Normal 28 5 2 3 2 3" xfId="25711" xr:uid="{00000000-0005-0000-0000-0000743A0000}"/>
    <cellStyle name="Normal 28 5 2 3 3" xfId="13324" xr:uid="{00000000-0005-0000-0000-0000753A0000}"/>
    <cellStyle name="Normal 28 5 2 3 3 2" xfId="29867" xr:uid="{00000000-0005-0000-0000-0000763A0000}"/>
    <cellStyle name="Normal 28 5 2 3 4" xfId="21824" xr:uid="{00000000-0005-0000-0000-0000773A0000}"/>
    <cellStyle name="Normal 28 5 2 4" xfId="8007" xr:uid="{00000000-0005-0000-0000-0000783A0000}"/>
    <cellStyle name="Normal 28 5 2 4 2" xfId="17185" xr:uid="{00000000-0005-0000-0000-0000793A0000}"/>
    <cellStyle name="Normal 28 5 2 4 2 2" xfId="33759" xr:uid="{00000000-0005-0000-0000-00007A3A0000}"/>
    <cellStyle name="Normal 28 5 2 4 3" xfId="25712" xr:uid="{00000000-0005-0000-0000-00007B3A0000}"/>
    <cellStyle name="Normal 28 5 2 5" xfId="13321" xr:uid="{00000000-0005-0000-0000-00007C3A0000}"/>
    <cellStyle name="Normal 28 5 2 5 2" xfId="29864" xr:uid="{00000000-0005-0000-0000-00007D3A0000}"/>
    <cellStyle name="Normal 28 5 2 6" xfId="21821" xr:uid="{00000000-0005-0000-0000-00007E3A0000}"/>
    <cellStyle name="Normal 28 5 3" xfId="3922" xr:uid="{00000000-0005-0000-0000-00007F3A0000}"/>
    <cellStyle name="Normal 28 5 3 2" xfId="3923" xr:uid="{00000000-0005-0000-0000-0000803A0000}"/>
    <cellStyle name="Normal 28 5 3 2 2" xfId="8008" xr:uid="{00000000-0005-0000-0000-0000813A0000}"/>
    <cellStyle name="Normal 28 5 3 2 2 2" xfId="17186" xr:uid="{00000000-0005-0000-0000-0000823A0000}"/>
    <cellStyle name="Normal 28 5 3 2 2 2 2" xfId="33760" xr:uid="{00000000-0005-0000-0000-0000833A0000}"/>
    <cellStyle name="Normal 28 5 3 2 2 3" xfId="25713" xr:uid="{00000000-0005-0000-0000-0000843A0000}"/>
    <cellStyle name="Normal 28 5 3 2 3" xfId="13326" xr:uid="{00000000-0005-0000-0000-0000853A0000}"/>
    <cellStyle name="Normal 28 5 3 2 3 2" xfId="29869" xr:uid="{00000000-0005-0000-0000-0000863A0000}"/>
    <cellStyle name="Normal 28 5 3 2 4" xfId="21826" xr:uid="{00000000-0005-0000-0000-0000873A0000}"/>
    <cellStyle name="Normal 28 5 3 3" xfId="8009" xr:uid="{00000000-0005-0000-0000-0000883A0000}"/>
    <cellStyle name="Normal 28 5 3 3 2" xfId="17187" xr:uid="{00000000-0005-0000-0000-0000893A0000}"/>
    <cellStyle name="Normal 28 5 3 3 2 2" xfId="33761" xr:uid="{00000000-0005-0000-0000-00008A3A0000}"/>
    <cellStyle name="Normal 28 5 3 3 3" xfId="25714" xr:uid="{00000000-0005-0000-0000-00008B3A0000}"/>
    <cellStyle name="Normal 28 5 3 4" xfId="13325" xr:uid="{00000000-0005-0000-0000-00008C3A0000}"/>
    <cellStyle name="Normal 28 5 3 4 2" xfId="29868" xr:uid="{00000000-0005-0000-0000-00008D3A0000}"/>
    <cellStyle name="Normal 28 5 3 5" xfId="21825" xr:uid="{00000000-0005-0000-0000-00008E3A0000}"/>
    <cellStyle name="Normal 28 5 4" xfId="3924" xr:uid="{00000000-0005-0000-0000-00008F3A0000}"/>
    <cellStyle name="Normal 28 5 4 2" xfId="8010" xr:uid="{00000000-0005-0000-0000-0000903A0000}"/>
    <cellStyle name="Normal 28 5 4 2 2" xfId="17188" xr:uid="{00000000-0005-0000-0000-0000913A0000}"/>
    <cellStyle name="Normal 28 5 4 2 2 2" xfId="33762" xr:uid="{00000000-0005-0000-0000-0000923A0000}"/>
    <cellStyle name="Normal 28 5 4 2 3" xfId="25715" xr:uid="{00000000-0005-0000-0000-0000933A0000}"/>
    <cellStyle name="Normal 28 5 4 3" xfId="13327" xr:uid="{00000000-0005-0000-0000-0000943A0000}"/>
    <cellStyle name="Normal 28 5 4 3 2" xfId="29870" xr:uid="{00000000-0005-0000-0000-0000953A0000}"/>
    <cellStyle name="Normal 28 5 4 4" xfId="21827" xr:uid="{00000000-0005-0000-0000-0000963A0000}"/>
    <cellStyle name="Normal 28 5 5" xfId="8011" xr:uid="{00000000-0005-0000-0000-0000973A0000}"/>
    <cellStyle name="Normal 28 5 5 2" xfId="17189" xr:uid="{00000000-0005-0000-0000-0000983A0000}"/>
    <cellStyle name="Normal 28 5 5 2 2" xfId="33763" xr:uid="{00000000-0005-0000-0000-0000993A0000}"/>
    <cellStyle name="Normal 28 5 5 3" xfId="25716" xr:uid="{00000000-0005-0000-0000-00009A3A0000}"/>
    <cellStyle name="Normal 28 5 6" xfId="13320" xr:uid="{00000000-0005-0000-0000-00009B3A0000}"/>
    <cellStyle name="Normal 28 5 6 2" xfId="29863" xr:uid="{00000000-0005-0000-0000-00009C3A0000}"/>
    <cellStyle name="Normal 28 5 7" xfId="21820" xr:uid="{00000000-0005-0000-0000-00009D3A0000}"/>
    <cellStyle name="Normal 28 6" xfId="3925" xr:uid="{00000000-0005-0000-0000-00009E3A0000}"/>
    <cellStyle name="Normal 28 6 2" xfId="3926" xr:uid="{00000000-0005-0000-0000-00009F3A0000}"/>
    <cellStyle name="Normal 28 6 2 2" xfId="3927" xr:uid="{00000000-0005-0000-0000-0000A03A0000}"/>
    <cellStyle name="Normal 28 6 2 2 2" xfId="8012" xr:uid="{00000000-0005-0000-0000-0000A13A0000}"/>
    <cellStyle name="Normal 28 6 2 2 2 2" xfId="17190" xr:uid="{00000000-0005-0000-0000-0000A23A0000}"/>
    <cellStyle name="Normal 28 6 2 2 2 2 2" xfId="33764" xr:uid="{00000000-0005-0000-0000-0000A33A0000}"/>
    <cellStyle name="Normal 28 6 2 2 2 3" xfId="25717" xr:uid="{00000000-0005-0000-0000-0000A43A0000}"/>
    <cellStyle name="Normal 28 6 2 2 3" xfId="13330" xr:uid="{00000000-0005-0000-0000-0000A53A0000}"/>
    <cellStyle name="Normal 28 6 2 2 3 2" xfId="29873" xr:uid="{00000000-0005-0000-0000-0000A63A0000}"/>
    <cellStyle name="Normal 28 6 2 2 4" xfId="21830" xr:uid="{00000000-0005-0000-0000-0000A73A0000}"/>
    <cellStyle name="Normal 28 6 2 3" xfId="8013" xr:uid="{00000000-0005-0000-0000-0000A83A0000}"/>
    <cellStyle name="Normal 28 6 2 3 2" xfId="17191" xr:uid="{00000000-0005-0000-0000-0000A93A0000}"/>
    <cellStyle name="Normal 28 6 2 3 2 2" xfId="33765" xr:uid="{00000000-0005-0000-0000-0000AA3A0000}"/>
    <cellStyle name="Normal 28 6 2 3 3" xfId="25718" xr:uid="{00000000-0005-0000-0000-0000AB3A0000}"/>
    <cellStyle name="Normal 28 6 2 4" xfId="13329" xr:uid="{00000000-0005-0000-0000-0000AC3A0000}"/>
    <cellStyle name="Normal 28 6 2 4 2" xfId="29872" xr:uid="{00000000-0005-0000-0000-0000AD3A0000}"/>
    <cellStyle name="Normal 28 6 2 5" xfId="21829" xr:uid="{00000000-0005-0000-0000-0000AE3A0000}"/>
    <cellStyle name="Normal 28 6 3" xfId="3928" xr:uid="{00000000-0005-0000-0000-0000AF3A0000}"/>
    <cellStyle name="Normal 28 6 3 2" xfId="8014" xr:uid="{00000000-0005-0000-0000-0000B03A0000}"/>
    <cellStyle name="Normal 28 6 3 2 2" xfId="17192" xr:uid="{00000000-0005-0000-0000-0000B13A0000}"/>
    <cellStyle name="Normal 28 6 3 2 2 2" xfId="33766" xr:uid="{00000000-0005-0000-0000-0000B23A0000}"/>
    <cellStyle name="Normal 28 6 3 2 3" xfId="25719" xr:uid="{00000000-0005-0000-0000-0000B33A0000}"/>
    <cellStyle name="Normal 28 6 3 3" xfId="13331" xr:uid="{00000000-0005-0000-0000-0000B43A0000}"/>
    <cellStyle name="Normal 28 6 3 3 2" xfId="29874" xr:uid="{00000000-0005-0000-0000-0000B53A0000}"/>
    <cellStyle name="Normal 28 6 3 4" xfId="21831" xr:uid="{00000000-0005-0000-0000-0000B63A0000}"/>
    <cellStyle name="Normal 28 6 4" xfId="8015" xr:uid="{00000000-0005-0000-0000-0000B73A0000}"/>
    <cellStyle name="Normal 28 6 4 2" xfId="17193" xr:uid="{00000000-0005-0000-0000-0000B83A0000}"/>
    <cellStyle name="Normal 28 6 4 2 2" xfId="33767" xr:uid="{00000000-0005-0000-0000-0000B93A0000}"/>
    <cellStyle name="Normal 28 6 4 3" xfId="25720" xr:uid="{00000000-0005-0000-0000-0000BA3A0000}"/>
    <cellStyle name="Normal 28 6 5" xfId="13328" xr:uid="{00000000-0005-0000-0000-0000BB3A0000}"/>
    <cellStyle name="Normal 28 6 5 2" xfId="29871" xr:uid="{00000000-0005-0000-0000-0000BC3A0000}"/>
    <cellStyle name="Normal 28 6 6" xfId="21828" xr:uid="{00000000-0005-0000-0000-0000BD3A0000}"/>
    <cellStyle name="Normal 28 7" xfId="3929" xr:uid="{00000000-0005-0000-0000-0000BE3A0000}"/>
    <cellStyle name="Normal 28 7 2" xfId="3930" xr:uid="{00000000-0005-0000-0000-0000BF3A0000}"/>
    <cellStyle name="Normal 28 7 2 2" xfId="8016" xr:uid="{00000000-0005-0000-0000-0000C03A0000}"/>
    <cellStyle name="Normal 28 7 2 2 2" xfId="17194" xr:uid="{00000000-0005-0000-0000-0000C13A0000}"/>
    <cellStyle name="Normal 28 7 2 2 2 2" xfId="33768" xr:uid="{00000000-0005-0000-0000-0000C23A0000}"/>
    <cellStyle name="Normal 28 7 2 2 3" xfId="25721" xr:uid="{00000000-0005-0000-0000-0000C33A0000}"/>
    <cellStyle name="Normal 28 7 2 3" xfId="13333" xr:uid="{00000000-0005-0000-0000-0000C43A0000}"/>
    <cellStyle name="Normal 28 7 2 3 2" xfId="29876" xr:uid="{00000000-0005-0000-0000-0000C53A0000}"/>
    <cellStyle name="Normal 28 7 2 4" xfId="21833" xr:uid="{00000000-0005-0000-0000-0000C63A0000}"/>
    <cellStyle name="Normal 28 7 3" xfId="8017" xr:uid="{00000000-0005-0000-0000-0000C73A0000}"/>
    <cellStyle name="Normal 28 7 3 2" xfId="17195" xr:uid="{00000000-0005-0000-0000-0000C83A0000}"/>
    <cellStyle name="Normal 28 7 3 2 2" xfId="33769" xr:uid="{00000000-0005-0000-0000-0000C93A0000}"/>
    <cellStyle name="Normal 28 7 3 3" xfId="25722" xr:uid="{00000000-0005-0000-0000-0000CA3A0000}"/>
    <cellStyle name="Normal 28 7 4" xfId="13332" xr:uid="{00000000-0005-0000-0000-0000CB3A0000}"/>
    <cellStyle name="Normal 28 7 4 2" xfId="29875" xr:uid="{00000000-0005-0000-0000-0000CC3A0000}"/>
    <cellStyle name="Normal 28 7 5" xfId="21832" xr:uid="{00000000-0005-0000-0000-0000CD3A0000}"/>
    <cellStyle name="Normal 28 8" xfId="3931" xr:uid="{00000000-0005-0000-0000-0000CE3A0000}"/>
    <cellStyle name="Normal 28 8 2" xfId="8018" xr:uid="{00000000-0005-0000-0000-0000CF3A0000}"/>
    <cellStyle name="Normal 28 8 2 2" xfId="17196" xr:uid="{00000000-0005-0000-0000-0000D03A0000}"/>
    <cellStyle name="Normal 28 8 2 2 2" xfId="33770" xr:uid="{00000000-0005-0000-0000-0000D13A0000}"/>
    <cellStyle name="Normal 28 8 2 3" xfId="25723" xr:uid="{00000000-0005-0000-0000-0000D23A0000}"/>
    <cellStyle name="Normal 28 8 3" xfId="13334" xr:uid="{00000000-0005-0000-0000-0000D33A0000}"/>
    <cellStyle name="Normal 28 8 3 2" xfId="29877" xr:uid="{00000000-0005-0000-0000-0000D43A0000}"/>
    <cellStyle name="Normal 28 8 4" xfId="21834" xr:uid="{00000000-0005-0000-0000-0000D53A0000}"/>
    <cellStyle name="Normal 28 9" xfId="8019" xr:uid="{00000000-0005-0000-0000-0000D63A0000}"/>
    <cellStyle name="Normal 28 9 2" xfId="17197" xr:uid="{00000000-0005-0000-0000-0000D73A0000}"/>
    <cellStyle name="Normal 28 9 2 2" xfId="33771" xr:uid="{00000000-0005-0000-0000-0000D83A0000}"/>
    <cellStyle name="Normal 28 9 3" xfId="25724" xr:uid="{00000000-0005-0000-0000-0000D93A0000}"/>
    <cellStyle name="Normal 280" xfId="10844" xr:uid="{00000000-0005-0000-0000-0000DA3A0000}"/>
    <cellStyle name="Normal 281" xfId="10847" xr:uid="{00000000-0005-0000-0000-0000DB3A0000}"/>
    <cellStyle name="Normal 282" xfId="10850" xr:uid="{00000000-0005-0000-0000-0000DC3A0000}"/>
    <cellStyle name="Normal 283" xfId="10853" xr:uid="{00000000-0005-0000-0000-0000DD3A0000}"/>
    <cellStyle name="Normal 284" xfId="10856" xr:uid="{00000000-0005-0000-0000-0000DE3A0000}"/>
    <cellStyle name="Normal 285" xfId="10859" xr:uid="{00000000-0005-0000-0000-0000DF3A0000}"/>
    <cellStyle name="Normal 286" xfId="10862" xr:uid="{00000000-0005-0000-0000-0000E03A0000}"/>
    <cellStyle name="Normal 287" xfId="10865" xr:uid="{00000000-0005-0000-0000-0000E13A0000}"/>
    <cellStyle name="Normal 288" xfId="10868" xr:uid="{00000000-0005-0000-0000-0000E23A0000}"/>
    <cellStyle name="Normal 289" xfId="10871" xr:uid="{00000000-0005-0000-0000-0000E33A0000}"/>
    <cellStyle name="Normal 29" xfId="3932" xr:uid="{00000000-0005-0000-0000-0000E43A0000}"/>
    <cellStyle name="Normal 29 10" xfId="13335" xr:uid="{00000000-0005-0000-0000-0000E53A0000}"/>
    <cellStyle name="Normal 29 10 2" xfId="29878" xr:uid="{00000000-0005-0000-0000-0000E63A0000}"/>
    <cellStyle name="Normal 29 11" xfId="21835" xr:uid="{00000000-0005-0000-0000-0000E73A0000}"/>
    <cellStyle name="Normal 29 2" xfId="3933" xr:uid="{00000000-0005-0000-0000-0000E83A0000}"/>
    <cellStyle name="Normal 29 2 2" xfId="3934" xr:uid="{00000000-0005-0000-0000-0000E93A0000}"/>
    <cellStyle name="Normal 29 2 3" xfId="13336" xr:uid="{00000000-0005-0000-0000-0000EA3A0000}"/>
    <cellStyle name="Normal 29 2 3 2" xfId="29879" xr:uid="{00000000-0005-0000-0000-0000EB3A0000}"/>
    <cellStyle name="Normal 29 2 4" xfId="21836" xr:uid="{00000000-0005-0000-0000-0000EC3A0000}"/>
    <cellStyle name="Normal 29 3" xfId="3935" xr:uid="{00000000-0005-0000-0000-0000ED3A0000}"/>
    <cellStyle name="Normal 29 3 2" xfId="3936" xr:uid="{00000000-0005-0000-0000-0000EE3A0000}"/>
    <cellStyle name="Normal 29 3 2 2" xfId="3937" xr:uid="{00000000-0005-0000-0000-0000EF3A0000}"/>
    <cellStyle name="Normal 29 3 2 2 2" xfId="3938" xr:uid="{00000000-0005-0000-0000-0000F03A0000}"/>
    <cellStyle name="Normal 29 3 2 2 2 2" xfId="8020" xr:uid="{00000000-0005-0000-0000-0000F13A0000}"/>
    <cellStyle name="Normal 29 3 2 2 2 2 2" xfId="17198" xr:uid="{00000000-0005-0000-0000-0000F23A0000}"/>
    <cellStyle name="Normal 29 3 2 2 2 2 2 2" xfId="33772" xr:uid="{00000000-0005-0000-0000-0000F33A0000}"/>
    <cellStyle name="Normal 29 3 2 2 2 2 3" xfId="25725" xr:uid="{00000000-0005-0000-0000-0000F43A0000}"/>
    <cellStyle name="Normal 29 3 2 2 2 3" xfId="13339" xr:uid="{00000000-0005-0000-0000-0000F53A0000}"/>
    <cellStyle name="Normal 29 3 2 2 2 3 2" xfId="29882" xr:uid="{00000000-0005-0000-0000-0000F63A0000}"/>
    <cellStyle name="Normal 29 3 2 2 2 4" xfId="21839" xr:uid="{00000000-0005-0000-0000-0000F73A0000}"/>
    <cellStyle name="Normal 29 3 2 2 3" xfId="8021" xr:uid="{00000000-0005-0000-0000-0000F83A0000}"/>
    <cellStyle name="Normal 29 3 2 2 3 2" xfId="17199" xr:uid="{00000000-0005-0000-0000-0000F93A0000}"/>
    <cellStyle name="Normal 29 3 2 2 3 2 2" xfId="33773" xr:uid="{00000000-0005-0000-0000-0000FA3A0000}"/>
    <cellStyle name="Normal 29 3 2 2 3 3" xfId="25726" xr:uid="{00000000-0005-0000-0000-0000FB3A0000}"/>
    <cellStyle name="Normal 29 3 2 2 4" xfId="13338" xr:uid="{00000000-0005-0000-0000-0000FC3A0000}"/>
    <cellStyle name="Normal 29 3 2 2 4 2" xfId="29881" xr:uid="{00000000-0005-0000-0000-0000FD3A0000}"/>
    <cellStyle name="Normal 29 3 2 2 5" xfId="21838" xr:uid="{00000000-0005-0000-0000-0000FE3A0000}"/>
    <cellStyle name="Normal 29 3 2 3" xfId="3939" xr:uid="{00000000-0005-0000-0000-0000FF3A0000}"/>
    <cellStyle name="Normal 29 3 2 3 2" xfId="8022" xr:uid="{00000000-0005-0000-0000-0000003B0000}"/>
    <cellStyle name="Normal 29 3 2 3 2 2" xfId="17200" xr:uid="{00000000-0005-0000-0000-0000013B0000}"/>
    <cellStyle name="Normal 29 3 2 3 2 2 2" xfId="33774" xr:uid="{00000000-0005-0000-0000-0000023B0000}"/>
    <cellStyle name="Normal 29 3 2 3 2 3" xfId="25727" xr:uid="{00000000-0005-0000-0000-0000033B0000}"/>
    <cellStyle name="Normal 29 3 2 3 3" xfId="13340" xr:uid="{00000000-0005-0000-0000-0000043B0000}"/>
    <cellStyle name="Normal 29 3 2 3 3 2" xfId="29883" xr:uid="{00000000-0005-0000-0000-0000053B0000}"/>
    <cellStyle name="Normal 29 3 2 3 4" xfId="21840" xr:uid="{00000000-0005-0000-0000-0000063B0000}"/>
    <cellStyle name="Normal 29 3 2 4" xfId="8023" xr:uid="{00000000-0005-0000-0000-0000073B0000}"/>
    <cellStyle name="Normal 29 3 2 4 2" xfId="17201" xr:uid="{00000000-0005-0000-0000-0000083B0000}"/>
    <cellStyle name="Normal 29 3 2 4 2 2" xfId="33775" xr:uid="{00000000-0005-0000-0000-0000093B0000}"/>
    <cellStyle name="Normal 29 3 2 4 3" xfId="25728" xr:uid="{00000000-0005-0000-0000-00000A3B0000}"/>
    <cellStyle name="Normal 29 3 2 5" xfId="13337" xr:uid="{00000000-0005-0000-0000-00000B3B0000}"/>
    <cellStyle name="Normal 29 3 2 5 2" xfId="29880" xr:uid="{00000000-0005-0000-0000-00000C3B0000}"/>
    <cellStyle name="Normal 29 3 2 6" xfId="21837" xr:uid="{00000000-0005-0000-0000-00000D3B0000}"/>
    <cellStyle name="Normal 29 3 3" xfId="3940" xr:uid="{00000000-0005-0000-0000-00000E3B0000}"/>
    <cellStyle name="Normal 29 3 3 2" xfId="3941" xr:uid="{00000000-0005-0000-0000-00000F3B0000}"/>
    <cellStyle name="Normal 29 3 3 2 2" xfId="8024" xr:uid="{00000000-0005-0000-0000-0000103B0000}"/>
    <cellStyle name="Normal 29 3 3 2 2 2" xfId="17202" xr:uid="{00000000-0005-0000-0000-0000113B0000}"/>
    <cellStyle name="Normal 29 3 3 2 2 2 2" xfId="33776" xr:uid="{00000000-0005-0000-0000-0000123B0000}"/>
    <cellStyle name="Normal 29 3 3 2 2 3" xfId="25729" xr:uid="{00000000-0005-0000-0000-0000133B0000}"/>
    <cellStyle name="Normal 29 3 3 2 3" xfId="13342" xr:uid="{00000000-0005-0000-0000-0000143B0000}"/>
    <cellStyle name="Normal 29 3 3 2 3 2" xfId="29885" xr:uid="{00000000-0005-0000-0000-0000153B0000}"/>
    <cellStyle name="Normal 29 3 3 2 4" xfId="21842" xr:uid="{00000000-0005-0000-0000-0000163B0000}"/>
    <cellStyle name="Normal 29 3 3 3" xfId="8025" xr:uid="{00000000-0005-0000-0000-0000173B0000}"/>
    <cellStyle name="Normal 29 3 3 3 2" xfId="17203" xr:uid="{00000000-0005-0000-0000-0000183B0000}"/>
    <cellStyle name="Normal 29 3 3 3 2 2" xfId="33777" xr:uid="{00000000-0005-0000-0000-0000193B0000}"/>
    <cellStyle name="Normal 29 3 3 3 3" xfId="25730" xr:uid="{00000000-0005-0000-0000-00001A3B0000}"/>
    <cellStyle name="Normal 29 3 3 4" xfId="13341" xr:uid="{00000000-0005-0000-0000-00001B3B0000}"/>
    <cellStyle name="Normal 29 3 3 4 2" xfId="29884" xr:uid="{00000000-0005-0000-0000-00001C3B0000}"/>
    <cellStyle name="Normal 29 3 3 5" xfId="21841" xr:uid="{00000000-0005-0000-0000-00001D3B0000}"/>
    <cellStyle name="Normal 29 3 4" xfId="3942" xr:uid="{00000000-0005-0000-0000-00001E3B0000}"/>
    <cellStyle name="Normal 29 3 4 2" xfId="8026" xr:uid="{00000000-0005-0000-0000-00001F3B0000}"/>
    <cellStyle name="Normal 29 3 4 2 2" xfId="17204" xr:uid="{00000000-0005-0000-0000-0000203B0000}"/>
    <cellStyle name="Normal 29 3 4 2 2 2" xfId="33778" xr:uid="{00000000-0005-0000-0000-0000213B0000}"/>
    <cellStyle name="Normal 29 3 4 2 3" xfId="25731" xr:uid="{00000000-0005-0000-0000-0000223B0000}"/>
    <cellStyle name="Normal 29 3 4 3" xfId="13343" xr:uid="{00000000-0005-0000-0000-0000233B0000}"/>
    <cellStyle name="Normal 29 3 4 3 2" xfId="29886" xr:uid="{00000000-0005-0000-0000-0000243B0000}"/>
    <cellStyle name="Normal 29 3 4 4" xfId="21843" xr:uid="{00000000-0005-0000-0000-0000253B0000}"/>
    <cellStyle name="Normal 29 3 5" xfId="3943" xr:uid="{00000000-0005-0000-0000-0000263B0000}"/>
    <cellStyle name="Normal 29 3 5 2" xfId="13344" xr:uid="{00000000-0005-0000-0000-0000273B0000}"/>
    <cellStyle name="Normal 29 3 5 2 2" xfId="29887" xr:uid="{00000000-0005-0000-0000-0000283B0000}"/>
    <cellStyle name="Normal 29 3 5 3" xfId="21844" xr:uid="{00000000-0005-0000-0000-0000293B0000}"/>
    <cellStyle name="Normal 29 4" xfId="3944" xr:uid="{00000000-0005-0000-0000-00002A3B0000}"/>
    <cellStyle name="Normal 29 4 2" xfId="3945" xr:uid="{00000000-0005-0000-0000-00002B3B0000}"/>
    <cellStyle name="Normal 29 4 2 2" xfId="3946" xr:uid="{00000000-0005-0000-0000-00002C3B0000}"/>
    <cellStyle name="Normal 29 4 2 2 2" xfId="3947" xr:uid="{00000000-0005-0000-0000-00002D3B0000}"/>
    <cellStyle name="Normal 29 4 2 2 2 2" xfId="8027" xr:uid="{00000000-0005-0000-0000-00002E3B0000}"/>
    <cellStyle name="Normal 29 4 2 2 2 2 2" xfId="17205" xr:uid="{00000000-0005-0000-0000-00002F3B0000}"/>
    <cellStyle name="Normal 29 4 2 2 2 2 2 2" xfId="33779" xr:uid="{00000000-0005-0000-0000-0000303B0000}"/>
    <cellStyle name="Normal 29 4 2 2 2 2 3" xfId="25732" xr:uid="{00000000-0005-0000-0000-0000313B0000}"/>
    <cellStyle name="Normal 29 4 2 2 2 3" xfId="13348" xr:uid="{00000000-0005-0000-0000-0000323B0000}"/>
    <cellStyle name="Normal 29 4 2 2 2 3 2" xfId="29891" xr:uid="{00000000-0005-0000-0000-0000333B0000}"/>
    <cellStyle name="Normal 29 4 2 2 2 4" xfId="21848" xr:uid="{00000000-0005-0000-0000-0000343B0000}"/>
    <cellStyle name="Normal 29 4 2 2 3" xfId="8028" xr:uid="{00000000-0005-0000-0000-0000353B0000}"/>
    <cellStyle name="Normal 29 4 2 2 3 2" xfId="17206" xr:uid="{00000000-0005-0000-0000-0000363B0000}"/>
    <cellStyle name="Normal 29 4 2 2 3 2 2" xfId="33780" xr:uid="{00000000-0005-0000-0000-0000373B0000}"/>
    <cellStyle name="Normal 29 4 2 2 3 3" xfId="25733" xr:uid="{00000000-0005-0000-0000-0000383B0000}"/>
    <cellStyle name="Normal 29 4 2 2 4" xfId="13347" xr:uid="{00000000-0005-0000-0000-0000393B0000}"/>
    <cellStyle name="Normal 29 4 2 2 4 2" xfId="29890" xr:uid="{00000000-0005-0000-0000-00003A3B0000}"/>
    <cellStyle name="Normal 29 4 2 2 5" xfId="21847" xr:uid="{00000000-0005-0000-0000-00003B3B0000}"/>
    <cellStyle name="Normal 29 4 2 3" xfId="3948" xr:uid="{00000000-0005-0000-0000-00003C3B0000}"/>
    <cellStyle name="Normal 29 4 2 3 2" xfId="8029" xr:uid="{00000000-0005-0000-0000-00003D3B0000}"/>
    <cellStyle name="Normal 29 4 2 3 2 2" xfId="17207" xr:uid="{00000000-0005-0000-0000-00003E3B0000}"/>
    <cellStyle name="Normal 29 4 2 3 2 2 2" xfId="33781" xr:uid="{00000000-0005-0000-0000-00003F3B0000}"/>
    <cellStyle name="Normal 29 4 2 3 2 3" xfId="25734" xr:uid="{00000000-0005-0000-0000-0000403B0000}"/>
    <cellStyle name="Normal 29 4 2 3 3" xfId="13349" xr:uid="{00000000-0005-0000-0000-0000413B0000}"/>
    <cellStyle name="Normal 29 4 2 3 3 2" xfId="29892" xr:uid="{00000000-0005-0000-0000-0000423B0000}"/>
    <cellStyle name="Normal 29 4 2 3 4" xfId="21849" xr:uid="{00000000-0005-0000-0000-0000433B0000}"/>
    <cellStyle name="Normal 29 4 2 4" xfId="8030" xr:uid="{00000000-0005-0000-0000-0000443B0000}"/>
    <cellStyle name="Normal 29 4 2 4 2" xfId="17208" xr:uid="{00000000-0005-0000-0000-0000453B0000}"/>
    <cellStyle name="Normal 29 4 2 4 2 2" xfId="33782" xr:uid="{00000000-0005-0000-0000-0000463B0000}"/>
    <cellStyle name="Normal 29 4 2 4 3" xfId="25735" xr:uid="{00000000-0005-0000-0000-0000473B0000}"/>
    <cellStyle name="Normal 29 4 2 5" xfId="13346" xr:uid="{00000000-0005-0000-0000-0000483B0000}"/>
    <cellStyle name="Normal 29 4 2 5 2" xfId="29889" xr:uid="{00000000-0005-0000-0000-0000493B0000}"/>
    <cellStyle name="Normal 29 4 2 6" xfId="21846" xr:uid="{00000000-0005-0000-0000-00004A3B0000}"/>
    <cellStyle name="Normal 29 4 3" xfId="3949" xr:uid="{00000000-0005-0000-0000-00004B3B0000}"/>
    <cellStyle name="Normal 29 4 3 2" xfId="3950" xr:uid="{00000000-0005-0000-0000-00004C3B0000}"/>
    <cellStyle name="Normal 29 4 3 2 2" xfId="8031" xr:uid="{00000000-0005-0000-0000-00004D3B0000}"/>
    <cellStyle name="Normal 29 4 3 2 2 2" xfId="17209" xr:uid="{00000000-0005-0000-0000-00004E3B0000}"/>
    <cellStyle name="Normal 29 4 3 2 2 2 2" xfId="33783" xr:uid="{00000000-0005-0000-0000-00004F3B0000}"/>
    <cellStyle name="Normal 29 4 3 2 2 3" xfId="25736" xr:uid="{00000000-0005-0000-0000-0000503B0000}"/>
    <cellStyle name="Normal 29 4 3 2 3" xfId="13351" xr:uid="{00000000-0005-0000-0000-0000513B0000}"/>
    <cellStyle name="Normal 29 4 3 2 3 2" xfId="29894" xr:uid="{00000000-0005-0000-0000-0000523B0000}"/>
    <cellStyle name="Normal 29 4 3 2 4" xfId="21851" xr:uid="{00000000-0005-0000-0000-0000533B0000}"/>
    <cellStyle name="Normal 29 4 3 3" xfId="8032" xr:uid="{00000000-0005-0000-0000-0000543B0000}"/>
    <cellStyle name="Normal 29 4 3 3 2" xfId="17210" xr:uid="{00000000-0005-0000-0000-0000553B0000}"/>
    <cellStyle name="Normal 29 4 3 3 2 2" xfId="33784" xr:uid="{00000000-0005-0000-0000-0000563B0000}"/>
    <cellStyle name="Normal 29 4 3 3 3" xfId="25737" xr:uid="{00000000-0005-0000-0000-0000573B0000}"/>
    <cellStyle name="Normal 29 4 3 4" xfId="13350" xr:uid="{00000000-0005-0000-0000-0000583B0000}"/>
    <cellStyle name="Normal 29 4 3 4 2" xfId="29893" xr:uid="{00000000-0005-0000-0000-0000593B0000}"/>
    <cellStyle name="Normal 29 4 3 5" xfId="21850" xr:uid="{00000000-0005-0000-0000-00005A3B0000}"/>
    <cellStyle name="Normal 29 4 4" xfId="3951" xr:uid="{00000000-0005-0000-0000-00005B3B0000}"/>
    <cellStyle name="Normal 29 4 4 2" xfId="8033" xr:uid="{00000000-0005-0000-0000-00005C3B0000}"/>
    <cellStyle name="Normal 29 4 4 2 2" xfId="17211" xr:uid="{00000000-0005-0000-0000-00005D3B0000}"/>
    <cellStyle name="Normal 29 4 4 2 2 2" xfId="33785" xr:uid="{00000000-0005-0000-0000-00005E3B0000}"/>
    <cellStyle name="Normal 29 4 4 2 3" xfId="25738" xr:uid="{00000000-0005-0000-0000-00005F3B0000}"/>
    <cellStyle name="Normal 29 4 4 3" xfId="13352" xr:uid="{00000000-0005-0000-0000-0000603B0000}"/>
    <cellStyle name="Normal 29 4 4 3 2" xfId="29895" xr:uid="{00000000-0005-0000-0000-0000613B0000}"/>
    <cellStyle name="Normal 29 4 4 4" xfId="21852" xr:uid="{00000000-0005-0000-0000-0000623B0000}"/>
    <cellStyle name="Normal 29 4 5" xfId="8034" xr:uid="{00000000-0005-0000-0000-0000633B0000}"/>
    <cellStyle name="Normal 29 4 5 2" xfId="17212" xr:uid="{00000000-0005-0000-0000-0000643B0000}"/>
    <cellStyle name="Normal 29 4 5 2 2" xfId="33786" xr:uid="{00000000-0005-0000-0000-0000653B0000}"/>
    <cellStyle name="Normal 29 4 5 3" xfId="25739" xr:uid="{00000000-0005-0000-0000-0000663B0000}"/>
    <cellStyle name="Normal 29 4 6" xfId="13345" xr:uid="{00000000-0005-0000-0000-0000673B0000}"/>
    <cellStyle name="Normal 29 4 6 2" xfId="29888" xr:uid="{00000000-0005-0000-0000-0000683B0000}"/>
    <cellStyle name="Normal 29 4 7" xfId="21845" xr:uid="{00000000-0005-0000-0000-0000693B0000}"/>
    <cellStyle name="Normal 29 5" xfId="3952" xr:uid="{00000000-0005-0000-0000-00006A3B0000}"/>
    <cellStyle name="Normal 29 5 2" xfId="3953" xr:uid="{00000000-0005-0000-0000-00006B3B0000}"/>
    <cellStyle name="Normal 29 5 2 2" xfId="3954" xr:uid="{00000000-0005-0000-0000-00006C3B0000}"/>
    <cellStyle name="Normal 29 5 2 2 2" xfId="3955" xr:uid="{00000000-0005-0000-0000-00006D3B0000}"/>
    <cellStyle name="Normal 29 5 2 2 2 2" xfId="8035" xr:uid="{00000000-0005-0000-0000-00006E3B0000}"/>
    <cellStyle name="Normal 29 5 2 2 2 2 2" xfId="17213" xr:uid="{00000000-0005-0000-0000-00006F3B0000}"/>
    <cellStyle name="Normal 29 5 2 2 2 2 2 2" xfId="33787" xr:uid="{00000000-0005-0000-0000-0000703B0000}"/>
    <cellStyle name="Normal 29 5 2 2 2 2 3" xfId="25740" xr:uid="{00000000-0005-0000-0000-0000713B0000}"/>
    <cellStyle name="Normal 29 5 2 2 2 3" xfId="13356" xr:uid="{00000000-0005-0000-0000-0000723B0000}"/>
    <cellStyle name="Normal 29 5 2 2 2 3 2" xfId="29899" xr:uid="{00000000-0005-0000-0000-0000733B0000}"/>
    <cellStyle name="Normal 29 5 2 2 2 4" xfId="21856" xr:uid="{00000000-0005-0000-0000-0000743B0000}"/>
    <cellStyle name="Normal 29 5 2 2 3" xfId="8036" xr:uid="{00000000-0005-0000-0000-0000753B0000}"/>
    <cellStyle name="Normal 29 5 2 2 3 2" xfId="17214" xr:uid="{00000000-0005-0000-0000-0000763B0000}"/>
    <cellStyle name="Normal 29 5 2 2 3 2 2" xfId="33788" xr:uid="{00000000-0005-0000-0000-0000773B0000}"/>
    <cellStyle name="Normal 29 5 2 2 3 3" xfId="25741" xr:uid="{00000000-0005-0000-0000-0000783B0000}"/>
    <cellStyle name="Normal 29 5 2 2 4" xfId="13355" xr:uid="{00000000-0005-0000-0000-0000793B0000}"/>
    <cellStyle name="Normal 29 5 2 2 4 2" xfId="29898" xr:uid="{00000000-0005-0000-0000-00007A3B0000}"/>
    <cellStyle name="Normal 29 5 2 2 5" xfId="21855" xr:uid="{00000000-0005-0000-0000-00007B3B0000}"/>
    <cellStyle name="Normal 29 5 2 3" xfId="3956" xr:uid="{00000000-0005-0000-0000-00007C3B0000}"/>
    <cellStyle name="Normal 29 5 2 3 2" xfId="8037" xr:uid="{00000000-0005-0000-0000-00007D3B0000}"/>
    <cellStyle name="Normal 29 5 2 3 2 2" xfId="17215" xr:uid="{00000000-0005-0000-0000-00007E3B0000}"/>
    <cellStyle name="Normal 29 5 2 3 2 2 2" xfId="33789" xr:uid="{00000000-0005-0000-0000-00007F3B0000}"/>
    <cellStyle name="Normal 29 5 2 3 2 3" xfId="25742" xr:uid="{00000000-0005-0000-0000-0000803B0000}"/>
    <cellStyle name="Normal 29 5 2 3 3" xfId="13357" xr:uid="{00000000-0005-0000-0000-0000813B0000}"/>
    <cellStyle name="Normal 29 5 2 3 3 2" xfId="29900" xr:uid="{00000000-0005-0000-0000-0000823B0000}"/>
    <cellStyle name="Normal 29 5 2 3 4" xfId="21857" xr:uid="{00000000-0005-0000-0000-0000833B0000}"/>
    <cellStyle name="Normal 29 5 2 4" xfId="8038" xr:uid="{00000000-0005-0000-0000-0000843B0000}"/>
    <cellStyle name="Normal 29 5 2 4 2" xfId="17216" xr:uid="{00000000-0005-0000-0000-0000853B0000}"/>
    <cellStyle name="Normal 29 5 2 4 2 2" xfId="33790" xr:uid="{00000000-0005-0000-0000-0000863B0000}"/>
    <cellStyle name="Normal 29 5 2 4 3" xfId="25743" xr:uid="{00000000-0005-0000-0000-0000873B0000}"/>
    <cellStyle name="Normal 29 5 2 5" xfId="13354" xr:uid="{00000000-0005-0000-0000-0000883B0000}"/>
    <cellStyle name="Normal 29 5 2 5 2" xfId="29897" xr:uid="{00000000-0005-0000-0000-0000893B0000}"/>
    <cellStyle name="Normal 29 5 2 6" xfId="21854" xr:uid="{00000000-0005-0000-0000-00008A3B0000}"/>
    <cellStyle name="Normal 29 5 3" xfId="3957" xr:uid="{00000000-0005-0000-0000-00008B3B0000}"/>
    <cellStyle name="Normal 29 5 3 2" xfId="3958" xr:uid="{00000000-0005-0000-0000-00008C3B0000}"/>
    <cellStyle name="Normal 29 5 3 2 2" xfId="8039" xr:uid="{00000000-0005-0000-0000-00008D3B0000}"/>
    <cellStyle name="Normal 29 5 3 2 2 2" xfId="17217" xr:uid="{00000000-0005-0000-0000-00008E3B0000}"/>
    <cellStyle name="Normal 29 5 3 2 2 2 2" xfId="33791" xr:uid="{00000000-0005-0000-0000-00008F3B0000}"/>
    <cellStyle name="Normal 29 5 3 2 2 3" xfId="25744" xr:uid="{00000000-0005-0000-0000-0000903B0000}"/>
    <cellStyle name="Normal 29 5 3 2 3" xfId="13359" xr:uid="{00000000-0005-0000-0000-0000913B0000}"/>
    <cellStyle name="Normal 29 5 3 2 3 2" xfId="29902" xr:uid="{00000000-0005-0000-0000-0000923B0000}"/>
    <cellStyle name="Normal 29 5 3 2 4" xfId="21859" xr:uid="{00000000-0005-0000-0000-0000933B0000}"/>
    <cellStyle name="Normal 29 5 3 3" xfId="8040" xr:uid="{00000000-0005-0000-0000-0000943B0000}"/>
    <cellStyle name="Normal 29 5 3 3 2" xfId="17218" xr:uid="{00000000-0005-0000-0000-0000953B0000}"/>
    <cellStyle name="Normal 29 5 3 3 2 2" xfId="33792" xr:uid="{00000000-0005-0000-0000-0000963B0000}"/>
    <cellStyle name="Normal 29 5 3 3 3" xfId="25745" xr:uid="{00000000-0005-0000-0000-0000973B0000}"/>
    <cellStyle name="Normal 29 5 3 4" xfId="13358" xr:uid="{00000000-0005-0000-0000-0000983B0000}"/>
    <cellStyle name="Normal 29 5 3 4 2" xfId="29901" xr:uid="{00000000-0005-0000-0000-0000993B0000}"/>
    <cellStyle name="Normal 29 5 3 5" xfId="21858" xr:uid="{00000000-0005-0000-0000-00009A3B0000}"/>
    <cellStyle name="Normal 29 5 4" xfId="3959" xr:uid="{00000000-0005-0000-0000-00009B3B0000}"/>
    <cellStyle name="Normal 29 5 4 2" xfId="8041" xr:uid="{00000000-0005-0000-0000-00009C3B0000}"/>
    <cellStyle name="Normal 29 5 4 2 2" xfId="17219" xr:uid="{00000000-0005-0000-0000-00009D3B0000}"/>
    <cellStyle name="Normal 29 5 4 2 2 2" xfId="33793" xr:uid="{00000000-0005-0000-0000-00009E3B0000}"/>
    <cellStyle name="Normal 29 5 4 2 3" xfId="25746" xr:uid="{00000000-0005-0000-0000-00009F3B0000}"/>
    <cellStyle name="Normal 29 5 4 3" xfId="13360" xr:uid="{00000000-0005-0000-0000-0000A03B0000}"/>
    <cellStyle name="Normal 29 5 4 3 2" xfId="29903" xr:uid="{00000000-0005-0000-0000-0000A13B0000}"/>
    <cellStyle name="Normal 29 5 4 4" xfId="21860" xr:uid="{00000000-0005-0000-0000-0000A23B0000}"/>
    <cellStyle name="Normal 29 5 5" xfId="8042" xr:uid="{00000000-0005-0000-0000-0000A33B0000}"/>
    <cellStyle name="Normal 29 5 5 2" xfId="17220" xr:uid="{00000000-0005-0000-0000-0000A43B0000}"/>
    <cellStyle name="Normal 29 5 5 2 2" xfId="33794" xr:uid="{00000000-0005-0000-0000-0000A53B0000}"/>
    <cellStyle name="Normal 29 5 5 3" xfId="25747" xr:uid="{00000000-0005-0000-0000-0000A63B0000}"/>
    <cellStyle name="Normal 29 5 6" xfId="13353" xr:uid="{00000000-0005-0000-0000-0000A73B0000}"/>
    <cellStyle name="Normal 29 5 6 2" xfId="29896" xr:uid="{00000000-0005-0000-0000-0000A83B0000}"/>
    <cellStyle name="Normal 29 5 7" xfId="21853" xr:uid="{00000000-0005-0000-0000-0000A93B0000}"/>
    <cellStyle name="Normal 29 6" xfId="3960" xr:uid="{00000000-0005-0000-0000-0000AA3B0000}"/>
    <cellStyle name="Normal 29 6 2" xfId="3961" xr:uid="{00000000-0005-0000-0000-0000AB3B0000}"/>
    <cellStyle name="Normal 29 6 2 2" xfId="3962" xr:uid="{00000000-0005-0000-0000-0000AC3B0000}"/>
    <cellStyle name="Normal 29 6 2 2 2" xfId="8043" xr:uid="{00000000-0005-0000-0000-0000AD3B0000}"/>
    <cellStyle name="Normal 29 6 2 2 2 2" xfId="17221" xr:uid="{00000000-0005-0000-0000-0000AE3B0000}"/>
    <cellStyle name="Normal 29 6 2 2 2 2 2" xfId="33795" xr:uid="{00000000-0005-0000-0000-0000AF3B0000}"/>
    <cellStyle name="Normal 29 6 2 2 2 3" xfId="25748" xr:uid="{00000000-0005-0000-0000-0000B03B0000}"/>
    <cellStyle name="Normal 29 6 2 2 3" xfId="13363" xr:uid="{00000000-0005-0000-0000-0000B13B0000}"/>
    <cellStyle name="Normal 29 6 2 2 3 2" xfId="29906" xr:uid="{00000000-0005-0000-0000-0000B23B0000}"/>
    <cellStyle name="Normal 29 6 2 2 4" xfId="21863" xr:uid="{00000000-0005-0000-0000-0000B33B0000}"/>
    <cellStyle name="Normal 29 6 2 3" xfId="8044" xr:uid="{00000000-0005-0000-0000-0000B43B0000}"/>
    <cellStyle name="Normal 29 6 2 3 2" xfId="17222" xr:uid="{00000000-0005-0000-0000-0000B53B0000}"/>
    <cellStyle name="Normal 29 6 2 3 2 2" xfId="33796" xr:uid="{00000000-0005-0000-0000-0000B63B0000}"/>
    <cellStyle name="Normal 29 6 2 3 3" xfId="25749" xr:uid="{00000000-0005-0000-0000-0000B73B0000}"/>
    <cellStyle name="Normal 29 6 2 4" xfId="13362" xr:uid="{00000000-0005-0000-0000-0000B83B0000}"/>
    <cellStyle name="Normal 29 6 2 4 2" xfId="29905" xr:uid="{00000000-0005-0000-0000-0000B93B0000}"/>
    <cellStyle name="Normal 29 6 2 5" xfId="21862" xr:uid="{00000000-0005-0000-0000-0000BA3B0000}"/>
    <cellStyle name="Normal 29 6 3" xfId="3963" xr:uid="{00000000-0005-0000-0000-0000BB3B0000}"/>
    <cellStyle name="Normal 29 6 3 2" xfId="8045" xr:uid="{00000000-0005-0000-0000-0000BC3B0000}"/>
    <cellStyle name="Normal 29 6 3 2 2" xfId="17223" xr:uid="{00000000-0005-0000-0000-0000BD3B0000}"/>
    <cellStyle name="Normal 29 6 3 2 2 2" xfId="33797" xr:uid="{00000000-0005-0000-0000-0000BE3B0000}"/>
    <cellStyle name="Normal 29 6 3 2 3" xfId="25750" xr:uid="{00000000-0005-0000-0000-0000BF3B0000}"/>
    <cellStyle name="Normal 29 6 3 3" xfId="13364" xr:uid="{00000000-0005-0000-0000-0000C03B0000}"/>
    <cellStyle name="Normal 29 6 3 3 2" xfId="29907" xr:uid="{00000000-0005-0000-0000-0000C13B0000}"/>
    <cellStyle name="Normal 29 6 3 4" xfId="21864" xr:uid="{00000000-0005-0000-0000-0000C23B0000}"/>
    <cellStyle name="Normal 29 6 4" xfId="8046" xr:uid="{00000000-0005-0000-0000-0000C33B0000}"/>
    <cellStyle name="Normal 29 6 4 2" xfId="17224" xr:uid="{00000000-0005-0000-0000-0000C43B0000}"/>
    <cellStyle name="Normal 29 6 4 2 2" xfId="33798" xr:uid="{00000000-0005-0000-0000-0000C53B0000}"/>
    <cellStyle name="Normal 29 6 4 3" xfId="25751" xr:uid="{00000000-0005-0000-0000-0000C63B0000}"/>
    <cellStyle name="Normal 29 6 5" xfId="13361" xr:uid="{00000000-0005-0000-0000-0000C73B0000}"/>
    <cellStyle name="Normal 29 6 5 2" xfId="29904" xr:uid="{00000000-0005-0000-0000-0000C83B0000}"/>
    <cellStyle name="Normal 29 6 6" xfId="21861" xr:uid="{00000000-0005-0000-0000-0000C93B0000}"/>
    <cellStyle name="Normal 29 7" xfId="3964" xr:uid="{00000000-0005-0000-0000-0000CA3B0000}"/>
    <cellStyle name="Normal 29 7 2" xfId="3965" xr:uid="{00000000-0005-0000-0000-0000CB3B0000}"/>
    <cellStyle name="Normal 29 7 2 2" xfId="8047" xr:uid="{00000000-0005-0000-0000-0000CC3B0000}"/>
    <cellStyle name="Normal 29 7 2 2 2" xfId="17225" xr:uid="{00000000-0005-0000-0000-0000CD3B0000}"/>
    <cellStyle name="Normal 29 7 2 2 2 2" xfId="33799" xr:uid="{00000000-0005-0000-0000-0000CE3B0000}"/>
    <cellStyle name="Normal 29 7 2 2 3" xfId="25752" xr:uid="{00000000-0005-0000-0000-0000CF3B0000}"/>
    <cellStyle name="Normal 29 7 2 3" xfId="13366" xr:uid="{00000000-0005-0000-0000-0000D03B0000}"/>
    <cellStyle name="Normal 29 7 2 3 2" xfId="29909" xr:uid="{00000000-0005-0000-0000-0000D13B0000}"/>
    <cellStyle name="Normal 29 7 2 4" xfId="21866" xr:uid="{00000000-0005-0000-0000-0000D23B0000}"/>
    <cellStyle name="Normal 29 7 3" xfId="8048" xr:uid="{00000000-0005-0000-0000-0000D33B0000}"/>
    <cellStyle name="Normal 29 7 3 2" xfId="17226" xr:uid="{00000000-0005-0000-0000-0000D43B0000}"/>
    <cellStyle name="Normal 29 7 3 2 2" xfId="33800" xr:uid="{00000000-0005-0000-0000-0000D53B0000}"/>
    <cellStyle name="Normal 29 7 3 3" xfId="25753" xr:uid="{00000000-0005-0000-0000-0000D63B0000}"/>
    <cellStyle name="Normal 29 7 4" xfId="13365" xr:uid="{00000000-0005-0000-0000-0000D73B0000}"/>
    <cellStyle name="Normal 29 7 4 2" xfId="29908" xr:uid="{00000000-0005-0000-0000-0000D83B0000}"/>
    <cellStyle name="Normal 29 7 5" xfId="21865" xr:uid="{00000000-0005-0000-0000-0000D93B0000}"/>
    <cellStyle name="Normal 29 8" xfId="3966" xr:uid="{00000000-0005-0000-0000-0000DA3B0000}"/>
    <cellStyle name="Normal 29 8 2" xfId="8049" xr:uid="{00000000-0005-0000-0000-0000DB3B0000}"/>
    <cellStyle name="Normal 29 8 2 2" xfId="17227" xr:uid="{00000000-0005-0000-0000-0000DC3B0000}"/>
    <cellStyle name="Normal 29 8 2 2 2" xfId="33801" xr:uid="{00000000-0005-0000-0000-0000DD3B0000}"/>
    <cellStyle name="Normal 29 8 2 3" xfId="25754" xr:uid="{00000000-0005-0000-0000-0000DE3B0000}"/>
    <cellStyle name="Normal 29 8 3" xfId="13367" xr:uid="{00000000-0005-0000-0000-0000DF3B0000}"/>
    <cellStyle name="Normal 29 8 3 2" xfId="29910" xr:uid="{00000000-0005-0000-0000-0000E03B0000}"/>
    <cellStyle name="Normal 29 8 4" xfId="21867" xr:uid="{00000000-0005-0000-0000-0000E13B0000}"/>
    <cellStyle name="Normal 29 9" xfId="8050" xr:uid="{00000000-0005-0000-0000-0000E23B0000}"/>
    <cellStyle name="Normal 29 9 2" xfId="17228" xr:uid="{00000000-0005-0000-0000-0000E33B0000}"/>
    <cellStyle name="Normal 29 9 2 2" xfId="33802" xr:uid="{00000000-0005-0000-0000-0000E43B0000}"/>
    <cellStyle name="Normal 29 9 3" xfId="25755" xr:uid="{00000000-0005-0000-0000-0000E53B0000}"/>
    <cellStyle name="Normal 290" xfId="10874" xr:uid="{00000000-0005-0000-0000-0000E63B0000}"/>
    <cellStyle name="Normal 291" xfId="10877" xr:uid="{00000000-0005-0000-0000-0000E73B0000}"/>
    <cellStyle name="Normal 292" xfId="10900" xr:uid="{00000000-0005-0000-0000-0000E83B0000}"/>
    <cellStyle name="Normal 293" xfId="10919" xr:uid="{00000000-0005-0000-0000-0000E93B0000}"/>
    <cellStyle name="Normal 294" xfId="10893" xr:uid="{00000000-0005-0000-0000-0000EA3B0000}"/>
    <cellStyle name="Normal 295" xfId="10918" xr:uid="{00000000-0005-0000-0000-0000EB3B0000}"/>
    <cellStyle name="Normal 296" xfId="10911" xr:uid="{00000000-0005-0000-0000-0000EC3B0000}"/>
    <cellStyle name="Normal 297" xfId="10917" xr:uid="{00000000-0005-0000-0000-0000ED3B0000}"/>
    <cellStyle name="Normal 298" xfId="10913" xr:uid="{00000000-0005-0000-0000-0000EE3B0000}"/>
    <cellStyle name="Normal 299" xfId="10916" xr:uid="{00000000-0005-0000-0000-0000EF3B0000}"/>
    <cellStyle name="Normal 3" xfId="23" xr:uid="{00000000-0005-0000-0000-0000F03B0000}"/>
    <cellStyle name="Normal 3 2" xfId="5" xr:uid="{00000000-0005-0000-0000-0000F13B0000}"/>
    <cellStyle name="Normal 3 2 2" xfId="218" xr:uid="{00000000-0005-0000-0000-0000F23B0000}"/>
    <cellStyle name="Normal 3 2 2 2" xfId="8051" xr:uid="{00000000-0005-0000-0000-0000F33B0000}"/>
    <cellStyle name="Normal 3 2 2 3" xfId="3968" xr:uid="{00000000-0005-0000-0000-0000F43B0000}"/>
    <cellStyle name="Normal 3 2 2 3 2" xfId="29911" xr:uid="{00000000-0005-0000-0000-0000F53B0000}"/>
    <cellStyle name="Normal 3 2 2 4" xfId="21868" xr:uid="{00000000-0005-0000-0000-0000F63B0000}"/>
    <cellStyle name="Normal 3 2 3" xfId="77" xr:uid="{00000000-0005-0000-0000-0000F73B0000}"/>
    <cellStyle name="Normal 3 2 3 2" xfId="10901" xr:uid="{00000000-0005-0000-0000-0000F83B0000}"/>
    <cellStyle name="Normal 3 2 4" xfId="36195" xr:uid="{00000000-0005-0000-0000-0000F93B0000}"/>
    <cellStyle name="Normal 3 3" xfId="219" xr:uid="{00000000-0005-0000-0000-0000FA3B0000}"/>
    <cellStyle name="Normal 3 3 2" xfId="220" xr:uid="{00000000-0005-0000-0000-0000FB3B0000}"/>
    <cellStyle name="Normal 3 3 2 2" xfId="3970" xr:uid="{00000000-0005-0000-0000-0000FC3B0000}"/>
    <cellStyle name="Normal 3 3 3" xfId="6631" xr:uid="{00000000-0005-0000-0000-0000FD3B0000}"/>
    <cellStyle name="Normal 3 3 3 2" xfId="15844" xr:uid="{00000000-0005-0000-0000-0000FE3B0000}"/>
    <cellStyle name="Normal 3 3 3 2 2" xfId="32416" xr:uid="{00000000-0005-0000-0000-0000FF3B0000}"/>
    <cellStyle name="Normal 3 3 3 3" xfId="24369" xr:uid="{00000000-0005-0000-0000-0000003C0000}"/>
    <cellStyle name="Normal 3 3 4" xfId="3969" xr:uid="{00000000-0005-0000-0000-0000013C0000}"/>
    <cellStyle name="Normal 3 4" xfId="221" xr:uid="{00000000-0005-0000-0000-0000023C0000}"/>
    <cellStyle name="Normal 3 4 2" xfId="222" xr:uid="{00000000-0005-0000-0000-0000033C0000}"/>
    <cellStyle name="Normal 3 4 2 2" xfId="19567" xr:uid="{00000000-0005-0000-0000-0000043C0000}"/>
    <cellStyle name="Normal 3 4 2 2 2" xfId="36143" xr:uid="{00000000-0005-0000-0000-0000053C0000}"/>
    <cellStyle name="Normal 3 4 2 3" xfId="28097" xr:uid="{00000000-0005-0000-0000-0000063C0000}"/>
    <cellStyle name="Normal 3 4 3" xfId="3967" xr:uid="{00000000-0005-0000-0000-0000073C0000}"/>
    <cellStyle name="Normal 3 5" xfId="223" xr:uid="{00000000-0005-0000-0000-0000083C0000}"/>
    <cellStyle name="Normal 3 6" xfId="380" xr:uid="{00000000-0005-0000-0000-0000093C0000}"/>
    <cellStyle name="Normal 3 6 2" xfId="2141" xr:uid="{00000000-0005-0000-0000-00000A3C0000}"/>
    <cellStyle name="Normal 3 7" xfId="1675" xr:uid="{00000000-0005-0000-0000-00000B3C0000}"/>
    <cellStyle name="Normal 3 8" xfId="1933" xr:uid="{00000000-0005-0000-0000-00000C3C0000}"/>
    <cellStyle name="Normal 30" xfId="3971" xr:uid="{00000000-0005-0000-0000-00000D3C0000}"/>
    <cellStyle name="Normal 30 10" xfId="13368" xr:uid="{00000000-0005-0000-0000-00000E3C0000}"/>
    <cellStyle name="Normal 30 10 2" xfId="29912" xr:uid="{00000000-0005-0000-0000-00000F3C0000}"/>
    <cellStyle name="Normal 30 11" xfId="21869" xr:uid="{00000000-0005-0000-0000-0000103C0000}"/>
    <cellStyle name="Normal 30 2" xfId="3972" xr:uid="{00000000-0005-0000-0000-0000113C0000}"/>
    <cellStyle name="Normal 30 2 2" xfId="3973" xr:uid="{00000000-0005-0000-0000-0000123C0000}"/>
    <cellStyle name="Normal 30 2 3" xfId="13369" xr:uid="{00000000-0005-0000-0000-0000133C0000}"/>
    <cellStyle name="Normal 30 2 3 2" xfId="29913" xr:uid="{00000000-0005-0000-0000-0000143C0000}"/>
    <cellStyle name="Normal 30 2 4" xfId="21870" xr:uid="{00000000-0005-0000-0000-0000153C0000}"/>
    <cellStyle name="Normal 30 3" xfId="3974" xr:uid="{00000000-0005-0000-0000-0000163C0000}"/>
    <cellStyle name="Normal 30 3 2" xfId="3975" xr:uid="{00000000-0005-0000-0000-0000173C0000}"/>
    <cellStyle name="Normal 30 3 2 2" xfId="3976" xr:uid="{00000000-0005-0000-0000-0000183C0000}"/>
    <cellStyle name="Normal 30 3 2 2 2" xfId="3977" xr:uid="{00000000-0005-0000-0000-0000193C0000}"/>
    <cellStyle name="Normal 30 3 2 2 2 2" xfId="8052" xr:uid="{00000000-0005-0000-0000-00001A3C0000}"/>
    <cellStyle name="Normal 30 3 2 2 2 2 2" xfId="17229" xr:uid="{00000000-0005-0000-0000-00001B3C0000}"/>
    <cellStyle name="Normal 30 3 2 2 2 2 2 2" xfId="33803" xr:uid="{00000000-0005-0000-0000-00001C3C0000}"/>
    <cellStyle name="Normal 30 3 2 2 2 2 3" xfId="25756" xr:uid="{00000000-0005-0000-0000-00001D3C0000}"/>
    <cellStyle name="Normal 30 3 2 2 2 3" xfId="13372" xr:uid="{00000000-0005-0000-0000-00001E3C0000}"/>
    <cellStyle name="Normal 30 3 2 2 2 3 2" xfId="29916" xr:uid="{00000000-0005-0000-0000-00001F3C0000}"/>
    <cellStyle name="Normal 30 3 2 2 2 4" xfId="21873" xr:uid="{00000000-0005-0000-0000-0000203C0000}"/>
    <cellStyle name="Normal 30 3 2 2 3" xfId="8053" xr:uid="{00000000-0005-0000-0000-0000213C0000}"/>
    <cellStyle name="Normal 30 3 2 2 3 2" xfId="17230" xr:uid="{00000000-0005-0000-0000-0000223C0000}"/>
    <cellStyle name="Normal 30 3 2 2 3 2 2" xfId="33804" xr:uid="{00000000-0005-0000-0000-0000233C0000}"/>
    <cellStyle name="Normal 30 3 2 2 3 3" xfId="25757" xr:uid="{00000000-0005-0000-0000-0000243C0000}"/>
    <cellStyle name="Normal 30 3 2 2 4" xfId="13371" xr:uid="{00000000-0005-0000-0000-0000253C0000}"/>
    <cellStyle name="Normal 30 3 2 2 4 2" xfId="29915" xr:uid="{00000000-0005-0000-0000-0000263C0000}"/>
    <cellStyle name="Normal 30 3 2 2 5" xfId="21872" xr:uid="{00000000-0005-0000-0000-0000273C0000}"/>
    <cellStyle name="Normal 30 3 2 3" xfId="3978" xr:uid="{00000000-0005-0000-0000-0000283C0000}"/>
    <cellStyle name="Normal 30 3 2 3 2" xfId="8054" xr:uid="{00000000-0005-0000-0000-0000293C0000}"/>
    <cellStyle name="Normal 30 3 2 3 2 2" xfId="17231" xr:uid="{00000000-0005-0000-0000-00002A3C0000}"/>
    <cellStyle name="Normal 30 3 2 3 2 2 2" xfId="33805" xr:uid="{00000000-0005-0000-0000-00002B3C0000}"/>
    <cellStyle name="Normal 30 3 2 3 2 3" xfId="25758" xr:uid="{00000000-0005-0000-0000-00002C3C0000}"/>
    <cellStyle name="Normal 30 3 2 3 3" xfId="13373" xr:uid="{00000000-0005-0000-0000-00002D3C0000}"/>
    <cellStyle name="Normal 30 3 2 3 3 2" xfId="29917" xr:uid="{00000000-0005-0000-0000-00002E3C0000}"/>
    <cellStyle name="Normal 30 3 2 3 4" xfId="21874" xr:uid="{00000000-0005-0000-0000-00002F3C0000}"/>
    <cellStyle name="Normal 30 3 2 4" xfId="8055" xr:uid="{00000000-0005-0000-0000-0000303C0000}"/>
    <cellStyle name="Normal 30 3 2 4 2" xfId="17232" xr:uid="{00000000-0005-0000-0000-0000313C0000}"/>
    <cellStyle name="Normal 30 3 2 4 2 2" xfId="33806" xr:uid="{00000000-0005-0000-0000-0000323C0000}"/>
    <cellStyle name="Normal 30 3 2 4 3" xfId="25759" xr:uid="{00000000-0005-0000-0000-0000333C0000}"/>
    <cellStyle name="Normal 30 3 2 5" xfId="13370" xr:uid="{00000000-0005-0000-0000-0000343C0000}"/>
    <cellStyle name="Normal 30 3 2 5 2" xfId="29914" xr:uid="{00000000-0005-0000-0000-0000353C0000}"/>
    <cellStyle name="Normal 30 3 2 6" xfId="21871" xr:uid="{00000000-0005-0000-0000-0000363C0000}"/>
    <cellStyle name="Normal 30 3 3" xfId="3979" xr:uid="{00000000-0005-0000-0000-0000373C0000}"/>
    <cellStyle name="Normal 30 3 3 2" xfId="3980" xr:uid="{00000000-0005-0000-0000-0000383C0000}"/>
    <cellStyle name="Normal 30 3 3 2 2" xfId="8056" xr:uid="{00000000-0005-0000-0000-0000393C0000}"/>
    <cellStyle name="Normal 30 3 3 2 2 2" xfId="17233" xr:uid="{00000000-0005-0000-0000-00003A3C0000}"/>
    <cellStyle name="Normal 30 3 3 2 2 2 2" xfId="33807" xr:uid="{00000000-0005-0000-0000-00003B3C0000}"/>
    <cellStyle name="Normal 30 3 3 2 2 3" xfId="25760" xr:uid="{00000000-0005-0000-0000-00003C3C0000}"/>
    <cellStyle name="Normal 30 3 3 2 3" xfId="13375" xr:uid="{00000000-0005-0000-0000-00003D3C0000}"/>
    <cellStyle name="Normal 30 3 3 2 3 2" xfId="29919" xr:uid="{00000000-0005-0000-0000-00003E3C0000}"/>
    <cellStyle name="Normal 30 3 3 2 4" xfId="21876" xr:uid="{00000000-0005-0000-0000-00003F3C0000}"/>
    <cellStyle name="Normal 30 3 3 3" xfId="8057" xr:uid="{00000000-0005-0000-0000-0000403C0000}"/>
    <cellStyle name="Normal 30 3 3 3 2" xfId="17234" xr:uid="{00000000-0005-0000-0000-0000413C0000}"/>
    <cellStyle name="Normal 30 3 3 3 2 2" xfId="33808" xr:uid="{00000000-0005-0000-0000-0000423C0000}"/>
    <cellStyle name="Normal 30 3 3 3 3" xfId="25761" xr:uid="{00000000-0005-0000-0000-0000433C0000}"/>
    <cellStyle name="Normal 30 3 3 4" xfId="13374" xr:uid="{00000000-0005-0000-0000-0000443C0000}"/>
    <cellStyle name="Normal 30 3 3 4 2" xfId="29918" xr:uid="{00000000-0005-0000-0000-0000453C0000}"/>
    <cellStyle name="Normal 30 3 3 5" xfId="21875" xr:uid="{00000000-0005-0000-0000-0000463C0000}"/>
    <cellStyle name="Normal 30 3 4" xfId="3981" xr:uid="{00000000-0005-0000-0000-0000473C0000}"/>
    <cellStyle name="Normal 30 3 4 2" xfId="8058" xr:uid="{00000000-0005-0000-0000-0000483C0000}"/>
    <cellStyle name="Normal 30 3 4 2 2" xfId="17235" xr:uid="{00000000-0005-0000-0000-0000493C0000}"/>
    <cellStyle name="Normal 30 3 4 2 2 2" xfId="33809" xr:uid="{00000000-0005-0000-0000-00004A3C0000}"/>
    <cellStyle name="Normal 30 3 4 2 3" xfId="25762" xr:uid="{00000000-0005-0000-0000-00004B3C0000}"/>
    <cellStyle name="Normal 30 3 4 3" xfId="13376" xr:uid="{00000000-0005-0000-0000-00004C3C0000}"/>
    <cellStyle name="Normal 30 3 4 3 2" xfId="29920" xr:uid="{00000000-0005-0000-0000-00004D3C0000}"/>
    <cellStyle name="Normal 30 3 4 4" xfId="21877" xr:uid="{00000000-0005-0000-0000-00004E3C0000}"/>
    <cellStyle name="Normal 30 3 5" xfId="3982" xr:uid="{00000000-0005-0000-0000-00004F3C0000}"/>
    <cellStyle name="Normal 30 3 5 2" xfId="13377" xr:uid="{00000000-0005-0000-0000-0000503C0000}"/>
    <cellStyle name="Normal 30 3 5 2 2" xfId="29921" xr:uid="{00000000-0005-0000-0000-0000513C0000}"/>
    <cellStyle name="Normal 30 3 5 3" xfId="21878" xr:uid="{00000000-0005-0000-0000-0000523C0000}"/>
    <cellStyle name="Normal 30 4" xfId="3983" xr:uid="{00000000-0005-0000-0000-0000533C0000}"/>
    <cellStyle name="Normal 30 4 2" xfId="3984" xr:uid="{00000000-0005-0000-0000-0000543C0000}"/>
    <cellStyle name="Normal 30 4 2 2" xfId="3985" xr:uid="{00000000-0005-0000-0000-0000553C0000}"/>
    <cellStyle name="Normal 30 4 2 2 2" xfId="3986" xr:uid="{00000000-0005-0000-0000-0000563C0000}"/>
    <cellStyle name="Normal 30 4 2 2 2 2" xfId="8059" xr:uid="{00000000-0005-0000-0000-0000573C0000}"/>
    <cellStyle name="Normal 30 4 2 2 2 2 2" xfId="17236" xr:uid="{00000000-0005-0000-0000-0000583C0000}"/>
    <cellStyle name="Normal 30 4 2 2 2 2 2 2" xfId="33810" xr:uid="{00000000-0005-0000-0000-0000593C0000}"/>
    <cellStyle name="Normal 30 4 2 2 2 2 3" xfId="25763" xr:uid="{00000000-0005-0000-0000-00005A3C0000}"/>
    <cellStyle name="Normal 30 4 2 2 2 3" xfId="13381" xr:uid="{00000000-0005-0000-0000-00005B3C0000}"/>
    <cellStyle name="Normal 30 4 2 2 2 3 2" xfId="29925" xr:uid="{00000000-0005-0000-0000-00005C3C0000}"/>
    <cellStyle name="Normal 30 4 2 2 2 4" xfId="21882" xr:uid="{00000000-0005-0000-0000-00005D3C0000}"/>
    <cellStyle name="Normal 30 4 2 2 3" xfId="8060" xr:uid="{00000000-0005-0000-0000-00005E3C0000}"/>
    <cellStyle name="Normal 30 4 2 2 3 2" xfId="17237" xr:uid="{00000000-0005-0000-0000-00005F3C0000}"/>
    <cellStyle name="Normal 30 4 2 2 3 2 2" xfId="33811" xr:uid="{00000000-0005-0000-0000-0000603C0000}"/>
    <cellStyle name="Normal 30 4 2 2 3 3" xfId="25764" xr:uid="{00000000-0005-0000-0000-0000613C0000}"/>
    <cellStyle name="Normal 30 4 2 2 4" xfId="13380" xr:uid="{00000000-0005-0000-0000-0000623C0000}"/>
    <cellStyle name="Normal 30 4 2 2 4 2" xfId="29924" xr:uid="{00000000-0005-0000-0000-0000633C0000}"/>
    <cellStyle name="Normal 30 4 2 2 5" xfId="21881" xr:uid="{00000000-0005-0000-0000-0000643C0000}"/>
    <cellStyle name="Normal 30 4 2 3" xfId="3987" xr:uid="{00000000-0005-0000-0000-0000653C0000}"/>
    <cellStyle name="Normal 30 4 2 3 2" xfId="8061" xr:uid="{00000000-0005-0000-0000-0000663C0000}"/>
    <cellStyle name="Normal 30 4 2 3 2 2" xfId="17238" xr:uid="{00000000-0005-0000-0000-0000673C0000}"/>
    <cellStyle name="Normal 30 4 2 3 2 2 2" xfId="33812" xr:uid="{00000000-0005-0000-0000-0000683C0000}"/>
    <cellStyle name="Normal 30 4 2 3 2 3" xfId="25765" xr:uid="{00000000-0005-0000-0000-0000693C0000}"/>
    <cellStyle name="Normal 30 4 2 3 3" xfId="13382" xr:uid="{00000000-0005-0000-0000-00006A3C0000}"/>
    <cellStyle name="Normal 30 4 2 3 3 2" xfId="29926" xr:uid="{00000000-0005-0000-0000-00006B3C0000}"/>
    <cellStyle name="Normal 30 4 2 3 4" xfId="21883" xr:uid="{00000000-0005-0000-0000-00006C3C0000}"/>
    <cellStyle name="Normal 30 4 2 4" xfId="8062" xr:uid="{00000000-0005-0000-0000-00006D3C0000}"/>
    <cellStyle name="Normal 30 4 2 4 2" xfId="17239" xr:uid="{00000000-0005-0000-0000-00006E3C0000}"/>
    <cellStyle name="Normal 30 4 2 4 2 2" xfId="33813" xr:uid="{00000000-0005-0000-0000-00006F3C0000}"/>
    <cellStyle name="Normal 30 4 2 4 3" xfId="25766" xr:uid="{00000000-0005-0000-0000-0000703C0000}"/>
    <cellStyle name="Normal 30 4 2 5" xfId="13379" xr:uid="{00000000-0005-0000-0000-0000713C0000}"/>
    <cellStyle name="Normal 30 4 2 5 2" xfId="29923" xr:uid="{00000000-0005-0000-0000-0000723C0000}"/>
    <cellStyle name="Normal 30 4 2 6" xfId="21880" xr:uid="{00000000-0005-0000-0000-0000733C0000}"/>
    <cellStyle name="Normal 30 4 3" xfId="3988" xr:uid="{00000000-0005-0000-0000-0000743C0000}"/>
    <cellStyle name="Normal 30 4 3 2" xfId="3989" xr:uid="{00000000-0005-0000-0000-0000753C0000}"/>
    <cellStyle name="Normal 30 4 3 2 2" xfId="8063" xr:uid="{00000000-0005-0000-0000-0000763C0000}"/>
    <cellStyle name="Normal 30 4 3 2 2 2" xfId="17240" xr:uid="{00000000-0005-0000-0000-0000773C0000}"/>
    <cellStyle name="Normal 30 4 3 2 2 2 2" xfId="33814" xr:uid="{00000000-0005-0000-0000-0000783C0000}"/>
    <cellStyle name="Normal 30 4 3 2 2 3" xfId="25767" xr:uid="{00000000-0005-0000-0000-0000793C0000}"/>
    <cellStyle name="Normal 30 4 3 2 3" xfId="13384" xr:uid="{00000000-0005-0000-0000-00007A3C0000}"/>
    <cellStyle name="Normal 30 4 3 2 3 2" xfId="29928" xr:uid="{00000000-0005-0000-0000-00007B3C0000}"/>
    <cellStyle name="Normal 30 4 3 2 4" xfId="21885" xr:uid="{00000000-0005-0000-0000-00007C3C0000}"/>
    <cellStyle name="Normal 30 4 3 3" xfId="8064" xr:uid="{00000000-0005-0000-0000-00007D3C0000}"/>
    <cellStyle name="Normal 30 4 3 3 2" xfId="17241" xr:uid="{00000000-0005-0000-0000-00007E3C0000}"/>
    <cellStyle name="Normal 30 4 3 3 2 2" xfId="33815" xr:uid="{00000000-0005-0000-0000-00007F3C0000}"/>
    <cellStyle name="Normal 30 4 3 3 3" xfId="25768" xr:uid="{00000000-0005-0000-0000-0000803C0000}"/>
    <cellStyle name="Normal 30 4 3 4" xfId="13383" xr:uid="{00000000-0005-0000-0000-0000813C0000}"/>
    <cellStyle name="Normal 30 4 3 4 2" xfId="29927" xr:uid="{00000000-0005-0000-0000-0000823C0000}"/>
    <cellStyle name="Normal 30 4 3 5" xfId="21884" xr:uid="{00000000-0005-0000-0000-0000833C0000}"/>
    <cellStyle name="Normal 30 4 4" xfId="3990" xr:uid="{00000000-0005-0000-0000-0000843C0000}"/>
    <cellStyle name="Normal 30 4 4 2" xfId="8065" xr:uid="{00000000-0005-0000-0000-0000853C0000}"/>
    <cellStyle name="Normal 30 4 4 2 2" xfId="17242" xr:uid="{00000000-0005-0000-0000-0000863C0000}"/>
    <cellStyle name="Normal 30 4 4 2 2 2" xfId="33816" xr:uid="{00000000-0005-0000-0000-0000873C0000}"/>
    <cellStyle name="Normal 30 4 4 2 3" xfId="25769" xr:uid="{00000000-0005-0000-0000-0000883C0000}"/>
    <cellStyle name="Normal 30 4 4 3" xfId="13385" xr:uid="{00000000-0005-0000-0000-0000893C0000}"/>
    <cellStyle name="Normal 30 4 4 3 2" xfId="29929" xr:uid="{00000000-0005-0000-0000-00008A3C0000}"/>
    <cellStyle name="Normal 30 4 4 4" xfId="21886" xr:uid="{00000000-0005-0000-0000-00008B3C0000}"/>
    <cellStyle name="Normal 30 4 5" xfId="8066" xr:uid="{00000000-0005-0000-0000-00008C3C0000}"/>
    <cellStyle name="Normal 30 4 5 2" xfId="17243" xr:uid="{00000000-0005-0000-0000-00008D3C0000}"/>
    <cellStyle name="Normal 30 4 5 2 2" xfId="33817" xr:uid="{00000000-0005-0000-0000-00008E3C0000}"/>
    <cellStyle name="Normal 30 4 5 3" xfId="25770" xr:uid="{00000000-0005-0000-0000-00008F3C0000}"/>
    <cellStyle name="Normal 30 4 6" xfId="13378" xr:uid="{00000000-0005-0000-0000-0000903C0000}"/>
    <cellStyle name="Normal 30 4 6 2" xfId="29922" xr:uid="{00000000-0005-0000-0000-0000913C0000}"/>
    <cellStyle name="Normal 30 4 7" xfId="21879" xr:uid="{00000000-0005-0000-0000-0000923C0000}"/>
    <cellStyle name="Normal 30 5" xfId="3991" xr:uid="{00000000-0005-0000-0000-0000933C0000}"/>
    <cellStyle name="Normal 30 5 2" xfId="3992" xr:uid="{00000000-0005-0000-0000-0000943C0000}"/>
    <cellStyle name="Normal 30 5 2 2" xfId="3993" xr:uid="{00000000-0005-0000-0000-0000953C0000}"/>
    <cellStyle name="Normal 30 5 2 2 2" xfId="3994" xr:uid="{00000000-0005-0000-0000-0000963C0000}"/>
    <cellStyle name="Normal 30 5 2 2 2 2" xfId="8067" xr:uid="{00000000-0005-0000-0000-0000973C0000}"/>
    <cellStyle name="Normal 30 5 2 2 2 2 2" xfId="17244" xr:uid="{00000000-0005-0000-0000-0000983C0000}"/>
    <cellStyle name="Normal 30 5 2 2 2 2 2 2" xfId="33818" xr:uid="{00000000-0005-0000-0000-0000993C0000}"/>
    <cellStyle name="Normal 30 5 2 2 2 2 3" xfId="25771" xr:uid="{00000000-0005-0000-0000-00009A3C0000}"/>
    <cellStyle name="Normal 30 5 2 2 2 3" xfId="13389" xr:uid="{00000000-0005-0000-0000-00009B3C0000}"/>
    <cellStyle name="Normal 30 5 2 2 2 3 2" xfId="29933" xr:uid="{00000000-0005-0000-0000-00009C3C0000}"/>
    <cellStyle name="Normal 30 5 2 2 2 4" xfId="21890" xr:uid="{00000000-0005-0000-0000-00009D3C0000}"/>
    <cellStyle name="Normal 30 5 2 2 3" xfId="8068" xr:uid="{00000000-0005-0000-0000-00009E3C0000}"/>
    <cellStyle name="Normal 30 5 2 2 3 2" xfId="17245" xr:uid="{00000000-0005-0000-0000-00009F3C0000}"/>
    <cellStyle name="Normal 30 5 2 2 3 2 2" xfId="33819" xr:uid="{00000000-0005-0000-0000-0000A03C0000}"/>
    <cellStyle name="Normal 30 5 2 2 3 3" xfId="25772" xr:uid="{00000000-0005-0000-0000-0000A13C0000}"/>
    <cellStyle name="Normal 30 5 2 2 4" xfId="13388" xr:uid="{00000000-0005-0000-0000-0000A23C0000}"/>
    <cellStyle name="Normal 30 5 2 2 4 2" xfId="29932" xr:uid="{00000000-0005-0000-0000-0000A33C0000}"/>
    <cellStyle name="Normal 30 5 2 2 5" xfId="21889" xr:uid="{00000000-0005-0000-0000-0000A43C0000}"/>
    <cellStyle name="Normal 30 5 2 3" xfId="3995" xr:uid="{00000000-0005-0000-0000-0000A53C0000}"/>
    <cellStyle name="Normal 30 5 2 3 2" xfId="8069" xr:uid="{00000000-0005-0000-0000-0000A63C0000}"/>
    <cellStyle name="Normal 30 5 2 3 2 2" xfId="17246" xr:uid="{00000000-0005-0000-0000-0000A73C0000}"/>
    <cellStyle name="Normal 30 5 2 3 2 2 2" xfId="33820" xr:uid="{00000000-0005-0000-0000-0000A83C0000}"/>
    <cellStyle name="Normal 30 5 2 3 2 3" xfId="25773" xr:uid="{00000000-0005-0000-0000-0000A93C0000}"/>
    <cellStyle name="Normal 30 5 2 3 3" xfId="13390" xr:uid="{00000000-0005-0000-0000-0000AA3C0000}"/>
    <cellStyle name="Normal 30 5 2 3 3 2" xfId="29934" xr:uid="{00000000-0005-0000-0000-0000AB3C0000}"/>
    <cellStyle name="Normal 30 5 2 3 4" xfId="21891" xr:uid="{00000000-0005-0000-0000-0000AC3C0000}"/>
    <cellStyle name="Normal 30 5 2 4" xfId="8070" xr:uid="{00000000-0005-0000-0000-0000AD3C0000}"/>
    <cellStyle name="Normal 30 5 2 4 2" xfId="17247" xr:uid="{00000000-0005-0000-0000-0000AE3C0000}"/>
    <cellStyle name="Normal 30 5 2 4 2 2" xfId="33821" xr:uid="{00000000-0005-0000-0000-0000AF3C0000}"/>
    <cellStyle name="Normal 30 5 2 4 3" xfId="25774" xr:uid="{00000000-0005-0000-0000-0000B03C0000}"/>
    <cellStyle name="Normal 30 5 2 5" xfId="13387" xr:uid="{00000000-0005-0000-0000-0000B13C0000}"/>
    <cellStyle name="Normal 30 5 2 5 2" xfId="29931" xr:uid="{00000000-0005-0000-0000-0000B23C0000}"/>
    <cellStyle name="Normal 30 5 2 6" xfId="21888" xr:uid="{00000000-0005-0000-0000-0000B33C0000}"/>
    <cellStyle name="Normal 30 5 3" xfId="3996" xr:uid="{00000000-0005-0000-0000-0000B43C0000}"/>
    <cellStyle name="Normal 30 5 3 2" xfId="3997" xr:uid="{00000000-0005-0000-0000-0000B53C0000}"/>
    <cellStyle name="Normal 30 5 3 2 2" xfId="8071" xr:uid="{00000000-0005-0000-0000-0000B63C0000}"/>
    <cellStyle name="Normal 30 5 3 2 2 2" xfId="17248" xr:uid="{00000000-0005-0000-0000-0000B73C0000}"/>
    <cellStyle name="Normal 30 5 3 2 2 2 2" xfId="33822" xr:uid="{00000000-0005-0000-0000-0000B83C0000}"/>
    <cellStyle name="Normal 30 5 3 2 2 3" xfId="25775" xr:uid="{00000000-0005-0000-0000-0000B93C0000}"/>
    <cellStyle name="Normal 30 5 3 2 3" xfId="13392" xr:uid="{00000000-0005-0000-0000-0000BA3C0000}"/>
    <cellStyle name="Normal 30 5 3 2 3 2" xfId="29936" xr:uid="{00000000-0005-0000-0000-0000BB3C0000}"/>
    <cellStyle name="Normal 30 5 3 2 4" xfId="21893" xr:uid="{00000000-0005-0000-0000-0000BC3C0000}"/>
    <cellStyle name="Normal 30 5 3 3" xfId="8072" xr:uid="{00000000-0005-0000-0000-0000BD3C0000}"/>
    <cellStyle name="Normal 30 5 3 3 2" xfId="17249" xr:uid="{00000000-0005-0000-0000-0000BE3C0000}"/>
    <cellStyle name="Normal 30 5 3 3 2 2" xfId="33823" xr:uid="{00000000-0005-0000-0000-0000BF3C0000}"/>
    <cellStyle name="Normal 30 5 3 3 3" xfId="25776" xr:uid="{00000000-0005-0000-0000-0000C03C0000}"/>
    <cellStyle name="Normal 30 5 3 4" xfId="13391" xr:uid="{00000000-0005-0000-0000-0000C13C0000}"/>
    <cellStyle name="Normal 30 5 3 4 2" xfId="29935" xr:uid="{00000000-0005-0000-0000-0000C23C0000}"/>
    <cellStyle name="Normal 30 5 3 5" xfId="21892" xr:uid="{00000000-0005-0000-0000-0000C33C0000}"/>
    <cellStyle name="Normal 30 5 4" xfId="3998" xr:uid="{00000000-0005-0000-0000-0000C43C0000}"/>
    <cellStyle name="Normal 30 5 4 2" xfId="8073" xr:uid="{00000000-0005-0000-0000-0000C53C0000}"/>
    <cellStyle name="Normal 30 5 4 2 2" xfId="17250" xr:uid="{00000000-0005-0000-0000-0000C63C0000}"/>
    <cellStyle name="Normal 30 5 4 2 2 2" xfId="33824" xr:uid="{00000000-0005-0000-0000-0000C73C0000}"/>
    <cellStyle name="Normal 30 5 4 2 3" xfId="25777" xr:uid="{00000000-0005-0000-0000-0000C83C0000}"/>
    <cellStyle name="Normal 30 5 4 3" xfId="13393" xr:uid="{00000000-0005-0000-0000-0000C93C0000}"/>
    <cellStyle name="Normal 30 5 4 3 2" xfId="29937" xr:uid="{00000000-0005-0000-0000-0000CA3C0000}"/>
    <cellStyle name="Normal 30 5 4 4" xfId="21894" xr:uid="{00000000-0005-0000-0000-0000CB3C0000}"/>
    <cellStyle name="Normal 30 5 5" xfId="8074" xr:uid="{00000000-0005-0000-0000-0000CC3C0000}"/>
    <cellStyle name="Normal 30 5 5 2" xfId="17251" xr:uid="{00000000-0005-0000-0000-0000CD3C0000}"/>
    <cellStyle name="Normal 30 5 5 2 2" xfId="33825" xr:uid="{00000000-0005-0000-0000-0000CE3C0000}"/>
    <cellStyle name="Normal 30 5 5 3" xfId="25778" xr:uid="{00000000-0005-0000-0000-0000CF3C0000}"/>
    <cellStyle name="Normal 30 5 6" xfId="13386" xr:uid="{00000000-0005-0000-0000-0000D03C0000}"/>
    <cellStyle name="Normal 30 5 6 2" xfId="29930" xr:uid="{00000000-0005-0000-0000-0000D13C0000}"/>
    <cellStyle name="Normal 30 5 7" xfId="21887" xr:uid="{00000000-0005-0000-0000-0000D23C0000}"/>
    <cellStyle name="Normal 30 6" xfId="3999" xr:uid="{00000000-0005-0000-0000-0000D33C0000}"/>
    <cellStyle name="Normal 30 6 2" xfId="4000" xr:uid="{00000000-0005-0000-0000-0000D43C0000}"/>
    <cellStyle name="Normal 30 6 2 2" xfId="4001" xr:uid="{00000000-0005-0000-0000-0000D53C0000}"/>
    <cellStyle name="Normal 30 6 2 2 2" xfId="8075" xr:uid="{00000000-0005-0000-0000-0000D63C0000}"/>
    <cellStyle name="Normal 30 6 2 2 2 2" xfId="17252" xr:uid="{00000000-0005-0000-0000-0000D73C0000}"/>
    <cellStyle name="Normal 30 6 2 2 2 2 2" xfId="33826" xr:uid="{00000000-0005-0000-0000-0000D83C0000}"/>
    <cellStyle name="Normal 30 6 2 2 2 3" xfId="25779" xr:uid="{00000000-0005-0000-0000-0000D93C0000}"/>
    <cellStyle name="Normal 30 6 2 2 3" xfId="13396" xr:uid="{00000000-0005-0000-0000-0000DA3C0000}"/>
    <cellStyle name="Normal 30 6 2 2 3 2" xfId="29940" xr:uid="{00000000-0005-0000-0000-0000DB3C0000}"/>
    <cellStyle name="Normal 30 6 2 2 4" xfId="21897" xr:uid="{00000000-0005-0000-0000-0000DC3C0000}"/>
    <cellStyle name="Normal 30 6 2 3" xfId="8076" xr:uid="{00000000-0005-0000-0000-0000DD3C0000}"/>
    <cellStyle name="Normal 30 6 2 3 2" xfId="17253" xr:uid="{00000000-0005-0000-0000-0000DE3C0000}"/>
    <cellStyle name="Normal 30 6 2 3 2 2" xfId="33827" xr:uid="{00000000-0005-0000-0000-0000DF3C0000}"/>
    <cellStyle name="Normal 30 6 2 3 3" xfId="25780" xr:uid="{00000000-0005-0000-0000-0000E03C0000}"/>
    <cellStyle name="Normal 30 6 2 4" xfId="13395" xr:uid="{00000000-0005-0000-0000-0000E13C0000}"/>
    <cellStyle name="Normal 30 6 2 4 2" xfId="29939" xr:uid="{00000000-0005-0000-0000-0000E23C0000}"/>
    <cellStyle name="Normal 30 6 2 5" xfId="21896" xr:uid="{00000000-0005-0000-0000-0000E33C0000}"/>
    <cellStyle name="Normal 30 6 3" xfId="4002" xr:uid="{00000000-0005-0000-0000-0000E43C0000}"/>
    <cellStyle name="Normal 30 6 3 2" xfId="8077" xr:uid="{00000000-0005-0000-0000-0000E53C0000}"/>
    <cellStyle name="Normal 30 6 3 2 2" xfId="17254" xr:uid="{00000000-0005-0000-0000-0000E63C0000}"/>
    <cellStyle name="Normal 30 6 3 2 2 2" xfId="33828" xr:uid="{00000000-0005-0000-0000-0000E73C0000}"/>
    <cellStyle name="Normal 30 6 3 2 3" xfId="25781" xr:uid="{00000000-0005-0000-0000-0000E83C0000}"/>
    <cellStyle name="Normal 30 6 3 3" xfId="13397" xr:uid="{00000000-0005-0000-0000-0000E93C0000}"/>
    <cellStyle name="Normal 30 6 3 3 2" xfId="29941" xr:uid="{00000000-0005-0000-0000-0000EA3C0000}"/>
    <cellStyle name="Normal 30 6 3 4" xfId="21898" xr:uid="{00000000-0005-0000-0000-0000EB3C0000}"/>
    <cellStyle name="Normal 30 6 4" xfId="8078" xr:uid="{00000000-0005-0000-0000-0000EC3C0000}"/>
    <cellStyle name="Normal 30 6 4 2" xfId="17255" xr:uid="{00000000-0005-0000-0000-0000ED3C0000}"/>
    <cellStyle name="Normal 30 6 4 2 2" xfId="33829" xr:uid="{00000000-0005-0000-0000-0000EE3C0000}"/>
    <cellStyle name="Normal 30 6 4 3" xfId="25782" xr:uid="{00000000-0005-0000-0000-0000EF3C0000}"/>
    <cellStyle name="Normal 30 6 5" xfId="13394" xr:uid="{00000000-0005-0000-0000-0000F03C0000}"/>
    <cellStyle name="Normal 30 6 5 2" xfId="29938" xr:uid="{00000000-0005-0000-0000-0000F13C0000}"/>
    <cellStyle name="Normal 30 6 6" xfId="21895" xr:uid="{00000000-0005-0000-0000-0000F23C0000}"/>
    <cellStyle name="Normal 30 7" xfId="4003" xr:uid="{00000000-0005-0000-0000-0000F33C0000}"/>
    <cellStyle name="Normal 30 7 2" xfId="4004" xr:uid="{00000000-0005-0000-0000-0000F43C0000}"/>
    <cellStyle name="Normal 30 7 2 2" xfId="8079" xr:uid="{00000000-0005-0000-0000-0000F53C0000}"/>
    <cellStyle name="Normal 30 7 2 2 2" xfId="17256" xr:uid="{00000000-0005-0000-0000-0000F63C0000}"/>
    <cellStyle name="Normal 30 7 2 2 2 2" xfId="33830" xr:uid="{00000000-0005-0000-0000-0000F73C0000}"/>
    <cellStyle name="Normal 30 7 2 2 3" xfId="25783" xr:uid="{00000000-0005-0000-0000-0000F83C0000}"/>
    <cellStyle name="Normal 30 7 2 3" xfId="13399" xr:uid="{00000000-0005-0000-0000-0000F93C0000}"/>
    <cellStyle name="Normal 30 7 2 3 2" xfId="29943" xr:uid="{00000000-0005-0000-0000-0000FA3C0000}"/>
    <cellStyle name="Normal 30 7 2 4" xfId="21900" xr:uid="{00000000-0005-0000-0000-0000FB3C0000}"/>
    <cellStyle name="Normal 30 7 3" xfId="8080" xr:uid="{00000000-0005-0000-0000-0000FC3C0000}"/>
    <cellStyle name="Normal 30 7 3 2" xfId="17257" xr:uid="{00000000-0005-0000-0000-0000FD3C0000}"/>
    <cellStyle name="Normal 30 7 3 2 2" xfId="33831" xr:uid="{00000000-0005-0000-0000-0000FE3C0000}"/>
    <cellStyle name="Normal 30 7 3 3" xfId="25784" xr:uid="{00000000-0005-0000-0000-0000FF3C0000}"/>
    <cellStyle name="Normal 30 7 4" xfId="13398" xr:uid="{00000000-0005-0000-0000-0000003D0000}"/>
    <cellStyle name="Normal 30 7 4 2" xfId="29942" xr:uid="{00000000-0005-0000-0000-0000013D0000}"/>
    <cellStyle name="Normal 30 7 5" xfId="21899" xr:uid="{00000000-0005-0000-0000-0000023D0000}"/>
    <cellStyle name="Normal 30 8" xfId="4005" xr:uid="{00000000-0005-0000-0000-0000033D0000}"/>
    <cellStyle name="Normal 30 8 2" xfId="8081" xr:uid="{00000000-0005-0000-0000-0000043D0000}"/>
    <cellStyle name="Normal 30 8 2 2" xfId="17258" xr:uid="{00000000-0005-0000-0000-0000053D0000}"/>
    <cellStyle name="Normal 30 8 2 2 2" xfId="33832" xr:uid="{00000000-0005-0000-0000-0000063D0000}"/>
    <cellStyle name="Normal 30 8 2 3" xfId="25785" xr:uid="{00000000-0005-0000-0000-0000073D0000}"/>
    <cellStyle name="Normal 30 8 3" xfId="13400" xr:uid="{00000000-0005-0000-0000-0000083D0000}"/>
    <cellStyle name="Normal 30 8 3 2" xfId="29944" xr:uid="{00000000-0005-0000-0000-0000093D0000}"/>
    <cellStyle name="Normal 30 8 4" xfId="21901" xr:uid="{00000000-0005-0000-0000-00000A3D0000}"/>
    <cellStyle name="Normal 30 9" xfId="8082" xr:uid="{00000000-0005-0000-0000-00000B3D0000}"/>
    <cellStyle name="Normal 30 9 2" xfId="17259" xr:uid="{00000000-0005-0000-0000-00000C3D0000}"/>
    <cellStyle name="Normal 30 9 2 2" xfId="33833" xr:uid="{00000000-0005-0000-0000-00000D3D0000}"/>
    <cellStyle name="Normal 30 9 3" xfId="25786" xr:uid="{00000000-0005-0000-0000-00000E3D0000}"/>
    <cellStyle name="Normal 300" xfId="10915" xr:uid="{00000000-0005-0000-0000-00000F3D0000}"/>
    <cellStyle name="Normal 301" xfId="10943" xr:uid="{00000000-0005-0000-0000-0000103D0000}"/>
    <cellStyle name="Normal 302" xfId="10946" xr:uid="{00000000-0005-0000-0000-0000113D0000}"/>
    <cellStyle name="Normal 303" xfId="10949" xr:uid="{00000000-0005-0000-0000-0000123D0000}"/>
    <cellStyle name="Normal 304" xfId="10952" xr:uid="{00000000-0005-0000-0000-0000133D0000}"/>
    <cellStyle name="Normal 305" xfId="10955" xr:uid="{00000000-0005-0000-0000-0000143D0000}"/>
    <cellStyle name="Normal 306" xfId="10958" xr:uid="{00000000-0005-0000-0000-0000153D0000}"/>
    <cellStyle name="Normal 307" xfId="10961" xr:uid="{00000000-0005-0000-0000-0000163D0000}"/>
    <cellStyle name="Normal 308" xfId="10964" xr:uid="{00000000-0005-0000-0000-0000173D0000}"/>
    <cellStyle name="Normal 309" xfId="10967" xr:uid="{00000000-0005-0000-0000-0000183D0000}"/>
    <cellStyle name="Normal 31" xfId="4006" xr:uid="{00000000-0005-0000-0000-0000193D0000}"/>
    <cellStyle name="Normal 31 10" xfId="13401" xr:uid="{00000000-0005-0000-0000-00001A3D0000}"/>
    <cellStyle name="Normal 31 10 2" xfId="29945" xr:uid="{00000000-0005-0000-0000-00001B3D0000}"/>
    <cellStyle name="Normal 31 11" xfId="21902" xr:uid="{00000000-0005-0000-0000-00001C3D0000}"/>
    <cellStyle name="Normal 31 2" xfId="4007" xr:uid="{00000000-0005-0000-0000-00001D3D0000}"/>
    <cellStyle name="Normal 31 2 2" xfId="4008" xr:uid="{00000000-0005-0000-0000-00001E3D0000}"/>
    <cellStyle name="Normal 31 2 3" xfId="13402" xr:uid="{00000000-0005-0000-0000-00001F3D0000}"/>
    <cellStyle name="Normal 31 2 3 2" xfId="29946" xr:uid="{00000000-0005-0000-0000-0000203D0000}"/>
    <cellStyle name="Normal 31 2 4" xfId="21903" xr:uid="{00000000-0005-0000-0000-0000213D0000}"/>
    <cellStyle name="Normal 31 3" xfId="4009" xr:uid="{00000000-0005-0000-0000-0000223D0000}"/>
    <cellStyle name="Normal 31 3 2" xfId="4010" xr:uid="{00000000-0005-0000-0000-0000233D0000}"/>
    <cellStyle name="Normal 31 3 2 2" xfId="4011" xr:uid="{00000000-0005-0000-0000-0000243D0000}"/>
    <cellStyle name="Normal 31 3 2 2 2" xfId="4012" xr:uid="{00000000-0005-0000-0000-0000253D0000}"/>
    <cellStyle name="Normal 31 3 2 2 2 2" xfId="8083" xr:uid="{00000000-0005-0000-0000-0000263D0000}"/>
    <cellStyle name="Normal 31 3 2 2 2 2 2" xfId="17260" xr:uid="{00000000-0005-0000-0000-0000273D0000}"/>
    <cellStyle name="Normal 31 3 2 2 2 2 2 2" xfId="33834" xr:uid="{00000000-0005-0000-0000-0000283D0000}"/>
    <cellStyle name="Normal 31 3 2 2 2 2 3" xfId="25787" xr:uid="{00000000-0005-0000-0000-0000293D0000}"/>
    <cellStyle name="Normal 31 3 2 2 2 3" xfId="13405" xr:uid="{00000000-0005-0000-0000-00002A3D0000}"/>
    <cellStyle name="Normal 31 3 2 2 2 3 2" xfId="29949" xr:uid="{00000000-0005-0000-0000-00002B3D0000}"/>
    <cellStyle name="Normal 31 3 2 2 2 4" xfId="21906" xr:uid="{00000000-0005-0000-0000-00002C3D0000}"/>
    <cellStyle name="Normal 31 3 2 2 3" xfId="8084" xr:uid="{00000000-0005-0000-0000-00002D3D0000}"/>
    <cellStyle name="Normal 31 3 2 2 3 2" xfId="17261" xr:uid="{00000000-0005-0000-0000-00002E3D0000}"/>
    <cellStyle name="Normal 31 3 2 2 3 2 2" xfId="33835" xr:uid="{00000000-0005-0000-0000-00002F3D0000}"/>
    <cellStyle name="Normal 31 3 2 2 3 3" xfId="25788" xr:uid="{00000000-0005-0000-0000-0000303D0000}"/>
    <cellStyle name="Normal 31 3 2 2 4" xfId="13404" xr:uid="{00000000-0005-0000-0000-0000313D0000}"/>
    <cellStyle name="Normal 31 3 2 2 4 2" xfId="29948" xr:uid="{00000000-0005-0000-0000-0000323D0000}"/>
    <cellStyle name="Normal 31 3 2 2 5" xfId="21905" xr:uid="{00000000-0005-0000-0000-0000333D0000}"/>
    <cellStyle name="Normal 31 3 2 3" xfId="4013" xr:uid="{00000000-0005-0000-0000-0000343D0000}"/>
    <cellStyle name="Normal 31 3 2 3 2" xfId="8085" xr:uid="{00000000-0005-0000-0000-0000353D0000}"/>
    <cellStyle name="Normal 31 3 2 3 2 2" xfId="17262" xr:uid="{00000000-0005-0000-0000-0000363D0000}"/>
    <cellStyle name="Normal 31 3 2 3 2 2 2" xfId="33836" xr:uid="{00000000-0005-0000-0000-0000373D0000}"/>
    <cellStyle name="Normal 31 3 2 3 2 3" xfId="25789" xr:uid="{00000000-0005-0000-0000-0000383D0000}"/>
    <cellStyle name="Normal 31 3 2 3 3" xfId="13406" xr:uid="{00000000-0005-0000-0000-0000393D0000}"/>
    <cellStyle name="Normal 31 3 2 3 3 2" xfId="29950" xr:uid="{00000000-0005-0000-0000-00003A3D0000}"/>
    <cellStyle name="Normal 31 3 2 3 4" xfId="21907" xr:uid="{00000000-0005-0000-0000-00003B3D0000}"/>
    <cellStyle name="Normal 31 3 2 4" xfId="8086" xr:uid="{00000000-0005-0000-0000-00003C3D0000}"/>
    <cellStyle name="Normal 31 3 2 4 2" xfId="17263" xr:uid="{00000000-0005-0000-0000-00003D3D0000}"/>
    <cellStyle name="Normal 31 3 2 4 2 2" xfId="33837" xr:uid="{00000000-0005-0000-0000-00003E3D0000}"/>
    <cellStyle name="Normal 31 3 2 4 3" xfId="25790" xr:uid="{00000000-0005-0000-0000-00003F3D0000}"/>
    <cellStyle name="Normal 31 3 2 5" xfId="13403" xr:uid="{00000000-0005-0000-0000-0000403D0000}"/>
    <cellStyle name="Normal 31 3 2 5 2" xfId="29947" xr:uid="{00000000-0005-0000-0000-0000413D0000}"/>
    <cellStyle name="Normal 31 3 2 6" xfId="21904" xr:uid="{00000000-0005-0000-0000-0000423D0000}"/>
    <cellStyle name="Normal 31 3 3" xfId="4014" xr:uid="{00000000-0005-0000-0000-0000433D0000}"/>
    <cellStyle name="Normal 31 3 3 2" xfId="4015" xr:uid="{00000000-0005-0000-0000-0000443D0000}"/>
    <cellStyle name="Normal 31 3 3 2 2" xfId="8087" xr:uid="{00000000-0005-0000-0000-0000453D0000}"/>
    <cellStyle name="Normal 31 3 3 2 2 2" xfId="17264" xr:uid="{00000000-0005-0000-0000-0000463D0000}"/>
    <cellStyle name="Normal 31 3 3 2 2 2 2" xfId="33838" xr:uid="{00000000-0005-0000-0000-0000473D0000}"/>
    <cellStyle name="Normal 31 3 3 2 2 3" xfId="25791" xr:uid="{00000000-0005-0000-0000-0000483D0000}"/>
    <cellStyle name="Normal 31 3 3 2 3" xfId="13408" xr:uid="{00000000-0005-0000-0000-0000493D0000}"/>
    <cellStyle name="Normal 31 3 3 2 3 2" xfId="29952" xr:uid="{00000000-0005-0000-0000-00004A3D0000}"/>
    <cellStyle name="Normal 31 3 3 2 4" xfId="21909" xr:uid="{00000000-0005-0000-0000-00004B3D0000}"/>
    <cellStyle name="Normal 31 3 3 3" xfId="8088" xr:uid="{00000000-0005-0000-0000-00004C3D0000}"/>
    <cellStyle name="Normal 31 3 3 3 2" xfId="17265" xr:uid="{00000000-0005-0000-0000-00004D3D0000}"/>
    <cellStyle name="Normal 31 3 3 3 2 2" xfId="33839" xr:uid="{00000000-0005-0000-0000-00004E3D0000}"/>
    <cellStyle name="Normal 31 3 3 3 3" xfId="25792" xr:uid="{00000000-0005-0000-0000-00004F3D0000}"/>
    <cellStyle name="Normal 31 3 3 4" xfId="13407" xr:uid="{00000000-0005-0000-0000-0000503D0000}"/>
    <cellStyle name="Normal 31 3 3 4 2" xfId="29951" xr:uid="{00000000-0005-0000-0000-0000513D0000}"/>
    <cellStyle name="Normal 31 3 3 5" xfId="21908" xr:uid="{00000000-0005-0000-0000-0000523D0000}"/>
    <cellStyle name="Normal 31 3 4" xfId="4016" xr:uid="{00000000-0005-0000-0000-0000533D0000}"/>
    <cellStyle name="Normal 31 3 4 2" xfId="8089" xr:uid="{00000000-0005-0000-0000-0000543D0000}"/>
    <cellStyle name="Normal 31 3 4 2 2" xfId="17266" xr:uid="{00000000-0005-0000-0000-0000553D0000}"/>
    <cellStyle name="Normal 31 3 4 2 2 2" xfId="33840" xr:uid="{00000000-0005-0000-0000-0000563D0000}"/>
    <cellStyle name="Normal 31 3 4 2 3" xfId="25793" xr:uid="{00000000-0005-0000-0000-0000573D0000}"/>
    <cellStyle name="Normal 31 3 4 3" xfId="13409" xr:uid="{00000000-0005-0000-0000-0000583D0000}"/>
    <cellStyle name="Normal 31 3 4 3 2" xfId="29953" xr:uid="{00000000-0005-0000-0000-0000593D0000}"/>
    <cellStyle name="Normal 31 3 4 4" xfId="21910" xr:uid="{00000000-0005-0000-0000-00005A3D0000}"/>
    <cellStyle name="Normal 31 3 5" xfId="4017" xr:uid="{00000000-0005-0000-0000-00005B3D0000}"/>
    <cellStyle name="Normal 31 3 5 2" xfId="13410" xr:uid="{00000000-0005-0000-0000-00005C3D0000}"/>
    <cellStyle name="Normal 31 3 5 2 2" xfId="29954" xr:uid="{00000000-0005-0000-0000-00005D3D0000}"/>
    <cellStyle name="Normal 31 3 5 3" xfId="21911" xr:uid="{00000000-0005-0000-0000-00005E3D0000}"/>
    <cellStyle name="Normal 31 4" xfId="4018" xr:uid="{00000000-0005-0000-0000-00005F3D0000}"/>
    <cellStyle name="Normal 31 4 2" xfId="4019" xr:uid="{00000000-0005-0000-0000-0000603D0000}"/>
    <cellStyle name="Normal 31 4 2 2" xfId="4020" xr:uid="{00000000-0005-0000-0000-0000613D0000}"/>
    <cellStyle name="Normal 31 4 2 2 2" xfId="4021" xr:uid="{00000000-0005-0000-0000-0000623D0000}"/>
    <cellStyle name="Normal 31 4 2 2 2 2" xfId="8090" xr:uid="{00000000-0005-0000-0000-0000633D0000}"/>
    <cellStyle name="Normal 31 4 2 2 2 2 2" xfId="17267" xr:uid="{00000000-0005-0000-0000-0000643D0000}"/>
    <cellStyle name="Normal 31 4 2 2 2 2 2 2" xfId="33841" xr:uid="{00000000-0005-0000-0000-0000653D0000}"/>
    <cellStyle name="Normal 31 4 2 2 2 2 3" xfId="25794" xr:uid="{00000000-0005-0000-0000-0000663D0000}"/>
    <cellStyle name="Normal 31 4 2 2 2 3" xfId="13414" xr:uid="{00000000-0005-0000-0000-0000673D0000}"/>
    <cellStyle name="Normal 31 4 2 2 2 3 2" xfId="29958" xr:uid="{00000000-0005-0000-0000-0000683D0000}"/>
    <cellStyle name="Normal 31 4 2 2 2 4" xfId="21915" xr:uid="{00000000-0005-0000-0000-0000693D0000}"/>
    <cellStyle name="Normal 31 4 2 2 3" xfId="8091" xr:uid="{00000000-0005-0000-0000-00006A3D0000}"/>
    <cellStyle name="Normal 31 4 2 2 3 2" xfId="17268" xr:uid="{00000000-0005-0000-0000-00006B3D0000}"/>
    <cellStyle name="Normal 31 4 2 2 3 2 2" xfId="33842" xr:uid="{00000000-0005-0000-0000-00006C3D0000}"/>
    <cellStyle name="Normal 31 4 2 2 3 3" xfId="25795" xr:uid="{00000000-0005-0000-0000-00006D3D0000}"/>
    <cellStyle name="Normal 31 4 2 2 4" xfId="13413" xr:uid="{00000000-0005-0000-0000-00006E3D0000}"/>
    <cellStyle name="Normal 31 4 2 2 4 2" xfId="29957" xr:uid="{00000000-0005-0000-0000-00006F3D0000}"/>
    <cellStyle name="Normal 31 4 2 2 5" xfId="21914" xr:uid="{00000000-0005-0000-0000-0000703D0000}"/>
    <cellStyle name="Normal 31 4 2 3" xfId="4022" xr:uid="{00000000-0005-0000-0000-0000713D0000}"/>
    <cellStyle name="Normal 31 4 2 3 2" xfId="8092" xr:uid="{00000000-0005-0000-0000-0000723D0000}"/>
    <cellStyle name="Normal 31 4 2 3 2 2" xfId="17269" xr:uid="{00000000-0005-0000-0000-0000733D0000}"/>
    <cellStyle name="Normal 31 4 2 3 2 2 2" xfId="33843" xr:uid="{00000000-0005-0000-0000-0000743D0000}"/>
    <cellStyle name="Normal 31 4 2 3 2 3" xfId="25796" xr:uid="{00000000-0005-0000-0000-0000753D0000}"/>
    <cellStyle name="Normal 31 4 2 3 3" xfId="13415" xr:uid="{00000000-0005-0000-0000-0000763D0000}"/>
    <cellStyle name="Normal 31 4 2 3 3 2" xfId="29959" xr:uid="{00000000-0005-0000-0000-0000773D0000}"/>
    <cellStyle name="Normal 31 4 2 3 4" xfId="21916" xr:uid="{00000000-0005-0000-0000-0000783D0000}"/>
    <cellStyle name="Normal 31 4 2 4" xfId="8093" xr:uid="{00000000-0005-0000-0000-0000793D0000}"/>
    <cellStyle name="Normal 31 4 2 4 2" xfId="17270" xr:uid="{00000000-0005-0000-0000-00007A3D0000}"/>
    <cellStyle name="Normal 31 4 2 4 2 2" xfId="33844" xr:uid="{00000000-0005-0000-0000-00007B3D0000}"/>
    <cellStyle name="Normal 31 4 2 4 3" xfId="25797" xr:uid="{00000000-0005-0000-0000-00007C3D0000}"/>
    <cellStyle name="Normal 31 4 2 5" xfId="13412" xr:uid="{00000000-0005-0000-0000-00007D3D0000}"/>
    <cellStyle name="Normal 31 4 2 5 2" xfId="29956" xr:uid="{00000000-0005-0000-0000-00007E3D0000}"/>
    <cellStyle name="Normal 31 4 2 6" xfId="21913" xr:uid="{00000000-0005-0000-0000-00007F3D0000}"/>
    <cellStyle name="Normal 31 4 3" xfId="4023" xr:uid="{00000000-0005-0000-0000-0000803D0000}"/>
    <cellStyle name="Normal 31 4 3 2" xfId="4024" xr:uid="{00000000-0005-0000-0000-0000813D0000}"/>
    <cellStyle name="Normal 31 4 3 2 2" xfId="8094" xr:uid="{00000000-0005-0000-0000-0000823D0000}"/>
    <cellStyle name="Normal 31 4 3 2 2 2" xfId="17271" xr:uid="{00000000-0005-0000-0000-0000833D0000}"/>
    <cellStyle name="Normal 31 4 3 2 2 2 2" xfId="33845" xr:uid="{00000000-0005-0000-0000-0000843D0000}"/>
    <cellStyle name="Normal 31 4 3 2 2 3" xfId="25798" xr:uid="{00000000-0005-0000-0000-0000853D0000}"/>
    <cellStyle name="Normal 31 4 3 2 3" xfId="13417" xr:uid="{00000000-0005-0000-0000-0000863D0000}"/>
    <cellStyle name="Normal 31 4 3 2 3 2" xfId="29961" xr:uid="{00000000-0005-0000-0000-0000873D0000}"/>
    <cellStyle name="Normal 31 4 3 2 4" xfId="21918" xr:uid="{00000000-0005-0000-0000-0000883D0000}"/>
    <cellStyle name="Normal 31 4 3 3" xfId="8095" xr:uid="{00000000-0005-0000-0000-0000893D0000}"/>
    <cellStyle name="Normal 31 4 3 3 2" xfId="17272" xr:uid="{00000000-0005-0000-0000-00008A3D0000}"/>
    <cellStyle name="Normal 31 4 3 3 2 2" xfId="33846" xr:uid="{00000000-0005-0000-0000-00008B3D0000}"/>
    <cellStyle name="Normal 31 4 3 3 3" xfId="25799" xr:uid="{00000000-0005-0000-0000-00008C3D0000}"/>
    <cellStyle name="Normal 31 4 3 4" xfId="13416" xr:uid="{00000000-0005-0000-0000-00008D3D0000}"/>
    <cellStyle name="Normal 31 4 3 4 2" xfId="29960" xr:uid="{00000000-0005-0000-0000-00008E3D0000}"/>
    <cellStyle name="Normal 31 4 3 5" xfId="21917" xr:uid="{00000000-0005-0000-0000-00008F3D0000}"/>
    <cellStyle name="Normal 31 4 4" xfId="4025" xr:uid="{00000000-0005-0000-0000-0000903D0000}"/>
    <cellStyle name="Normal 31 4 4 2" xfId="8096" xr:uid="{00000000-0005-0000-0000-0000913D0000}"/>
    <cellStyle name="Normal 31 4 4 2 2" xfId="17273" xr:uid="{00000000-0005-0000-0000-0000923D0000}"/>
    <cellStyle name="Normal 31 4 4 2 2 2" xfId="33847" xr:uid="{00000000-0005-0000-0000-0000933D0000}"/>
    <cellStyle name="Normal 31 4 4 2 3" xfId="25800" xr:uid="{00000000-0005-0000-0000-0000943D0000}"/>
    <cellStyle name="Normal 31 4 4 3" xfId="13418" xr:uid="{00000000-0005-0000-0000-0000953D0000}"/>
    <cellStyle name="Normal 31 4 4 3 2" xfId="29962" xr:uid="{00000000-0005-0000-0000-0000963D0000}"/>
    <cellStyle name="Normal 31 4 4 4" xfId="21919" xr:uid="{00000000-0005-0000-0000-0000973D0000}"/>
    <cellStyle name="Normal 31 4 5" xfId="8097" xr:uid="{00000000-0005-0000-0000-0000983D0000}"/>
    <cellStyle name="Normal 31 4 5 2" xfId="17274" xr:uid="{00000000-0005-0000-0000-0000993D0000}"/>
    <cellStyle name="Normal 31 4 5 2 2" xfId="33848" xr:uid="{00000000-0005-0000-0000-00009A3D0000}"/>
    <cellStyle name="Normal 31 4 5 3" xfId="25801" xr:uid="{00000000-0005-0000-0000-00009B3D0000}"/>
    <cellStyle name="Normal 31 4 6" xfId="13411" xr:uid="{00000000-0005-0000-0000-00009C3D0000}"/>
    <cellStyle name="Normal 31 4 6 2" xfId="29955" xr:uid="{00000000-0005-0000-0000-00009D3D0000}"/>
    <cellStyle name="Normal 31 4 7" xfId="21912" xr:uid="{00000000-0005-0000-0000-00009E3D0000}"/>
    <cellStyle name="Normal 31 5" xfId="4026" xr:uid="{00000000-0005-0000-0000-00009F3D0000}"/>
    <cellStyle name="Normal 31 5 2" xfId="4027" xr:uid="{00000000-0005-0000-0000-0000A03D0000}"/>
    <cellStyle name="Normal 31 5 2 2" xfId="4028" xr:uid="{00000000-0005-0000-0000-0000A13D0000}"/>
    <cellStyle name="Normal 31 5 2 2 2" xfId="4029" xr:uid="{00000000-0005-0000-0000-0000A23D0000}"/>
    <cellStyle name="Normal 31 5 2 2 2 2" xfId="8098" xr:uid="{00000000-0005-0000-0000-0000A33D0000}"/>
    <cellStyle name="Normal 31 5 2 2 2 2 2" xfId="17275" xr:uid="{00000000-0005-0000-0000-0000A43D0000}"/>
    <cellStyle name="Normal 31 5 2 2 2 2 2 2" xfId="33849" xr:uid="{00000000-0005-0000-0000-0000A53D0000}"/>
    <cellStyle name="Normal 31 5 2 2 2 2 3" xfId="25802" xr:uid="{00000000-0005-0000-0000-0000A63D0000}"/>
    <cellStyle name="Normal 31 5 2 2 2 3" xfId="13422" xr:uid="{00000000-0005-0000-0000-0000A73D0000}"/>
    <cellStyle name="Normal 31 5 2 2 2 3 2" xfId="29966" xr:uid="{00000000-0005-0000-0000-0000A83D0000}"/>
    <cellStyle name="Normal 31 5 2 2 2 4" xfId="21923" xr:uid="{00000000-0005-0000-0000-0000A93D0000}"/>
    <cellStyle name="Normal 31 5 2 2 3" xfId="8099" xr:uid="{00000000-0005-0000-0000-0000AA3D0000}"/>
    <cellStyle name="Normal 31 5 2 2 3 2" xfId="17276" xr:uid="{00000000-0005-0000-0000-0000AB3D0000}"/>
    <cellStyle name="Normal 31 5 2 2 3 2 2" xfId="33850" xr:uid="{00000000-0005-0000-0000-0000AC3D0000}"/>
    <cellStyle name="Normal 31 5 2 2 3 3" xfId="25803" xr:uid="{00000000-0005-0000-0000-0000AD3D0000}"/>
    <cellStyle name="Normal 31 5 2 2 4" xfId="13421" xr:uid="{00000000-0005-0000-0000-0000AE3D0000}"/>
    <cellStyle name="Normal 31 5 2 2 4 2" xfId="29965" xr:uid="{00000000-0005-0000-0000-0000AF3D0000}"/>
    <cellStyle name="Normal 31 5 2 2 5" xfId="21922" xr:uid="{00000000-0005-0000-0000-0000B03D0000}"/>
    <cellStyle name="Normal 31 5 2 3" xfId="4030" xr:uid="{00000000-0005-0000-0000-0000B13D0000}"/>
    <cellStyle name="Normal 31 5 2 3 2" xfId="8100" xr:uid="{00000000-0005-0000-0000-0000B23D0000}"/>
    <cellStyle name="Normal 31 5 2 3 2 2" xfId="17277" xr:uid="{00000000-0005-0000-0000-0000B33D0000}"/>
    <cellStyle name="Normal 31 5 2 3 2 2 2" xfId="33851" xr:uid="{00000000-0005-0000-0000-0000B43D0000}"/>
    <cellStyle name="Normal 31 5 2 3 2 3" xfId="25804" xr:uid="{00000000-0005-0000-0000-0000B53D0000}"/>
    <cellStyle name="Normal 31 5 2 3 3" xfId="13423" xr:uid="{00000000-0005-0000-0000-0000B63D0000}"/>
    <cellStyle name="Normal 31 5 2 3 3 2" xfId="29967" xr:uid="{00000000-0005-0000-0000-0000B73D0000}"/>
    <cellStyle name="Normal 31 5 2 3 4" xfId="21924" xr:uid="{00000000-0005-0000-0000-0000B83D0000}"/>
    <cellStyle name="Normal 31 5 2 4" xfId="8101" xr:uid="{00000000-0005-0000-0000-0000B93D0000}"/>
    <cellStyle name="Normal 31 5 2 4 2" xfId="17278" xr:uid="{00000000-0005-0000-0000-0000BA3D0000}"/>
    <cellStyle name="Normal 31 5 2 4 2 2" xfId="33852" xr:uid="{00000000-0005-0000-0000-0000BB3D0000}"/>
    <cellStyle name="Normal 31 5 2 4 3" xfId="25805" xr:uid="{00000000-0005-0000-0000-0000BC3D0000}"/>
    <cellStyle name="Normal 31 5 2 5" xfId="13420" xr:uid="{00000000-0005-0000-0000-0000BD3D0000}"/>
    <cellStyle name="Normal 31 5 2 5 2" xfId="29964" xr:uid="{00000000-0005-0000-0000-0000BE3D0000}"/>
    <cellStyle name="Normal 31 5 2 6" xfId="21921" xr:uid="{00000000-0005-0000-0000-0000BF3D0000}"/>
    <cellStyle name="Normal 31 5 3" xfId="4031" xr:uid="{00000000-0005-0000-0000-0000C03D0000}"/>
    <cellStyle name="Normal 31 5 3 2" xfId="4032" xr:uid="{00000000-0005-0000-0000-0000C13D0000}"/>
    <cellStyle name="Normal 31 5 3 2 2" xfId="8102" xr:uid="{00000000-0005-0000-0000-0000C23D0000}"/>
    <cellStyle name="Normal 31 5 3 2 2 2" xfId="17279" xr:uid="{00000000-0005-0000-0000-0000C33D0000}"/>
    <cellStyle name="Normal 31 5 3 2 2 2 2" xfId="33853" xr:uid="{00000000-0005-0000-0000-0000C43D0000}"/>
    <cellStyle name="Normal 31 5 3 2 2 3" xfId="25806" xr:uid="{00000000-0005-0000-0000-0000C53D0000}"/>
    <cellStyle name="Normal 31 5 3 2 3" xfId="13425" xr:uid="{00000000-0005-0000-0000-0000C63D0000}"/>
    <cellStyle name="Normal 31 5 3 2 3 2" xfId="29969" xr:uid="{00000000-0005-0000-0000-0000C73D0000}"/>
    <cellStyle name="Normal 31 5 3 2 4" xfId="21926" xr:uid="{00000000-0005-0000-0000-0000C83D0000}"/>
    <cellStyle name="Normal 31 5 3 3" xfId="8103" xr:uid="{00000000-0005-0000-0000-0000C93D0000}"/>
    <cellStyle name="Normal 31 5 3 3 2" xfId="17280" xr:uid="{00000000-0005-0000-0000-0000CA3D0000}"/>
    <cellStyle name="Normal 31 5 3 3 2 2" xfId="33854" xr:uid="{00000000-0005-0000-0000-0000CB3D0000}"/>
    <cellStyle name="Normal 31 5 3 3 3" xfId="25807" xr:uid="{00000000-0005-0000-0000-0000CC3D0000}"/>
    <cellStyle name="Normal 31 5 3 4" xfId="13424" xr:uid="{00000000-0005-0000-0000-0000CD3D0000}"/>
    <cellStyle name="Normal 31 5 3 4 2" xfId="29968" xr:uid="{00000000-0005-0000-0000-0000CE3D0000}"/>
    <cellStyle name="Normal 31 5 3 5" xfId="21925" xr:uid="{00000000-0005-0000-0000-0000CF3D0000}"/>
    <cellStyle name="Normal 31 5 4" xfId="4033" xr:uid="{00000000-0005-0000-0000-0000D03D0000}"/>
    <cellStyle name="Normal 31 5 4 2" xfId="8104" xr:uid="{00000000-0005-0000-0000-0000D13D0000}"/>
    <cellStyle name="Normal 31 5 4 2 2" xfId="17281" xr:uid="{00000000-0005-0000-0000-0000D23D0000}"/>
    <cellStyle name="Normal 31 5 4 2 2 2" xfId="33855" xr:uid="{00000000-0005-0000-0000-0000D33D0000}"/>
    <cellStyle name="Normal 31 5 4 2 3" xfId="25808" xr:uid="{00000000-0005-0000-0000-0000D43D0000}"/>
    <cellStyle name="Normal 31 5 4 3" xfId="13426" xr:uid="{00000000-0005-0000-0000-0000D53D0000}"/>
    <cellStyle name="Normal 31 5 4 3 2" xfId="29970" xr:uid="{00000000-0005-0000-0000-0000D63D0000}"/>
    <cellStyle name="Normal 31 5 4 4" xfId="21927" xr:uid="{00000000-0005-0000-0000-0000D73D0000}"/>
    <cellStyle name="Normal 31 5 5" xfId="8105" xr:uid="{00000000-0005-0000-0000-0000D83D0000}"/>
    <cellStyle name="Normal 31 5 5 2" xfId="17282" xr:uid="{00000000-0005-0000-0000-0000D93D0000}"/>
    <cellStyle name="Normal 31 5 5 2 2" xfId="33856" xr:uid="{00000000-0005-0000-0000-0000DA3D0000}"/>
    <cellStyle name="Normal 31 5 5 3" xfId="25809" xr:uid="{00000000-0005-0000-0000-0000DB3D0000}"/>
    <cellStyle name="Normal 31 5 6" xfId="13419" xr:uid="{00000000-0005-0000-0000-0000DC3D0000}"/>
    <cellStyle name="Normal 31 5 6 2" xfId="29963" xr:uid="{00000000-0005-0000-0000-0000DD3D0000}"/>
    <cellStyle name="Normal 31 5 7" xfId="21920" xr:uid="{00000000-0005-0000-0000-0000DE3D0000}"/>
    <cellStyle name="Normal 31 6" xfId="4034" xr:uid="{00000000-0005-0000-0000-0000DF3D0000}"/>
    <cellStyle name="Normal 31 6 2" xfId="4035" xr:uid="{00000000-0005-0000-0000-0000E03D0000}"/>
    <cellStyle name="Normal 31 6 2 2" xfId="4036" xr:uid="{00000000-0005-0000-0000-0000E13D0000}"/>
    <cellStyle name="Normal 31 6 2 2 2" xfId="8106" xr:uid="{00000000-0005-0000-0000-0000E23D0000}"/>
    <cellStyle name="Normal 31 6 2 2 2 2" xfId="17283" xr:uid="{00000000-0005-0000-0000-0000E33D0000}"/>
    <cellStyle name="Normal 31 6 2 2 2 2 2" xfId="33857" xr:uid="{00000000-0005-0000-0000-0000E43D0000}"/>
    <cellStyle name="Normal 31 6 2 2 2 3" xfId="25810" xr:uid="{00000000-0005-0000-0000-0000E53D0000}"/>
    <cellStyle name="Normal 31 6 2 2 3" xfId="13429" xr:uid="{00000000-0005-0000-0000-0000E63D0000}"/>
    <cellStyle name="Normal 31 6 2 2 3 2" xfId="29973" xr:uid="{00000000-0005-0000-0000-0000E73D0000}"/>
    <cellStyle name="Normal 31 6 2 2 4" xfId="21930" xr:uid="{00000000-0005-0000-0000-0000E83D0000}"/>
    <cellStyle name="Normal 31 6 2 3" xfId="8107" xr:uid="{00000000-0005-0000-0000-0000E93D0000}"/>
    <cellStyle name="Normal 31 6 2 3 2" xfId="17284" xr:uid="{00000000-0005-0000-0000-0000EA3D0000}"/>
    <cellStyle name="Normal 31 6 2 3 2 2" xfId="33858" xr:uid="{00000000-0005-0000-0000-0000EB3D0000}"/>
    <cellStyle name="Normal 31 6 2 3 3" xfId="25811" xr:uid="{00000000-0005-0000-0000-0000EC3D0000}"/>
    <cellStyle name="Normal 31 6 2 4" xfId="13428" xr:uid="{00000000-0005-0000-0000-0000ED3D0000}"/>
    <cellStyle name="Normal 31 6 2 4 2" xfId="29972" xr:uid="{00000000-0005-0000-0000-0000EE3D0000}"/>
    <cellStyle name="Normal 31 6 2 5" xfId="21929" xr:uid="{00000000-0005-0000-0000-0000EF3D0000}"/>
    <cellStyle name="Normal 31 6 3" xfId="4037" xr:uid="{00000000-0005-0000-0000-0000F03D0000}"/>
    <cellStyle name="Normal 31 6 3 2" xfId="8108" xr:uid="{00000000-0005-0000-0000-0000F13D0000}"/>
    <cellStyle name="Normal 31 6 3 2 2" xfId="17285" xr:uid="{00000000-0005-0000-0000-0000F23D0000}"/>
    <cellStyle name="Normal 31 6 3 2 2 2" xfId="33859" xr:uid="{00000000-0005-0000-0000-0000F33D0000}"/>
    <cellStyle name="Normal 31 6 3 2 3" xfId="25812" xr:uid="{00000000-0005-0000-0000-0000F43D0000}"/>
    <cellStyle name="Normal 31 6 3 3" xfId="13430" xr:uid="{00000000-0005-0000-0000-0000F53D0000}"/>
    <cellStyle name="Normal 31 6 3 3 2" xfId="29974" xr:uid="{00000000-0005-0000-0000-0000F63D0000}"/>
    <cellStyle name="Normal 31 6 3 4" xfId="21931" xr:uid="{00000000-0005-0000-0000-0000F73D0000}"/>
    <cellStyle name="Normal 31 6 4" xfId="8109" xr:uid="{00000000-0005-0000-0000-0000F83D0000}"/>
    <cellStyle name="Normal 31 6 4 2" xfId="17286" xr:uid="{00000000-0005-0000-0000-0000F93D0000}"/>
    <cellStyle name="Normal 31 6 4 2 2" xfId="33860" xr:uid="{00000000-0005-0000-0000-0000FA3D0000}"/>
    <cellStyle name="Normal 31 6 4 3" xfId="25813" xr:uid="{00000000-0005-0000-0000-0000FB3D0000}"/>
    <cellStyle name="Normal 31 6 5" xfId="13427" xr:uid="{00000000-0005-0000-0000-0000FC3D0000}"/>
    <cellStyle name="Normal 31 6 5 2" xfId="29971" xr:uid="{00000000-0005-0000-0000-0000FD3D0000}"/>
    <cellStyle name="Normal 31 6 6" xfId="21928" xr:uid="{00000000-0005-0000-0000-0000FE3D0000}"/>
    <cellStyle name="Normal 31 7" xfId="4038" xr:uid="{00000000-0005-0000-0000-0000FF3D0000}"/>
    <cellStyle name="Normal 31 7 2" xfId="4039" xr:uid="{00000000-0005-0000-0000-0000003E0000}"/>
    <cellStyle name="Normal 31 7 2 2" xfId="8110" xr:uid="{00000000-0005-0000-0000-0000013E0000}"/>
    <cellStyle name="Normal 31 7 2 2 2" xfId="17287" xr:uid="{00000000-0005-0000-0000-0000023E0000}"/>
    <cellStyle name="Normal 31 7 2 2 2 2" xfId="33861" xr:uid="{00000000-0005-0000-0000-0000033E0000}"/>
    <cellStyle name="Normal 31 7 2 2 3" xfId="25814" xr:uid="{00000000-0005-0000-0000-0000043E0000}"/>
    <cellStyle name="Normal 31 7 2 3" xfId="13432" xr:uid="{00000000-0005-0000-0000-0000053E0000}"/>
    <cellStyle name="Normal 31 7 2 3 2" xfId="29976" xr:uid="{00000000-0005-0000-0000-0000063E0000}"/>
    <cellStyle name="Normal 31 7 2 4" xfId="21933" xr:uid="{00000000-0005-0000-0000-0000073E0000}"/>
    <cellStyle name="Normal 31 7 3" xfId="8111" xr:uid="{00000000-0005-0000-0000-0000083E0000}"/>
    <cellStyle name="Normal 31 7 3 2" xfId="17288" xr:uid="{00000000-0005-0000-0000-0000093E0000}"/>
    <cellStyle name="Normal 31 7 3 2 2" xfId="33862" xr:uid="{00000000-0005-0000-0000-00000A3E0000}"/>
    <cellStyle name="Normal 31 7 3 3" xfId="25815" xr:uid="{00000000-0005-0000-0000-00000B3E0000}"/>
    <cellStyle name="Normal 31 7 4" xfId="13431" xr:uid="{00000000-0005-0000-0000-00000C3E0000}"/>
    <cellStyle name="Normal 31 7 4 2" xfId="29975" xr:uid="{00000000-0005-0000-0000-00000D3E0000}"/>
    <cellStyle name="Normal 31 7 5" xfId="21932" xr:uid="{00000000-0005-0000-0000-00000E3E0000}"/>
    <cellStyle name="Normal 31 8" xfId="4040" xr:uid="{00000000-0005-0000-0000-00000F3E0000}"/>
    <cellStyle name="Normal 31 8 2" xfId="8112" xr:uid="{00000000-0005-0000-0000-0000103E0000}"/>
    <cellStyle name="Normal 31 8 2 2" xfId="17289" xr:uid="{00000000-0005-0000-0000-0000113E0000}"/>
    <cellStyle name="Normal 31 8 2 2 2" xfId="33863" xr:uid="{00000000-0005-0000-0000-0000123E0000}"/>
    <cellStyle name="Normal 31 8 2 3" xfId="25816" xr:uid="{00000000-0005-0000-0000-0000133E0000}"/>
    <cellStyle name="Normal 31 8 3" xfId="13433" xr:uid="{00000000-0005-0000-0000-0000143E0000}"/>
    <cellStyle name="Normal 31 8 3 2" xfId="29977" xr:uid="{00000000-0005-0000-0000-0000153E0000}"/>
    <cellStyle name="Normal 31 8 4" xfId="21934" xr:uid="{00000000-0005-0000-0000-0000163E0000}"/>
    <cellStyle name="Normal 31 9" xfId="8113" xr:uid="{00000000-0005-0000-0000-0000173E0000}"/>
    <cellStyle name="Normal 31 9 2" xfId="17290" xr:uid="{00000000-0005-0000-0000-0000183E0000}"/>
    <cellStyle name="Normal 31 9 2 2" xfId="33864" xr:uid="{00000000-0005-0000-0000-0000193E0000}"/>
    <cellStyle name="Normal 31 9 3" xfId="25817" xr:uid="{00000000-0005-0000-0000-00001A3E0000}"/>
    <cellStyle name="Normal 310" xfId="10970" xr:uid="{00000000-0005-0000-0000-00001B3E0000}"/>
    <cellStyle name="Normal 311" xfId="10973" xr:uid="{00000000-0005-0000-0000-00001C3E0000}"/>
    <cellStyle name="Normal 312" xfId="10976" xr:uid="{00000000-0005-0000-0000-00001D3E0000}"/>
    <cellStyle name="Normal 313" xfId="10979" xr:uid="{00000000-0005-0000-0000-00001E3E0000}"/>
    <cellStyle name="Normal 314" xfId="10982" xr:uid="{00000000-0005-0000-0000-00001F3E0000}"/>
    <cellStyle name="Normal 315" xfId="10985" xr:uid="{00000000-0005-0000-0000-0000203E0000}"/>
    <cellStyle name="Normal 316" xfId="10988" xr:uid="{00000000-0005-0000-0000-0000213E0000}"/>
    <cellStyle name="Normal 317" xfId="10991" xr:uid="{00000000-0005-0000-0000-0000223E0000}"/>
    <cellStyle name="Normal 318" xfId="10994" xr:uid="{00000000-0005-0000-0000-0000233E0000}"/>
    <cellStyle name="Normal 319" xfId="10997" xr:uid="{00000000-0005-0000-0000-0000243E0000}"/>
    <cellStyle name="Normal 32" xfId="4041" xr:uid="{00000000-0005-0000-0000-0000253E0000}"/>
    <cellStyle name="Normal 32 10" xfId="13434" xr:uid="{00000000-0005-0000-0000-0000263E0000}"/>
    <cellStyle name="Normal 32 10 2" xfId="29978" xr:uid="{00000000-0005-0000-0000-0000273E0000}"/>
    <cellStyle name="Normal 32 11" xfId="21935" xr:uid="{00000000-0005-0000-0000-0000283E0000}"/>
    <cellStyle name="Normal 32 2" xfId="4042" xr:uid="{00000000-0005-0000-0000-0000293E0000}"/>
    <cellStyle name="Normal 32 2 2" xfId="4043" xr:uid="{00000000-0005-0000-0000-00002A3E0000}"/>
    <cellStyle name="Normal 32 2 3" xfId="13435" xr:uid="{00000000-0005-0000-0000-00002B3E0000}"/>
    <cellStyle name="Normal 32 2 3 2" xfId="29979" xr:uid="{00000000-0005-0000-0000-00002C3E0000}"/>
    <cellStyle name="Normal 32 2 4" xfId="21936" xr:uid="{00000000-0005-0000-0000-00002D3E0000}"/>
    <cellStyle name="Normal 32 3" xfId="4044" xr:uid="{00000000-0005-0000-0000-00002E3E0000}"/>
    <cellStyle name="Normal 32 3 2" xfId="4045" xr:uid="{00000000-0005-0000-0000-00002F3E0000}"/>
    <cellStyle name="Normal 32 3 2 2" xfId="4046" xr:uid="{00000000-0005-0000-0000-0000303E0000}"/>
    <cellStyle name="Normal 32 3 2 2 2" xfId="4047" xr:uid="{00000000-0005-0000-0000-0000313E0000}"/>
    <cellStyle name="Normal 32 3 2 2 2 2" xfId="8114" xr:uid="{00000000-0005-0000-0000-0000323E0000}"/>
    <cellStyle name="Normal 32 3 2 2 2 2 2" xfId="17291" xr:uid="{00000000-0005-0000-0000-0000333E0000}"/>
    <cellStyle name="Normal 32 3 2 2 2 2 2 2" xfId="33865" xr:uid="{00000000-0005-0000-0000-0000343E0000}"/>
    <cellStyle name="Normal 32 3 2 2 2 2 3" xfId="25818" xr:uid="{00000000-0005-0000-0000-0000353E0000}"/>
    <cellStyle name="Normal 32 3 2 2 2 3" xfId="13438" xr:uid="{00000000-0005-0000-0000-0000363E0000}"/>
    <cellStyle name="Normal 32 3 2 2 2 3 2" xfId="29982" xr:uid="{00000000-0005-0000-0000-0000373E0000}"/>
    <cellStyle name="Normal 32 3 2 2 2 4" xfId="21939" xr:uid="{00000000-0005-0000-0000-0000383E0000}"/>
    <cellStyle name="Normal 32 3 2 2 3" xfId="8115" xr:uid="{00000000-0005-0000-0000-0000393E0000}"/>
    <cellStyle name="Normal 32 3 2 2 3 2" xfId="17292" xr:uid="{00000000-0005-0000-0000-00003A3E0000}"/>
    <cellStyle name="Normal 32 3 2 2 3 2 2" xfId="33866" xr:uid="{00000000-0005-0000-0000-00003B3E0000}"/>
    <cellStyle name="Normal 32 3 2 2 3 3" xfId="25819" xr:uid="{00000000-0005-0000-0000-00003C3E0000}"/>
    <cellStyle name="Normal 32 3 2 2 4" xfId="13437" xr:uid="{00000000-0005-0000-0000-00003D3E0000}"/>
    <cellStyle name="Normal 32 3 2 2 4 2" xfId="29981" xr:uid="{00000000-0005-0000-0000-00003E3E0000}"/>
    <cellStyle name="Normal 32 3 2 2 5" xfId="21938" xr:uid="{00000000-0005-0000-0000-00003F3E0000}"/>
    <cellStyle name="Normal 32 3 2 3" xfId="4048" xr:uid="{00000000-0005-0000-0000-0000403E0000}"/>
    <cellStyle name="Normal 32 3 2 3 2" xfId="8116" xr:uid="{00000000-0005-0000-0000-0000413E0000}"/>
    <cellStyle name="Normal 32 3 2 3 2 2" xfId="17293" xr:uid="{00000000-0005-0000-0000-0000423E0000}"/>
    <cellStyle name="Normal 32 3 2 3 2 2 2" xfId="33867" xr:uid="{00000000-0005-0000-0000-0000433E0000}"/>
    <cellStyle name="Normal 32 3 2 3 2 3" xfId="25820" xr:uid="{00000000-0005-0000-0000-0000443E0000}"/>
    <cellStyle name="Normal 32 3 2 3 3" xfId="13439" xr:uid="{00000000-0005-0000-0000-0000453E0000}"/>
    <cellStyle name="Normal 32 3 2 3 3 2" xfId="29983" xr:uid="{00000000-0005-0000-0000-0000463E0000}"/>
    <cellStyle name="Normal 32 3 2 3 4" xfId="21940" xr:uid="{00000000-0005-0000-0000-0000473E0000}"/>
    <cellStyle name="Normal 32 3 2 4" xfId="8117" xr:uid="{00000000-0005-0000-0000-0000483E0000}"/>
    <cellStyle name="Normal 32 3 2 4 2" xfId="17294" xr:uid="{00000000-0005-0000-0000-0000493E0000}"/>
    <cellStyle name="Normal 32 3 2 4 2 2" xfId="33868" xr:uid="{00000000-0005-0000-0000-00004A3E0000}"/>
    <cellStyle name="Normal 32 3 2 4 3" xfId="25821" xr:uid="{00000000-0005-0000-0000-00004B3E0000}"/>
    <cellStyle name="Normal 32 3 2 5" xfId="13436" xr:uid="{00000000-0005-0000-0000-00004C3E0000}"/>
    <cellStyle name="Normal 32 3 2 5 2" xfId="29980" xr:uid="{00000000-0005-0000-0000-00004D3E0000}"/>
    <cellStyle name="Normal 32 3 2 6" xfId="21937" xr:uid="{00000000-0005-0000-0000-00004E3E0000}"/>
    <cellStyle name="Normal 32 3 3" xfId="4049" xr:uid="{00000000-0005-0000-0000-00004F3E0000}"/>
    <cellStyle name="Normal 32 3 3 2" xfId="4050" xr:uid="{00000000-0005-0000-0000-0000503E0000}"/>
    <cellStyle name="Normal 32 3 3 2 2" xfId="8118" xr:uid="{00000000-0005-0000-0000-0000513E0000}"/>
    <cellStyle name="Normal 32 3 3 2 2 2" xfId="17295" xr:uid="{00000000-0005-0000-0000-0000523E0000}"/>
    <cellStyle name="Normal 32 3 3 2 2 2 2" xfId="33869" xr:uid="{00000000-0005-0000-0000-0000533E0000}"/>
    <cellStyle name="Normal 32 3 3 2 2 3" xfId="25822" xr:uid="{00000000-0005-0000-0000-0000543E0000}"/>
    <cellStyle name="Normal 32 3 3 2 3" xfId="13441" xr:uid="{00000000-0005-0000-0000-0000553E0000}"/>
    <cellStyle name="Normal 32 3 3 2 3 2" xfId="29985" xr:uid="{00000000-0005-0000-0000-0000563E0000}"/>
    <cellStyle name="Normal 32 3 3 2 4" xfId="21942" xr:uid="{00000000-0005-0000-0000-0000573E0000}"/>
    <cellStyle name="Normal 32 3 3 3" xfId="8119" xr:uid="{00000000-0005-0000-0000-0000583E0000}"/>
    <cellStyle name="Normal 32 3 3 3 2" xfId="17296" xr:uid="{00000000-0005-0000-0000-0000593E0000}"/>
    <cellStyle name="Normal 32 3 3 3 2 2" xfId="33870" xr:uid="{00000000-0005-0000-0000-00005A3E0000}"/>
    <cellStyle name="Normal 32 3 3 3 3" xfId="25823" xr:uid="{00000000-0005-0000-0000-00005B3E0000}"/>
    <cellStyle name="Normal 32 3 3 4" xfId="13440" xr:uid="{00000000-0005-0000-0000-00005C3E0000}"/>
    <cellStyle name="Normal 32 3 3 4 2" xfId="29984" xr:uid="{00000000-0005-0000-0000-00005D3E0000}"/>
    <cellStyle name="Normal 32 3 3 5" xfId="21941" xr:uid="{00000000-0005-0000-0000-00005E3E0000}"/>
    <cellStyle name="Normal 32 3 4" xfId="4051" xr:uid="{00000000-0005-0000-0000-00005F3E0000}"/>
    <cellStyle name="Normal 32 3 4 2" xfId="8120" xr:uid="{00000000-0005-0000-0000-0000603E0000}"/>
    <cellStyle name="Normal 32 3 4 2 2" xfId="17297" xr:uid="{00000000-0005-0000-0000-0000613E0000}"/>
    <cellStyle name="Normal 32 3 4 2 2 2" xfId="33871" xr:uid="{00000000-0005-0000-0000-0000623E0000}"/>
    <cellStyle name="Normal 32 3 4 2 3" xfId="25824" xr:uid="{00000000-0005-0000-0000-0000633E0000}"/>
    <cellStyle name="Normal 32 3 4 3" xfId="13442" xr:uid="{00000000-0005-0000-0000-0000643E0000}"/>
    <cellStyle name="Normal 32 3 4 3 2" xfId="29986" xr:uid="{00000000-0005-0000-0000-0000653E0000}"/>
    <cellStyle name="Normal 32 3 4 4" xfId="21943" xr:uid="{00000000-0005-0000-0000-0000663E0000}"/>
    <cellStyle name="Normal 32 3 5" xfId="4052" xr:uid="{00000000-0005-0000-0000-0000673E0000}"/>
    <cellStyle name="Normal 32 3 5 2" xfId="13443" xr:uid="{00000000-0005-0000-0000-0000683E0000}"/>
    <cellStyle name="Normal 32 3 5 2 2" xfId="29987" xr:uid="{00000000-0005-0000-0000-0000693E0000}"/>
    <cellStyle name="Normal 32 3 5 3" xfId="21944" xr:uid="{00000000-0005-0000-0000-00006A3E0000}"/>
    <cellStyle name="Normal 32 4" xfId="4053" xr:uid="{00000000-0005-0000-0000-00006B3E0000}"/>
    <cellStyle name="Normal 32 4 2" xfId="4054" xr:uid="{00000000-0005-0000-0000-00006C3E0000}"/>
    <cellStyle name="Normal 32 4 2 2" xfId="4055" xr:uid="{00000000-0005-0000-0000-00006D3E0000}"/>
    <cellStyle name="Normal 32 4 2 2 2" xfId="4056" xr:uid="{00000000-0005-0000-0000-00006E3E0000}"/>
    <cellStyle name="Normal 32 4 2 2 2 2" xfId="8121" xr:uid="{00000000-0005-0000-0000-00006F3E0000}"/>
    <cellStyle name="Normal 32 4 2 2 2 2 2" xfId="17298" xr:uid="{00000000-0005-0000-0000-0000703E0000}"/>
    <cellStyle name="Normal 32 4 2 2 2 2 2 2" xfId="33872" xr:uid="{00000000-0005-0000-0000-0000713E0000}"/>
    <cellStyle name="Normal 32 4 2 2 2 2 3" xfId="25825" xr:uid="{00000000-0005-0000-0000-0000723E0000}"/>
    <cellStyle name="Normal 32 4 2 2 2 3" xfId="13447" xr:uid="{00000000-0005-0000-0000-0000733E0000}"/>
    <cellStyle name="Normal 32 4 2 2 2 3 2" xfId="29991" xr:uid="{00000000-0005-0000-0000-0000743E0000}"/>
    <cellStyle name="Normal 32 4 2 2 2 4" xfId="21948" xr:uid="{00000000-0005-0000-0000-0000753E0000}"/>
    <cellStyle name="Normal 32 4 2 2 3" xfId="8122" xr:uid="{00000000-0005-0000-0000-0000763E0000}"/>
    <cellStyle name="Normal 32 4 2 2 3 2" xfId="17299" xr:uid="{00000000-0005-0000-0000-0000773E0000}"/>
    <cellStyle name="Normal 32 4 2 2 3 2 2" xfId="33873" xr:uid="{00000000-0005-0000-0000-0000783E0000}"/>
    <cellStyle name="Normal 32 4 2 2 3 3" xfId="25826" xr:uid="{00000000-0005-0000-0000-0000793E0000}"/>
    <cellStyle name="Normal 32 4 2 2 4" xfId="13446" xr:uid="{00000000-0005-0000-0000-00007A3E0000}"/>
    <cellStyle name="Normal 32 4 2 2 4 2" xfId="29990" xr:uid="{00000000-0005-0000-0000-00007B3E0000}"/>
    <cellStyle name="Normal 32 4 2 2 5" xfId="21947" xr:uid="{00000000-0005-0000-0000-00007C3E0000}"/>
    <cellStyle name="Normal 32 4 2 3" xfId="4057" xr:uid="{00000000-0005-0000-0000-00007D3E0000}"/>
    <cellStyle name="Normal 32 4 2 3 2" xfId="8123" xr:uid="{00000000-0005-0000-0000-00007E3E0000}"/>
    <cellStyle name="Normal 32 4 2 3 2 2" xfId="17300" xr:uid="{00000000-0005-0000-0000-00007F3E0000}"/>
    <cellStyle name="Normal 32 4 2 3 2 2 2" xfId="33874" xr:uid="{00000000-0005-0000-0000-0000803E0000}"/>
    <cellStyle name="Normal 32 4 2 3 2 3" xfId="25827" xr:uid="{00000000-0005-0000-0000-0000813E0000}"/>
    <cellStyle name="Normal 32 4 2 3 3" xfId="13448" xr:uid="{00000000-0005-0000-0000-0000823E0000}"/>
    <cellStyle name="Normal 32 4 2 3 3 2" xfId="29992" xr:uid="{00000000-0005-0000-0000-0000833E0000}"/>
    <cellStyle name="Normal 32 4 2 3 4" xfId="21949" xr:uid="{00000000-0005-0000-0000-0000843E0000}"/>
    <cellStyle name="Normal 32 4 2 4" xfId="8124" xr:uid="{00000000-0005-0000-0000-0000853E0000}"/>
    <cellStyle name="Normal 32 4 2 4 2" xfId="17301" xr:uid="{00000000-0005-0000-0000-0000863E0000}"/>
    <cellStyle name="Normal 32 4 2 4 2 2" xfId="33875" xr:uid="{00000000-0005-0000-0000-0000873E0000}"/>
    <cellStyle name="Normal 32 4 2 4 3" xfId="25828" xr:uid="{00000000-0005-0000-0000-0000883E0000}"/>
    <cellStyle name="Normal 32 4 2 5" xfId="13445" xr:uid="{00000000-0005-0000-0000-0000893E0000}"/>
    <cellStyle name="Normal 32 4 2 5 2" xfId="29989" xr:uid="{00000000-0005-0000-0000-00008A3E0000}"/>
    <cellStyle name="Normal 32 4 2 6" xfId="21946" xr:uid="{00000000-0005-0000-0000-00008B3E0000}"/>
    <cellStyle name="Normal 32 4 3" xfId="4058" xr:uid="{00000000-0005-0000-0000-00008C3E0000}"/>
    <cellStyle name="Normal 32 4 3 2" xfId="4059" xr:uid="{00000000-0005-0000-0000-00008D3E0000}"/>
    <cellStyle name="Normal 32 4 3 2 2" xfId="8125" xr:uid="{00000000-0005-0000-0000-00008E3E0000}"/>
    <cellStyle name="Normal 32 4 3 2 2 2" xfId="17302" xr:uid="{00000000-0005-0000-0000-00008F3E0000}"/>
    <cellStyle name="Normal 32 4 3 2 2 2 2" xfId="33876" xr:uid="{00000000-0005-0000-0000-0000903E0000}"/>
    <cellStyle name="Normal 32 4 3 2 2 3" xfId="25829" xr:uid="{00000000-0005-0000-0000-0000913E0000}"/>
    <cellStyle name="Normal 32 4 3 2 3" xfId="13450" xr:uid="{00000000-0005-0000-0000-0000923E0000}"/>
    <cellStyle name="Normal 32 4 3 2 3 2" xfId="29994" xr:uid="{00000000-0005-0000-0000-0000933E0000}"/>
    <cellStyle name="Normal 32 4 3 2 4" xfId="21951" xr:uid="{00000000-0005-0000-0000-0000943E0000}"/>
    <cellStyle name="Normal 32 4 3 3" xfId="8126" xr:uid="{00000000-0005-0000-0000-0000953E0000}"/>
    <cellStyle name="Normal 32 4 3 3 2" xfId="17303" xr:uid="{00000000-0005-0000-0000-0000963E0000}"/>
    <cellStyle name="Normal 32 4 3 3 2 2" xfId="33877" xr:uid="{00000000-0005-0000-0000-0000973E0000}"/>
    <cellStyle name="Normal 32 4 3 3 3" xfId="25830" xr:uid="{00000000-0005-0000-0000-0000983E0000}"/>
    <cellStyle name="Normal 32 4 3 4" xfId="13449" xr:uid="{00000000-0005-0000-0000-0000993E0000}"/>
    <cellStyle name="Normal 32 4 3 4 2" xfId="29993" xr:uid="{00000000-0005-0000-0000-00009A3E0000}"/>
    <cellStyle name="Normal 32 4 3 5" xfId="21950" xr:uid="{00000000-0005-0000-0000-00009B3E0000}"/>
    <cellStyle name="Normal 32 4 4" xfId="4060" xr:uid="{00000000-0005-0000-0000-00009C3E0000}"/>
    <cellStyle name="Normal 32 4 4 2" xfId="8127" xr:uid="{00000000-0005-0000-0000-00009D3E0000}"/>
    <cellStyle name="Normal 32 4 4 2 2" xfId="17304" xr:uid="{00000000-0005-0000-0000-00009E3E0000}"/>
    <cellStyle name="Normal 32 4 4 2 2 2" xfId="33878" xr:uid="{00000000-0005-0000-0000-00009F3E0000}"/>
    <cellStyle name="Normal 32 4 4 2 3" xfId="25831" xr:uid="{00000000-0005-0000-0000-0000A03E0000}"/>
    <cellStyle name="Normal 32 4 4 3" xfId="13451" xr:uid="{00000000-0005-0000-0000-0000A13E0000}"/>
    <cellStyle name="Normal 32 4 4 3 2" xfId="29995" xr:uid="{00000000-0005-0000-0000-0000A23E0000}"/>
    <cellStyle name="Normal 32 4 4 4" xfId="21952" xr:uid="{00000000-0005-0000-0000-0000A33E0000}"/>
    <cellStyle name="Normal 32 4 5" xfId="8128" xr:uid="{00000000-0005-0000-0000-0000A43E0000}"/>
    <cellStyle name="Normal 32 4 5 2" xfId="17305" xr:uid="{00000000-0005-0000-0000-0000A53E0000}"/>
    <cellStyle name="Normal 32 4 5 2 2" xfId="33879" xr:uid="{00000000-0005-0000-0000-0000A63E0000}"/>
    <cellStyle name="Normal 32 4 5 3" xfId="25832" xr:uid="{00000000-0005-0000-0000-0000A73E0000}"/>
    <cellStyle name="Normal 32 4 6" xfId="13444" xr:uid="{00000000-0005-0000-0000-0000A83E0000}"/>
    <cellStyle name="Normal 32 4 6 2" xfId="29988" xr:uid="{00000000-0005-0000-0000-0000A93E0000}"/>
    <cellStyle name="Normal 32 4 7" xfId="21945" xr:uid="{00000000-0005-0000-0000-0000AA3E0000}"/>
    <cellStyle name="Normal 32 5" xfId="4061" xr:uid="{00000000-0005-0000-0000-0000AB3E0000}"/>
    <cellStyle name="Normal 32 5 2" xfId="4062" xr:uid="{00000000-0005-0000-0000-0000AC3E0000}"/>
    <cellStyle name="Normal 32 5 2 2" xfId="4063" xr:uid="{00000000-0005-0000-0000-0000AD3E0000}"/>
    <cellStyle name="Normal 32 5 2 2 2" xfId="4064" xr:uid="{00000000-0005-0000-0000-0000AE3E0000}"/>
    <cellStyle name="Normal 32 5 2 2 2 2" xfId="8129" xr:uid="{00000000-0005-0000-0000-0000AF3E0000}"/>
    <cellStyle name="Normal 32 5 2 2 2 2 2" xfId="17306" xr:uid="{00000000-0005-0000-0000-0000B03E0000}"/>
    <cellStyle name="Normal 32 5 2 2 2 2 2 2" xfId="33880" xr:uid="{00000000-0005-0000-0000-0000B13E0000}"/>
    <cellStyle name="Normal 32 5 2 2 2 2 3" xfId="25833" xr:uid="{00000000-0005-0000-0000-0000B23E0000}"/>
    <cellStyle name="Normal 32 5 2 2 2 3" xfId="13455" xr:uid="{00000000-0005-0000-0000-0000B33E0000}"/>
    <cellStyle name="Normal 32 5 2 2 2 3 2" xfId="29999" xr:uid="{00000000-0005-0000-0000-0000B43E0000}"/>
    <cellStyle name="Normal 32 5 2 2 2 4" xfId="21956" xr:uid="{00000000-0005-0000-0000-0000B53E0000}"/>
    <cellStyle name="Normal 32 5 2 2 3" xfId="8130" xr:uid="{00000000-0005-0000-0000-0000B63E0000}"/>
    <cellStyle name="Normal 32 5 2 2 3 2" xfId="17307" xr:uid="{00000000-0005-0000-0000-0000B73E0000}"/>
    <cellStyle name="Normal 32 5 2 2 3 2 2" xfId="33881" xr:uid="{00000000-0005-0000-0000-0000B83E0000}"/>
    <cellStyle name="Normal 32 5 2 2 3 3" xfId="25834" xr:uid="{00000000-0005-0000-0000-0000B93E0000}"/>
    <cellStyle name="Normal 32 5 2 2 4" xfId="13454" xr:uid="{00000000-0005-0000-0000-0000BA3E0000}"/>
    <cellStyle name="Normal 32 5 2 2 4 2" xfId="29998" xr:uid="{00000000-0005-0000-0000-0000BB3E0000}"/>
    <cellStyle name="Normal 32 5 2 2 5" xfId="21955" xr:uid="{00000000-0005-0000-0000-0000BC3E0000}"/>
    <cellStyle name="Normal 32 5 2 3" xfId="4065" xr:uid="{00000000-0005-0000-0000-0000BD3E0000}"/>
    <cellStyle name="Normal 32 5 2 3 2" xfId="8131" xr:uid="{00000000-0005-0000-0000-0000BE3E0000}"/>
    <cellStyle name="Normal 32 5 2 3 2 2" xfId="17308" xr:uid="{00000000-0005-0000-0000-0000BF3E0000}"/>
    <cellStyle name="Normal 32 5 2 3 2 2 2" xfId="33882" xr:uid="{00000000-0005-0000-0000-0000C03E0000}"/>
    <cellStyle name="Normal 32 5 2 3 2 3" xfId="25835" xr:uid="{00000000-0005-0000-0000-0000C13E0000}"/>
    <cellStyle name="Normal 32 5 2 3 3" xfId="13456" xr:uid="{00000000-0005-0000-0000-0000C23E0000}"/>
    <cellStyle name="Normal 32 5 2 3 3 2" xfId="30000" xr:uid="{00000000-0005-0000-0000-0000C33E0000}"/>
    <cellStyle name="Normal 32 5 2 3 4" xfId="21957" xr:uid="{00000000-0005-0000-0000-0000C43E0000}"/>
    <cellStyle name="Normal 32 5 2 4" xfId="8132" xr:uid="{00000000-0005-0000-0000-0000C53E0000}"/>
    <cellStyle name="Normal 32 5 2 4 2" xfId="17309" xr:uid="{00000000-0005-0000-0000-0000C63E0000}"/>
    <cellStyle name="Normal 32 5 2 4 2 2" xfId="33883" xr:uid="{00000000-0005-0000-0000-0000C73E0000}"/>
    <cellStyle name="Normal 32 5 2 4 3" xfId="25836" xr:uid="{00000000-0005-0000-0000-0000C83E0000}"/>
    <cellStyle name="Normal 32 5 2 5" xfId="13453" xr:uid="{00000000-0005-0000-0000-0000C93E0000}"/>
    <cellStyle name="Normal 32 5 2 5 2" xfId="29997" xr:uid="{00000000-0005-0000-0000-0000CA3E0000}"/>
    <cellStyle name="Normal 32 5 2 6" xfId="21954" xr:uid="{00000000-0005-0000-0000-0000CB3E0000}"/>
    <cellStyle name="Normal 32 5 3" xfId="4066" xr:uid="{00000000-0005-0000-0000-0000CC3E0000}"/>
    <cellStyle name="Normal 32 5 3 2" xfId="4067" xr:uid="{00000000-0005-0000-0000-0000CD3E0000}"/>
    <cellStyle name="Normal 32 5 3 2 2" xfId="8133" xr:uid="{00000000-0005-0000-0000-0000CE3E0000}"/>
    <cellStyle name="Normal 32 5 3 2 2 2" xfId="17310" xr:uid="{00000000-0005-0000-0000-0000CF3E0000}"/>
    <cellStyle name="Normal 32 5 3 2 2 2 2" xfId="33884" xr:uid="{00000000-0005-0000-0000-0000D03E0000}"/>
    <cellStyle name="Normal 32 5 3 2 2 3" xfId="25837" xr:uid="{00000000-0005-0000-0000-0000D13E0000}"/>
    <cellStyle name="Normal 32 5 3 2 3" xfId="13458" xr:uid="{00000000-0005-0000-0000-0000D23E0000}"/>
    <cellStyle name="Normal 32 5 3 2 3 2" xfId="30002" xr:uid="{00000000-0005-0000-0000-0000D33E0000}"/>
    <cellStyle name="Normal 32 5 3 2 4" xfId="21959" xr:uid="{00000000-0005-0000-0000-0000D43E0000}"/>
    <cellStyle name="Normal 32 5 3 3" xfId="8134" xr:uid="{00000000-0005-0000-0000-0000D53E0000}"/>
    <cellStyle name="Normal 32 5 3 3 2" xfId="17311" xr:uid="{00000000-0005-0000-0000-0000D63E0000}"/>
    <cellStyle name="Normal 32 5 3 3 2 2" xfId="33885" xr:uid="{00000000-0005-0000-0000-0000D73E0000}"/>
    <cellStyle name="Normal 32 5 3 3 3" xfId="25838" xr:uid="{00000000-0005-0000-0000-0000D83E0000}"/>
    <cellStyle name="Normal 32 5 3 4" xfId="13457" xr:uid="{00000000-0005-0000-0000-0000D93E0000}"/>
    <cellStyle name="Normal 32 5 3 4 2" xfId="30001" xr:uid="{00000000-0005-0000-0000-0000DA3E0000}"/>
    <cellStyle name="Normal 32 5 3 5" xfId="21958" xr:uid="{00000000-0005-0000-0000-0000DB3E0000}"/>
    <cellStyle name="Normal 32 5 4" xfId="4068" xr:uid="{00000000-0005-0000-0000-0000DC3E0000}"/>
    <cellStyle name="Normal 32 5 4 2" xfId="8135" xr:uid="{00000000-0005-0000-0000-0000DD3E0000}"/>
    <cellStyle name="Normal 32 5 4 2 2" xfId="17312" xr:uid="{00000000-0005-0000-0000-0000DE3E0000}"/>
    <cellStyle name="Normal 32 5 4 2 2 2" xfId="33886" xr:uid="{00000000-0005-0000-0000-0000DF3E0000}"/>
    <cellStyle name="Normal 32 5 4 2 3" xfId="25839" xr:uid="{00000000-0005-0000-0000-0000E03E0000}"/>
    <cellStyle name="Normal 32 5 4 3" xfId="13459" xr:uid="{00000000-0005-0000-0000-0000E13E0000}"/>
    <cellStyle name="Normal 32 5 4 3 2" xfId="30003" xr:uid="{00000000-0005-0000-0000-0000E23E0000}"/>
    <cellStyle name="Normal 32 5 4 4" xfId="21960" xr:uid="{00000000-0005-0000-0000-0000E33E0000}"/>
    <cellStyle name="Normal 32 5 5" xfId="8136" xr:uid="{00000000-0005-0000-0000-0000E43E0000}"/>
    <cellStyle name="Normal 32 5 5 2" xfId="17313" xr:uid="{00000000-0005-0000-0000-0000E53E0000}"/>
    <cellStyle name="Normal 32 5 5 2 2" xfId="33887" xr:uid="{00000000-0005-0000-0000-0000E63E0000}"/>
    <cellStyle name="Normal 32 5 5 3" xfId="25840" xr:uid="{00000000-0005-0000-0000-0000E73E0000}"/>
    <cellStyle name="Normal 32 5 6" xfId="13452" xr:uid="{00000000-0005-0000-0000-0000E83E0000}"/>
    <cellStyle name="Normal 32 5 6 2" xfId="29996" xr:uid="{00000000-0005-0000-0000-0000E93E0000}"/>
    <cellStyle name="Normal 32 5 7" xfId="21953" xr:uid="{00000000-0005-0000-0000-0000EA3E0000}"/>
    <cellStyle name="Normal 32 6" xfId="4069" xr:uid="{00000000-0005-0000-0000-0000EB3E0000}"/>
    <cellStyle name="Normal 32 6 2" xfId="4070" xr:uid="{00000000-0005-0000-0000-0000EC3E0000}"/>
    <cellStyle name="Normal 32 6 2 2" xfId="4071" xr:uid="{00000000-0005-0000-0000-0000ED3E0000}"/>
    <cellStyle name="Normal 32 6 2 2 2" xfId="8137" xr:uid="{00000000-0005-0000-0000-0000EE3E0000}"/>
    <cellStyle name="Normal 32 6 2 2 2 2" xfId="17314" xr:uid="{00000000-0005-0000-0000-0000EF3E0000}"/>
    <cellStyle name="Normal 32 6 2 2 2 2 2" xfId="33888" xr:uid="{00000000-0005-0000-0000-0000F03E0000}"/>
    <cellStyle name="Normal 32 6 2 2 2 3" xfId="25841" xr:uid="{00000000-0005-0000-0000-0000F13E0000}"/>
    <cellStyle name="Normal 32 6 2 2 3" xfId="13462" xr:uid="{00000000-0005-0000-0000-0000F23E0000}"/>
    <cellStyle name="Normal 32 6 2 2 3 2" xfId="30006" xr:uid="{00000000-0005-0000-0000-0000F33E0000}"/>
    <cellStyle name="Normal 32 6 2 2 4" xfId="21963" xr:uid="{00000000-0005-0000-0000-0000F43E0000}"/>
    <cellStyle name="Normal 32 6 2 3" xfId="8138" xr:uid="{00000000-0005-0000-0000-0000F53E0000}"/>
    <cellStyle name="Normal 32 6 2 3 2" xfId="17315" xr:uid="{00000000-0005-0000-0000-0000F63E0000}"/>
    <cellStyle name="Normal 32 6 2 3 2 2" xfId="33889" xr:uid="{00000000-0005-0000-0000-0000F73E0000}"/>
    <cellStyle name="Normal 32 6 2 3 3" xfId="25842" xr:uid="{00000000-0005-0000-0000-0000F83E0000}"/>
    <cellStyle name="Normal 32 6 2 4" xfId="13461" xr:uid="{00000000-0005-0000-0000-0000F93E0000}"/>
    <cellStyle name="Normal 32 6 2 4 2" xfId="30005" xr:uid="{00000000-0005-0000-0000-0000FA3E0000}"/>
    <cellStyle name="Normal 32 6 2 5" xfId="21962" xr:uid="{00000000-0005-0000-0000-0000FB3E0000}"/>
    <cellStyle name="Normal 32 6 3" xfId="4072" xr:uid="{00000000-0005-0000-0000-0000FC3E0000}"/>
    <cellStyle name="Normal 32 6 3 2" xfId="8139" xr:uid="{00000000-0005-0000-0000-0000FD3E0000}"/>
    <cellStyle name="Normal 32 6 3 2 2" xfId="17316" xr:uid="{00000000-0005-0000-0000-0000FE3E0000}"/>
    <cellStyle name="Normal 32 6 3 2 2 2" xfId="33890" xr:uid="{00000000-0005-0000-0000-0000FF3E0000}"/>
    <cellStyle name="Normal 32 6 3 2 3" xfId="25843" xr:uid="{00000000-0005-0000-0000-0000003F0000}"/>
    <cellStyle name="Normal 32 6 3 3" xfId="13463" xr:uid="{00000000-0005-0000-0000-0000013F0000}"/>
    <cellStyle name="Normal 32 6 3 3 2" xfId="30007" xr:uid="{00000000-0005-0000-0000-0000023F0000}"/>
    <cellStyle name="Normal 32 6 3 4" xfId="21964" xr:uid="{00000000-0005-0000-0000-0000033F0000}"/>
    <cellStyle name="Normal 32 6 4" xfId="8140" xr:uid="{00000000-0005-0000-0000-0000043F0000}"/>
    <cellStyle name="Normal 32 6 4 2" xfId="17317" xr:uid="{00000000-0005-0000-0000-0000053F0000}"/>
    <cellStyle name="Normal 32 6 4 2 2" xfId="33891" xr:uid="{00000000-0005-0000-0000-0000063F0000}"/>
    <cellStyle name="Normal 32 6 4 3" xfId="25844" xr:uid="{00000000-0005-0000-0000-0000073F0000}"/>
    <cellStyle name="Normal 32 6 5" xfId="13460" xr:uid="{00000000-0005-0000-0000-0000083F0000}"/>
    <cellStyle name="Normal 32 6 5 2" xfId="30004" xr:uid="{00000000-0005-0000-0000-0000093F0000}"/>
    <cellStyle name="Normal 32 6 6" xfId="21961" xr:uid="{00000000-0005-0000-0000-00000A3F0000}"/>
    <cellStyle name="Normal 32 7" xfId="4073" xr:uid="{00000000-0005-0000-0000-00000B3F0000}"/>
    <cellStyle name="Normal 32 7 2" xfId="4074" xr:uid="{00000000-0005-0000-0000-00000C3F0000}"/>
    <cellStyle name="Normal 32 7 2 2" xfId="8141" xr:uid="{00000000-0005-0000-0000-00000D3F0000}"/>
    <cellStyle name="Normal 32 7 2 2 2" xfId="17318" xr:uid="{00000000-0005-0000-0000-00000E3F0000}"/>
    <cellStyle name="Normal 32 7 2 2 2 2" xfId="33892" xr:uid="{00000000-0005-0000-0000-00000F3F0000}"/>
    <cellStyle name="Normal 32 7 2 2 3" xfId="25845" xr:uid="{00000000-0005-0000-0000-0000103F0000}"/>
    <cellStyle name="Normal 32 7 2 3" xfId="13465" xr:uid="{00000000-0005-0000-0000-0000113F0000}"/>
    <cellStyle name="Normal 32 7 2 3 2" xfId="30009" xr:uid="{00000000-0005-0000-0000-0000123F0000}"/>
    <cellStyle name="Normal 32 7 2 4" xfId="21966" xr:uid="{00000000-0005-0000-0000-0000133F0000}"/>
    <cellStyle name="Normal 32 7 3" xfId="8142" xr:uid="{00000000-0005-0000-0000-0000143F0000}"/>
    <cellStyle name="Normal 32 7 3 2" xfId="17319" xr:uid="{00000000-0005-0000-0000-0000153F0000}"/>
    <cellStyle name="Normal 32 7 3 2 2" xfId="33893" xr:uid="{00000000-0005-0000-0000-0000163F0000}"/>
    <cellStyle name="Normal 32 7 3 3" xfId="25846" xr:uid="{00000000-0005-0000-0000-0000173F0000}"/>
    <cellStyle name="Normal 32 7 4" xfId="13464" xr:uid="{00000000-0005-0000-0000-0000183F0000}"/>
    <cellStyle name="Normal 32 7 4 2" xfId="30008" xr:uid="{00000000-0005-0000-0000-0000193F0000}"/>
    <cellStyle name="Normal 32 7 5" xfId="21965" xr:uid="{00000000-0005-0000-0000-00001A3F0000}"/>
    <cellStyle name="Normal 32 8" xfId="4075" xr:uid="{00000000-0005-0000-0000-00001B3F0000}"/>
    <cellStyle name="Normal 32 8 2" xfId="8143" xr:uid="{00000000-0005-0000-0000-00001C3F0000}"/>
    <cellStyle name="Normal 32 8 2 2" xfId="17320" xr:uid="{00000000-0005-0000-0000-00001D3F0000}"/>
    <cellStyle name="Normal 32 8 2 2 2" xfId="33894" xr:uid="{00000000-0005-0000-0000-00001E3F0000}"/>
    <cellStyle name="Normal 32 8 2 3" xfId="25847" xr:uid="{00000000-0005-0000-0000-00001F3F0000}"/>
    <cellStyle name="Normal 32 8 3" xfId="13466" xr:uid="{00000000-0005-0000-0000-0000203F0000}"/>
    <cellStyle name="Normal 32 8 3 2" xfId="30010" xr:uid="{00000000-0005-0000-0000-0000213F0000}"/>
    <cellStyle name="Normal 32 8 4" xfId="21967" xr:uid="{00000000-0005-0000-0000-0000223F0000}"/>
    <cellStyle name="Normal 32 9" xfId="8144" xr:uid="{00000000-0005-0000-0000-0000233F0000}"/>
    <cellStyle name="Normal 32 9 2" xfId="17321" xr:uid="{00000000-0005-0000-0000-0000243F0000}"/>
    <cellStyle name="Normal 32 9 2 2" xfId="33895" xr:uid="{00000000-0005-0000-0000-0000253F0000}"/>
    <cellStyle name="Normal 32 9 3" xfId="25848" xr:uid="{00000000-0005-0000-0000-0000263F0000}"/>
    <cellStyle name="Normal 320" xfId="11000" xr:uid="{00000000-0005-0000-0000-0000273F0000}"/>
    <cellStyle name="Normal 321" xfId="11003" xr:uid="{00000000-0005-0000-0000-0000283F0000}"/>
    <cellStyle name="Normal 322" xfId="11006" xr:uid="{00000000-0005-0000-0000-0000293F0000}"/>
    <cellStyle name="Normal 323" xfId="11009" xr:uid="{00000000-0005-0000-0000-00002A3F0000}"/>
    <cellStyle name="Normal 324" xfId="11012" xr:uid="{00000000-0005-0000-0000-00002B3F0000}"/>
    <cellStyle name="Normal 325" xfId="11015" xr:uid="{00000000-0005-0000-0000-00002C3F0000}"/>
    <cellStyle name="Normal 326" xfId="11018" xr:uid="{00000000-0005-0000-0000-00002D3F0000}"/>
    <cellStyle name="Normal 327" xfId="11021" xr:uid="{00000000-0005-0000-0000-00002E3F0000}"/>
    <cellStyle name="Normal 328" xfId="11024" xr:uid="{00000000-0005-0000-0000-00002F3F0000}"/>
    <cellStyle name="Normal 329" xfId="11027" xr:uid="{00000000-0005-0000-0000-0000303F0000}"/>
    <cellStyle name="Normal 33" xfId="4076" xr:uid="{00000000-0005-0000-0000-0000313F0000}"/>
    <cellStyle name="Normal 33 10" xfId="13467" xr:uid="{00000000-0005-0000-0000-0000323F0000}"/>
    <cellStyle name="Normal 33 10 2" xfId="30011" xr:uid="{00000000-0005-0000-0000-0000333F0000}"/>
    <cellStyle name="Normal 33 11" xfId="21968" xr:uid="{00000000-0005-0000-0000-0000343F0000}"/>
    <cellStyle name="Normal 33 2" xfId="4077" xr:uid="{00000000-0005-0000-0000-0000353F0000}"/>
    <cellStyle name="Normal 33 2 2" xfId="4078" xr:uid="{00000000-0005-0000-0000-0000363F0000}"/>
    <cellStyle name="Normal 33 2 3" xfId="13468" xr:uid="{00000000-0005-0000-0000-0000373F0000}"/>
    <cellStyle name="Normal 33 2 3 2" xfId="30012" xr:uid="{00000000-0005-0000-0000-0000383F0000}"/>
    <cellStyle name="Normal 33 2 4" xfId="21969" xr:uid="{00000000-0005-0000-0000-0000393F0000}"/>
    <cellStyle name="Normal 33 3" xfId="4079" xr:uid="{00000000-0005-0000-0000-00003A3F0000}"/>
    <cellStyle name="Normal 33 3 2" xfId="4080" xr:uid="{00000000-0005-0000-0000-00003B3F0000}"/>
    <cellStyle name="Normal 33 3 2 2" xfId="4081" xr:uid="{00000000-0005-0000-0000-00003C3F0000}"/>
    <cellStyle name="Normal 33 3 2 2 2" xfId="4082" xr:uid="{00000000-0005-0000-0000-00003D3F0000}"/>
    <cellStyle name="Normal 33 3 2 2 2 2" xfId="8145" xr:uid="{00000000-0005-0000-0000-00003E3F0000}"/>
    <cellStyle name="Normal 33 3 2 2 2 2 2" xfId="17322" xr:uid="{00000000-0005-0000-0000-00003F3F0000}"/>
    <cellStyle name="Normal 33 3 2 2 2 2 2 2" xfId="33896" xr:uid="{00000000-0005-0000-0000-0000403F0000}"/>
    <cellStyle name="Normal 33 3 2 2 2 2 3" xfId="25849" xr:uid="{00000000-0005-0000-0000-0000413F0000}"/>
    <cellStyle name="Normal 33 3 2 2 2 3" xfId="13471" xr:uid="{00000000-0005-0000-0000-0000423F0000}"/>
    <cellStyle name="Normal 33 3 2 2 2 3 2" xfId="30015" xr:uid="{00000000-0005-0000-0000-0000433F0000}"/>
    <cellStyle name="Normal 33 3 2 2 2 4" xfId="21972" xr:uid="{00000000-0005-0000-0000-0000443F0000}"/>
    <cellStyle name="Normal 33 3 2 2 3" xfId="8146" xr:uid="{00000000-0005-0000-0000-0000453F0000}"/>
    <cellStyle name="Normal 33 3 2 2 3 2" xfId="17323" xr:uid="{00000000-0005-0000-0000-0000463F0000}"/>
    <cellStyle name="Normal 33 3 2 2 3 2 2" xfId="33897" xr:uid="{00000000-0005-0000-0000-0000473F0000}"/>
    <cellStyle name="Normal 33 3 2 2 3 3" xfId="25850" xr:uid="{00000000-0005-0000-0000-0000483F0000}"/>
    <cellStyle name="Normal 33 3 2 2 4" xfId="13470" xr:uid="{00000000-0005-0000-0000-0000493F0000}"/>
    <cellStyle name="Normal 33 3 2 2 4 2" xfId="30014" xr:uid="{00000000-0005-0000-0000-00004A3F0000}"/>
    <cellStyle name="Normal 33 3 2 2 5" xfId="21971" xr:uid="{00000000-0005-0000-0000-00004B3F0000}"/>
    <cellStyle name="Normal 33 3 2 3" xfId="4083" xr:uid="{00000000-0005-0000-0000-00004C3F0000}"/>
    <cellStyle name="Normal 33 3 2 3 2" xfId="8147" xr:uid="{00000000-0005-0000-0000-00004D3F0000}"/>
    <cellStyle name="Normal 33 3 2 3 2 2" xfId="17324" xr:uid="{00000000-0005-0000-0000-00004E3F0000}"/>
    <cellStyle name="Normal 33 3 2 3 2 2 2" xfId="33898" xr:uid="{00000000-0005-0000-0000-00004F3F0000}"/>
    <cellStyle name="Normal 33 3 2 3 2 3" xfId="25851" xr:uid="{00000000-0005-0000-0000-0000503F0000}"/>
    <cellStyle name="Normal 33 3 2 3 3" xfId="13472" xr:uid="{00000000-0005-0000-0000-0000513F0000}"/>
    <cellStyle name="Normal 33 3 2 3 3 2" xfId="30016" xr:uid="{00000000-0005-0000-0000-0000523F0000}"/>
    <cellStyle name="Normal 33 3 2 3 4" xfId="21973" xr:uid="{00000000-0005-0000-0000-0000533F0000}"/>
    <cellStyle name="Normal 33 3 2 4" xfId="8148" xr:uid="{00000000-0005-0000-0000-0000543F0000}"/>
    <cellStyle name="Normal 33 3 2 4 2" xfId="17325" xr:uid="{00000000-0005-0000-0000-0000553F0000}"/>
    <cellStyle name="Normal 33 3 2 4 2 2" xfId="33899" xr:uid="{00000000-0005-0000-0000-0000563F0000}"/>
    <cellStyle name="Normal 33 3 2 4 3" xfId="25852" xr:uid="{00000000-0005-0000-0000-0000573F0000}"/>
    <cellStyle name="Normal 33 3 2 5" xfId="13469" xr:uid="{00000000-0005-0000-0000-0000583F0000}"/>
    <cellStyle name="Normal 33 3 2 5 2" xfId="30013" xr:uid="{00000000-0005-0000-0000-0000593F0000}"/>
    <cellStyle name="Normal 33 3 2 6" xfId="21970" xr:uid="{00000000-0005-0000-0000-00005A3F0000}"/>
    <cellStyle name="Normal 33 3 3" xfId="4084" xr:uid="{00000000-0005-0000-0000-00005B3F0000}"/>
    <cellStyle name="Normal 33 3 3 2" xfId="4085" xr:uid="{00000000-0005-0000-0000-00005C3F0000}"/>
    <cellStyle name="Normal 33 3 3 2 2" xfId="8149" xr:uid="{00000000-0005-0000-0000-00005D3F0000}"/>
    <cellStyle name="Normal 33 3 3 2 2 2" xfId="17326" xr:uid="{00000000-0005-0000-0000-00005E3F0000}"/>
    <cellStyle name="Normal 33 3 3 2 2 2 2" xfId="33900" xr:uid="{00000000-0005-0000-0000-00005F3F0000}"/>
    <cellStyle name="Normal 33 3 3 2 2 3" xfId="25853" xr:uid="{00000000-0005-0000-0000-0000603F0000}"/>
    <cellStyle name="Normal 33 3 3 2 3" xfId="13474" xr:uid="{00000000-0005-0000-0000-0000613F0000}"/>
    <cellStyle name="Normal 33 3 3 2 3 2" xfId="30018" xr:uid="{00000000-0005-0000-0000-0000623F0000}"/>
    <cellStyle name="Normal 33 3 3 2 4" xfId="21975" xr:uid="{00000000-0005-0000-0000-0000633F0000}"/>
    <cellStyle name="Normal 33 3 3 3" xfId="8150" xr:uid="{00000000-0005-0000-0000-0000643F0000}"/>
    <cellStyle name="Normal 33 3 3 3 2" xfId="17327" xr:uid="{00000000-0005-0000-0000-0000653F0000}"/>
    <cellStyle name="Normal 33 3 3 3 2 2" xfId="33901" xr:uid="{00000000-0005-0000-0000-0000663F0000}"/>
    <cellStyle name="Normal 33 3 3 3 3" xfId="25854" xr:uid="{00000000-0005-0000-0000-0000673F0000}"/>
    <cellStyle name="Normal 33 3 3 4" xfId="13473" xr:uid="{00000000-0005-0000-0000-0000683F0000}"/>
    <cellStyle name="Normal 33 3 3 4 2" xfId="30017" xr:uid="{00000000-0005-0000-0000-0000693F0000}"/>
    <cellStyle name="Normal 33 3 3 5" xfId="21974" xr:uid="{00000000-0005-0000-0000-00006A3F0000}"/>
    <cellStyle name="Normal 33 3 4" xfId="4086" xr:uid="{00000000-0005-0000-0000-00006B3F0000}"/>
    <cellStyle name="Normal 33 3 4 2" xfId="8151" xr:uid="{00000000-0005-0000-0000-00006C3F0000}"/>
    <cellStyle name="Normal 33 3 4 2 2" xfId="17328" xr:uid="{00000000-0005-0000-0000-00006D3F0000}"/>
    <cellStyle name="Normal 33 3 4 2 2 2" xfId="33902" xr:uid="{00000000-0005-0000-0000-00006E3F0000}"/>
    <cellStyle name="Normal 33 3 4 2 3" xfId="25855" xr:uid="{00000000-0005-0000-0000-00006F3F0000}"/>
    <cellStyle name="Normal 33 3 4 3" xfId="13475" xr:uid="{00000000-0005-0000-0000-0000703F0000}"/>
    <cellStyle name="Normal 33 3 4 3 2" xfId="30019" xr:uid="{00000000-0005-0000-0000-0000713F0000}"/>
    <cellStyle name="Normal 33 3 4 4" xfId="21976" xr:uid="{00000000-0005-0000-0000-0000723F0000}"/>
    <cellStyle name="Normal 33 3 5" xfId="4087" xr:uid="{00000000-0005-0000-0000-0000733F0000}"/>
    <cellStyle name="Normal 33 3 5 2" xfId="13476" xr:uid="{00000000-0005-0000-0000-0000743F0000}"/>
    <cellStyle name="Normal 33 3 5 2 2" xfId="30020" xr:uid="{00000000-0005-0000-0000-0000753F0000}"/>
    <cellStyle name="Normal 33 3 5 3" xfId="21977" xr:uid="{00000000-0005-0000-0000-0000763F0000}"/>
    <cellStyle name="Normal 33 4" xfId="4088" xr:uid="{00000000-0005-0000-0000-0000773F0000}"/>
    <cellStyle name="Normal 33 4 2" xfId="4089" xr:uid="{00000000-0005-0000-0000-0000783F0000}"/>
    <cellStyle name="Normal 33 4 2 2" xfId="4090" xr:uid="{00000000-0005-0000-0000-0000793F0000}"/>
    <cellStyle name="Normal 33 4 2 2 2" xfId="4091" xr:uid="{00000000-0005-0000-0000-00007A3F0000}"/>
    <cellStyle name="Normal 33 4 2 2 2 2" xfId="8152" xr:uid="{00000000-0005-0000-0000-00007B3F0000}"/>
    <cellStyle name="Normal 33 4 2 2 2 2 2" xfId="17329" xr:uid="{00000000-0005-0000-0000-00007C3F0000}"/>
    <cellStyle name="Normal 33 4 2 2 2 2 2 2" xfId="33903" xr:uid="{00000000-0005-0000-0000-00007D3F0000}"/>
    <cellStyle name="Normal 33 4 2 2 2 2 3" xfId="25856" xr:uid="{00000000-0005-0000-0000-00007E3F0000}"/>
    <cellStyle name="Normal 33 4 2 2 2 3" xfId="13480" xr:uid="{00000000-0005-0000-0000-00007F3F0000}"/>
    <cellStyle name="Normal 33 4 2 2 2 3 2" xfId="30024" xr:uid="{00000000-0005-0000-0000-0000803F0000}"/>
    <cellStyle name="Normal 33 4 2 2 2 4" xfId="21981" xr:uid="{00000000-0005-0000-0000-0000813F0000}"/>
    <cellStyle name="Normal 33 4 2 2 3" xfId="8153" xr:uid="{00000000-0005-0000-0000-0000823F0000}"/>
    <cellStyle name="Normal 33 4 2 2 3 2" xfId="17330" xr:uid="{00000000-0005-0000-0000-0000833F0000}"/>
    <cellStyle name="Normal 33 4 2 2 3 2 2" xfId="33904" xr:uid="{00000000-0005-0000-0000-0000843F0000}"/>
    <cellStyle name="Normal 33 4 2 2 3 3" xfId="25857" xr:uid="{00000000-0005-0000-0000-0000853F0000}"/>
    <cellStyle name="Normal 33 4 2 2 4" xfId="13479" xr:uid="{00000000-0005-0000-0000-0000863F0000}"/>
    <cellStyle name="Normal 33 4 2 2 4 2" xfId="30023" xr:uid="{00000000-0005-0000-0000-0000873F0000}"/>
    <cellStyle name="Normal 33 4 2 2 5" xfId="21980" xr:uid="{00000000-0005-0000-0000-0000883F0000}"/>
    <cellStyle name="Normal 33 4 2 3" xfId="4092" xr:uid="{00000000-0005-0000-0000-0000893F0000}"/>
    <cellStyle name="Normal 33 4 2 3 2" xfId="8154" xr:uid="{00000000-0005-0000-0000-00008A3F0000}"/>
    <cellStyle name="Normal 33 4 2 3 2 2" xfId="17331" xr:uid="{00000000-0005-0000-0000-00008B3F0000}"/>
    <cellStyle name="Normal 33 4 2 3 2 2 2" xfId="33905" xr:uid="{00000000-0005-0000-0000-00008C3F0000}"/>
    <cellStyle name="Normal 33 4 2 3 2 3" xfId="25858" xr:uid="{00000000-0005-0000-0000-00008D3F0000}"/>
    <cellStyle name="Normal 33 4 2 3 3" xfId="13481" xr:uid="{00000000-0005-0000-0000-00008E3F0000}"/>
    <cellStyle name="Normal 33 4 2 3 3 2" xfId="30025" xr:uid="{00000000-0005-0000-0000-00008F3F0000}"/>
    <cellStyle name="Normal 33 4 2 3 4" xfId="21982" xr:uid="{00000000-0005-0000-0000-0000903F0000}"/>
    <cellStyle name="Normal 33 4 2 4" xfId="8155" xr:uid="{00000000-0005-0000-0000-0000913F0000}"/>
    <cellStyle name="Normal 33 4 2 4 2" xfId="17332" xr:uid="{00000000-0005-0000-0000-0000923F0000}"/>
    <cellStyle name="Normal 33 4 2 4 2 2" xfId="33906" xr:uid="{00000000-0005-0000-0000-0000933F0000}"/>
    <cellStyle name="Normal 33 4 2 4 3" xfId="25859" xr:uid="{00000000-0005-0000-0000-0000943F0000}"/>
    <cellStyle name="Normal 33 4 2 5" xfId="13478" xr:uid="{00000000-0005-0000-0000-0000953F0000}"/>
    <cellStyle name="Normal 33 4 2 5 2" xfId="30022" xr:uid="{00000000-0005-0000-0000-0000963F0000}"/>
    <cellStyle name="Normal 33 4 2 6" xfId="21979" xr:uid="{00000000-0005-0000-0000-0000973F0000}"/>
    <cellStyle name="Normal 33 4 3" xfId="4093" xr:uid="{00000000-0005-0000-0000-0000983F0000}"/>
    <cellStyle name="Normal 33 4 3 2" xfId="4094" xr:uid="{00000000-0005-0000-0000-0000993F0000}"/>
    <cellStyle name="Normal 33 4 3 2 2" xfId="8156" xr:uid="{00000000-0005-0000-0000-00009A3F0000}"/>
    <cellStyle name="Normal 33 4 3 2 2 2" xfId="17333" xr:uid="{00000000-0005-0000-0000-00009B3F0000}"/>
    <cellStyle name="Normal 33 4 3 2 2 2 2" xfId="33907" xr:uid="{00000000-0005-0000-0000-00009C3F0000}"/>
    <cellStyle name="Normal 33 4 3 2 2 3" xfId="25860" xr:uid="{00000000-0005-0000-0000-00009D3F0000}"/>
    <cellStyle name="Normal 33 4 3 2 3" xfId="13483" xr:uid="{00000000-0005-0000-0000-00009E3F0000}"/>
    <cellStyle name="Normal 33 4 3 2 3 2" xfId="30027" xr:uid="{00000000-0005-0000-0000-00009F3F0000}"/>
    <cellStyle name="Normal 33 4 3 2 4" xfId="21984" xr:uid="{00000000-0005-0000-0000-0000A03F0000}"/>
    <cellStyle name="Normal 33 4 3 3" xfId="8157" xr:uid="{00000000-0005-0000-0000-0000A13F0000}"/>
    <cellStyle name="Normal 33 4 3 3 2" xfId="17334" xr:uid="{00000000-0005-0000-0000-0000A23F0000}"/>
    <cellStyle name="Normal 33 4 3 3 2 2" xfId="33908" xr:uid="{00000000-0005-0000-0000-0000A33F0000}"/>
    <cellStyle name="Normal 33 4 3 3 3" xfId="25861" xr:uid="{00000000-0005-0000-0000-0000A43F0000}"/>
    <cellStyle name="Normal 33 4 3 4" xfId="13482" xr:uid="{00000000-0005-0000-0000-0000A53F0000}"/>
    <cellStyle name="Normal 33 4 3 4 2" xfId="30026" xr:uid="{00000000-0005-0000-0000-0000A63F0000}"/>
    <cellStyle name="Normal 33 4 3 5" xfId="21983" xr:uid="{00000000-0005-0000-0000-0000A73F0000}"/>
    <cellStyle name="Normal 33 4 4" xfId="4095" xr:uid="{00000000-0005-0000-0000-0000A83F0000}"/>
    <cellStyle name="Normal 33 4 4 2" xfId="8158" xr:uid="{00000000-0005-0000-0000-0000A93F0000}"/>
    <cellStyle name="Normal 33 4 4 2 2" xfId="17335" xr:uid="{00000000-0005-0000-0000-0000AA3F0000}"/>
    <cellStyle name="Normal 33 4 4 2 2 2" xfId="33909" xr:uid="{00000000-0005-0000-0000-0000AB3F0000}"/>
    <cellStyle name="Normal 33 4 4 2 3" xfId="25862" xr:uid="{00000000-0005-0000-0000-0000AC3F0000}"/>
    <cellStyle name="Normal 33 4 4 3" xfId="13484" xr:uid="{00000000-0005-0000-0000-0000AD3F0000}"/>
    <cellStyle name="Normal 33 4 4 3 2" xfId="30028" xr:uid="{00000000-0005-0000-0000-0000AE3F0000}"/>
    <cellStyle name="Normal 33 4 4 4" xfId="21985" xr:uid="{00000000-0005-0000-0000-0000AF3F0000}"/>
    <cellStyle name="Normal 33 4 5" xfId="8159" xr:uid="{00000000-0005-0000-0000-0000B03F0000}"/>
    <cellStyle name="Normal 33 4 5 2" xfId="17336" xr:uid="{00000000-0005-0000-0000-0000B13F0000}"/>
    <cellStyle name="Normal 33 4 5 2 2" xfId="33910" xr:uid="{00000000-0005-0000-0000-0000B23F0000}"/>
    <cellStyle name="Normal 33 4 5 3" xfId="25863" xr:uid="{00000000-0005-0000-0000-0000B33F0000}"/>
    <cellStyle name="Normal 33 4 6" xfId="13477" xr:uid="{00000000-0005-0000-0000-0000B43F0000}"/>
    <cellStyle name="Normal 33 4 6 2" xfId="30021" xr:uid="{00000000-0005-0000-0000-0000B53F0000}"/>
    <cellStyle name="Normal 33 4 7" xfId="21978" xr:uid="{00000000-0005-0000-0000-0000B63F0000}"/>
    <cellStyle name="Normal 33 5" xfId="4096" xr:uid="{00000000-0005-0000-0000-0000B73F0000}"/>
    <cellStyle name="Normal 33 5 2" xfId="4097" xr:uid="{00000000-0005-0000-0000-0000B83F0000}"/>
    <cellStyle name="Normal 33 5 2 2" xfId="4098" xr:uid="{00000000-0005-0000-0000-0000B93F0000}"/>
    <cellStyle name="Normal 33 5 2 2 2" xfId="4099" xr:uid="{00000000-0005-0000-0000-0000BA3F0000}"/>
    <cellStyle name="Normal 33 5 2 2 2 2" xfId="8160" xr:uid="{00000000-0005-0000-0000-0000BB3F0000}"/>
    <cellStyle name="Normal 33 5 2 2 2 2 2" xfId="17337" xr:uid="{00000000-0005-0000-0000-0000BC3F0000}"/>
    <cellStyle name="Normal 33 5 2 2 2 2 2 2" xfId="33911" xr:uid="{00000000-0005-0000-0000-0000BD3F0000}"/>
    <cellStyle name="Normal 33 5 2 2 2 2 3" xfId="25864" xr:uid="{00000000-0005-0000-0000-0000BE3F0000}"/>
    <cellStyle name="Normal 33 5 2 2 2 3" xfId="13488" xr:uid="{00000000-0005-0000-0000-0000BF3F0000}"/>
    <cellStyle name="Normal 33 5 2 2 2 3 2" xfId="30032" xr:uid="{00000000-0005-0000-0000-0000C03F0000}"/>
    <cellStyle name="Normal 33 5 2 2 2 4" xfId="21989" xr:uid="{00000000-0005-0000-0000-0000C13F0000}"/>
    <cellStyle name="Normal 33 5 2 2 3" xfId="8161" xr:uid="{00000000-0005-0000-0000-0000C23F0000}"/>
    <cellStyle name="Normal 33 5 2 2 3 2" xfId="17338" xr:uid="{00000000-0005-0000-0000-0000C33F0000}"/>
    <cellStyle name="Normal 33 5 2 2 3 2 2" xfId="33912" xr:uid="{00000000-0005-0000-0000-0000C43F0000}"/>
    <cellStyle name="Normal 33 5 2 2 3 3" xfId="25865" xr:uid="{00000000-0005-0000-0000-0000C53F0000}"/>
    <cellStyle name="Normal 33 5 2 2 4" xfId="13487" xr:uid="{00000000-0005-0000-0000-0000C63F0000}"/>
    <cellStyle name="Normal 33 5 2 2 4 2" xfId="30031" xr:uid="{00000000-0005-0000-0000-0000C73F0000}"/>
    <cellStyle name="Normal 33 5 2 2 5" xfId="21988" xr:uid="{00000000-0005-0000-0000-0000C83F0000}"/>
    <cellStyle name="Normal 33 5 2 3" xfId="4100" xr:uid="{00000000-0005-0000-0000-0000C93F0000}"/>
    <cellStyle name="Normal 33 5 2 3 2" xfId="8162" xr:uid="{00000000-0005-0000-0000-0000CA3F0000}"/>
    <cellStyle name="Normal 33 5 2 3 2 2" xfId="17339" xr:uid="{00000000-0005-0000-0000-0000CB3F0000}"/>
    <cellStyle name="Normal 33 5 2 3 2 2 2" xfId="33913" xr:uid="{00000000-0005-0000-0000-0000CC3F0000}"/>
    <cellStyle name="Normal 33 5 2 3 2 3" xfId="25866" xr:uid="{00000000-0005-0000-0000-0000CD3F0000}"/>
    <cellStyle name="Normal 33 5 2 3 3" xfId="13489" xr:uid="{00000000-0005-0000-0000-0000CE3F0000}"/>
    <cellStyle name="Normal 33 5 2 3 3 2" xfId="30033" xr:uid="{00000000-0005-0000-0000-0000CF3F0000}"/>
    <cellStyle name="Normal 33 5 2 3 4" xfId="21990" xr:uid="{00000000-0005-0000-0000-0000D03F0000}"/>
    <cellStyle name="Normal 33 5 2 4" xfId="8163" xr:uid="{00000000-0005-0000-0000-0000D13F0000}"/>
    <cellStyle name="Normal 33 5 2 4 2" xfId="17340" xr:uid="{00000000-0005-0000-0000-0000D23F0000}"/>
    <cellStyle name="Normal 33 5 2 4 2 2" xfId="33914" xr:uid="{00000000-0005-0000-0000-0000D33F0000}"/>
    <cellStyle name="Normal 33 5 2 4 3" xfId="25867" xr:uid="{00000000-0005-0000-0000-0000D43F0000}"/>
    <cellStyle name="Normal 33 5 2 5" xfId="13486" xr:uid="{00000000-0005-0000-0000-0000D53F0000}"/>
    <cellStyle name="Normal 33 5 2 5 2" xfId="30030" xr:uid="{00000000-0005-0000-0000-0000D63F0000}"/>
    <cellStyle name="Normal 33 5 2 6" xfId="21987" xr:uid="{00000000-0005-0000-0000-0000D73F0000}"/>
    <cellStyle name="Normal 33 5 3" xfId="4101" xr:uid="{00000000-0005-0000-0000-0000D83F0000}"/>
    <cellStyle name="Normal 33 5 3 2" xfId="4102" xr:uid="{00000000-0005-0000-0000-0000D93F0000}"/>
    <cellStyle name="Normal 33 5 3 2 2" xfId="8164" xr:uid="{00000000-0005-0000-0000-0000DA3F0000}"/>
    <cellStyle name="Normal 33 5 3 2 2 2" xfId="17341" xr:uid="{00000000-0005-0000-0000-0000DB3F0000}"/>
    <cellStyle name="Normal 33 5 3 2 2 2 2" xfId="33915" xr:uid="{00000000-0005-0000-0000-0000DC3F0000}"/>
    <cellStyle name="Normal 33 5 3 2 2 3" xfId="25868" xr:uid="{00000000-0005-0000-0000-0000DD3F0000}"/>
    <cellStyle name="Normal 33 5 3 2 3" xfId="13491" xr:uid="{00000000-0005-0000-0000-0000DE3F0000}"/>
    <cellStyle name="Normal 33 5 3 2 3 2" xfId="30035" xr:uid="{00000000-0005-0000-0000-0000DF3F0000}"/>
    <cellStyle name="Normal 33 5 3 2 4" xfId="21992" xr:uid="{00000000-0005-0000-0000-0000E03F0000}"/>
    <cellStyle name="Normal 33 5 3 3" xfId="8165" xr:uid="{00000000-0005-0000-0000-0000E13F0000}"/>
    <cellStyle name="Normal 33 5 3 3 2" xfId="17342" xr:uid="{00000000-0005-0000-0000-0000E23F0000}"/>
    <cellStyle name="Normal 33 5 3 3 2 2" xfId="33916" xr:uid="{00000000-0005-0000-0000-0000E33F0000}"/>
    <cellStyle name="Normal 33 5 3 3 3" xfId="25869" xr:uid="{00000000-0005-0000-0000-0000E43F0000}"/>
    <cellStyle name="Normal 33 5 3 4" xfId="13490" xr:uid="{00000000-0005-0000-0000-0000E53F0000}"/>
    <cellStyle name="Normal 33 5 3 4 2" xfId="30034" xr:uid="{00000000-0005-0000-0000-0000E63F0000}"/>
    <cellStyle name="Normal 33 5 3 5" xfId="21991" xr:uid="{00000000-0005-0000-0000-0000E73F0000}"/>
    <cellStyle name="Normal 33 5 4" xfId="4103" xr:uid="{00000000-0005-0000-0000-0000E83F0000}"/>
    <cellStyle name="Normal 33 5 4 2" xfId="8166" xr:uid="{00000000-0005-0000-0000-0000E93F0000}"/>
    <cellStyle name="Normal 33 5 4 2 2" xfId="17343" xr:uid="{00000000-0005-0000-0000-0000EA3F0000}"/>
    <cellStyle name="Normal 33 5 4 2 2 2" xfId="33917" xr:uid="{00000000-0005-0000-0000-0000EB3F0000}"/>
    <cellStyle name="Normal 33 5 4 2 3" xfId="25870" xr:uid="{00000000-0005-0000-0000-0000EC3F0000}"/>
    <cellStyle name="Normal 33 5 4 3" xfId="13492" xr:uid="{00000000-0005-0000-0000-0000ED3F0000}"/>
    <cellStyle name="Normal 33 5 4 3 2" xfId="30036" xr:uid="{00000000-0005-0000-0000-0000EE3F0000}"/>
    <cellStyle name="Normal 33 5 4 4" xfId="21993" xr:uid="{00000000-0005-0000-0000-0000EF3F0000}"/>
    <cellStyle name="Normal 33 5 5" xfId="8167" xr:uid="{00000000-0005-0000-0000-0000F03F0000}"/>
    <cellStyle name="Normal 33 5 5 2" xfId="17344" xr:uid="{00000000-0005-0000-0000-0000F13F0000}"/>
    <cellStyle name="Normal 33 5 5 2 2" xfId="33918" xr:uid="{00000000-0005-0000-0000-0000F23F0000}"/>
    <cellStyle name="Normal 33 5 5 3" xfId="25871" xr:uid="{00000000-0005-0000-0000-0000F33F0000}"/>
    <cellStyle name="Normal 33 5 6" xfId="13485" xr:uid="{00000000-0005-0000-0000-0000F43F0000}"/>
    <cellStyle name="Normal 33 5 6 2" xfId="30029" xr:uid="{00000000-0005-0000-0000-0000F53F0000}"/>
    <cellStyle name="Normal 33 5 7" xfId="21986" xr:uid="{00000000-0005-0000-0000-0000F63F0000}"/>
    <cellStyle name="Normal 33 6" xfId="4104" xr:uid="{00000000-0005-0000-0000-0000F73F0000}"/>
    <cellStyle name="Normal 33 6 2" xfId="4105" xr:uid="{00000000-0005-0000-0000-0000F83F0000}"/>
    <cellStyle name="Normal 33 6 2 2" xfId="4106" xr:uid="{00000000-0005-0000-0000-0000F93F0000}"/>
    <cellStyle name="Normal 33 6 2 2 2" xfId="8168" xr:uid="{00000000-0005-0000-0000-0000FA3F0000}"/>
    <cellStyle name="Normal 33 6 2 2 2 2" xfId="17345" xr:uid="{00000000-0005-0000-0000-0000FB3F0000}"/>
    <cellStyle name="Normal 33 6 2 2 2 2 2" xfId="33919" xr:uid="{00000000-0005-0000-0000-0000FC3F0000}"/>
    <cellStyle name="Normal 33 6 2 2 2 3" xfId="25872" xr:uid="{00000000-0005-0000-0000-0000FD3F0000}"/>
    <cellStyle name="Normal 33 6 2 2 3" xfId="13495" xr:uid="{00000000-0005-0000-0000-0000FE3F0000}"/>
    <cellStyle name="Normal 33 6 2 2 3 2" xfId="30039" xr:uid="{00000000-0005-0000-0000-0000FF3F0000}"/>
    <cellStyle name="Normal 33 6 2 2 4" xfId="21996" xr:uid="{00000000-0005-0000-0000-000000400000}"/>
    <cellStyle name="Normal 33 6 2 3" xfId="8169" xr:uid="{00000000-0005-0000-0000-000001400000}"/>
    <cellStyle name="Normal 33 6 2 3 2" xfId="17346" xr:uid="{00000000-0005-0000-0000-000002400000}"/>
    <cellStyle name="Normal 33 6 2 3 2 2" xfId="33920" xr:uid="{00000000-0005-0000-0000-000003400000}"/>
    <cellStyle name="Normal 33 6 2 3 3" xfId="25873" xr:uid="{00000000-0005-0000-0000-000004400000}"/>
    <cellStyle name="Normal 33 6 2 4" xfId="13494" xr:uid="{00000000-0005-0000-0000-000005400000}"/>
    <cellStyle name="Normal 33 6 2 4 2" xfId="30038" xr:uid="{00000000-0005-0000-0000-000006400000}"/>
    <cellStyle name="Normal 33 6 2 5" xfId="21995" xr:uid="{00000000-0005-0000-0000-000007400000}"/>
    <cellStyle name="Normal 33 6 3" xfId="4107" xr:uid="{00000000-0005-0000-0000-000008400000}"/>
    <cellStyle name="Normal 33 6 3 2" xfId="8170" xr:uid="{00000000-0005-0000-0000-000009400000}"/>
    <cellStyle name="Normal 33 6 3 2 2" xfId="17347" xr:uid="{00000000-0005-0000-0000-00000A400000}"/>
    <cellStyle name="Normal 33 6 3 2 2 2" xfId="33921" xr:uid="{00000000-0005-0000-0000-00000B400000}"/>
    <cellStyle name="Normal 33 6 3 2 3" xfId="25874" xr:uid="{00000000-0005-0000-0000-00000C400000}"/>
    <cellStyle name="Normal 33 6 3 3" xfId="13496" xr:uid="{00000000-0005-0000-0000-00000D400000}"/>
    <cellStyle name="Normal 33 6 3 3 2" xfId="30040" xr:uid="{00000000-0005-0000-0000-00000E400000}"/>
    <cellStyle name="Normal 33 6 3 4" xfId="21997" xr:uid="{00000000-0005-0000-0000-00000F400000}"/>
    <cellStyle name="Normal 33 6 4" xfId="8171" xr:uid="{00000000-0005-0000-0000-000010400000}"/>
    <cellStyle name="Normal 33 6 4 2" xfId="17348" xr:uid="{00000000-0005-0000-0000-000011400000}"/>
    <cellStyle name="Normal 33 6 4 2 2" xfId="33922" xr:uid="{00000000-0005-0000-0000-000012400000}"/>
    <cellStyle name="Normal 33 6 4 3" xfId="25875" xr:uid="{00000000-0005-0000-0000-000013400000}"/>
    <cellStyle name="Normal 33 6 5" xfId="13493" xr:uid="{00000000-0005-0000-0000-000014400000}"/>
    <cellStyle name="Normal 33 6 5 2" xfId="30037" xr:uid="{00000000-0005-0000-0000-000015400000}"/>
    <cellStyle name="Normal 33 6 6" xfId="21994" xr:uid="{00000000-0005-0000-0000-000016400000}"/>
    <cellStyle name="Normal 33 7" xfId="4108" xr:uid="{00000000-0005-0000-0000-000017400000}"/>
    <cellStyle name="Normal 33 7 2" xfId="4109" xr:uid="{00000000-0005-0000-0000-000018400000}"/>
    <cellStyle name="Normal 33 7 2 2" xfId="8172" xr:uid="{00000000-0005-0000-0000-000019400000}"/>
    <cellStyle name="Normal 33 7 2 2 2" xfId="17349" xr:uid="{00000000-0005-0000-0000-00001A400000}"/>
    <cellStyle name="Normal 33 7 2 2 2 2" xfId="33923" xr:uid="{00000000-0005-0000-0000-00001B400000}"/>
    <cellStyle name="Normal 33 7 2 2 3" xfId="25876" xr:uid="{00000000-0005-0000-0000-00001C400000}"/>
    <cellStyle name="Normal 33 7 2 3" xfId="13498" xr:uid="{00000000-0005-0000-0000-00001D400000}"/>
    <cellStyle name="Normal 33 7 2 3 2" xfId="30042" xr:uid="{00000000-0005-0000-0000-00001E400000}"/>
    <cellStyle name="Normal 33 7 2 4" xfId="21999" xr:uid="{00000000-0005-0000-0000-00001F400000}"/>
    <cellStyle name="Normal 33 7 3" xfId="8173" xr:uid="{00000000-0005-0000-0000-000020400000}"/>
    <cellStyle name="Normal 33 7 3 2" xfId="17350" xr:uid="{00000000-0005-0000-0000-000021400000}"/>
    <cellStyle name="Normal 33 7 3 2 2" xfId="33924" xr:uid="{00000000-0005-0000-0000-000022400000}"/>
    <cellStyle name="Normal 33 7 3 3" xfId="25877" xr:uid="{00000000-0005-0000-0000-000023400000}"/>
    <cellStyle name="Normal 33 7 4" xfId="13497" xr:uid="{00000000-0005-0000-0000-000024400000}"/>
    <cellStyle name="Normal 33 7 4 2" xfId="30041" xr:uid="{00000000-0005-0000-0000-000025400000}"/>
    <cellStyle name="Normal 33 7 5" xfId="21998" xr:uid="{00000000-0005-0000-0000-000026400000}"/>
    <cellStyle name="Normal 33 8" xfId="4110" xr:uid="{00000000-0005-0000-0000-000027400000}"/>
    <cellStyle name="Normal 33 8 2" xfId="8174" xr:uid="{00000000-0005-0000-0000-000028400000}"/>
    <cellStyle name="Normal 33 8 2 2" xfId="17351" xr:uid="{00000000-0005-0000-0000-000029400000}"/>
    <cellStyle name="Normal 33 8 2 2 2" xfId="33925" xr:uid="{00000000-0005-0000-0000-00002A400000}"/>
    <cellStyle name="Normal 33 8 2 3" xfId="25878" xr:uid="{00000000-0005-0000-0000-00002B400000}"/>
    <cellStyle name="Normal 33 8 3" xfId="13499" xr:uid="{00000000-0005-0000-0000-00002C400000}"/>
    <cellStyle name="Normal 33 8 3 2" xfId="30043" xr:uid="{00000000-0005-0000-0000-00002D400000}"/>
    <cellStyle name="Normal 33 8 4" xfId="22000" xr:uid="{00000000-0005-0000-0000-00002E400000}"/>
    <cellStyle name="Normal 33 9" xfId="8175" xr:uid="{00000000-0005-0000-0000-00002F400000}"/>
    <cellStyle name="Normal 33 9 2" xfId="17352" xr:uid="{00000000-0005-0000-0000-000030400000}"/>
    <cellStyle name="Normal 33 9 2 2" xfId="33926" xr:uid="{00000000-0005-0000-0000-000031400000}"/>
    <cellStyle name="Normal 33 9 3" xfId="25879" xr:uid="{00000000-0005-0000-0000-000032400000}"/>
    <cellStyle name="Normal 330" xfId="11030" xr:uid="{00000000-0005-0000-0000-000033400000}"/>
    <cellStyle name="Normal 331" xfId="11033" xr:uid="{00000000-0005-0000-0000-000034400000}"/>
    <cellStyle name="Normal 332" xfId="11036" xr:uid="{00000000-0005-0000-0000-000035400000}"/>
    <cellStyle name="Normal 333" xfId="11039" xr:uid="{00000000-0005-0000-0000-000036400000}"/>
    <cellStyle name="Normal 334" xfId="11042" xr:uid="{00000000-0005-0000-0000-000037400000}"/>
    <cellStyle name="Normal 335" xfId="11045" xr:uid="{00000000-0005-0000-0000-000038400000}"/>
    <cellStyle name="Normal 336" xfId="11048" xr:uid="{00000000-0005-0000-0000-000039400000}"/>
    <cellStyle name="Normal 337" xfId="11050" xr:uid="{00000000-0005-0000-0000-00003A400000}"/>
    <cellStyle name="Normal 338" xfId="1779" xr:uid="{00000000-0005-0000-0000-00003B400000}"/>
    <cellStyle name="Normal 339" xfId="10942" xr:uid="{00000000-0005-0000-0000-00003C400000}"/>
    <cellStyle name="Normal 34" xfId="4111" xr:uid="{00000000-0005-0000-0000-00003D400000}"/>
    <cellStyle name="Normal 34 10" xfId="13500" xr:uid="{00000000-0005-0000-0000-00003E400000}"/>
    <cellStyle name="Normal 34 10 2" xfId="30044" xr:uid="{00000000-0005-0000-0000-00003F400000}"/>
    <cellStyle name="Normal 34 11" xfId="22001" xr:uid="{00000000-0005-0000-0000-000040400000}"/>
    <cellStyle name="Normal 34 2" xfId="4112" xr:uid="{00000000-0005-0000-0000-000041400000}"/>
    <cellStyle name="Normal 34 2 2" xfId="4113" xr:uid="{00000000-0005-0000-0000-000042400000}"/>
    <cellStyle name="Normal 34 2 3" xfId="13501" xr:uid="{00000000-0005-0000-0000-000043400000}"/>
    <cellStyle name="Normal 34 2 3 2" xfId="30045" xr:uid="{00000000-0005-0000-0000-000044400000}"/>
    <cellStyle name="Normal 34 2 4" xfId="22002" xr:uid="{00000000-0005-0000-0000-000045400000}"/>
    <cellStyle name="Normal 34 3" xfId="4114" xr:uid="{00000000-0005-0000-0000-000046400000}"/>
    <cellStyle name="Normal 34 3 2" xfId="4115" xr:uid="{00000000-0005-0000-0000-000047400000}"/>
    <cellStyle name="Normal 34 3 2 2" xfId="4116" xr:uid="{00000000-0005-0000-0000-000048400000}"/>
    <cellStyle name="Normal 34 3 2 2 2" xfId="4117" xr:uid="{00000000-0005-0000-0000-000049400000}"/>
    <cellStyle name="Normal 34 3 2 2 2 2" xfId="8176" xr:uid="{00000000-0005-0000-0000-00004A400000}"/>
    <cellStyle name="Normal 34 3 2 2 2 2 2" xfId="17353" xr:uid="{00000000-0005-0000-0000-00004B400000}"/>
    <cellStyle name="Normal 34 3 2 2 2 2 2 2" xfId="33927" xr:uid="{00000000-0005-0000-0000-00004C400000}"/>
    <cellStyle name="Normal 34 3 2 2 2 2 3" xfId="25880" xr:uid="{00000000-0005-0000-0000-00004D400000}"/>
    <cellStyle name="Normal 34 3 2 2 2 3" xfId="13504" xr:uid="{00000000-0005-0000-0000-00004E400000}"/>
    <cellStyle name="Normal 34 3 2 2 2 3 2" xfId="30048" xr:uid="{00000000-0005-0000-0000-00004F400000}"/>
    <cellStyle name="Normal 34 3 2 2 2 4" xfId="22005" xr:uid="{00000000-0005-0000-0000-000050400000}"/>
    <cellStyle name="Normal 34 3 2 2 3" xfId="8177" xr:uid="{00000000-0005-0000-0000-000051400000}"/>
    <cellStyle name="Normal 34 3 2 2 3 2" xfId="17354" xr:uid="{00000000-0005-0000-0000-000052400000}"/>
    <cellStyle name="Normal 34 3 2 2 3 2 2" xfId="33928" xr:uid="{00000000-0005-0000-0000-000053400000}"/>
    <cellStyle name="Normal 34 3 2 2 3 3" xfId="25881" xr:uid="{00000000-0005-0000-0000-000054400000}"/>
    <cellStyle name="Normal 34 3 2 2 4" xfId="13503" xr:uid="{00000000-0005-0000-0000-000055400000}"/>
    <cellStyle name="Normal 34 3 2 2 4 2" xfId="30047" xr:uid="{00000000-0005-0000-0000-000056400000}"/>
    <cellStyle name="Normal 34 3 2 2 5" xfId="22004" xr:uid="{00000000-0005-0000-0000-000057400000}"/>
    <cellStyle name="Normal 34 3 2 3" xfId="4118" xr:uid="{00000000-0005-0000-0000-000058400000}"/>
    <cellStyle name="Normal 34 3 2 3 2" xfId="8178" xr:uid="{00000000-0005-0000-0000-000059400000}"/>
    <cellStyle name="Normal 34 3 2 3 2 2" xfId="17355" xr:uid="{00000000-0005-0000-0000-00005A400000}"/>
    <cellStyle name="Normal 34 3 2 3 2 2 2" xfId="33929" xr:uid="{00000000-0005-0000-0000-00005B400000}"/>
    <cellStyle name="Normal 34 3 2 3 2 3" xfId="25882" xr:uid="{00000000-0005-0000-0000-00005C400000}"/>
    <cellStyle name="Normal 34 3 2 3 3" xfId="13505" xr:uid="{00000000-0005-0000-0000-00005D400000}"/>
    <cellStyle name="Normal 34 3 2 3 3 2" xfId="30049" xr:uid="{00000000-0005-0000-0000-00005E400000}"/>
    <cellStyle name="Normal 34 3 2 3 4" xfId="22006" xr:uid="{00000000-0005-0000-0000-00005F400000}"/>
    <cellStyle name="Normal 34 3 2 4" xfId="8179" xr:uid="{00000000-0005-0000-0000-000060400000}"/>
    <cellStyle name="Normal 34 3 2 4 2" xfId="17356" xr:uid="{00000000-0005-0000-0000-000061400000}"/>
    <cellStyle name="Normal 34 3 2 4 2 2" xfId="33930" xr:uid="{00000000-0005-0000-0000-000062400000}"/>
    <cellStyle name="Normal 34 3 2 4 3" xfId="25883" xr:uid="{00000000-0005-0000-0000-000063400000}"/>
    <cellStyle name="Normal 34 3 2 5" xfId="13502" xr:uid="{00000000-0005-0000-0000-000064400000}"/>
    <cellStyle name="Normal 34 3 2 5 2" xfId="30046" xr:uid="{00000000-0005-0000-0000-000065400000}"/>
    <cellStyle name="Normal 34 3 2 6" xfId="22003" xr:uid="{00000000-0005-0000-0000-000066400000}"/>
    <cellStyle name="Normal 34 3 3" xfId="4119" xr:uid="{00000000-0005-0000-0000-000067400000}"/>
    <cellStyle name="Normal 34 3 3 2" xfId="4120" xr:uid="{00000000-0005-0000-0000-000068400000}"/>
    <cellStyle name="Normal 34 3 3 2 2" xfId="8180" xr:uid="{00000000-0005-0000-0000-000069400000}"/>
    <cellStyle name="Normal 34 3 3 2 2 2" xfId="17357" xr:uid="{00000000-0005-0000-0000-00006A400000}"/>
    <cellStyle name="Normal 34 3 3 2 2 2 2" xfId="33931" xr:uid="{00000000-0005-0000-0000-00006B400000}"/>
    <cellStyle name="Normal 34 3 3 2 2 3" xfId="25884" xr:uid="{00000000-0005-0000-0000-00006C400000}"/>
    <cellStyle name="Normal 34 3 3 2 3" xfId="13507" xr:uid="{00000000-0005-0000-0000-00006D400000}"/>
    <cellStyle name="Normal 34 3 3 2 3 2" xfId="30051" xr:uid="{00000000-0005-0000-0000-00006E400000}"/>
    <cellStyle name="Normal 34 3 3 2 4" xfId="22008" xr:uid="{00000000-0005-0000-0000-00006F400000}"/>
    <cellStyle name="Normal 34 3 3 3" xfId="8181" xr:uid="{00000000-0005-0000-0000-000070400000}"/>
    <cellStyle name="Normal 34 3 3 3 2" xfId="17358" xr:uid="{00000000-0005-0000-0000-000071400000}"/>
    <cellStyle name="Normal 34 3 3 3 2 2" xfId="33932" xr:uid="{00000000-0005-0000-0000-000072400000}"/>
    <cellStyle name="Normal 34 3 3 3 3" xfId="25885" xr:uid="{00000000-0005-0000-0000-000073400000}"/>
    <cellStyle name="Normal 34 3 3 4" xfId="13506" xr:uid="{00000000-0005-0000-0000-000074400000}"/>
    <cellStyle name="Normal 34 3 3 4 2" xfId="30050" xr:uid="{00000000-0005-0000-0000-000075400000}"/>
    <cellStyle name="Normal 34 3 3 5" xfId="22007" xr:uid="{00000000-0005-0000-0000-000076400000}"/>
    <cellStyle name="Normal 34 3 4" xfId="4121" xr:uid="{00000000-0005-0000-0000-000077400000}"/>
    <cellStyle name="Normal 34 3 4 2" xfId="8182" xr:uid="{00000000-0005-0000-0000-000078400000}"/>
    <cellStyle name="Normal 34 3 4 2 2" xfId="17359" xr:uid="{00000000-0005-0000-0000-000079400000}"/>
    <cellStyle name="Normal 34 3 4 2 2 2" xfId="33933" xr:uid="{00000000-0005-0000-0000-00007A400000}"/>
    <cellStyle name="Normal 34 3 4 2 3" xfId="25886" xr:uid="{00000000-0005-0000-0000-00007B400000}"/>
    <cellStyle name="Normal 34 3 4 3" xfId="13508" xr:uid="{00000000-0005-0000-0000-00007C400000}"/>
    <cellStyle name="Normal 34 3 4 3 2" xfId="30052" xr:uid="{00000000-0005-0000-0000-00007D400000}"/>
    <cellStyle name="Normal 34 3 4 4" xfId="22009" xr:uid="{00000000-0005-0000-0000-00007E400000}"/>
    <cellStyle name="Normal 34 3 5" xfId="4122" xr:uid="{00000000-0005-0000-0000-00007F400000}"/>
    <cellStyle name="Normal 34 3 5 2" xfId="13509" xr:uid="{00000000-0005-0000-0000-000080400000}"/>
    <cellStyle name="Normal 34 3 5 2 2" xfId="30053" xr:uid="{00000000-0005-0000-0000-000081400000}"/>
    <cellStyle name="Normal 34 3 5 3" xfId="22010" xr:uid="{00000000-0005-0000-0000-000082400000}"/>
    <cellStyle name="Normal 34 4" xfId="4123" xr:uid="{00000000-0005-0000-0000-000083400000}"/>
    <cellStyle name="Normal 34 4 2" xfId="4124" xr:uid="{00000000-0005-0000-0000-000084400000}"/>
    <cellStyle name="Normal 34 4 2 2" xfId="4125" xr:uid="{00000000-0005-0000-0000-000085400000}"/>
    <cellStyle name="Normal 34 4 2 2 2" xfId="4126" xr:uid="{00000000-0005-0000-0000-000086400000}"/>
    <cellStyle name="Normal 34 4 2 2 2 2" xfId="8183" xr:uid="{00000000-0005-0000-0000-000087400000}"/>
    <cellStyle name="Normal 34 4 2 2 2 2 2" xfId="17360" xr:uid="{00000000-0005-0000-0000-000088400000}"/>
    <cellStyle name="Normal 34 4 2 2 2 2 2 2" xfId="33934" xr:uid="{00000000-0005-0000-0000-000089400000}"/>
    <cellStyle name="Normal 34 4 2 2 2 2 3" xfId="25887" xr:uid="{00000000-0005-0000-0000-00008A400000}"/>
    <cellStyle name="Normal 34 4 2 2 2 3" xfId="13513" xr:uid="{00000000-0005-0000-0000-00008B400000}"/>
    <cellStyle name="Normal 34 4 2 2 2 3 2" xfId="30057" xr:uid="{00000000-0005-0000-0000-00008C400000}"/>
    <cellStyle name="Normal 34 4 2 2 2 4" xfId="22014" xr:uid="{00000000-0005-0000-0000-00008D400000}"/>
    <cellStyle name="Normal 34 4 2 2 3" xfId="8184" xr:uid="{00000000-0005-0000-0000-00008E400000}"/>
    <cellStyle name="Normal 34 4 2 2 3 2" xfId="17361" xr:uid="{00000000-0005-0000-0000-00008F400000}"/>
    <cellStyle name="Normal 34 4 2 2 3 2 2" xfId="33935" xr:uid="{00000000-0005-0000-0000-000090400000}"/>
    <cellStyle name="Normal 34 4 2 2 3 3" xfId="25888" xr:uid="{00000000-0005-0000-0000-000091400000}"/>
    <cellStyle name="Normal 34 4 2 2 4" xfId="13512" xr:uid="{00000000-0005-0000-0000-000092400000}"/>
    <cellStyle name="Normal 34 4 2 2 4 2" xfId="30056" xr:uid="{00000000-0005-0000-0000-000093400000}"/>
    <cellStyle name="Normal 34 4 2 2 5" xfId="22013" xr:uid="{00000000-0005-0000-0000-000094400000}"/>
    <cellStyle name="Normal 34 4 2 3" xfId="4127" xr:uid="{00000000-0005-0000-0000-000095400000}"/>
    <cellStyle name="Normal 34 4 2 3 2" xfId="8185" xr:uid="{00000000-0005-0000-0000-000096400000}"/>
    <cellStyle name="Normal 34 4 2 3 2 2" xfId="17362" xr:uid="{00000000-0005-0000-0000-000097400000}"/>
    <cellStyle name="Normal 34 4 2 3 2 2 2" xfId="33936" xr:uid="{00000000-0005-0000-0000-000098400000}"/>
    <cellStyle name="Normal 34 4 2 3 2 3" xfId="25889" xr:uid="{00000000-0005-0000-0000-000099400000}"/>
    <cellStyle name="Normal 34 4 2 3 3" xfId="13514" xr:uid="{00000000-0005-0000-0000-00009A400000}"/>
    <cellStyle name="Normal 34 4 2 3 3 2" xfId="30058" xr:uid="{00000000-0005-0000-0000-00009B400000}"/>
    <cellStyle name="Normal 34 4 2 3 4" xfId="22015" xr:uid="{00000000-0005-0000-0000-00009C400000}"/>
    <cellStyle name="Normal 34 4 2 4" xfId="8186" xr:uid="{00000000-0005-0000-0000-00009D400000}"/>
    <cellStyle name="Normal 34 4 2 4 2" xfId="17363" xr:uid="{00000000-0005-0000-0000-00009E400000}"/>
    <cellStyle name="Normal 34 4 2 4 2 2" xfId="33937" xr:uid="{00000000-0005-0000-0000-00009F400000}"/>
    <cellStyle name="Normal 34 4 2 4 3" xfId="25890" xr:uid="{00000000-0005-0000-0000-0000A0400000}"/>
    <cellStyle name="Normal 34 4 2 5" xfId="13511" xr:uid="{00000000-0005-0000-0000-0000A1400000}"/>
    <cellStyle name="Normal 34 4 2 5 2" xfId="30055" xr:uid="{00000000-0005-0000-0000-0000A2400000}"/>
    <cellStyle name="Normal 34 4 2 6" xfId="22012" xr:uid="{00000000-0005-0000-0000-0000A3400000}"/>
    <cellStyle name="Normal 34 4 3" xfId="4128" xr:uid="{00000000-0005-0000-0000-0000A4400000}"/>
    <cellStyle name="Normal 34 4 3 2" xfId="4129" xr:uid="{00000000-0005-0000-0000-0000A5400000}"/>
    <cellStyle name="Normal 34 4 3 2 2" xfId="8187" xr:uid="{00000000-0005-0000-0000-0000A6400000}"/>
    <cellStyle name="Normal 34 4 3 2 2 2" xfId="17364" xr:uid="{00000000-0005-0000-0000-0000A7400000}"/>
    <cellStyle name="Normal 34 4 3 2 2 2 2" xfId="33938" xr:uid="{00000000-0005-0000-0000-0000A8400000}"/>
    <cellStyle name="Normal 34 4 3 2 2 3" xfId="25891" xr:uid="{00000000-0005-0000-0000-0000A9400000}"/>
    <cellStyle name="Normal 34 4 3 2 3" xfId="13516" xr:uid="{00000000-0005-0000-0000-0000AA400000}"/>
    <cellStyle name="Normal 34 4 3 2 3 2" xfId="30060" xr:uid="{00000000-0005-0000-0000-0000AB400000}"/>
    <cellStyle name="Normal 34 4 3 2 4" xfId="22017" xr:uid="{00000000-0005-0000-0000-0000AC400000}"/>
    <cellStyle name="Normal 34 4 3 3" xfId="8188" xr:uid="{00000000-0005-0000-0000-0000AD400000}"/>
    <cellStyle name="Normal 34 4 3 3 2" xfId="17365" xr:uid="{00000000-0005-0000-0000-0000AE400000}"/>
    <cellStyle name="Normal 34 4 3 3 2 2" xfId="33939" xr:uid="{00000000-0005-0000-0000-0000AF400000}"/>
    <cellStyle name="Normal 34 4 3 3 3" xfId="25892" xr:uid="{00000000-0005-0000-0000-0000B0400000}"/>
    <cellStyle name="Normal 34 4 3 4" xfId="13515" xr:uid="{00000000-0005-0000-0000-0000B1400000}"/>
    <cellStyle name="Normal 34 4 3 4 2" xfId="30059" xr:uid="{00000000-0005-0000-0000-0000B2400000}"/>
    <cellStyle name="Normal 34 4 3 5" xfId="22016" xr:uid="{00000000-0005-0000-0000-0000B3400000}"/>
    <cellStyle name="Normal 34 4 4" xfId="4130" xr:uid="{00000000-0005-0000-0000-0000B4400000}"/>
    <cellStyle name="Normal 34 4 4 2" xfId="8189" xr:uid="{00000000-0005-0000-0000-0000B5400000}"/>
    <cellStyle name="Normal 34 4 4 2 2" xfId="17366" xr:uid="{00000000-0005-0000-0000-0000B6400000}"/>
    <cellStyle name="Normal 34 4 4 2 2 2" xfId="33940" xr:uid="{00000000-0005-0000-0000-0000B7400000}"/>
    <cellStyle name="Normal 34 4 4 2 3" xfId="25893" xr:uid="{00000000-0005-0000-0000-0000B8400000}"/>
    <cellStyle name="Normal 34 4 4 3" xfId="13517" xr:uid="{00000000-0005-0000-0000-0000B9400000}"/>
    <cellStyle name="Normal 34 4 4 3 2" xfId="30061" xr:uid="{00000000-0005-0000-0000-0000BA400000}"/>
    <cellStyle name="Normal 34 4 4 4" xfId="22018" xr:uid="{00000000-0005-0000-0000-0000BB400000}"/>
    <cellStyle name="Normal 34 4 5" xfId="8190" xr:uid="{00000000-0005-0000-0000-0000BC400000}"/>
    <cellStyle name="Normal 34 4 5 2" xfId="17367" xr:uid="{00000000-0005-0000-0000-0000BD400000}"/>
    <cellStyle name="Normal 34 4 5 2 2" xfId="33941" xr:uid="{00000000-0005-0000-0000-0000BE400000}"/>
    <cellStyle name="Normal 34 4 5 3" xfId="25894" xr:uid="{00000000-0005-0000-0000-0000BF400000}"/>
    <cellStyle name="Normal 34 4 6" xfId="13510" xr:uid="{00000000-0005-0000-0000-0000C0400000}"/>
    <cellStyle name="Normal 34 4 6 2" xfId="30054" xr:uid="{00000000-0005-0000-0000-0000C1400000}"/>
    <cellStyle name="Normal 34 4 7" xfId="22011" xr:uid="{00000000-0005-0000-0000-0000C2400000}"/>
    <cellStyle name="Normal 34 5" xfId="4131" xr:uid="{00000000-0005-0000-0000-0000C3400000}"/>
    <cellStyle name="Normal 34 5 2" xfId="4132" xr:uid="{00000000-0005-0000-0000-0000C4400000}"/>
    <cellStyle name="Normal 34 5 2 2" xfId="4133" xr:uid="{00000000-0005-0000-0000-0000C5400000}"/>
    <cellStyle name="Normal 34 5 2 2 2" xfId="4134" xr:uid="{00000000-0005-0000-0000-0000C6400000}"/>
    <cellStyle name="Normal 34 5 2 2 2 2" xfId="8191" xr:uid="{00000000-0005-0000-0000-0000C7400000}"/>
    <cellStyle name="Normal 34 5 2 2 2 2 2" xfId="17368" xr:uid="{00000000-0005-0000-0000-0000C8400000}"/>
    <cellStyle name="Normal 34 5 2 2 2 2 2 2" xfId="33942" xr:uid="{00000000-0005-0000-0000-0000C9400000}"/>
    <cellStyle name="Normal 34 5 2 2 2 2 3" xfId="25895" xr:uid="{00000000-0005-0000-0000-0000CA400000}"/>
    <cellStyle name="Normal 34 5 2 2 2 3" xfId="13521" xr:uid="{00000000-0005-0000-0000-0000CB400000}"/>
    <cellStyle name="Normal 34 5 2 2 2 3 2" xfId="30065" xr:uid="{00000000-0005-0000-0000-0000CC400000}"/>
    <cellStyle name="Normal 34 5 2 2 2 4" xfId="22022" xr:uid="{00000000-0005-0000-0000-0000CD400000}"/>
    <cellStyle name="Normal 34 5 2 2 3" xfId="8192" xr:uid="{00000000-0005-0000-0000-0000CE400000}"/>
    <cellStyle name="Normal 34 5 2 2 3 2" xfId="17369" xr:uid="{00000000-0005-0000-0000-0000CF400000}"/>
    <cellStyle name="Normal 34 5 2 2 3 2 2" xfId="33943" xr:uid="{00000000-0005-0000-0000-0000D0400000}"/>
    <cellStyle name="Normal 34 5 2 2 3 3" xfId="25896" xr:uid="{00000000-0005-0000-0000-0000D1400000}"/>
    <cellStyle name="Normal 34 5 2 2 4" xfId="13520" xr:uid="{00000000-0005-0000-0000-0000D2400000}"/>
    <cellStyle name="Normal 34 5 2 2 4 2" xfId="30064" xr:uid="{00000000-0005-0000-0000-0000D3400000}"/>
    <cellStyle name="Normal 34 5 2 2 5" xfId="22021" xr:uid="{00000000-0005-0000-0000-0000D4400000}"/>
    <cellStyle name="Normal 34 5 2 3" xfId="4135" xr:uid="{00000000-0005-0000-0000-0000D5400000}"/>
    <cellStyle name="Normal 34 5 2 3 2" xfId="8193" xr:uid="{00000000-0005-0000-0000-0000D6400000}"/>
    <cellStyle name="Normal 34 5 2 3 2 2" xfId="17370" xr:uid="{00000000-0005-0000-0000-0000D7400000}"/>
    <cellStyle name="Normal 34 5 2 3 2 2 2" xfId="33944" xr:uid="{00000000-0005-0000-0000-0000D8400000}"/>
    <cellStyle name="Normal 34 5 2 3 2 3" xfId="25897" xr:uid="{00000000-0005-0000-0000-0000D9400000}"/>
    <cellStyle name="Normal 34 5 2 3 3" xfId="13522" xr:uid="{00000000-0005-0000-0000-0000DA400000}"/>
    <cellStyle name="Normal 34 5 2 3 3 2" xfId="30066" xr:uid="{00000000-0005-0000-0000-0000DB400000}"/>
    <cellStyle name="Normal 34 5 2 3 4" xfId="22023" xr:uid="{00000000-0005-0000-0000-0000DC400000}"/>
    <cellStyle name="Normal 34 5 2 4" xfId="8194" xr:uid="{00000000-0005-0000-0000-0000DD400000}"/>
    <cellStyle name="Normal 34 5 2 4 2" xfId="17371" xr:uid="{00000000-0005-0000-0000-0000DE400000}"/>
    <cellStyle name="Normal 34 5 2 4 2 2" xfId="33945" xr:uid="{00000000-0005-0000-0000-0000DF400000}"/>
    <cellStyle name="Normal 34 5 2 4 3" xfId="25898" xr:uid="{00000000-0005-0000-0000-0000E0400000}"/>
    <cellStyle name="Normal 34 5 2 5" xfId="13519" xr:uid="{00000000-0005-0000-0000-0000E1400000}"/>
    <cellStyle name="Normal 34 5 2 5 2" xfId="30063" xr:uid="{00000000-0005-0000-0000-0000E2400000}"/>
    <cellStyle name="Normal 34 5 2 6" xfId="22020" xr:uid="{00000000-0005-0000-0000-0000E3400000}"/>
    <cellStyle name="Normal 34 5 3" xfId="4136" xr:uid="{00000000-0005-0000-0000-0000E4400000}"/>
    <cellStyle name="Normal 34 5 3 2" xfId="4137" xr:uid="{00000000-0005-0000-0000-0000E5400000}"/>
    <cellStyle name="Normal 34 5 3 2 2" xfId="8195" xr:uid="{00000000-0005-0000-0000-0000E6400000}"/>
    <cellStyle name="Normal 34 5 3 2 2 2" xfId="17372" xr:uid="{00000000-0005-0000-0000-0000E7400000}"/>
    <cellStyle name="Normal 34 5 3 2 2 2 2" xfId="33946" xr:uid="{00000000-0005-0000-0000-0000E8400000}"/>
    <cellStyle name="Normal 34 5 3 2 2 3" xfId="25899" xr:uid="{00000000-0005-0000-0000-0000E9400000}"/>
    <cellStyle name="Normal 34 5 3 2 3" xfId="13524" xr:uid="{00000000-0005-0000-0000-0000EA400000}"/>
    <cellStyle name="Normal 34 5 3 2 3 2" xfId="30068" xr:uid="{00000000-0005-0000-0000-0000EB400000}"/>
    <cellStyle name="Normal 34 5 3 2 4" xfId="22025" xr:uid="{00000000-0005-0000-0000-0000EC400000}"/>
    <cellStyle name="Normal 34 5 3 3" xfId="8196" xr:uid="{00000000-0005-0000-0000-0000ED400000}"/>
    <cellStyle name="Normal 34 5 3 3 2" xfId="17373" xr:uid="{00000000-0005-0000-0000-0000EE400000}"/>
    <cellStyle name="Normal 34 5 3 3 2 2" xfId="33947" xr:uid="{00000000-0005-0000-0000-0000EF400000}"/>
    <cellStyle name="Normal 34 5 3 3 3" xfId="25900" xr:uid="{00000000-0005-0000-0000-0000F0400000}"/>
    <cellStyle name="Normal 34 5 3 4" xfId="13523" xr:uid="{00000000-0005-0000-0000-0000F1400000}"/>
    <cellStyle name="Normal 34 5 3 4 2" xfId="30067" xr:uid="{00000000-0005-0000-0000-0000F2400000}"/>
    <cellStyle name="Normal 34 5 3 5" xfId="22024" xr:uid="{00000000-0005-0000-0000-0000F3400000}"/>
    <cellStyle name="Normal 34 5 4" xfId="4138" xr:uid="{00000000-0005-0000-0000-0000F4400000}"/>
    <cellStyle name="Normal 34 5 4 2" xfId="8197" xr:uid="{00000000-0005-0000-0000-0000F5400000}"/>
    <cellStyle name="Normal 34 5 4 2 2" xfId="17374" xr:uid="{00000000-0005-0000-0000-0000F6400000}"/>
    <cellStyle name="Normal 34 5 4 2 2 2" xfId="33948" xr:uid="{00000000-0005-0000-0000-0000F7400000}"/>
    <cellStyle name="Normal 34 5 4 2 3" xfId="25901" xr:uid="{00000000-0005-0000-0000-0000F8400000}"/>
    <cellStyle name="Normal 34 5 4 3" xfId="13525" xr:uid="{00000000-0005-0000-0000-0000F9400000}"/>
    <cellStyle name="Normal 34 5 4 3 2" xfId="30069" xr:uid="{00000000-0005-0000-0000-0000FA400000}"/>
    <cellStyle name="Normal 34 5 4 4" xfId="22026" xr:uid="{00000000-0005-0000-0000-0000FB400000}"/>
    <cellStyle name="Normal 34 5 5" xfId="8198" xr:uid="{00000000-0005-0000-0000-0000FC400000}"/>
    <cellStyle name="Normal 34 5 5 2" xfId="17375" xr:uid="{00000000-0005-0000-0000-0000FD400000}"/>
    <cellStyle name="Normal 34 5 5 2 2" xfId="33949" xr:uid="{00000000-0005-0000-0000-0000FE400000}"/>
    <cellStyle name="Normal 34 5 5 3" xfId="25902" xr:uid="{00000000-0005-0000-0000-0000FF400000}"/>
    <cellStyle name="Normal 34 5 6" xfId="13518" xr:uid="{00000000-0005-0000-0000-000000410000}"/>
    <cellStyle name="Normal 34 5 6 2" xfId="30062" xr:uid="{00000000-0005-0000-0000-000001410000}"/>
    <cellStyle name="Normal 34 5 7" xfId="22019" xr:uid="{00000000-0005-0000-0000-000002410000}"/>
    <cellStyle name="Normal 34 6" xfId="4139" xr:uid="{00000000-0005-0000-0000-000003410000}"/>
    <cellStyle name="Normal 34 6 2" xfId="4140" xr:uid="{00000000-0005-0000-0000-000004410000}"/>
    <cellStyle name="Normal 34 6 2 2" xfId="4141" xr:uid="{00000000-0005-0000-0000-000005410000}"/>
    <cellStyle name="Normal 34 6 2 2 2" xfId="8199" xr:uid="{00000000-0005-0000-0000-000006410000}"/>
    <cellStyle name="Normal 34 6 2 2 2 2" xfId="17376" xr:uid="{00000000-0005-0000-0000-000007410000}"/>
    <cellStyle name="Normal 34 6 2 2 2 2 2" xfId="33950" xr:uid="{00000000-0005-0000-0000-000008410000}"/>
    <cellStyle name="Normal 34 6 2 2 2 3" xfId="25903" xr:uid="{00000000-0005-0000-0000-000009410000}"/>
    <cellStyle name="Normal 34 6 2 2 3" xfId="13528" xr:uid="{00000000-0005-0000-0000-00000A410000}"/>
    <cellStyle name="Normal 34 6 2 2 3 2" xfId="30072" xr:uid="{00000000-0005-0000-0000-00000B410000}"/>
    <cellStyle name="Normal 34 6 2 2 4" xfId="22029" xr:uid="{00000000-0005-0000-0000-00000C410000}"/>
    <cellStyle name="Normal 34 6 2 3" xfId="8200" xr:uid="{00000000-0005-0000-0000-00000D410000}"/>
    <cellStyle name="Normal 34 6 2 3 2" xfId="17377" xr:uid="{00000000-0005-0000-0000-00000E410000}"/>
    <cellStyle name="Normal 34 6 2 3 2 2" xfId="33951" xr:uid="{00000000-0005-0000-0000-00000F410000}"/>
    <cellStyle name="Normal 34 6 2 3 3" xfId="25904" xr:uid="{00000000-0005-0000-0000-000010410000}"/>
    <cellStyle name="Normal 34 6 2 4" xfId="13527" xr:uid="{00000000-0005-0000-0000-000011410000}"/>
    <cellStyle name="Normal 34 6 2 4 2" xfId="30071" xr:uid="{00000000-0005-0000-0000-000012410000}"/>
    <cellStyle name="Normal 34 6 2 5" xfId="22028" xr:uid="{00000000-0005-0000-0000-000013410000}"/>
    <cellStyle name="Normal 34 6 3" xfId="4142" xr:uid="{00000000-0005-0000-0000-000014410000}"/>
    <cellStyle name="Normal 34 6 3 2" xfId="8201" xr:uid="{00000000-0005-0000-0000-000015410000}"/>
    <cellStyle name="Normal 34 6 3 2 2" xfId="17378" xr:uid="{00000000-0005-0000-0000-000016410000}"/>
    <cellStyle name="Normal 34 6 3 2 2 2" xfId="33952" xr:uid="{00000000-0005-0000-0000-000017410000}"/>
    <cellStyle name="Normal 34 6 3 2 3" xfId="25905" xr:uid="{00000000-0005-0000-0000-000018410000}"/>
    <cellStyle name="Normal 34 6 3 3" xfId="13529" xr:uid="{00000000-0005-0000-0000-000019410000}"/>
    <cellStyle name="Normal 34 6 3 3 2" xfId="30073" xr:uid="{00000000-0005-0000-0000-00001A410000}"/>
    <cellStyle name="Normal 34 6 3 4" xfId="22030" xr:uid="{00000000-0005-0000-0000-00001B410000}"/>
    <cellStyle name="Normal 34 6 4" xfId="8202" xr:uid="{00000000-0005-0000-0000-00001C410000}"/>
    <cellStyle name="Normal 34 6 4 2" xfId="17379" xr:uid="{00000000-0005-0000-0000-00001D410000}"/>
    <cellStyle name="Normal 34 6 4 2 2" xfId="33953" xr:uid="{00000000-0005-0000-0000-00001E410000}"/>
    <cellStyle name="Normal 34 6 4 3" xfId="25906" xr:uid="{00000000-0005-0000-0000-00001F410000}"/>
    <cellStyle name="Normal 34 6 5" xfId="13526" xr:uid="{00000000-0005-0000-0000-000020410000}"/>
    <cellStyle name="Normal 34 6 5 2" xfId="30070" xr:uid="{00000000-0005-0000-0000-000021410000}"/>
    <cellStyle name="Normal 34 6 6" xfId="22027" xr:uid="{00000000-0005-0000-0000-000022410000}"/>
    <cellStyle name="Normal 34 7" xfId="4143" xr:uid="{00000000-0005-0000-0000-000023410000}"/>
    <cellStyle name="Normal 34 7 2" xfId="4144" xr:uid="{00000000-0005-0000-0000-000024410000}"/>
    <cellStyle name="Normal 34 7 2 2" xfId="8203" xr:uid="{00000000-0005-0000-0000-000025410000}"/>
    <cellStyle name="Normal 34 7 2 2 2" xfId="17380" xr:uid="{00000000-0005-0000-0000-000026410000}"/>
    <cellStyle name="Normal 34 7 2 2 2 2" xfId="33954" xr:uid="{00000000-0005-0000-0000-000027410000}"/>
    <cellStyle name="Normal 34 7 2 2 3" xfId="25907" xr:uid="{00000000-0005-0000-0000-000028410000}"/>
    <cellStyle name="Normal 34 7 2 3" xfId="13531" xr:uid="{00000000-0005-0000-0000-000029410000}"/>
    <cellStyle name="Normal 34 7 2 3 2" xfId="30075" xr:uid="{00000000-0005-0000-0000-00002A410000}"/>
    <cellStyle name="Normal 34 7 2 4" xfId="22032" xr:uid="{00000000-0005-0000-0000-00002B410000}"/>
    <cellStyle name="Normal 34 7 3" xfId="8204" xr:uid="{00000000-0005-0000-0000-00002C410000}"/>
    <cellStyle name="Normal 34 7 3 2" xfId="17381" xr:uid="{00000000-0005-0000-0000-00002D410000}"/>
    <cellStyle name="Normal 34 7 3 2 2" xfId="33955" xr:uid="{00000000-0005-0000-0000-00002E410000}"/>
    <cellStyle name="Normal 34 7 3 3" xfId="25908" xr:uid="{00000000-0005-0000-0000-00002F410000}"/>
    <cellStyle name="Normal 34 7 4" xfId="13530" xr:uid="{00000000-0005-0000-0000-000030410000}"/>
    <cellStyle name="Normal 34 7 4 2" xfId="30074" xr:uid="{00000000-0005-0000-0000-000031410000}"/>
    <cellStyle name="Normal 34 7 5" xfId="22031" xr:uid="{00000000-0005-0000-0000-000032410000}"/>
    <cellStyle name="Normal 34 8" xfId="4145" xr:uid="{00000000-0005-0000-0000-000033410000}"/>
    <cellStyle name="Normal 34 8 2" xfId="8205" xr:uid="{00000000-0005-0000-0000-000034410000}"/>
    <cellStyle name="Normal 34 8 2 2" xfId="17382" xr:uid="{00000000-0005-0000-0000-000035410000}"/>
    <cellStyle name="Normal 34 8 2 2 2" xfId="33956" xr:uid="{00000000-0005-0000-0000-000036410000}"/>
    <cellStyle name="Normal 34 8 2 3" xfId="25909" xr:uid="{00000000-0005-0000-0000-000037410000}"/>
    <cellStyle name="Normal 34 8 3" xfId="13532" xr:uid="{00000000-0005-0000-0000-000038410000}"/>
    <cellStyle name="Normal 34 8 3 2" xfId="30076" xr:uid="{00000000-0005-0000-0000-000039410000}"/>
    <cellStyle name="Normal 34 8 4" xfId="22033" xr:uid="{00000000-0005-0000-0000-00003A410000}"/>
    <cellStyle name="Normal 34 9" xfId="8206" xr:uid="{00000000-0005-0000-0000-00003B410000}"/>
    <cellStyle name="Normal 34 9 2" xfId="17383" xr:uid="{00000000-0005-0000-0000-00003C410000}"/>
    <cellStyle name="Normal 34 9 2 2" xfId="33957" xr:uid="{00000000-0005-0000-0000-00003D410000}"/>
    <cellStyle name="Normal 34 9 3" xfId="25910" xr:uid="{00000000-0005-0000-0000-00003E410000}"/>
    <cellStyle name="Normal 340" xfId="11077" xr:uid="{00000000-0005-0000-0000-00003F410000}"/>
    <cellStyle name="Normal 341" xfId="11106" xr:uid="{00000000-0005-0000-0000-000040410000}"/>
    <cellStyle name="Normal 342" xfId="36202" xr:uid="{B8C93051-6F2A-4645-A077-44E0B8BC993D}"/>
    <cellStyle name="Normal 35" xfId="4146" xr:uid="{00000000-0005-0000-0000-000041410000}"/>
    <cellStyle name="Normal 35 10" xfId="13533" xr:uid="{00000000-0005-0000-0000-000042410000}"/>
    <cellStyle name="Normal 35 10 2" xfId="30077" xr:uid="{00000000-0005-0000-0000-000043410000}"/>
    <cellStyle name="Normal 35 11" xfId="22034" xr:uid="{00000000-0005-0000-0000-000044410000}"/>
    <cellStyle name="Normal 35 2" xfId="4147" xr:uid="{00000000-0005-0000-0000-000045410000}"/>
    <cellStyle name="Normal 35 2 2" xfId="4148" xr:uid="{00000000-0005-0000-0000-000046410000}"/>
    <cellStyle name="Normal 35 2 3" xfId="13534" xr:uid="{00000000-0005-0000-0000-000047410000}"/>
    <cellStyle name="Normal 35 2 3 2" xfId="30078" xr:uid="{00000000-0005-0000-0000-000048410000}"/>
    <cellStyle name="Normal 35 2 4" xfId="22035" xr:uid="{00000000-0005-0000-0000-000049410000}"/>
    <cellStyle name="Normal 35 3" xfId="4149" xr:uid="{00000000-0005-0000-0000-00004A410000}"/>
    <cellStyle name="Normal 35 3 2" xfId="4150" xr:uid="{00000000-0005-0000-0000-00004B410000}"/>
    <cellStyle name="Normal 35 3 2 2" xfId="4151" xr:uid="{00000000-0005-0000-0000-00004C410000}"/>
    <cellStyle name="Normal 35 3 2 2 2" xfId="4152" xr:uid="{00000000-0005-0000-0000-00004D410000}"/>
    <cellStyle name="Normal 35 3 2 2 2 2" xfId="8207" xr:uid="{00000000-0005-0000-0000-00004E410000}"/>
    <cellStyle name="Normal 35 3 2 2 2 2 2" xfId="17384" xr:uid="{00000000-0005-0000-0000-00004F410000}"/>
    <cellStyle name="Normal 35 3 2 2 2 2 2 2" xfId="33958" xr:uid="{00000000-0005-0000-0000-000050410000}"/>
    <cellStyle name="Normal 35 3 2 2 2 2 3" xfId="25911" xr:uid="{00000000-0005-0000-0000-000051410000}"/>
    <cellStyle name="Normal 35 3 2 2 2 3" xfId="13537" xr:uid="{00000000-0005-0000-0000-000052410000}"/>
    <cellStyle name="Normal 35 3 2 2 2 3 2" xfId="30081" xr:uid="{00000000-0005-0000-0000-000053410000}"/>
    <cellStyle name="Normal 35 3 2 2 2 4" xfId="22038" xr:uid="{00000000-0005-0000-0000-000054410000}"/>
    <cellStyle name="Normal 35 3 2 2 3" xfId="8208" xr:uid="{00000000-0005-0000-0000-000055410000}"/>
    <cellStyle name="Normal 35 3 2 2 3 2" xfId="17385" xr:uid="{00000000-0005-0000-0000-000056410000}"/>
    <cellStyle name="Normal 35 3 2 2 3 2 2" xfId="33959" xr:uid="{00000000-0005-0000-0000-000057410000}"/>
    <cellStyle name="Normal 35 3 2 2 3 3" xfId="25912" xr:uid="{00000000-0005-0000-0000-000058410000}"/>
    <cellStyle name="Normal 35 3 2 2 4" xfId="13536" xr:uid="{00000000-0005-0000-0000-000059410000}"/>
    <cellStyle name="Normal 35 3 2 2 4 2" xfId="30080" xr:uid="{00000000-0005-0000-0000-00005A410000}"/>
    <cellStyle name="Normal 35 3 2 2 5" xfId="22037" xr:uid="{00000000-0005-0000-0000-00005B410000}"/>
    <cellStyle name="Normal 35 3 2 3" xfId="4153" xr:uid="{00000000-0005-0000-0000-00005C410000}"/>
    <cellStyle name="Normal 35 3 2 3 2" xfId="8209" xr:uid="{00000000-0005-0000-0000-00005D410000}"/>
    <cellStyle name="Normal 35 3 2 3 2 2" xfId="17386" xr:uid="{00000000-0005-0000-0000-00005E410000}"/>
    <cellStyle name="Normal 35 3 2 3 2 2 2" xfId="33960" xr:uid="{00000000-0005-0000-0000-00005F410000}"/>
    <cellStyle name="Normal 35 3 2 3 2 3" xfId="25913" xr:uid="{00000000-0005-0000-0000-000060410000}"/>
    <cellStyle name="Normal 35 3 2 3 3" xfId="13538" xr:uid="{00000000-0005-0000-0000-000061410000}"/>
    <cellStyle name="Normal 35 3 2 3 3 2" xfId="30082" xr:uid="{00000000-0005-0000-0000-000062410000}"/>
    <cellStyle name="Normal 35 3 2 3 4" xfId="22039" xr:uid="{00000000-0005-0000-0000-000063410000}"/>
    <cellStyle name="Normal 35 3 2 4" xfId="8210" xr:uid="{00000000-0005-0000-0000-000064410000}"/>
    <cellStyle name="Normal 35 3 2 4 2" xfId="17387" xr:uid="{00000000-0005-0000-0000-000065410000}"/>
    <cellStyle name="Normal 35 3 2 4 2 2" xfId="33961" xr:uid="{00000000-0005-0000-0000-000066410000}"/>
    <cellStyle name="Normal 35 3 2 4 3" xfId="25914" xr:uid="{00000000-0005-0000-0000-000067410000}"/>
    <cellStyle name="Normal 35 3 2 5" xfId="13535" xr:uid="{00000000-0005-0000-0000-000068410000}"/>
    <cellStyle name="Normal 35 3 2 5 2" xfId="30079" xr:uid="{00000000-0005-0000-0000-000069410000}"/>
    <cellStyle name="Normal 35 3 2 6" xfId="22036" xr:uid="{00000000-0005-0000-0000-00006A410000}"/>
    <cellStyle name="Normal 35 3 3" xfId="4154" xr:uid="{00000000-0005-0000-0000-00006B410000}"/>
    <cellStyle name="Normal 35 3 3 2" xfId="4155" xr:uid="{00000000-0005-0000-0000-00006C410000}"/>
    <cellStyle name="Normal 35 3 3 2 2" xfId="8211" xr:uid="{00000000-0005-0000-0000-00006D410000}"/>
    <cellStyle name="Normal 35 3 3 2 2 2" xfId="17388" xr:uid="{00000000-0005-0000-0000-00006E410000}"/>
    <cellStyle name="Normal 35 3 3 2 2 2 2" xfId="33962" xr:uid="{00000000-0005-0000-0000-00006F410000}"/>
    <cellStyle name="Normal 35 3 3 2 2 3" xfId="25915" xr:uid="{00000000-0005-0000-0000-000070410000}"/>
    <cellStyle name="Normal 35 3 3 2 3" xfId="13540" xr:uid="{00000000-0005-0000-0000-000071410000}"/>
    <cellStyle name="Normal 35 3 3 2 3 2" xfId="30084" xr:uid="{00000000-0005-0000-0000-000072410000}"/>
    <cellStyle name="Normal 35 3 3 2 4" xfId="22041" xr:uid="{00000000-0005-0000-0000-000073410000}"/>
    <cellStyle name="Normal 35 3 3 3" xfId="8212" xr:uid="{00000000-0005-0000-0000-000074410000}"/>
    <cellStyle name="Normal 35 3 3 3 2" xfId="17389" xr:uid="{00000000-0005-0000-0000-000075410000}"/>
    <cellStyle name="Normal 35 3 3 3 2 2" xfId="33963" xr:uid="{00000000-0005-0000-0000-000076410000}"/>
    <cellStyle name="Normal 35 3 3 3 3" xfId="25916" xr:uid="{00000000-0005-0000-0000-000077410000}"/>
    <cellStyle name="Normal 35 3 3 4" xfId="13539" xr:uid="{00000000-0005-0000-0000-000078410000}"/>
    <cellStyle name="Normal 35 3 3 4 2" xfId="30083" xr:uid="{00000000-0005-0000-0000-000079410000}"/>
    <cellStyle name="Normal 35 3 3 5" xfId="22040" xr:uid="{00000000-0005-0000-0000-00007A410000}"/>
    <cellStyle name="Normal 35 3 4" xfId="4156" xr:uid="{00000000-0005-0000-0000-00007B410000}"/>
    <cellStyle name="Normal 35 3 4 2" xfId="8213" xr:uid="{00000000-0005-0000-0000-00007C410000}"/>
    <cellStyle name="Normal 35 3 4 2 2" xfId="17390" xr:uid="{00000000-0005-0000-0000-00007D410000}"/>
    <cellStyle name="Normal 35 3 4 2 2 2" xfId="33964" xr:uid="{00000000-0005-0000-0000-00007E410000}"/>
    <cellStyle name="Normal 35 3 4 2 3" xfId="25917" xr:uid="{00000000-0005-0000-0000-00007F410000}"/>
    <cellStyle name="Normal 35 3 4 3" xfId="13541" xr:uid="{00000000-0005-0000-0000-000080410000}"/>
    <cellStyle name="Normal 35 3 4 3 2" xfId="30085" xr:uid="{00000000-0005-0000-0000-000081410000}"/>
    <cellStyle name="Normal 35 3 4 4" xfId="22042" xr:uid="{00000000-0005-0000-0000-000082410000}"/>
    <cellStyle name="Normal 35 3 5" xfId="4157" xr:uid="{00000000-0005-0000-0000-000083410000}"/>
    <cellStyle name="Normal 35 3 5 2" xfId="13542" xr:uid="{00000000-0005-0000-0000-000084410000}"/>
    <cellStyle name="Normal 35 3 5 2 2" xfId="30086" xr:uid="{00000000-0005-0000-0000-000085410000}"/>
    <cellStyle name="Normal 35 3 5 3" xfId="22043" xr:uid="{00000000-0005-0000-0000-000086410000}"/>
    <cellStyle name="Normal 35 4" xfId="4158" xr:uid="{00000000-0005-0000-0000-000087410000}"/>
    <cellStyle name="Normal 35 4 2" xfId="4159" xr:uid="{00000000-0005-0000-0000-000088410000}"/>
    <cellStyle name="Normal 35 4 2 2" xfId="4160" xr:uid="{00000000-0005-0000-0000-000089410000}"/>
    <cellStyle name="Normal 35 4 2 2 2" xfId="4161" xr:uid="{00000000-0005-0000-0000-00008A410000}"/>
    <cellStyle name="Normal 35 4 2 2 2 2" xfId="8214" xr:uid="{00000000-0005-0000-0000-00008B410000}"/>
    <cellStyle name="Normal 35 4 2 2 2 2 2" xfId="17391" xr:uid="{00000000-0005-0000-0000-00008C410000}"/>
    <cellStyle name="Normal 35 4 2 2 2 2 2 2" xfId="33965" xr:uid="{00000000-0005-0000-0000-00008D410000}"/>
    <cellStyle name="Normal 35 4 2 2 2 2 3" xfId="25918" xr:uid="{00000000-0005-0000-0000-00008E410000}"/>
    <cellStyle name="Normal 35 4 2 2 2 3" xfId="13546" xr:uid="{00000000-0005-0000-0000-00008F410000}"/>
    <cellStyle name="Normal 35 4 2 2 2 3 2" xfId="30090" xr:uid="{00000000-0005-0000-0000-000090410000}"/>
    <cellStyle name="Normal 35 4 2 2 2 4" xfId="22047" xr:uid="{00000000-0005-0000-0000-000091410000}"/>
    <cellStyle name="Normal 35 4 2 2 3" xfId="8215" xr:uid="{00000000-0005-0000-0000-000092410000}"/>
    <cellStyle name="Normal 35 4 2 2 3 2" xfId="17392" xr:uid="{00000000-0005-0000-0000-000093410000}"/>
    <cellStyle name="Normal 35 4 2 2 3 2 2" xfId="33966" xr:uid="{00000000-0005-0000-0000-000094410000}"/>
    <cellStyle name="Normal 35 4 2 2 3 3" xfId="25919" xr:uid="{00000000-0005-0000-0000-000095410000}"/>
    <cellStyle name="Normal 35 4 2 2 4" xfId="13545" xr:uid="{00000000-0005-0000-0000-000096410000}"/>
    <cellStyle name="Normal 35 4 2 2 4 2" xfId="30089" xr:uid="{00000000-0005-0000-0000-000097410000}"/>
    <cellStyle name="Normal 35 4 2 2 5" xfId="22046" xr:uid="{00000000-0005-0000-0000-000098410000}"/>
    <cellStyle name="Normal 35 4 2 3" xfId="4162" xr:uid="{00000000-0005-0000-0000-000099410000}"/>
    <cellStyle name="Normal 35 4 2 3 2" xfId="8216" xr:uid="{00000000-0005-0000-0000-00009A410000}"/>
    <cellStyle name="Normal 35 4 2 3 2 2" xfId="17393" xr:uid="{00000000-0005-0000-0000-00009B410000}"/>
    <cellStyle name="Normal 35 4 2 3 2 2 2" xfId="33967" xr:uid="{00000000-0005-0000-0000-00009C410000}"/>
    <cellStyle name="Normal 35 4 2 3 2 3" xfId="25920" xr:uid="{00000000-0005-0000-0000-00009D410000}"/>
    <cellStyle name="Normal 35 4 2 3 3" xfId="13547" xr:uid="{00000000-0005-0000-0000-00009E410000}"/>
    <cellStyle name="Normal 35 4 2 3 3 2" xfId="30091" xr:uid="{00000000-0005-0000-0000-00009F410000}"/>
    <cellStyle name="Normal 35 4 2 3 4" xfId="22048" xr:uid="{00000000-0005-0000-0000-0000A0410000}"/>
    <cellStyle name="Normal 35 4 2 4" xfId="8217" xr:uid="{00000000-0005-0000-0000-0000A1410000}"/>
    <cellStyle name="Normal 35 4 2 4 2" xfId="17394" xr:uid="{00000000-0005-0000-0000-0000A2410000}"/>
    <cellStyle name="Normal 35 4 2 4 2 2" xfId="33968" xr:uid="{00000000-0005-0000-0000-0000A3410000}"/>
    <cellStyle name="Normal 35 4 2 4 3" xfId="25921" xr:uid="{00000000-0005-0000-0000-0000A4410000}"/>
    <cellStyle name="Normal 35 4 2 5" xfId="13544" xr:uid="{00000000-0005-0000-0000-0000A5410000}"/>
    <cellStyle name="Normal 35 4 2 5 2" xfId="30088" xr:uid="{00000000-0005-0000-0000-0000A6410000}"/>
    <cellStyle name="Normal 35 4 2 6" xfId="22045" xr:uid="{00000000-0005-0000-0000-0000A7410000}"/>
    <cellStyle name="Normal 35 4 3" xfId="4163" xr:uid="{00000000-0005-0000-0000-0000A8410000}"/>
    <cellStyle name="Normal 35 4 3 2" xfId="4164" xr:uid="{00000000-0005-0000-0000-0000A9410000}"/>
    <cellStyle name="Normal 35 4 3 2 2" xfId="8218" xr:uid="{00000000-0005-0000-0000-0000AA410000}"/>
    <cellStyle name="Normal 35 4 3 2 2 2" xfId="17395" xr:uid="{00000000-0005-0000-0000-0000AB410000}"/>
    <cellStyle name="Normal 35 4 3 2 2 2 2" xfId="33969" xr:uid="{00000000-0005-0000-0000-0000AC410000}"/>
    <cellStyle name="Normal 35 4 3 2 2 3" xfId="25922" xr:uid="{00000000-0005-0000-0000-0000AD410000}"/>
    <cellStyle name="Normal 35 4 3 2 3" xfId="13549" xr:uid="{00000000-0005-0000-0000-0000AE410000}"/>
    <cellStyle name="Normal 35 4 3 2 3 2" xfId="30093" xr:uid="{00000000-0005-0000-0000-0000AF410000}"/>
    <cellStyle name="Normal 35 4 3 2 4" xfId="22050" xr:uid="{00000000-0005-0000-0000-0000B0410000}"/>
    <cellStyle name="Normal 35 4 3 3" xfId="8219" xr:uid="{00000000-0005-0000-0000-0000B1410000}"/>
    <cellStyle name="Normal 35 4 3 3 2" xfId="17396" xr:uid="{00000000-0005-0000-0000-0000B2410000}"/>
    <cellStyle name="Normal 35 4 3 3 2 2" xfId="33970" xr:uid="{00000000-0005-0000-0000-0000B3410000}"/>
    <cellStyle name="Normal 35 4 3 3 3" xfId="25923" xr:uid="{00000000-0005-0000-0000-0000B4410000}"/>
    <cellStyle name="Normal 35 4 3 4" xfId="13548" xr:uid="{00000000-0005-0000-0000-0000B5410000}"/>
    <cellStyle name="Normal 35 4 3 4 2" xfId="30092" xr:uid="{00000000-0005-0000-0000-0000B6410000}"/>
    <cellStyle name="Normal 35 4 3 5" xfId="22049" xr:uid="{00000000-0005-0000-0000-0000B7410000}"/>
    <cellStyle name="Normal 35 4 4" xfId="4165" xr:uid="{00000000-0005-0000-0000-0000B8410000}"/>
    <cellStyle name="Normal 35 4 4 2" xfId="8220" xr:uid="{00000000-0005-0000-0000-0000B9410000}"/>
    <cellStyle name="Normal 35 4 4 2 2" xfId="17397" xr:uid="{00000000-0005-0000-0000-0000BA410000}"/>
    <cellStyle name="Normal 35 4 4 2 2 2" xfId="33971" xr:uid="{00000000-0005-0000-0000-0000BB410000}"/>
    <cellStyle name="Normal 35 4 4 2 3" xfId="25924" xr:uid="{00000000-0005-0000-0000-0000BC410000}"/>
    <cellStyle name="Normal 35 4 4 3" xfId="13550" xr:uid="{00000000-0005-0000-0000-0000BD410000}"/>
    <cellStyle name="Normal 35 4 4 3 2" xfId="30094" xr:uid="{00000000-0005-0000-0000-0000BE410000}"/>
    <cellStyle name="Normal 35 4 4 4" xfId="22051" xr:uid="{00000000-0005-0000-0000-0000BF410000}"/>
    <cellStyle name="Normal 35 4 5" xfId="8221" xr:uid="{00000000-0005-0000-0000-0000C0410000}"/>
    <cellStyle name="Normal 35 4 5 2" xfId="17398" xr:uid="{00000000-0005-0000-0000-0000C1410000}"/>
    <cellStyle name="Normal 35 4 5 2 2" xfId="33972" xr:uid="{00000000-0005-0000-0000-0000C2410000}"/>
    <cellStyle name="Normal 35 4 5 3" xfId="25925" xr:uid="{00000000-0005-0000-0000-0000C3410000}"/>
    <cellStyle name="Normal 35 4 6" xfId="13543" xr:uid="{00000000-0005-0000-0000-0000C4410000}"/>
    <cellStyle name="Normal 35 4 6 2" xfId="30087" xr:uid="{00000000-0005-0000-0000-0000C5410000}"/>
    <cellStyle name="Normal 35 4 7" xfId="22044" xr:uid="{00000000-0005-0000-0000-0000C6410000}"/>
    <cellStyle name="Normal 35 5" xfId="4166" xr:uid="{00000000-0005-0000-0000-0000C7410000}"/>
    <cellStyle name="Normal 35 5 2" xfId="4167" xr:uid="{00000000-0005-0000-0000-0000C8410000}"/>
    <cellStyle name="Normal 35 5 2 2" xfId="4168" xr:uid="{00000000-0005-0000-0000-0000C9410000}"/>
    <cellStyle name="Normal 35 5 2 2 2" xfId="4169" xr:uid="{00000000-0005-0000-0000-0000CA410000}"/>
    <cellStyle name="Normal 35 5 2 2 2 2" xfId="8222" xr:uid="{00000000-0005-0000-0000-0000CB410000}"/>
    <cellStyle name="Normal 35 5 2 2 2 2 2" xfId="17399" xr:uid="{00000000-0005-0000-0000-0000CC410000}"/>
    <cellStyle name="Normal 35 5 2 2 2 2 2 2" xfId="33973" xr:uid="{00000000-0005-0000-0000-0000CD410000}"/>
    <cellStyle name="Normal 35 5 2 2 2 2 3" xfId="25926" xr:uid="{00000000-0005-0000-0000-0000CE410000}"/>
    <cellStyle name="Normal 35 5 2 2 2 3" xfId="13554" xr:uid="{00000000-0005-0000-0000-0000CF410000}"/>
    <cellStyle name="Normal 35 5 2 2 2 3 2" xfId="30098" xr:uid="{00000000-0005-0000-0000-0000D0410000}"/>
    <cellStyle name="Normal 35 5 2 2 2 4" xfId="22055" xr:uid="{00000000-0005-0000-0000-0000D1410000}"/>
    <cellStyle name="Normal 35 5 2 2 3" xfId="8223" xr:uid="{00000000-0005-0000-0000-0000D2410000}"/>
    <cellStyle name="Normal 35 5 2 2 3 2" xfId="17400" xr:uid="{00000000-0005-0000-0000-0000D3410000}"/>
    <cellStyle name="Normal 35 5 2 2 3 2 2" xfId="33974" xr:uid="{00000000-0005-0000-0000-0000D4410000}"/>
    <cellStyle name="Normal 35 5 2 2 3 3" xfId="25927" xr:uid="{00000000-0005-0000-0000-0000D5410000}"/>
    <cellStyle name="Normal 35 5 2 2 4" xfId="13553" xr:uid="{00000000-0005-0000-0000-0000D6410000}"/>
    <cellStyle name="Normal 35 5 2 2 4 2" xfId="30097" xr:uid="{00000000-0005-0000-0000-0000D7410000}"/>
    <cellStyle name="Normal 35 5 2 2 5" xfId="22054" xr:uid="{00000000-0005-0000-0000-0000D8410000}"/>
    <cellStyle name="Normal 35 5 2 3" xfId="4170" xr:uid="{00000000-0005-0000-0000-0000D9410000}"/>
    <cellStyle name="Normal 35 5 2 3 2" xfId="8224" xr:uid="{00000000-0005-0000-0000-0000DA410000}"/>
    <cellStyle name="Normal 35 5 2 3 2 2" xfId="17401" xr:uid="{00000000-0005-0000-0000-0000DB410000}"/>
    <cellStyle name="Normal 35 5 2 3 2 2 2" xfId="33975" xr:uid="{00000000-0005-0000-0000-0000DC410000}"/>
    <cellStyle name="Normal 35 5 2 3 2 3" xfId="25928" xr:uid="{00000000-0005-0000-0000-0000DD410000}"/>
    <cellStyle name="Normal 35 5 2 3 3" xfId="13555" xr:uid="{00000000-0005-0000-0000-0000DE410000}"/>
    <cellStyle name="Normal 35 5 2 3 3 2" xfId="30099" xr:uid="{00000000-0005-0000-0000-0000DF410000}"/>
    <cellStyle name="Normal 35 5 2 3 4" xfId="22056" xr:uid="{00000000-0005-0000-0000-0000E0410000}"/>
    <cellStyle name="Normal 35 5 2 4" xfId="8225" xr:uid="{00000000-0005-0000-0000-0000E1410000}"/>
    <cellStyle name="Normal 35 5 2 4 2" xfId="17402" xr:uid="{00000000-0005-0000-0000-0000E2410000}"/>
    <cellStyle name="Normal 35 5 2 4 2 2" xfId="33976" xr:uid="{00000000-0005-0000-0000-0000E3410000}"/>
    <cellStyle name="Normal 35 5 2 4 3" xfId="25929" xr:uid="{00000000-0005-0000-0000-0000E4410000}"/>
    <cellStyle name="Normal 35 5 2 5" xfId="13552" xr:uid="{00000000-0005-0000-0000-0000E5410000}"/>
    <cellStyle name="Normal 35 5 2 5 2" xfId="30096" xr:uid="{00000000-0005-0000-0000-0000E6410000}"/>
    <cellStyle name="Normal 35 5 2 6" xfId="22053" xr:uid="{00000000-0005-0000-0000-0000E7410000}"/>
    <cellStyle name="Normal 35 5 3" xfId="4171" xr:uid="{00000000-0005-0000-0000-0000E8410000}"/>
    <cellStyle name="Normal 35 5 3 2" xfId="4172" xr:uid="{00000000-0005-0000-0000-0000E9410000}"/>
    <cellStyle name="Normal 35 5 3 2 2" xfId="8226" xr:uid="{00000000-0005-0000-0000-0000EA410000}"/>
    <cellStyle name="Normal 35 5 3 2 2 2" xfId="17403" xr:uid="{00000000-0005-0000-0000-0000EB410000}"/>
    <cellStyle name="Normal 35 5 3 2 2 2 2" xfId="33977" xr:uid="{00000000-0005-0000-0000-0000EC410000}"/>
    <cellStyle name="Normal 35 5 3 2 2 3" xfId="25930" xr:uid="{00000000-0005-0000-0000-0000ED410000}"/>
    <cellStyle name="Normal 35 5 3 2 3" xfId="13557" xr:uid="{00000000-0005-0000-0000-0000EE410000}"/>
    <cellStyle name="Normal 35 5 3 2 3 2" xfId="30101" xr:uid="{00000000-0005-0000-0000-0000EF410000}"/>
    <cellStyle name="Normal 35 5 3 2 4" xfId="22058" xr:uid="{00000000-0005-0000-0000-0000F0410000}"/>
    <cellStyle name="Normal 35 5 3 3" xfId="8227" xr:uid="{00000000-0005-0000-0000-0000F1410000}"/>
    <cellStyle name="Normal 35 5 3 3 2" xfId="17404" xr:uid="{00000000-0005-0000-0000-0000F2410000}"/>
    <cellStyle name="Normal 35 5 3 3 2 2" xfId="33978" xr:uid="{00000000-0005-0000-0000-0000F3410000}"/>
    <cellStyle name="Normal 35 5 3 3 3" xfId="25931" xr:uid="{00000000-0005-0000-0000-0000F4410000}"/>
    <cellStyle name="Normal 35 5 3 4" xfId="13556" xr:uid="{00000000-0005-0000-0000-0000F5410000}"/>
    <cellStyle name="Normal 35 5 3 4 2" xfId="30100" xr:uid="{00000000-0005-0000-0000-0000F6410000}"/>
    <cellStyle name="Normal 35 5 3 5" xfId="22057" xr:uid="{00000000-0005-0000-0000-0000F7410000}"/>
    <cellStyle name="Normal 35 5 4" xfId="4173" xr:uid="{00000000-0005-0000-0000-0000F8410000}"/>
    <cellStyle name="Normal 35 5 4 2" xfId="8228" xr:uid="{00000000-0005-0000-0000-0000F9410000}"/>
    <cellStyle name="Normal 35 5 4 2 2" xfId="17405" xr:uid="{00000000-0005-0000-0000-0000FA410000}"/>
    <cellStyle name="Normal 35 5 4 2 2 2" xfId="33979" xr:uid="{00000000-0005-0000-0000-0000FB410000}"/>
    <cellStyle name="Normal 35 5 4 2 3" xfId="25932" xr:uid="{00000000-0005-0000-0000-0000FC410000}"/>
    <cellStyle name="Normal 35 5 4 3" xfId="13558" xr:uid="{00000000-0005-0000-0000-0000FD410000}"/>
    <cellStyle name="Normal 35 5 4 3 2" xfId="30102" xr:uid="{00000000-0005-0000-0000-0000FE410000}"/>
    <cellStyle name="Normal 35 5 4 4" xfId="22059" xr:uid="{00000000-0005-0000-0000-0000FF410000}"/>
    <cellStyle name="Normal 35 5 5" xfId="8229" xr:uid="{00000000-0005-0000-0000-000000420000}"/>
    <cellStyle name="Normal 35 5 5 2" xfId="17406" xr:uid="{00000000-0005-0000-0000-000001420000}"/>
    <cellStyle name="Normal 35 5 5 2 2" xfId="33980" xr:uid="{00000000-0005-0000-0000-000002420000}"/>
    <cellStyle name="Normal 35 5 5 3" xfId="25933" xr:uid="{00000000-0005-0000-0000-000003420000}"/>
    <cellStyle name="Normal 35 5 6" xfId="13551" xr:uid="{00000000-0005-0000-0000-000004420000}"/>
    <cellStyle name="Normal 35 5 6 2" xfId="30095" xr:uid="{00000000-0005-0000-0000-000005420000}"/>
    <cellStyle name="Normal 35 5 7" xfId="22052" xr:uid="{00000000-0005-0000-0000-000006420000}"/>
    <cellStyle name="Normal 35 6" xfId="4174" xr:uid="{00000000-0005-0000-0000-000007420000}"/>
    <cellStyle name="Normal 35 6 2" xfId="4175" xr:uid="{00000000-0005-0000-0000-000008420000}"/>
    <cellStyle name="Normal 35 6 2 2" xfId="4176" xr:uid="{00000000-0005-0000-0000-000009420000}"/>
    <cellStyle name="Normal 35 6 2 2 2" xfId="8230" xr:uid="{00000000-0005-0000-0000-00000A420000}"/>
    <cellStyle name="Normal 35 6 2 2 2 2" xfId="17407" xr:uid="{00000000-0005-0000-0000-00000B420000}"/>
    <cellStyle name="Normal 35 6 2 2 2 2 2" xfId="33981" xr:uid="{00000000-0005-0000-0000-00000C420000}"/>
    <cellStyle name="Normal 35 6 2 2 2 3" xfId="25934" xr:uid="{00000000-0005-0000-0000-00000D420000}"/>
    <cellStyle name="Normal 35 6 2 2 3" xfId="13561" xr:uid="{00000000-0005-0000-0000-00000E420000}"/>
    <cellStyle name="Normal 35 6 2 2 3 2" xfId="30105" xr:uid="{00000000-0005-0000-0000-00000F420000}"/>
    <cellStyle name="Normal 35 6 2 2 4" xfId="22062" xr:uid="{00000000-0005-0000-0000-000010420000}"/>
    <cellStyle name="Normal 35 6 2 3" xfId="8231" xr:uid="{00000000-0005-0000-0000-000011420000}"/>
    <cellStyle name="Normal 35 6 2 3 2" xfId="17408" xr:uid="{00000000-0005-0000-0000-000012420000}"/>
    <cellStyle name="Normal 35 6 2 3 2 2" xfId="33982" xr:uid="{00000000-0005-0000-0000-000013420000}"/>
    <cellStyle name="Normal 35 6 2 3 3" xfId="25935" xr:uid="{00000000-0005-0000-0000-000014420000}"/>
    <cellStyle name="Normal 35 6 2 4" xfId="13560" xr:uid="{00000000-0005-0000-0000-000015420000}"/>
    <cellStyle name="Normal 35 6 2 4 2" xfId="30104" xr:uid="{00000000-0005-0000-0000-000016420000}"/>
    <cellStyle name="Normal 35 6 2 5" xfId="22061" xr:uid="{00000000-0005-0000-0000-000017420000}"/>
    <cellStyle name="Normal 35 6 3" xfId="4177" xr:uid="{00000000-0005-0000-0000-000018420000}"/>
    <cellStyle name="Normal 35 6 3 2" xfId="8232" xr:uid="{00000000-0005-0000-0000-000019420000}"/>
    <cellStyle name="Normal 35 6 3 2 2" xfId="17409" xr:uid="{00000000-0005-0000-0000-00001A420000}"/>
    <cellStyle name="Normal 35 6 3 2 2 2" xfId="33983" xr:uid="{00000000-0005-0000-0000-00001B420000}"/>
    <cellStyle name="Normal 35 6 3 2 3" xfId="25936" xr:uid="{00000000-0005-0000-0000-00001C420000}"/>
    <cellStyle name="Normal 35 6 3 3" xfId="13562" xr:uid="{00000000-0005-0000-0000-00001D420000}"/>
    <cellStyle name="Normal 35 6 3 3 2" xfId="30106" xr:uid="{00000000-0005-0000-0000-00001E420000}"/>
    <cellStyle name="Normal 35 6 3 4" xfId="22063" xr:uid="{00000000-0005-0000-0000-00001F420000}"/>
    <cellStyle name="Normal 35 6 4" xfId="8233" xr:uid="{00000000-0005-0000-0000-000020420000}"/>
    <cellStyle name="Normal 35 6 4 2" xfId="17410" xr:uid="{00000000-0005-0000-0000-000021420000}"/>
    <cellStyle name="Normal 35 6 4 2 2" xfId="33984" xr:uid="{00000000-0005-0000-0000-000022420000}"/>
    <cellStyle name="Normal 35 6 4 3" xfId="25937" xr:uid="{00000000-0005-0000-0000-000023420000}"/>
    <cellStyle name="Normal 35 6 5" xfId="13559" xr:uid="{00000000-0005-0000-0000-000024420000}"/>
    <cellStyle name="Normal 35 6 5 2" xfId="30103" xr:uid="{00000000-0005-0000-0000-000025420000}"/>
    <cellStyle name="Normal 35 6 6" xfId="22060" xr:uid="{00000000-0005-0000-0000-000026420000}"/>
    <cellStyle name="Normal 35 7" xfId="4178" xr:uid="{00000000-0005-0000-0000-000027420000}"/>
    <cellStyle name="Normal 35 7 2" xfId="4179" xr:uid="{00000000-0005-0000-0000-000028420000}"/>
    <cellStyle name="Normal 35 7 2 2" xfId="8234" xr:uid="{00000000-0005-0000-0000-000029420000}"/>
    <cellStyle name="Normal 35 7 2 2 2" xfId="17411" xr:uid="{00000000-0005-0000-0000-00002A420000}"/>
    <cellStyle name="Normal 35 7 2 2 2 2" xfId="33985" xr:uid="{00000000-0005-0000-0000-00002B420000}"/>
    <cellStyle name="Normal 35 7 2 2 3" xfId="25938" xr:uid="{00000000-0005-0000-0000-00002C420000}"/>
    <cellStyle name="Normal 35 7 2 3" xfId="13564" xr:uid="{00000000-0005-0000-0000-00002D420000}"/>
    <cellStyle name="Normal 35 7 2 3 2" xfId="30108" xr:uid="{00000000-0005-0000-0000-00002E420000}"/>
    <cellStyle name="Normal 35 7 2 4" xfId="22065" xr:uid="{00000000-0005-0000-0000-00002F420000}"/>
    <cellStyle name="Normal 35 7 3" xfId="8235" xr:uid="{00000000-0005-0000-0000-000030420000}"/>
    <cellStyle name="Normal 35 7 3 2" xfId="17412" xr:uid="{00000000-0005-0000-0000-000031420000}"/>
    <cellStyle name="Normal 35 7 3 2 2" xfId="33986" xr:uid="{00000000-0005-0000-0000-000032420000}"/>
    <cellStyle name="Normal 35 7 3 3" xfId="25939" xr:uid="{00000000-0005-0000-0000-000033420000}"/>
    <cellStyle name="Normal 35 7 4" xfId="13563" xr:uid="{00000000-0005-0000-0000-000034420000}"/>
    <cellStyle name="Normal 35 7 4 2" xfId="30107" xr:uid="{00000000-0005-0000-0000-000035420000}"/>
    <cellStyle name="Normal 35 7 5" xfId="22064" xr:uid="{00000000-0005-0000-0000-000036420000}"/>
    <cellStyle name="Normal 35 8" xfId="4180" xr:uid="{00000000-0005-0000-0000-000037420000}"/>
    <cellStyle name="Normal 35 8 2" xfId="8236" xr:uid="{00000000-0005-0000-0000-000038420000}"/>
    <cellStyle name="Normal 35 8 2 2" xfId="17413" xr:uid="{00000000-0005-0000-0000-000039420000}"/>
    <cellStyle name="Normal 35 8 2 2 2" xfId="33987" xr:uid="{00000000-0005-0000-0000-00003A420000}"/>
    <cellStyle name="Normal 35 8 2 3" xfId="25940" xr:uid="{00000000-0005-0000-0000-00003B420000}"/>
    <cellStyle name="Normal 35 8 3" xfId="13565" xr:uid="{00000000-0005-0000-0000-00003C420000}"/>
    <cellStyle name="Normal 35 8 3 2" xfId="30109" xr:uid="{00000000-0005-0000-0000-00003D420000}"/>
    <cellStyle name="Normal 35 8 4" xfId="22066" xr:uid="{00000000-0005-0000-0000-00003E420000}"/>
    <cellStyle name="Normal 35 9" xfId="8237" xr:uid="{00000000-0005-0000-0000-00003F420000}"/>
    <cellStyle name="Normal 35 9 2" xfId="17414" xr:uid="{00000000-0005-0000-0000-000040420000}"/>
    <cellStyle name="Normal 35 9 2 2" xfId="33988" xr:uid="{00000000-0005-0000-0000-000041420000}"/>
    <cellStyle name="Normal 35 9 3" xfId="25941" xr:uid="{00000000-0005-0000-0000-000042420000}"/>
    <cellStyle name="Normal 36" xfId="4181" xr:uid="{00000000-0005-0000-0000-000043420000}"/>
    <cellStyle name="Normal 36 10" xfId="13566" xr:uid="{00000000-0005-0000-0000-000044420000}"/>
    <cellStyle name="Normal 36 10 2" xfId="30110" xr:uid="{00000000-0005-0000-0000-000045420000}"/>
    <cellStyle name="Normal 36 11" xfId="22067" xr:uid="{00000000-0005-0000-0000-000046420000}"/>
    <cellStyle name="Normal 36 2" xfId="4182" xr:uid="{00000000-0005-0000-0000-000047420000}"/>
    <cellStyle name="Normal 36 2 2" xfId="4183" xr:uid="{00000000-0005-0000-0000-000048420000}"/>
    <cellStyle name="Normal 36 2 3" xfId="13567" xr:uid="{00000000-0005-0000-0000-000049420000}"/>
    <cellStyle name="Normal 36 2 3 2" xfId="30111" xr:uid="{00000000-0005-0000-0000-00004A420000}"/>
    <cellStyle name="Normal 36 2 4" xfId="22068" xr:uid="{00000000-0005-0000-0000-00004B420000}"/>
    <cellStyle name="Normal 36 3" xfId="4184" xr:uid="{00000000-0005-0000-0000-00004C420000}"/>
    <cellStyle name="Normal 36 3 2" xfId="4185" xr:uid="{00000000-0005-0000-0000-00004D420000}"/>
    <cellStyle name="Normal 36 3 2 2" xfId="4186" xr:uid="{00000000-0005-0000-0000-00004E420000}"/>
    <cellStyle name="Normal 36 3 2 2 2" xfId="4187" xr:uid="{00000000-0005-0000-0000-00004F420000}"/>
    <cellStyle name="Normal 36 3 2 2 2 2" xfId="8238" xr:uid="{00000000-0005-0000-0000-000050420000}"/>
    <cellStyle name="Normal 36 3 2 2 2 2 2" xfId="17415" xr:uid="{00000000-0005-0000-0000-000051420000}"/>
    <cellStyle name="Normal 36 3 2 2 2 2 2 2" xfId="33989" xr:uid="{00000000-0005-0000-0000-000052420000}"/>
    <cellStyle name="Normal 36 3 2 2 2 2 3" xfId="25942" xr:uid="{00000000-0005-0000-0000-000053420000}"/>
    <cellStyle name="Normal 36 3 2 2 2 3" xfId="13570" xr:uid="{00000000-0005-0000-0000-000054420000}"/>
    <cellStyle name="Normal 36 3 2 2 2 3 2" xfId="30114" xr:uid="{00000000-0005-0000-0000-000055420000}"/>
    <cellStyle name="Normal 36 3 2 2 2 4" xfId="22071" xr:uid="{00000000-0005-0000-0000-000056420000}"/>
    <cellStyle name="Normal 36 3 2 2 3" xfId="8239" xr:uid="{00000000-0005-0000-0000-000057420000}"/>
    <cellStyle name="Normal 36 3 2 2 3 2" xfId="17416" xr:uid="{00000000-0005-0000-0000-000058420000}"/>
    <cellStyle name="Normal 36 3 2 2 3 2 2" xfId="33990" xr:uid="{00000000-0005-0000-0000-000059420000}"/>
    <cellStyle name="Normal 36 3 2 2 3 3" xfId="25943" xr:uid="{00000000-0005-0000-0000-00005A420000}"/>
    <cellStyle name="Normal 36 3 2 2 4" xfId="13569" xr:uid="{00000000-0005-0000-0000-00005B420000}"/>
    <cellStyle name="Normal 36 3 2 2 4 2" xfId="30113" xr:uid="{00000000-0005-0000-0000-00005C420000}"/>
    <cellStyle name="Normal 36 3 2 2 5" xfId="22070" xr:uid="{00000000-0005-0000-0000-00005D420000}"/>
    <cellStyle name="Normal 36 3 2 3" xfId="4188" xr:uid="{00000000-0005-0000-0000-00005E420000}"/>
    <cellStyle name="Normal 36 3 2 3 2" xfId="8240" xr:uid="{00000000-0005-0000-0000-00005F420000}"/>
    <cellStyle name="Normal 36 3 2 3 2 2" xfId="17417" xr:uid="{00000000-0005-0000-0000-000060420000}"/>
    <cellStyle name="Normal 36 3 2 3 2 2 2" xfId="33991" xr:uid="{00000000-0005-0000-0000-000061420000}"/>
    <cellStyle name="Normal 36 3 2 3 2 3" xfId="25944" xr:uid="{00000000-0005-0000-0000-000062420000}"/>
    <cellStyle name="Normal 36 3 2 3 3" xfId="13571" xr:uid="{00000000-0005-0000-0000-000063420000}"/>
    <cellStyle name="Normal 36 3 2 3 3 2" xfId="30115" xr:uid="{00000000-0005-0000-0000-000064420000}"/>
    <cellStyle name="Normal 36 3 2 3 4" xfId="22072" xr:uid="{00000000-0005-0000-0000-000065420000}"/>
    <cellStyle name="Normal 36 3 2 4" xfId="8241" xr:uid="{00000000-0005-0000-0000-000066420000}"/>
    <cellStyle name="Normal 36 3 2 4 2" xfId="17418" xr:uid="{00000000-0005-0000-0000-000067420000}"/>
    <cellStyle name="Normal 36 3 2 4 2 2" xfId="33992" xr:uid="{00000000-0005-0000-0000-000068420000}"/>
    <cellStyle name="Normal 36 3 2 4 3" xfId="25945" xr:uid="{00000000-0005-0000-0000-000069420000}"/>
    <cellStyle name="Normal 36 3 2 5" xfId="13568" xr:uid="{00000000-0005-0000-0000-00006A420000}"/>
    <cellStyle name="Normal 36 3 2 5 2" xfId="30112" xr:uid="{00000000-0005-0000-0000-00006B420000}"/>
    <cellStyle name="Normal 36 3 2 6" xfId="22069" xr:uid="{00000000-0005-0000-0000-00006C420000}"/>
    <cellStyle name="Normal 36 3 3" xfId="4189" xr:uid="{00000000-0005-0000-0000-00006D420000}"/>
    <cellStyle name="Normal 36 3 3 2" xfId="4190" xr:uid="{00000000-0005-0000-0000-00006E420000}"/>
    <cellStyle name="Normal 36 3 3 2 2" xfId="8242" xr:uid="{00000000-0005-0000-0000-00006F420000}"/>
    <cellStyle name="Normal 36 3 3 2 2 2" xfId="17419" xr:uid="{00000000-0005-0000-0000-000070420000}"/>
    <cellStyle name="Normal 36 3 3 2 2 2 2" xfId="33993" xr:uid="{00000000-0005-0000-0000-000071420000}"/>
    <cellStyle name="Normal 36 3 3 2 2 3" xfId="25946" xr:uid="{00000000-0005-0000-0000-000072420000}"/>
    <cellStyle name="Normal 36 3 3 2 3" xfId="13573" xr:uid="{00000000-0005-0000-0000-000073420000}"/>
    <cellStyle name="Normal 36 3 3 2 3 2" xfId="30117" xr:uid="{00000000-0005-0000-0000-000074420000}"/>
    <cellStyle name="Normal 36 3 3 2 4" xfId="22074" xr:uid="{00000000-0005-0000-0000-000075420000}"/>
    <cellStyle name="Normal 36 3 3 3" xfId="8243" xr:uid="{00000000-0005-0000-0000-000076420000}"/>
    <cellStyle name="Normal 36 3 3 3 2" xfId="17420" xr:uid="{00000000-0005-0000-0000-000077420000}"/>
    <cellStyle name="Normal 36 3 3 3 2 2" xfId="33994" xr:uid="{00000000-0005-0000-0000-000078420000}"/>
    <cellStyle name="Normal 36 3 3 3 3" xfId="25947" xr:uid="{00000000-0005-0000-0000-000079420000}"/>
    <cellStyle name="Normal 36 3 3 4" xfId="13572" xr:uid="{00000000-0005-0000-0000-00007A420000}"/>
    <cellStyle name="Normal 36 3 3 4 2" xfId="30116" xr:uid="{00000000-0005-0000-0000-00007B420000}"/>
    <cellStyle name="Normal 36 3 3 5" xfId="22073" xr:uid="{00000000-0005-0000-0000-00007C420000}"/>
    <cellStyle name="Normal 36 3 4" xfId="4191" xr:uid="{00000000-0005-0000-0000-00007D420000}"/>
    <cellStyle name="Normal 36 3 4 2" xfId="8244" xr:uid="{00000000-0005-0000-0000-00007E420000}"/>
    <cellStyle name="Normal 36 3 4 2 2" xfId="17421" xr:uid="{00000000-0005-0000-0000-00007F420000}"/>
    <cellStyle name="Normal 36 3 4 2 2 2" xfId="33995" xr:uid="{00000000-0005-0000-0000-000080420000}"/>
    <cellStyle name="Normal 36 3 4 2 3" xfId="25948" xr:uid="{00000000-0005-0000-0000-000081420000}"/>
    <cellStyle name="Normal 36 3 4 3" xfId="13574" xr:uid="{00000000-0005-0000-0000-000082420000}"/>
    <cellStyle name="Normal 36 3 4 3 2" xfId="30118" xr:uid="{00000000-0005-0000-0000-000083420000}"/>
    <cellStyle name="Normal 36 3 4 4" xfId="22075" xr:uid="{00000000-0005-0000-0000-000084420000}"/>
    <cellStyle name="Normal 36 3 5" xfId="4192" xr:uid="{00000000-0005-0000-0000-000085420000}"/>
    <cellStyle name="Normal 36 3 5 2" xfId="13575" xr:uid="{00000000-0005-0000-0000-000086420000}"/>
    <cellStyle name="Normal 36 3 5 2 2" xfId="30119" xr:uid="{00000000-0005-0000-0000-000087420000}"/>
    <cellStyle name="Normal 36 3 5 3" xfId="22076" xr:uid="{00000000-0005-0000-0000-000088420000}"/>
    <cellStyle name="Normal 36 4" xfId="4193" xr:uid="{00000000-0005-0000-0000-000089420000}"/>
    <cellStyle name="Normal 36 4 2" xfId="4194" xr:uid="{00000000-0005-0000-0000-00008A420000}"/>
    <cellStyle name="Normal 36 4 2 2" xfId="4195" xr:uid="{00000000-0005-0000-0000-00008B420000}"/>
    <cellStyle name="Normal 36 4 2 2 2" xfId="4196" xr:uid="{00000000-0005-0000-0000-00008C420000}"/>
    <cellStyle name="Normal 36 4 2 2 2 2" xfId="8245" xr:uid="{00000000-0005-0000-0000-00008D420000}"/>
    <cellStyle name="Normal 36 4 2 2 2 2 2" xfId="17422" xr:uid="{00000000-0005-0000-0000-00008E420000}"/>
    <cellStyle name="Normal 36 4 2 2 2 2 2 2" xfId="33996" xr:uid="{00000000-0005-0000-0000-00008F420000}"/>
    <cellStyle name="Normal 36 4 2 2 2 2 3" xfId="25949" xr:uid="{00000000-0005-0000-0000-000090420000}"/>
    <cellStyle name="Normal 36 4 2 2 2 3" xfId="13579" xr:uid="{00000000-0005-0000-0000-000091420000}"/>
    <cellStyle name="Normal 36 4 2 2 2 3 2" xfId="30123" xr:uid="{00000000-0005-0000-0000-000092420000}"/>
    <cellStyle name="Normal 36 4 2 2 2 4" xfId="22080" xr:uid="{00000000-0005-0000-0000-000093420000}"/>
    <cellStyle name="Normal 36 4 2 2 3" xfId="8246" xr:uid="{00000000-0005-0000-0000-000094420000}"/>
    <cellStyle name="Normal 36 4 2 2 3 2" xfId="17423" xr:uid="{00000000-0005-0000-0000-000095420000}"/>
    <cellStyle name="Normal 36 4 2 2 3 2 2" xfId="33997" xr:uid="{00000000-0005-0000-0000-000096420000}"/>
    <cellStyle name="Normal 36 4 2 2 3 3" xfId="25950" xr:uid="{00000000-0005-0000-0000-000097420000}"/>
    <cellStyle name="Normal 36 4 2 2 4" xfId="13578" xr:uid="{00000000-0005-0000-0000-000098420000}"/>
    <cellStyle name="Normal 36 4 2 2 4 2" xfId="30122" xr:uid="{00000000-0005-0000-0000-000099420000}"/>
    <cellStyle name="Normal 36 4 2 2 5" xfId="22079" xr:uid="{00000000-0005-0000-0000-00009A420000}"/>
    <cellStyle name="Normal 36 4 2 3" xfId="4197" xr:uid="{00000000-0005-0000-0000-00009B420000}"/>
    <cellStyle name="Normal 36 4 2 3 2" xfId="8247" xr:uid="{00000000-0005-0000-0000-00009C420000}"/>
    <cellStyle name="Normal 36 4 2 3 2 2" xfId="17424" xr:uid="{00000000-0005-0000-0000-00009D420000}"/>
    <cellStyle name="Normal 36 4 2 3 2 2 2" xfId="33998" xr:uid="{00000000-0005-0000-0000-00009E420000}"/>
    <cellStyle name="Normal 36 4 2 3 2 3" xfId="25951" xr:uid="{00000000-0005-0000-0000-00009F420000}"/>
    <cellStyle name="Normal 36 4 2 3 3" xfId="13580" xr:uid="{00000000-0005-0000-0000-0000A0420000}"/>
    <cellStyle name="Normal 36 4 2 3 3 2" xfId="30124" xr:uid="{00000000-0005-0000-0000-0000A1420000}"/>
    <cellStyle name="Normal 36 4 2 3 4" xfId="22081" xr:uid="{00000000-0005-0000-0000-0000A2420000}"/>
    <cellStyle name="Normal 36 4 2 4" xfId="8248" xr:uid="{00000000-0005-0000-0000-0000A3420000}"/>
    <cellStyle name="Normal 36 4 2 4 2" xfId="17425" xr:uid="{00000000-0005-0000-0000-0000A4420000}"/>
    <cellStyle name="Normal 36 4 2 4 2 2" xfId="33999" xr:uid="{00000000-0005-0000-0000-0000A5420000}"/>
    <cellStyle name="Normal 36 4 2 4 3" xfId="25952" xr:uid="{00000000-0005-0000-0000-0000A6420000}"/>
    <cellStyle name="Normal 36 4 2 5" xfId="13577" xr:uid="{00000000-0005-0000-0000-0000A7420000}"/>
    <cellStyle name="Normal 36 4 2 5 2" xfId="30121" xr:uid="{00000000-0005-0000-0000-0000A8420000}"/>
    <cellStyle name="Normal 36 4 2 6" xfId="22078" xr:uid="{00000000-0005-0000-0000-0000A9420000}"/>
    <cellStyle name="Normal 36 4 3" xfId="4198" xr:uid="{00000000-0005-0000-0000-0000AA420000}"/>
    <cellStyle name="Normal 36 4 3 2" xfId="4199" xr:uid="{00000000-0005-0000-0000-0000AB420000}"/>
    <cellStyle name="Normal 36 4 3 2 2" xfId="8249" xr:uid="{00000000-0005-0000-0000-0000AC420000}"/>
    <cellStyle name="Normal 36 4 3 2 2 2" xfId="17426" xr:uid="{00000000-0005-0000-0000-0000AD420000}"/>
    <cellStyle name="Normal 36 4 3 2 2 2 2" xfId="34000" xr:uid="{00000000-0005-0000-0000-0000AE420000}"/>
    <cellStyle name="Normal 36 4 3 2 2 3" xfId="25953" xr:uid="{00000000-0005-0000-0000-0000AF420000}"/>
    <cellStyle name="Normal 36 4 3 2 3" xfId="13582" xr:uid="{00000000-0005-0000-0000-0000B0420000}"/>
    <cellStyle name="Normal 36 4 3 2 3 2" xfId="30126" xr:uid="{00000000-0005-0000-0000-0000B1420000}"/>
    <cellStyle name="Normal 36 4 3 2 4" xfId="22083" xr:uid="{00000000-0005-0000-0000-0000B2420000}"/>
    <cellStyle name="Normal 36 4 3 3" xfId="8250" xr:uid="{00000000-0005-0000-0000-0000B3420000}"/>
    <cellStyle name="Normal 36 4 3 3 2" xfId="17427" xr:uid="{00000000-0005-0000-0000-0000B4420000}"/>
    <cellStyle name="Normal 36 4 3 3 2 2" xfId="34001" xr:uid="{00000000-0005-0000-0000-0000B5420000}"/>
    <cellStyle name="Normal 36 4 3 3 3" xfId="25954" xr:uid="{00000000-0005-0000-0000-0000B6420000}"/>
    <cellStyle name="Normal 36 4 3 4" xfId="13581" xr:uid="{00000000-0005-0000-0000-0000B7420000}"/>
    <cellStyle name="Normal 36 4 3 4 2" xfId="30125" xr:uid="{00000000-0005-0000-0000-0000B8420000}"/>
    <cellStyle name="Normal 36 4 3 5" xfId="22082" xr:uid="{00000000-0005-0000-0000-0000B9420000}"/>
    <cellStyle name="Normal 36 4 4" xfId="4200" xr:uid="{00000000-0005-0000-0000-0000BA420000}"/>
    <cellStyle name="Normal 36 4 4 2" xfId="8251" xr:uid="{00000000-0005-0000-0000-0000BB420000}"/>
    <cellStyle name="Normal 36 4 4 2 2" xfId="17428" xr:uid="{00000000-0005-0000-0000-0000BC420000}"/>
    <cellStyle name="Normal 36 4 4 2 2 2" xfId="34002" xr:uid="{00000000-0005-0000-0000-0000BD420000}"/>
    <cellStyle name="Normal 36 4 4 2 3" xfId="25955" xr:uid="{00000000-0005-0000-0000-0000BE420000}"/>
    <cellStyle name="Normal 36 4 4 3" xfId="13583" xr:uid="{00000000-0005-0000-0000-0000BF420000}"/>
    <cellStyle name="Normal 36 4 4 3 2" xfId="30127" xr:uid="{00000000-0005-0000-0000-0000C0420000}"/>
    <cellStyle name="Normal 36 4 4 4" xfId="22084" xr:uid="{00000000-0005-0000-0000-0000C1420000}"/>
    <cellStyle name="Normal 36 4 5" xfId="8252" xr:uid="{00000000-0005-0000-0000-0000C2420000}"/>
    <cellStyle name="Normal 36 4 5 2" xfId="17429" xr:uid="{00000000-0005-0000-0000-0000C3420000}"/>
    <cellStyle name="Normal 36 4 5 2 2" xfId="34003" xr:uid="{00000000-0005-0000-0000-0000C4420000}"/>
    <cellStyle name="Normal 36 4 5 3" xfId="25956" xr:uid="{00000000-0005-0000-0000-0000C5420000}"/>
    <cellStyle name="Normal 36 4 6" xfId="13576" xr:uid="{00000000-0005-0000-0000-0000C6420000}"/>
    <cellStyle name="Normal 36 4 6 2" xfId="30120" xr:uid="{00000000-0005-0000-0000-0000C7420000}"/>
    <cellStyle name="Normal 36 4 7" xfId="22077" xr:uid="{00000000-0005-0000-0000-0000C8420000}"/>
    <cellStyle name="Normal 36 5" xfId="4201" xr:uid="{00000000-0005-0000-0000-0000C9420000}"/>
    <cellStyle name="Normal 36 5 2" xfId="4202" xr:uid="{00000000-0005-0000-0000-0000CA420000}"/>
    <cellStyle name="Normal 36 5 2 2" xfId="4203" xr:uid="{00000000-0005-0000-0000-0000CB420000}"/>
    <cellStyle name="Normal 36 5 2 2 2" xfId="4204" xr:uid="{00000000-0005-0000-0000-0000CC420000}"/>
    <cellStyle name="Normal 36 5 2 2 2 2" xfId="8253" xr:uid="{00000000-0005-0000-0000-0000CD420000}"/>
    <cellStyle name="Normal 36 5 2 2 2 2 2" xfId="17430" xr:uid="{00000000-0005-0000-0000-0000CE420000}"/>
    <cellStyle name="Normal 36 5 2 2 2 2 2 2" xfId="34004" xr:uid="{00000000-0005-0000-0000-0000CF420000}"/>
    <cellStyle name="Normal 36 5 2 2 2 2 3" xfId="25957" xr:uid="{00000000-0005-0000-0000-0000D0420000}"/>
    <cellStyle name="Normal 36 5 2 2 2 3" xfId="13587" xr:uid="{00000000-0005-0000-0000-0000D1420000}"/>
    <cellStyle name="Normal 36 5 2 2 2 3 2" xfId="30131" xr:uid="{00000000-0005-0000-0000-0000D2420000}"/>
    <cellStyle name="Normal 36 5 2 2 2 4" xfId="22088" xr:uid="{00000000-0005-0000-0000-0000D3420000}"/>
    <cellStyle name="Normal 36 5 2 2 3" xfId="8254" xr:uid="{00000000-0005-0000-0000-0000D4420000}"/>
    <cellStyle name="Normal 36 5 2 2 3 2" xfId="17431" xr:uid="{00000000-0005-0000-0000-0000D5420000}"/>
    <cellStyle name="Normal 36 5 2 2 3 2 2" xfId="34005" xr:uid="{00000000-0005-0000-0000-0000D6420000}"/>
    <cellStyle name="Normal 36 5 2 2 3 3" xfId="25958" xr:uid="{00000000-0005-0000-0000-0000D7420000}"/>
    <cellStyle name="Normal 36 5 2 2 4" xfId="13586" xr:uid="{00000000-0005-0000-0000-0000D8420000}"/>
    <cellStyle name="Normal 36 5 2 2 4 2" xfId="30130" xr:uid="{00000000-0005-0000-0000-0000D9420000}"/>
    <cellStyle name="Normal 36 5 2 2 5" xfId="22087" xr:uid="{00000000-0005-0000-0000-0000DA420000}"/>
    <cellStyle name="Normal 36 5 2 3" xfId="4205" xr:uid="{00000000-0005-0000-0000-0000DB420000}"/>
    <cellStyle name="Normal 36 5 2 3 2" xfId="8255" xr:uid="{00000000-0005-0000-0000-0000DC420000}"/>
    <cellStyle name="Normal 36 5 2 3 2 2" xfId="17432" xr:uid="{00000000-0005-0000-0000-0000DD420000}"/>
    <cellStyle name="Normal 36 5 2 3 2 2 2" xfId="34006" xr:uid="{00000000-0005-0000-0000-0000DE420000}"/>
    <cellStyle name="Normal 36 5 2 3 2 3" xfId="25959" xr:uid="{00000000-0005-0000-0000-0000DF420000}"/>
    <cellStyle name="Normal 36 5 2 3 3" xfId="13588" xr:uid="{00000000-0005-0000-0000-0000E0420000}"/>
    <cellStyle name="Normal 36 5 2 3 3 2" xfId="30132" xr:uid="{00000000-0005-0000-0000-0000E1420000}"/>
    <cellStyle name="Normal 36 5 2 3 4" xfId="22089" xr:uid="{00000000-0005-0000-0000-0000E2420000}"/>
    <cellStyle name="Normal 36 5 2 4" xfId="8256" xr:uid="{00000000-0005-0000-0000-0000E3420000}"/>
    <cellStyle name="Normal 36 5 2 4 2" xfId="17433" xr:uid="{00000000-0005-0000-0000-0000E4420000}"/>
    <cellStyle name="Normal 36 5 2 4 2 2" xfId="34007" xr:uid="{00000000-0005-0000-0000-0000E5420000}"/>
    <cellStyle name="Normal 36 5 2 4 3" xfId="25960" xr:uid="{00000000-0005-0000-0000-0000E6420000}"/>
    <cellStyle name="Normal 36 5 2 5" xfId="13585" xr:uid="{00000000-0005-0000-0000-0000E7420000}"/>
    <cellStyle name="Normal 36 5 2 5 2" xfId="30129" xr:uid="{00000000-0005-0000-0000-0000E8420000}"/>
    <cellStyle name="Normal 36 5 2 6" xfId="22086" xr:uid="{00000000-0005-0000-0000-0000E9420000}"/>
    <cellStyle name="Normal 36 5 3" xfId="4206" xr:uid="{00000000-0005-0000-0000-0000EA420000}"/>
    <cellStyle name="Normal 36 5 3 2" xfId="4207" xr:uid="{00000000-0005-0000-0000-0000EB420000}"/>
    <cellStyle name="Normal 36 5 3 2 2" xfId="8257" xr:uid="{00000000-0005-0000-0000-0000EC420000}"/>
    <cellStyle name="Normal 36 5 3 2 2 2" xfId="17434" xr:uid="{00000000-0005-0000-0000-0000ED420000}"/>
    <cellStyle name="Normal 36 5 3 2 2 2 2" xfId="34008" xr:uid="{00000000-0005-0000-0000-0000EE420000}"/>
    <cellStyle name="Normal 36 5 3 2 2 3" xfId="25961" xr:uid="{00000000-0005-0000-0000-0000EF420000}"/>
    <cellStyle name="Normal 36 5 3 2 3" xfId="13590" xr:uid="{00000000-0005-0000-0000-0000F0420000}"/>
    <cellStyle name="Normal 36 5 3 2 3 2" xfId="30134" xr:uid="{00000000-0005-0000-0000-0000F1420000}"/>
    <cellStyle name="Normal 36 5 3 2 4" xfId="22091" xr:uid="{00000000-0005-0000-0000-0000F2420000}"/>
    <cellStyle name="Normal 36 5 3 3" xfId="8258" xr:uid="{00000000-0005-0000-0000-0000F3420000}"/>
    <cellStyle name="Normal 36 5 3 3 2" xfId="17435" xr:uid="{00000000-0005-0000-0000-0000F4420000}"/>
    <cellStyle name="Normal 36 5 3 3 2 2" xfId="34009" xr:uid="{00000000-0005-0000-0000-0000F5420000}"/>
    <cellStyle name="Normal 36 5 3 3 3" xfId="25962" xr:uid="{00000000-0005-0000-0000-0000F6420000}"/>
    <cellStyle name="Normal 36 5 3 4" xfId="13589" xr:uid="{00000000-0005-0000-0000-0000F7420000}"/>
    <cellStyle name="Normal 36 5 3 4 2" xfId="30133" xr:uid="{00000000-0005-0000-0000-0000F8420000}"/>
    <cellStyle name="Normal 36 5 3 5" xfId="22090" xr:uid="{00000000-0005-0000-0000-0000F9420000}"/>
    <cellStyle name="Normal 36 5 4" xfId="4208" xr:uid="{00000000-0005-0000-0000-0000FA420000}"/>
    <cellStyle name="Normal 36 5 4 2" xfId="8259" xr:uid="{00000000-0005-0000-0000-0000FB420000}"/>
    <cellStyle name="Normal 36 5 4 2 2" xfId="17436" xr:uid="{00000000-0005-0000-0000-0000FC420000}"/>
    <cellStyle name="Normal 36 5 4 2 2 2" xfId="34010" xr:uid="{00000000-0005-0000-0000-0000FD420000}"/>
    <cellStyle name="Normal 36 5 4 2 3" xfId="25963" xr:uid="{00000000-0005-0000-0000-0000FE420000}"/>
    <cellStyle name="Normal 36 5 4 3" xfId="13591" xr:uid="{00000000-0005-0000-0000-0000FF420000}"/>
    <cellStyle name="Normal 36 5 4 3 2" xfId="30135" xr:uid="{00000000-0005-0000-0000-000000430000}"/>
    <cellStyle name="Normal 36 5 4 4" xfId="22092" xr:uid="{00000000-0005-0000-0000-000001430000}"/>
    <cellStyle name="Normal 36 5 5" xfId="8260" xr:uid="{00000000-0005-0000-0000-000002430000}"/>
    <cellStyle name="Normal 36 5 5 2" xfId="17437" xr:uid="{00000000-0005-0000-0000-000003430000}"/>
    <cellStyle name="Normal 36 5 5 2 2" xfId="34011" xr:uid="{00000000-0005-0000-0000-000004430000}"/>
    <cellStyle name="Normal 36 5 5 3" xfId="25964" xr:uid="{00000000-0005-0000-0000-000005430000}"/>
    <cellStyle name="Normal 36 5 6" xfId="13584" xr:uid="{00000000-0005-0000-0000-000006430000}"/>
    <cellStyle name="Normal 36 5 6 2" xfId="30128" xr:uid="{00000000-0005-0000-0000-000007430000}"/>
    <cellStyle name="Normal 36 5 7" xfId="22085" xr:uid="{00000000-0005-0000-0000-000008430000}"/>
    <cellStyle name="Normal 36 6" xfId="4209" xr:uid="{00000000-0005-0000-0000-000009430000}"/>
    <cellStyle name="Normal 36 6 2" xfId="4210" xr:uid="{00000000-0005-0000-0000-00000A430000}"/>
    <cellStyle name="Normal 36 6 2 2" xfId="4211" xr:uid="{00000000-0005-0000-0000-00000B430000}"/>
    <cellStyle name="Normal 36 6 2 2 2" xfId="8261" xr:uid="{00000000-0005-0000-0000-00000C430000}"/>
    <cellStyle name="Normal 36 6 2 2 2 2" xfId="17438" xr:uid="{00000000-0005-0000-0000-00000D430000}"/>
    <cellStyle name="Normal 36 6 2 2 2 2 2" xfId="34012" xr:uid="{00000000-0005-0000-0000-00000E430000}"/>
    <cellStyle name="Normal 36 6 2 2 2 3" xfId="25965" xr:uid="{00000000-0005-0000-0000-00000F430000}"/>
    <cellStyle name="Normal 36 6 2 2 3" xfId="13594" xr:uid="{00000000-0005-0000-0000-000010430000}"/>
    <cellStyle name="Normal 36 6 2 2 3 2" xfId="30138" xr:uid="{00000000-0005-0000-0000-000011430000}"/>
    <cellStyle name="Normal 36 6 2 2 4" xfId="22095" xr:uid="{00000000-0005-0000-0000-000012430000}"/>
    <cellStyle name="Normal 36 6 2 3" xfId="8262" xr:uid="{00000000-0005-0000-0000-000013430000}"/>
    <cellStyle name="Normal 36 6 2 3 2" xfId="17439" xr:uid="{00000000-0005-0000-0000-000014430000}"/>
    <cellStyle name="Normal 36 6 2 3 2 2" xfId="34013" xr:uid="{00000000-0005-0000-0000-000015430000}"/>
    <cellStyle name="Normal 36 6 2 3 3" xfId="25966" xr:uid="{00000000-0005-0000-0000-000016430000}"/>
    <cellStyle name="Normal 36 6 2 4" xfId="13593" xr:uid="{00000000-0005-0000-0000-000017430000}"/>
    <cellStyle name="Normal 36 6 2 4 2" xfId="30137" xr:uid="{00000000-0005-0000-0000-000018430000}"/>
    <cellStyle name="Normal 36 6 2 5" xfId="22094" xr:uid="{00000000-0005-0000-0000-000019430000}"/>
    <cellStyle name="Normal 36 6 3" xfId="4212" xr:uid="{00000000-0005-0000-0000-00001A430000}"/>
    <cellStyle name="Normal 36 6 3 2" xfId="8263" xr:uid="{00000000-0005-0000-0000-00001B430000}"/>
    <cellStyle name="Normal 36 6 3 2 2" xfId="17440" xr:uid="{00000000-0005-0000-0000-00001C430000}"/>
    <cellStyle name="Normal 36 6 3 2 2 2" xfId="34014" xr:uid="{00000000-0005-0000-0000-00001D430000}"/>
    <cellStyle name="Normal 36 6 3 2 3" xfId="25967" xr:uid="{00000000-0005-0000-0000-00001E430000}"/>
    <cellStyle name="Normal 36 6 3 3" xfId="13595" xr:uid="{00000000-0005-0000-0000-00001F430000}"/>
    <cellStyle name="Normal 36 6 3 3 2" xfId="30139" xr:uid="{00000000-0005-0000-0000-000020430000}"/>
    <cellStyle name="Normal 36 6 3 4" xfId="22096" xr:uid="{00000000-0005-0000-0000-000021430000}"/>
    <cellStyle name="Normal 36 6 4" xfId="8264" xr:uid="{00000000-0005-0000-0000-000022430000}"/>
    <cellStyle name="Normal 36 6 4 2" xfId="17441" xr:uid="{00000000-0005-0000-0000-000023430000}"/>
    <cellStyle name="Normal 36 6 4 2 2" xfId="34015" xr:uid="{00000000-0005-0000-0000-000024430000}"/>
    <cellStyle name="Normal 36 6 4 3" xfId="25968" xr:uid="{00000000-0005-0000-0000-000025430000}"/>
    <cellStyle name="Normal 36 6 5" xfId="13592" xr:uid="{00000000-0005-0000-0000-000026430000}"/>
    <cellStyle name="Normal 36 6 5 2" xfId="30136" xr:uid="{00000000-0005-0000-0000-000027430000}"/>
    <cellStyle name="Normal 36 6 6" xfId="22093" xr:uid="{00000000-0005-0000-0000-000028430000}"/>
    <cellStyle name="Normal 36 7" xfId="4213" xr:uid="{00000000-0005-0000-0000-000029430000}"/>
    <cellStyle name="Normal 36 7 2" xfId="4214" xr:uid="{00000000-0005-0000-0000-00002A430000}"/>
    <cellStyle name="Normal 36 7 2 2" xfId="8265" xr:uid="{00000000-0005-0000-0000-00002B430000}"/>
    <cellStyle name="Normal 36 7 2 2 2" xfId="17442" xr:uid="{00000000-0005-0000-0000-00002C430000}"/>
    <cellStyle name="Normal 36 7 2 2 2 2" xfId="34016" xr:uid="{00000000-0005-0000-0000-00002D430000}"/>
    <cellStyle name="Normal 36 7 2 2 3" xfId="25969" xr:uid="{00000000-0005-0000-0000-00002E430000}"/>
    <cellStyle name="Normal 36 7 2 3" xfId="13597" xr:uid="{00000000-0005-0000-0000-00002F430000}"/>
    <cellStyle name="Normal 36 7 2 3 2" xfId="30141" xr:uid="{00000000-0005-0000-0000-000030430000}"/>
    <cellStyle name="Normal 36 7 2 4" xfId="22098" xr:uid="{00000000-0005-0000-0000-000031430000}"/>
    <cellStyle name="Normal 36 7 3" xfId="8266" xr:uid="{00000000-0005-0000-0000-000032430000}"/>
    <cellStyle name="Normal 36 7 3 2" xfId="17443" xr:uid="{00000000-0005-0000-0000-000033430000}"/>
    <cellStyle name="Normal 36 7 3 2 2" xfId="34017" xr:uid="{00000000-0005-0000-0000-000034430000}"/>
    <cellStyle name="Normal 36 7 3 3" xfId="25970" xr:uid="{00000000-0005-0000-0000-000035430000}"/>
    <cellStyle name="Normal 36 7 4" xfId="13596" xr:uid="{00000000-0005-0000-0000-000036430000}"/>
    <cellStyle name="Normal 36 7 4 2" xfId="30140" xr:uid="{00000000-0005-0000-0000-000037430000}"/>
    <cellStyle name="Normal 36 7 5" xfId="22097" xr:uid="{00000000-0005-0000-0000-000038430000}"/>
    <cellStyle name="Normal 36 8" xfId="4215" xr:uid="{00000000-0005-0000-0000-000039430000}"/>
    <cellStyle name="Normal 36 8 2" xfId="8267" xr:uid="{00000000-0005-0000-0000-00003A430000}"/>
    <cellStyle name="Normal 36 8 2 2" xfId="17444" xr:uid="{00000000-0005-0000-0000-00003B430000}"/>
    <cellStyle name="Normal 36 8 2 2 2" xfId="34018" xr:uid="{00000000-0005-0000-0000-00003C430000}"/>
    <cellStyle name="Normal 36 8 2 3" xfId="25971" xr:uid="{00000000-0005-0000-0000-00003D430000}"/>
    <cellStyle name="Normal 36 8 3" xfId="13598" xr:uid="{00000000-0005-0000-0000-00003E430000}"/>
    <cellStyle name="Normal 36 8 3 2" xfId="30142" xr:uid="{00000000-0005-0000-0000-00003F430000}"/>
    <cellStyle name="Normal 36 8 4" xfId="22099" xr:uid="{00000000-0005-0000-0000-000040430000}"/>
    <cellStyle name="Normal 36 9" xfId="8268" xr:uid="{00000000-0005-0000-0000-000041430000}"/>
    <cellStyle name="Normal 36 9 2" xfId="17445" xr:uid="{00000000-0005-0000-0000-000042430000}"/>
    <cellStyle name="Normal 36 9 2 2" xfId="34019" xr:uid="{00000000-0005-0000-0000-000043430000}"/>
    <cellStyle name="Normal 36 9 3" xfId="25972" xr:uid="{00000000-0005-0000-0000-000044430000}"/>
    <cellStyle name="Normal 37" xfId="4216" xr:uid="{00000000-0005-0000-0000-000045430000}"/>
    <cellStyle name="Normal 37 10" xfId="13599" xr:uid="{00000000-0005-0000-0000-000046430000}"/>
    <cellStyle name="Normal 37 10 2" xfId="30143" xr:uid="{00000000-0005-0000-0000-000047430000}"/>
    <cellStyle name="Normal 37 11" xfId="22100" xr:uid="{00000000-0005-0000-0000-000048430000}"/>
    <cellStyle name="Normal 37 2" xfId="4217" xr:uid="{00000000-0005-0000-0000-000049430000}"/>
    <cellStyle name="Normal 37 2 2" xfId="4218" xr:uid="{00000000-0005-0000-0000-00004A430000}"/>
    <cellStyle name="Normal 37 2 3" xfId="13600" xr:uid="{00000000-0005-0000-0000-00004B430000}"/>
    <cellStyle name="Normal 37 2 3 2" xfId="30144" xr:uid="{00000000-0005-0000-0000-00004C430000}"/>
    <cellStyle name="Normal 37 2 4" xfId="22101" xr:uid="{00000000-0005-0000-0000-00004D430000}"/>
    <cellStyle name="Normal 37 3" xfId="4219" xr:uid="{00000000-0005-0000-0000-00004E430000}"/>
    <cellStyle name="Normal 37 3 2" xfId="4220" xr:uid="{00000000-0005-0000-0000-00004F430000}"/>
    <cellStyle name="Normal 37 3 2 2" xfId="4221" xr:uid="{00000000-0005-0000-0000-000050430000}"/>
    <cellStyle name="Normal 37 3 2 2 2" xfId="4222" xr:uid="{00000000-0005-0000-0000-000051430000}"/>
    <cellStyle name="Normal 37 3 2 2 2 2" xfId="8269" xr:uid="{00000000-0005-0000-0000-000052430000}"/>
    <cellStyle name="Normal 37 3 2 2 2 2 2" xfId="17446" xr:uid="{00000000-0005-0000-0000-000053430000}"/>
    <cellStyle name="Normal 37 3 2 2 2 2 2 2" xfId="34020" xr:uid="{00000000-0005-0000-0000-000054430000}"/>
    <cellStyle name="Normal 37 3 2 2 2 2 3" xfId="25973" xr:uid="{00000000-0005-0000-0000-000055430000}"/>
    <cellStyle name="Normal 37 3 2 2 2 3" xfId="13603" xr:uid="{00000000-0005-0000-0000-000056430000}"/>
    <cellStyle name="Normal 37 3 2 2 2 3 2" xfId="30147" xr:uid="{00000000-0005-0000-0000-000057430000}"/>
    <cellStyle name="Normal 37 3 2 2 2 4" xfId="22104" xr:uid="{00000000-0005-0000-0000-000058430000}"/>
    <cellStyle name="Normal 37 3 2 2 3" xfId="8270" xr:uid="{00000000-0005-0000-0000-000059430000}"/>
    <cellStyle name="Normal 37 3 2 2 3 2" xfId="17447" xr:uid="{00000000-0005-0000-0000-00005A430000}"/>
    <cellStyle name="Normal 37 3 2 2 3 2 2" xfId="34021" xr:uid="{00000000-0005-0000-0000-00005B430000}"/>
    <cellStyle name="Normal 37 3 2 2 3 3" xfId="25974" xr:uid="{00000000-0005-0000-0000-00005C430000}"/>
    <cellStyle name="Normal 37 3 2 2 4" xfId="13602" xr:uid="{00000000-0005-0000-0000-00005D430000}"/>
    <cellStyle name="Normal 37 3 2 2 4 2" xfId="30146" xr:uid="{00000000-0005-0000-0000-00005E430000}"/>
    <cellStyle name="Normal 37 3 2 2 5" xfId="22103" xr:uid="{00000000-0005-0000-0000-00005F430000}"/>
    <cellStyle name="Normal 37 3 2 3" xfId="4223" xr:uid="{00000000-0005-0000-0000-000060430000}"/>
    <cellStyle name="Normal 37 3 2 3 2" xfId="8271" xr:uid="{00000000-0005-0000-0000-000061430000}"/>
    <cellStyle name="Normal 37 3 2 3 2 2" xfId="17448" xr:uid="{00000000-0005-0000-0000-000062430000}"/>
    <cellStyle name="Normal 37 3 2 3 2 2 2" xfId="34022" xr:uid="{00000000-0005-0000-0000-000063430000}"/>
    <cellStyle name="Normal 37 3 2 3 2 3" xfId="25975" xr:uid="{00000000-0005-0000-0000-000064430000}"/>
    <cellStyle name="Normal 37 3 2 3 3" xfId="13604" xr:uid="{00000000-0005-0000-0000-000065430000}"/>
    <cellStyle name="Normal 37 3 2 3 3 2" xfId="30148" xr:uid="{00000000-0005-0000-0000-000066430000}"/>
    <cellStyle name="Normal 37 3 2 3 4" xfId="22105" xr:uid="{00000000-0005-0000-0000-000067430000}"/>
    <cellStyle name="Normal 37 3 2 4" xfId="8272" xr:uid="{00000000-0005-0000-0000-000068430000}"/>
    <cellStyle name="Normal 37 3 2 4 2" xfId="17449" xr:uid="{00000000-0005-0000-0000-000069430000}"/>
    <cellStyle name="Normal 37 3 2 4 2 2" xfId="34023" xr:uid="{00000000-0005-0000-0000-00006A430000}"/>
    <cellStyle name="Normal 37 3 2 4 3" xfId="25976" xr:uid="{00000000-0005-0000-0000-00006B430000}"/>
    <cellStyle name="Normal 37 3 2 5" xfId="13601" xr:uid="{00000000-0005-0000-0000-00006C430000}"/>
    <cellStyle name="Normal 37 3 2 5 2" xfId="30145" xr:uid="{00000000-0005-0000-0000-00006D430000}"/>
    <cellStyle name="Normal 37 3 2 6" xfId="22102" xr:uid="{00000000-0005-0000-0000-00006E430000}"/>
    <cellStyle name="Normal 37 3 3" xfId="4224" xr:uid="{00000000-0005-0000-0000-00006F430000}"/>
    <cellStyle name="Normal 37 3 3 2" xfId="4225" xr:uid="{00000000-0005-0000-0000-000070430000}"/>
    <cellStyle name="Normal 37 3 3 2 2" xfId="8273" xr:uid="{00000000-0005-0000-0000-000071430000}"/>
    <cellStyle name="Normal 37 3 3 2 2 2" xfId="17450" xr:uid="{00000000-0005-0000-0000-000072430000}"/>
    <cellStyle name="Normal 37 3 3 2 2 2 2" xfId="34024" xr:uid="{00000000-0005-0000-0000-000073430000}"/>
    <cellStyle name="Normal 37 3 3 2 2 3" xfId="25977" xr:uid="{00000000-0005-0000-0000-000074430000}"/>
    <cellStyle name="Normal 37 3 3 2 3" xfId="13606" xr:uid="{00000000-0005-0000-0000-000075430000}"/>
    <cellStyle name="Normal 37 3 3 2 3 2" xfId="30150" xr:uid="{00000000-0005-0000-0000-000076430000}"/>
    <cellStyle name="Normal 37 3 3 2 4" xfId="22107" xr:uid="{00000000-0005-0000-0000-000077430000}"/>
    <cellStyle name="Normal 37 3 3 3" xfId="8274" xr:uid="{00000000-0005-0000-0000-000078430000}"/>
    <cellStyle name="Normal 37 3 3 3 2" xfId="17451" xr:uid="{00000000-0005-0000-0000-000079430000}"/>
    <cellStyle name="Normal 37 3 3 3 2 2" xfId="34025" xr:uid="{00000000-0005-0000-0000-00007A430000}"/>
    <cellStyle name="Normal 37 3 3 3 3" xfId="25978" xr:uid="{00000000-0005-0000-0000-00007B430000}"/>
    <cellStyle name="Normal 37 3 3 4" xfId="13605" xr:uid="{00000000-0005-0000-0000-00007C430000}"/>
    <cellStyle name="Normal 37 3 3 4 2" xfId="30149" xr:uid="{00000000-0005-0000-0000-00007D430000}"/>
    <cellStyle name="Normal 37 3 3 5" xfId="22106" xr:uid="{00000000-0005-0000-0000-00007E430000}"/>
    <cellStyle name="Normal 37 3 4" xfId="4226" xr:uid="{00000000-0005-0000-0000-00007F430000}"/>
    <cellStyle name="Normal 37 3 4 2" xfId="8275" xr:uid="{00000000-0005-0000-0000-000080430000}"/>
    <cellStyle name="Normal 37 3 4 2 2" xfId="17452" xr:uid="{00000000-0005-0000-0000-000081430000}"/>
    <cellStyle name="Normal 37 3 4 2 2 2" xfId="34026" xr:uid="{00000000-0005-0000-0000-000082430000}"/>
    <cellStyle name="Normal 37 3 4 2 3" xfId="25979" xr:uid="{00000000-0005-0000-0000-000083430000}"/>
    <cellStyle name="Normal 37 3 4 3" xfId="13607" xr:uid="{00000000-0005-0000-0000-000084430000}"/>
    <cellStyle name="Normal 37 3 4 3 2" xfId="30151" xr:uid="{00000000-0005-0000-0000-000085430000}"/>
    <cellStyle name="Normal 37 3 4 4" xfId="22108" xr:uid="{00000000-0005-0000-0000-000086430000}"/>
    <cellStyle name="Normal 37 3 5" xfId="4227" xr:uid="{00000000-0005-0000-0000-000087430000}"/>
    <cellStyle name="Normal 37 3 5 2" xfId="13608" xr:uid="{00000000-0005-0000-0000-000088430000}"/>
    <cellStyle name="Normal 37 3 5 2 2" xfId="30152" xr:uid="{00000000-0005-0000-0000-000089430000}"/>
    <cellStyle name="Normal 37 3 5 3" xfId="22109" xr:uid="{00000000-0005-0000-0000-00008A430000}"/>
    <cellStyle name="Normal 37 4" xfId="4228" xr:uid="{00000000-0005-0000-0000-00008B430000}"/>
    <cellStyle name="Normal 37 4 2" xfId="4229" xr:uid="{00000000-0005-0000-0000-00008C430000}"/>
    <cellStyle name="Normal 37 4 2 2" xfId="4230" xr:uid="{00000000-0005-0000-0000-00008D430000}"/>
    <cellStyle name="Normal 37 4 2 2 2" xfId="4231" xr:uid="{00000000-0005-0000-0000-00008E430000}"/>
    <cellStyle name="Normal 37 4 2 2 2 2" xfId="8276" xr:uid="{00000000-0005-0000-0000-00008F430000}"/>
    <cellStyle name="Normal 37 4 2 2 2 2 2" xfId="17453" xr:uid="{00000000-0005-0000-0000-000090430000}"/>
    <cellStyle name="Normal 37 4 2 2 2 2 2 2" xfId="34027" xr:uid="{00000000-0005-0000-0000-000091430000}"/>
    <cellStyle name="Normal 37 4 2 2 2 2 3" xfId="25980" xr:uid="{00000000-0005-0000-0000-000092430000}"/>
    <cellStyle name="Normal 37 4 2 2 2 3" xfId="13612" xr:uid="{00000000-0005-0000-0000-000093430000}"/>
    <cellStyle name="Normal 37 4 2 2 2 3 2" xfId="30156" xr:uid="{00000000-0005-0000-0000-000094430000}"/>
    <cellStyle name="Normal 37 4 2 2 2 4" xfId="22113" xr:uid="{00000000-0005-0000-0000-000095430000}"/>
    <cellStyle name="Normal 37 4 2 2 3" xfId="8277" xr:uid="{00000000-0005-0000-0000-000096430000}"/>
    <cellStyle name="Normal 37 4 2 2 3 2" xfId="17454" xr:uid="{00000000-0005-0000-0000-000097430000}"/>
    <cellStyle name="Normal 37 4 2 2 3 2 2" xfId="34028" xr:uid="{00000000-0005-0000-0000-000098430000}"/>
    <cellStyle name="Normal 37 4 2 2 3 3" xfId="25981" xr:uid="{00000000-0005-0000-0000-000099430000}"/>
    <cellStyle name="Normal 37 4 2 2 4" xfId="13611" xr:uid="{00000000-0005-0000-0000-00009A430000}"/>
    <cellStyle name="Normal 37 4 2 2 4 2" xfId="30155" xr:uid="{00000000-0005-0000-0000-00009B430000}"/>
    <cellStyle name="Normal 37 4 2 2 5" xfId="22112" xr:uid="{00000000-0005-0000-0000-00009C430000}"/>
    <cellStyle name="Normal 37 4 2 3" xfId="4232" xr:uid="{00000000-0005-0000-0000-00009D430000}"/>
    <cellStyle name="Normal 37 4 2 3 2" xfId="8278" xr:uid="{00000000-0005-0000-0000-00009E430000}"/>
    <cellStyle name="Normal 37 4 2 3 2 2" xfId="17455" xr:uid="{00000000-0005-0000-0000-00009F430000}"/>
    <cellStyle name="Normal 37 4 2 3 2 2 2" xfId="34029" xr:uid="{00000000-0005-0000-0000-0000A0430000}"/>
    <cellStyle name="Normal 37 4 2 3 2 3" xfId="25982" xr:uid="{00000000-0005-0000-0000-0000A1430000}"/>
    <cellStyle name="Normal 37 4 2 3 3" xfId="13613" xr:uid="{00000000-0005-0000-0000-0000A2430000}"/>
    <cellStyle name="Normal 37 4 2 3 3 2" xfId="30157" xr:uid="{00000000-0005-0000-0000-0000A3430000}"/>
    <cellStyle name="Normal 37 4 2 3 4" xfId="22114" xr:uid="{00000000-0005-0000-0000-0000A4430000}"/>
    <cellStyle name="Normal 37 4 2 4" xfId="8279" xr:uid="{00000000-0005-0000-0000-0000A5430000}"/>
    <cellStyle name="Normal 37 4 2 4 2" xfId="17456" xr:uid="{00000000-0005-0000-0000-0000A6430000}"/>
    <cellStyle name="Normal 37 4 2 4 2 2" xfId="34030" xr:uid="{00000000-0005-0000-0000-0000A7430000}"/>
    <cellStyle name="Normal 37 4 2 4 3" xfId="25983" xr:uid="{00000000-0005-0000-0000-0000A8430000}"/>
    <cellStyle name="Normal 37 4 2 5" xfId="13610" xr:uid="{00000000-0005-0000-0000-0000A9430000}"/>
    <cellStyle name="Normal 37 4 2 5 2" xfId="30154" xr:uid="{00000000-0005-0000-0000-0000AA430000}"/>
    <cellStyle name="Normal 37 4 2 6" xfId="22111" xr:uid="{00000000-0005-0000-0000-0000AB430000}"/>
    <cellStyle name="Normal 37 4 3" xfId="4233" xr:uid="{00000000-0005-0000-0000-0000AC430000}"/>
    <cellStyle name="Normal 37 4 3 2" xfId="4234" xr:uid="{00000000-0005-0000-0000-0000AD430000}"/>
    <cellStyle name="Normal 37 4 3 2 2" xfId="8280" xr:uid="{00000000-0005-0000-0000-0000AE430000}"/>
    <cellStyle name="Normal 37 4 3 2 2 2" xfId="17457" xr:uid="{00000000-0005-0000-0000-0000AF430000}"/>
    <cellStyle name="Normal 37 4 3 2 2 2 2" xfId="34031" xr:uid="{00000000-0005-0000-0000-0000B0430000}"/>
    <cellStyle name="Normal 37 4 3 2 2 3" xfId="25984" xr:uid="{00000000-0005-0000-0000-0000B1430000}"/>
    <cellStyle name="Normal 37 4 3 2 3" xfId="13615" xr:uid="{00000000-0005-0000-0000-0000B2430000}"/>
    <cellStyle name="Normal 37 4 3 2 3 2" xfId="30159" xr:uid="{00000000-0005-0000-0000-0000B3430000}"/>
    <cellStyle name="Normal 37 4 3 2 4" xfId="22116" xr:uid="{00000000-0005-0000-0000-0000B4430000}"/>
    <cellStyle name="Normal 37 4 3 3" xfId="8281" xr:uid="{00000000-0005-0000-0000-0000B5430000}"/>
    <cellStyle name="Normal 37 4 3 3 2" xfId="17458" xr:uid="{00000000-0005-0000-0000-0000B6430000}"/>
    <cellStyle name="Normal 37 4 3 3 2 2" xfId="34032" xr:uid="{00000000-0005-0000-0000-0000B7430000}"/>
    <cellStyle name="Normal 37 4 3 3 3" xfId="25985" xr:uid="{00000000-0005-0000-0000-0000B8430000}"/>
    <cellStyle name="Normal 37 4 3 4" xfId="13614" xr:uid="{00000000-0005-0000-0000-0000B9430000}"/>
    <cellStyle name="Normal 37 4 3 4 2" xfId="30158" xr:uid="{00000000-0005-0000-0000-0000BA430000}"/>
    <cellStyle name="Normal 37 4 3 5" xfId="22115" xr:uid="{00000000-0005-0000-0000-0000BB430000}"/>
    <cellStyle name="Normal 37 4 4" xfId="4235" xr:uid="{00000000-0005-0000-0000-0000BC430000}"/>
    <cellStyle name="Normal 37 4 4 2" xfId="8282" xr:uid="{00000000-0005-0000-0000-0000BD430000}"/>
    <cellStyle name="Normal 37 4 4 2 2" xfId="17459" xr:uid="{00000000-0005-0000-0000-0000BE430000}"/>
    <cellStyle name="Normal 37 4 4 2 2 2" xfId="34033" xr:uid="{00000000-0005-0000-0000-0000BF430000}"/>
    <cellStyle name="Normal 37 4 4 2 3" xfId="25986" xr:uid="{00000000-0005-0000-0000-0000C0430000}"/>
    <cellStyle name="Normal 37 4 4 3" xfId="13616" xr:uid="{00000000-0005-0000-0000-0000C1430000}"/>
    <cellStyle name="Normal 37 4 4 3 2" xfId="30160" xr:uid="{00000000-0005-0000-0000-0000C2430000}"/>
    <cellStyle name="Normal 37 4 4 4" xfId="22117" xr:uid="{00000000-0005-0000-0000-0000C3430000}"/>
    <cellStyle name="Normal 37 4 5" xfId="8283" xr:uid="{00000000-0005-0000-0000-0000C4430000}"/>
    <cellStyle name="Normal 37 4 5 2" xfId="17460" xr:uid="{00000000-0005-0000-0000-0000C5430000}"/>
    <cellStyle name="Normal 37 4 5 2 2" xfId="34034" xr:uid="{00000000-0005-0000-0000-0000C6430000}"/>
    <cellStyle name="Normal 37 4 5 3" xfId="25987" xr:uid="{00000000-0005-0000-0000-0000C7430000}"/>
    <cellStyle name="Normal 37 4 6" xfId="13609" xr:uid="{00000000-0005-0000-0000-0000C8430000}"/>
    <cellStyle name="Normal 37 4 6 2" xfId="30153" xr:uid="{00000000-0005-0000-0000-0000C9430000}"/>
    <cellStyle name="Normal 37 4 7" xfId="22110" xr:uid="{00000000-0005-0000-0000-0000CA430000}"/>
    <cellStyle name="Normal 37 5" xfId="4236" xr:uid="{00000000-0005-0000-0000-0000CB430000}"/>
    <cellStyle name="Normal 37 5 2" xfId="4237" xr:uid="{00000000-0005-0000-0000-0000CC430000}"/>
    <cellStyle name="Normal 37 5 2 2" xfId="4238" xr:uid="{00000000-0005-0000-0000-0000CD430000}"/>
    <cellStyle name="Normal 37 5 2 2 2" xfId="4239" xr:uid="{00000000-0005-0000-0000-0000CE430000}"/>
    <cellStyle name="Normal 37 5 2 2 2 2" xfId="8284" xr:uid="{00000000-0005-0000-0000-0000CF430000}"/>
    <cellStyle name="Normal 37 5 2 2 2 2 2" xfId="17461" xr:uid="{00000000-0005-0000-0000-0000D0430000}"/>
    <cellStyle name="Normal 37 5 2 2 2 2 2 2" xfId="34035" xr:uid="{00000000-0005-0000-0000-0000D1430000}"/>
    <cellStyle name="Normal 37 5 2 2 2 2 3" xfId="25988" xr:uid="{00000000-0005-0000-0000-0000D2430000}"/>
    <cellStyle name="Normal 37 5 2 2 2 3" xfId="13620" xr:uid="{00000000-0005-0000-0000-0000D3430000}"/>
    <cellStyle name="Normal 37 5 2 2 2 3 2" xfId="30164" xr:uid="{00000000-0005-0000-0000-0000D4430000}"/>
    <cellStyle name="Normal 37 5 2 2 2 4" xfId="22121" xr:uid="{00000000-0005-0000-0000-0000D5430000}"/>
    <cellStyle name="Normal 37 5 2 2 3" xfId="8285" xr:uid="{00000000-0005-0000-0000-0000D6430000}"/>
    <cellStyle name="Normal 37 5 2 2 3 2" xfId="17462" xr:uid="{00000000-0005-0000-0000-0000D7430000}"/>
    <cellStyle name="Normal 37 5 2 2 3 2 2" xfId="34036" xr:uid="{00000000-0005-0000-0000-0000D8430000}"/>
    <cellStyle name="Normal 37 5 2 2 3 3" xfId="25989" xr:uid="{00000000-0005-0000-0000-0000D9430000}"/>
    <cellStyle name="Normal 37 5 2 2 4" xfId="13619" xr:uid="{00000000-0005-0000-0000-0000DA430000}"/>
    <cellStyle name="Normal 37 5 2 2 4 2" xfId="30163" xr:uid="{00000000-0005-0000-0000-0000DB430000}"/>
    <cellStyle name="Normal 37 5 2 2 5" xfId="22120" xr:uid="{00000000-0005-0000-0000-0000DC430000}"/>
    <cellStyle name="Normal 37 5 2 3" xfId="4240" xr:uid="{00000000-0005-0000-0000-0000DD430000}"/>
    <cellStyle name="Normal 37 5 2 3 2" xfId="8286" xr:uid="{00000000-0005-0000-0000-0000DE430000}"/>
    <cellStyle name="Normal 37 5 2 3 2 2" xfId="17463" xr:uid="{00000000-0005-0000-0000-0000DF430000}"/>
    <cellStyle name="Normal 37 5 2 3 2 2 2" xfId="34037" xr:uid="{00000000-0005-0000-0000-0000E0430000}"/>
    <cellStyle name="Normal 37 5 2 3 2 3" xfId="25990" xr:uid="{00000000-0005-0000-0000-0000E1430000}"/>
    <cellStyle name="Normal 37 5 2 3 3" xfId="13621" xr:uid="{00000000-0005-0000-0000-0000E2430000}"/>
    <cellStyle name="Normal 37 5 2 3 3 2" xfId="30165" xr:uid="{00000000-0005-0000-0000-0000E3430000}"/>
    <cellStyle name="Normal 37 5 2 3 4" xfId="22122" xr:uid="{00000000-0005-0000-0000-0000E4430000}"/>
    <cellStyle name="Normal 37 5 2 4" xfId="8287" xr:uid="{00000000-0005-0000-0000-0000E5430000}"/>
    <cellStyle name="Normal 37 5 2 4 2" xfId="17464" xr:uid="{00000000-0005-0000-0000-0000E6430000}"/>
    <cellStyle name="Normal 37 5 2 4 2 2" xfId="34038" xr:uid="{00000000-0005-0000-0000-0000E7430000}"/>
    <cellStyle name="Normal 37 5 2 4 3" xfId="25991" xr:uid="{00000000-0005-0000-0000-0000E8430000}"/>
    <cellStyle name="Normal 37 5 2 5" xfId="13618" xr:uid="{00000000-0005-0000-0000-0000E9430000}"/>
    <cellStyle name="Normal 37 5 2 5 2" xfId="30162" xr:uid="{00000000-0005-0000-0000-0000EA430000}"/>
    <cellStyle name="Normal 37 5 2 6" xfId="22119" xr:uid="{00000000-0005-0000-0000-0000EB430000}"/>
    <cellStyle name="Normal 37 5 3" xfId="4241" xr:uid="{00000000-0005-0000-0000-0000EC430000}"/>
    <cellStyle name="Normal 37 5 3 2" xfId="4242" xr:uid="{00000000-0005-0000-0000-0000ED430000}"/>
    <cellStyle name="Normal 37 5 3 2 2" xfId="8288" xr:uid="{00000000-0005-0000-0000-0000EE430000}"/>
    <cellStyle name="Normal 37 5 3 2 2 2" xfId="17465" xr:uid="{00000000-0005-0000-0000-0000EF430000}"/>
    <cellStyle name="Normal 37 5 3 2 2 2 2" xfId="34039" xr:uid="{00000000-0005-0000-0000-0000F0430000}"/>
    <cellStyle name="Normal 37 5 3 2 2 3" xfId="25992" xr:uid="{00000000-0005-0000-0000-0000F1430000}"/>
    <cellStyle name="Normal 37 5 3 2 3" xfId="13623" xr:uid="{00000000-0005-0000-0000-0000F2430000}"/>
    <cellStyle name="Normal 37 5 3 2 3 2" xfId="30167" xr:uid="{00000000-0005-0000-0000-0000F3430000}"/>
    <cellStyle name="Normal 37 5 3 2 4" xfId="22124" xr:uid="{00000000-0005-0000-0000-0000F4430000}"/>
    <cellStyle name="Normal 37 5 3 3" xfId="8289" xr:uid="{00000000-0005-0000-0000-0000F5430000}"/>
    <cellStyle name="Normal 37 5 3 3 2" xfId="17466" xr:uid="{00000000-0005-0000-0000-0000F6430000}"/>
    <cellStyle name="Normal 37 5 3 3 2 2" xfId="34040" xr:uid="{00000000-0005-0000-0000-0000F7430000}"/>
    <cellStyle name="Normal 37 5 3 3 3" xfId="25993" xr:uid="{00000000-0005-0000-0000-0000F8430000}"/>
    <cellStyle name="Normal 37 5 3 4" xfId="13622" xr:uid="{00000000-0005-0000-0000-0000F9430000}"/>
    <cellStyle name="Normal 37 5 3 4 2" xfId="30166" xr:uid="{00000000-0005-0000-0000-0000FA430000}"/>
    <cellStyle name="Normal 37 5 3 5" xfId="22123" xr:uid="{00000000-0005-0000-0000-0000FB430000}"/>
    <cellStyle name="Normal 37 5 4" xfId="4243" xr:uid="{00000000-0005-0000-0000-0000FC430000}"/>
    <cellStyle name="Normal 37 5 4 2" xfId="8290" xr:uid="{00000000-0005-0000-0000-0000FD430000}"/>
    <cellStyle name="Normal 37 5 4 2 2" xfId="17467" xr:uid="{00000000-0005-0000-0000-0000FE430000}"/>
    <cellStyle name="Normal 37 5 4 2 2 2" xfId="34041" xr:uid="{00000000-0005-0000-0000-0000FF430000}"/>
    <cellStyle name="Normal 37 5 4 2 3" xfId="25994" xr:uid="{00000000-0005-0000-0000-000000440000}"/>
    <cellStyle name="Normal 37 5 4 3" xfId="13624" xr:uid="{00000000-0005-0000-0000-000001440000}"/>
    <cellStyle name="Normal 37 5 4 3 2" xfId="30168" xr:uid="{00000000-0005-0000-0000-000002440000}"/>
    <cellStyle name="Normal 37 5 4 4" xfId="22125" xr:uid="{00000000-0005-0000-0000-000003440000}"/>
    <cellStyle name="Normal 37 5 5" xfId="8291" xr:uid="{00000000-0005-0000-0000-000004440000}"/>
    <cellStyle name="Normal 37 5 5 2" xfId="17468" xr:uid="{00000000-0005-0000-0000-000005440000}"/>
    <cellStyle name="Normal 37 5 5 2 2" xfId="34042" xr:uid="{00000000-0005-0000-0000-000006440000}"/>
    <cellStyle name="Normal 37 5 5 3" xfId="25995" xr:uid="{00000000-0005-0000-0000-000007440000}"/>
    <cellStyle name="Normal 37 5 6" xfId="13617" xr:uid="{00000000-0005-0000-0000-000008440000}"/>
    <cellStyle name="Normal 37 5 6 2" xfId="30161" xr:uid="{00000000-0005-0000-0000-000009440000}"/>
    <cellStyle name="Normal 37 5 7" xfId="22118" xr:uid="{00000000-0005-0000-0000-00000A440000}"/>
    <cellStyle name="Normal 37 6" xfId="4244" xr:uid="{00000000-0005-0000-0000-00000B440000}"/>
    <cellStyle name="Normal 37 6 2" xfId="4245" xr:uid="{00000000-0005-0000-0000-00000C440000}"/>
    <cellStyle name="Normal 37 6 2 2" xfId="4246" xr:uid="{00000000-0005-0000-0000-00000D440000}"/>
    <cellStyle name="Normal 37 6 2 2 2" xfId="8292" xr:uid="{00000000-0005-0000-0000-00000E440000}"/>
    <cellStyle name="Normal 37 6 2 2 2 2" xfId="17469" xr:uid="{00000000-0005-0000-0000-00000F440000}"/>
    <cellStyle name="Normal 37 6 2 2 2 2 2" xfId="34043" xr:uid="{00000000-0005-0000-0000-000010440000}"/>
    <cellStyle name="Normal 37 6 2 2 2 3" xfId="25996" xr:uid="{00000000-0005-0000-0000-000011440000}"/>
    <cellStyle name="Normal 37 6 2 2 3" xfId="13627" xr:uid="{00000000-0005-0000-0000-000012440000}"/>
    <cellStyle name="Normal 37 6 2 2 3 2" xfId="30171" xr:uid="{00000000-0005-0000-0000-000013440000}"/>
    <cellStyle name="Normal 37 6 2 2 4" xfId="22128" xr:uid="{00000000-0005-0000-0000-000014440000}"/>
    <cellStyle name="Normal 37 6 2 3" xfId="8293" xr:uid="{00000000-0005-0000-0000-000015440000}"/>
    <cellStyle name="Normal 37 6 2 3 2" xfId="17470" xr:uid="{00000000-0005-0000-0000-000016440000}"/>
    <cellStyle name="Normal 37 6 2 3 2 2" xfId="34044" xr:uid="{00000000-0005-0000-0000-000017440000}"/>
    <cellStyle name="Normal 37 6 2 3 3" xfId="25997" xr:uid="{00000000-0005-0000-0000-000018440000}"/>
    <cellStyle name="Normal 37 6 2 4" xfId="13626" xr:uid="{00000000-0005-0000-0000-000019440000}"/>
    <cellStyle name="Normal 37 6 2 4 2" xfId="30170" xr:uid="{00000000-0005-0000-0000-00001A440000}"/>
    <cellStyle name="Normal 37 6 2 5" xfId="22127" xr:uid="{00000000-0005-0000-0000-00001B440000}"/>
    <cellStyle name="Normal 37 6 3" xfId="4247" xr:uid="{00000000-0005-0000-0000-00001C440000}"/>
    <cellStyle name="Normal 37 6 3 2" xfId="8294" xr:uid="{00000000-0005-0000-0000-00001D440000}"/>
    <cellStyle name="Normal 37 6 3 2 2" xfId="17471" xr:uid="{00000000-0005-0000-0000-00001E440000}"/>
    <cellStyle name="Normal 37 6 3 2 2 2" xfId="34045" xr:uid="{00000000-0005-0000-0000-00001F440000}"/>
    <cellStyle name="Normal 37 6 3 2 3" xfId="25998" xr:uid="{00000000-0005-0000-0000-000020440000}"/>
    <cellStyle name="Normal 37 6 3 3" xfId="13628" xr:uid="{00000000-0005-0000-0000-000021440000}"/>
    <cellStyle name="Normal 37 6 3 3 2" xfId="30172" xr:uid="{00000000-0005-0000-0000-000022440000}"/>
    <cellStyle name="Normal 37 6 3 4" xfId="22129" xr:uid="{00000000-0005-0000-0000-000023440000}"/>
    <cellStyle name="Normal 37 6 4" xfId="8295" xr:uid="{00000000-0005-0000-0000-000024440000}"/>
    <cellStyle name="Normal 37 6 4 2" xfId="17472" xr:uid="{00000000-0005-0000-0000-000025440000}"/>
    <cellStyle name="Normal 37 6 4 2 2" xfId="34046" xr:uid="{00000000-0005-0000-0000-000026440000}"/>
    <cellStyle name="Normal 37 6 4 3" xfId="25999" xr:uid="{00000000-0005-0000-0000-000027440000}"/>
    <cellStyle name="Normal 37 6 5" xfId="13625" xr:uid="{00000000-0005-0000-0000-000028440000}"/>
    <cellStyle name="Normal 37 6 5 2" xfId="30169" xr:uid="{00000000-0005-0000-0000-000029440000}"/>
    <cellStyle name="Normal 37 6 6" xfId="22126" xr:uid="{00000000-0005-0000-0000-00002A440000}"/>
    <cellStyle name="Normal 37 7" xfId="4248" xr:uid="{00000000-0005-0000-0000-00002B440000}"/>
    <cellStyle name="Normal 37 7 2" xfId="4249" xr:uid="{00000000-0005-0000-0000-00002C440000}"/>
    <cellStyle name="Normal 37 7 2 2" xfId="8296" xr:uid="{00000000-0005-0000-0000-00002D440000}"/>
    <cellStyle name="Normal 37 7 2 2 2" xfId="17473" xr:uid="{00000000-0005-0000-0000-00002E440000}"/>
    <cellStyle name="Normal 37 7 2 2 2 2" xfId="34047" xr:uid="{00000000-0005-0000-0000-00002F440000}"/>
    <cellStyle name="Normal 37 7 2 2 3" xfId="26000" xr:uid="{00000000-0005-0000-0000-000030440000}"/>
    <cellStyle name="Normal 37 7 2 3" xfId="13630" xr:uid="{00000000-0005-0000-0000-000031440000}"/>
    <cellStyle name="Normal 37 7 2 3 2" xfId="30174" xr:uid="{00000000-0005-0000-0000-000032440000}"/>
    <cellStyle name="Normal 37 7 2 4" xfId="22131" xr:uid="{00000000-0005-0000-0000-000033440000}"/>
    <cellStyle name="Normal 37 7 3" xfId="8297" xr:uid="{00000000-0005-0000-0000-000034440000}"/>
    <cellStyle name="Normal 37 7 3 2" xfId="17474" xr:uid="{00000000-0005-0000-0000-000035440000}"/>
    <cellStyle name="Normal 37 7 3 2 2" xfId="34048" xr:uid="{00000000-0005-0000-0000-000036440000}"/>
    <cellStyle name="Normal 37 7 3 3" xfId="26001" xr:uid="{00000000-0005-0000-0000-000037440000}"/>
    <cellStyle name="Normal 37 7 4" xfId="13629" xr:uid="{00000000-0005-0000-0000-000038440000}"/>
    <cellStyle name="Normal 37 7 4 2" xfId="30173" xr:uid="{00000000-0005-0000-0000-000039440000}"/>
    <cellStyle name="Normal 37 7 5" xfId="22130" xr:uid="{00000000-0005-0000-0000-00003A440000}"/>
    <cellStyle name="Normal 37 8" xfId="4250" xr:uid="{00000000-0005-0000-0000-00003B440000}"/>
    <cellStyle name="Normal 37 8 2" xfId="8298" xr:uid="{00000000-0005-0000-0000-00003C440000}"/>
    <cellStyle name="Normal 37 8 2 2" xfId="17475" xr:uid="{00000000-0005-0000-0000-00003D440000}"/>
    <cellStyle name="Normal 37 8 2 2 2" xfId="34049" xr:uid="{00000000-0005-0000-0000-00003E440000}"/>
    <cellStyle name="Normal 37 8 2 3" xfId="26002" xr:uid="{00000000-0005-0000-0000-00003F440000}"/>
    <cellStyle name="Normal 37 8 3" xfId="13631" xr:uid="{00000000-0005-0000-0000-000040440000}"/>
    <cellStyle name="Normal 37 8 3 2" xfId="30175" xr:uid="{00000000-0005-0000-0000-000041440000}"/>
    <cellStyle name="Normal 37 8 4" xfId="22132" xr:uid="{00000000-0005-0000-0000-000042440000}"/>
    <cellStyle name="Normal 37 9" xfId="8299" xr:uid="{00000000-0005-0000-0000-000043440000}"/>
    <cellStyle name="Normal 37 9 2" xfId="17476" xr:uid="{00000000-0005-0000-0000-000044440000}"/>
    <cellStyle name="Normal 37 9 2 2" xfId="34050" xr:uid="{00000000-0005-0000-0000-000045440000}"/>
    <cellStyle name="Normal 37 9 3" xfId="26003" xr:uid="{00000000-0005-0000-0000-000046440000}"/>
    <cellStyle name="Normal 38" xfId="4251" xr:uid="{00000000-0005-0000-0000-000047440000}"/>
    <cellStyle name="Normal 38 10" xfId="13632" xr:uid="{00000000-0005-0000-0000-000048440000}"/>
    <cellStyle name="Normal 38 10 2" xfId="30176" xr:uid="{00000000-0005-0000-0000-000049440000}"/>
    <cellStyle name="Normal 38 11" xfId="22133" xr:uid="{00000000-0005-0000-0000-00004A440000}"/>
    <cellStyle name="Normal 38 2" xfId="4252" xr:uid="{00000000-0005-0000-0000-00004B440000}"/>
    <cellStyle name="Normal 38 2 2" xfId="4253" xr:uid="{00000000-0005-0000-0000-00004C440000}"/>
    <cellStyle name="Normal 38 2 3" xfId="13633" xr:uid="{00000000-0005-0000-0000-00004D440000}"/>
    <cellStyle name="Normal 38 2 3 2" xfId="30177" xr:uid="{00000000-0005-0000-0000-00004E440000}"/>
    <cellStyle name="Normal 38 2 4" xfId="22134" xr:uid="{00000000-0005-0000-0000-00004F440000}"/>
    <cellStyle name="Normal 38 3" xfId="4254" xr:uid="{00000000-0005-0000-0000-000050440000}"/>
    <cellStyle name="Normal 38 3 2" xfId="4255" xr:uid="{00000000-0005-0000-0000-000051440000}"/>
    <cellStyle name="Normal 38 3 2 2" xfId="4256" xr:uid="{00000000-0005-0000-0000-000052440000}"/>
    <cellStyle name="Normal 38 3 2 2 2" xfId="4257" xr:uid="{00000000-0005-0000-0000-000053440000}"/>
    <cellStyle name="Normal 38 3 2 2 2 2" xfId="8300" xr:uid="{00000000-0005-0000-0000-000054440000}"/>
    <cellStyle name="Normal 38 3 2 2 2 2 2" xfId="17477" xr:uid="{00000000-0005-0000-0000-000055440000}"/>
    <cellStyle name="Normal 38 3 2 2 2 2 2 2" xfId="34051" xr:uid="{00000000-0005-0000-0000-000056440000}"/>
    <cellStyle name="Normal 38 3 2 2 2 2 3" xfId="26004" xr:uid="{00000000-0005-0000-0000-000057440000}"/>
    <cellStyle name="Normal 38 3 2 2 2 3" xfId="13636" xr:uid="{00000000-0005-0000-0000-000058440000}"/>
    <cellStyle name="Normal 38 3 2 2 2 3 2" xfId="30180" xr:uid="{00000000-0005-0000-0000-000059440000}"/>
    <cellStyle name="Normal 38 3 2 2 2 4" xfId="22137" xr:uid="{00000000-0005-0000-0000-00005A440000}"/>
    <cellStyle name="Normal 38 3 2 2 3" xfId="8301" xr:uid="{00000000-0005-0000-0000-00005B440000}"/>
    <cellStyle name="Normal 38 3 2 2 3 2" xfId="17478" xr:uid="{00000000-0005-0000-0000-00005C440000}"/>
    <cellStyle name="Normal 38 3 2 2 3 2 2" xfId="34052" xr:uid="{00000000-0005-0000-0000-00005D440000}"/>
    <cellStyle name="Normal 38 3 2 2 3 3" xfId="26005" xr:uid="{00000000-0005-0000-0000-00005E440000}"/>
    <cellStyle name="Normal 38 3 2 2 4" xfId="13635" xr:uid="{00000000-0005-0000-0000-00005F440000}"/>
    <cellStyle name="Normal 38 3 2 2 4 2" xfId="30179" xr:uid="{00000000-0005-0000-0000-000060440000}"/>
    <cellStyle name="Normal 38 3 2 2 5" xfId="22136" xr:uid="{00000000-0005-0000-0000-000061440000}"/>
    <cellStyle name="Normal 38 3 2 3" xfId="4258" xr:uid="{00000000-0005-0000-0000-000062440000}"/>
    <cellStyle name="Normal 38 3 2 3 2" xfId="8302" xr:uid="{00000000-0005-0000-0000-000063440000}"/>
    <cellStyle name="Normal 38 3 2 3 2 2" xfId="17479" xr:uid="{00000000-0005-0000-0000-000064440000}"/>
    <cellStyle name="Normal 38 3 2 3 2 2 2" xfId="34053" xr:uid="{00000000-0005-0000-0000-000065440000}"/>
    <cellStyle name="Normal 38 3 2 3 2 3" xfId="26006" xr:uid="{00000000-0005-0000-0000-000066440000}"/>
    <cellStyle name="Normal 38 3 2 3 3" xfId="13637" xr:uid="{00000000-0005-0000-0000-000067440000}"/>
    <cellStyle name="Normal 38 3 2 3 3 2" xfId="30181" xr:uid="{00000000-0005-0000-0000-000068440000}"/>
    <cellStyle name="Normal 38 3 2 3 4" xfId="22138" xr:uid="{00000000-0005-0000-0000-000069440000}"/>
    <cellStyle name="Normal 38 3 2 4" xfId="8303" xr:uid="{00000000-0005-0000-0000-00006A440000}"/>
    <cellStyle name="Normal 38 3 2 4 2" xfId="17480" xr:uid="{00000000-0005-0000-0000-00006B440000}"/>
    <cellStyle name="Normal 38 3 2 4 2 2" xfId="34054" xr:uid="{00000000-0005-0000-0000-00006C440000}"/>
    <cellStyle name="Normal 38 3 2 4 3" xfId="26007" xr:uid="{00000000-0005-0000-0000-00006D440000}"/>
    <cellStyle name="Normal 38 3 2 5" xfId="13634" xr:uid="{00000000-0005-0000-0000-00006E440000}"/>
    <cellStyle name="Normal 38 3 2 5 2" xfId="30178" xr:uid="{00000000-0005-0000-0000-00006F440000}"/>
    <cellStyle name="Normal 38 3 2 6" xfId="22135" xr:uid="{00000000-0005-0000-0000-000070440000}"/>
    <cellStyle name="Normal 38 3 3" xfId="4259" xr:uid="{00000000-0005-0000-0000-000071440000}"/>
    <cellStyle name="Normal 38 3 3 2" xfId="4260" xr:uid="{00000000-0005-0000-0000-000072440000}"/>
    <cellStyle name="Normal 38 3 3 2 2" xfId="8304" xr:uid="{00000000-0005-0000-0000-000073440000}"/>
    <cellStyle name="Normal 38 3 3 2 2 2" xfId="17481" xr:uid="{00000000-0005-0000-0000-000074440000}"/>
    <cellStyle name="Normal 38 3 3 2 2 2 2" xfId="34055" xr:uid="{00000000-0005-0000-0000-000075440000}"/>
    <cellStyle name="Normal 38 3 3 2 2 3" xfId="26008" xr:uid="{00000000-0005-0000-0000-000076440000}"/>
    <cellStyle name="Normal 38 3 3 2 3" xfId="13639" xr:uid="{00000000-0005-0000-0000-000077440000}"/>
    <cellStyle name="Normal 38 3 3 2 3 2" xfId="30183" xr:uid="{00000000-0005-0000-0000-000078440000}"/>
    <cellStyle name="Normal 38 3 3 2 4" xfId="22140" xr:uid="{00000000-0005-0000-0000-000079440000}"/>
    <cellStyle name="Normal 38 3 3 3" xfId="8305" xr:uid="{00000000-0005-0000-0000-00007A440000}"/>
    <cellStyle name="Normal 38 3 3 3 2" xfId="17482" xr:uid="{00000000-0005-0000-0000-00007B440000}"/>
    <cellStyle name="Normal 38 3 3 3 2 2" xfId="34056" xr:uid="{00000000-0005-0000-0000-00007C440000}"/>
    <cellStyle name="Normal 38 3 3 3 3" xfId="26009" xr:uid="{00000000-0005-0000-0000-00007D440000}"/>
    <cellStyle name="Normal 38 3 3 4" xfId="13638" xr:uid="{00000000-0005-0000-0000-00007E440000}"/>
    <cellStyle name="Normal 38 3 3 4 2" xfId="30182" xr:uid="{00000000-0005-0000-0000-00007F440000}"/>
    <cellStyle name="Normal 38 3 3 5" xfId="22139" xr:uid="{00000000-0005-0000-0000-000080440000}"/>
    <cellStyle name="Normal 38 3 4" xfId="4261" xr:uid="{00000000-0005-0000-0000-000081440000}"/>
    <cellStyle name="Normal 38 3 4 2" xfId="8306" xr:uid="{00000000-0005-0000-0000-000082440000}"/>
    <cellStyle name="Normal 38 3 4 2 2" xfId="17483" xr:uid="{00000000-0005-0000-0000-000083440000}"/>
    <cellStyle name="Normal 38 3 4 2 2 2" xfId="34057" xr:uid="{00000000-0005-0000-0000-000084440000}"/>
    <cellStyle name="Normal 38 3 4 2 3" xfId="26010" xr:uid="{00000000-0005-0000-0000-000085440000}"/>
    <cellStyle name="Normal 38 3 4 3" xfId="13640" xr:uid="{00000000-0005-0000-0000-000086440000}"/>
    <cellStyle name="Normal 38 3 4 3 2" xfId="30184" xr:uid="{00000000-0005-0000-0000-000087440000}"/>
    <cellStyle name="Normal 38 3 4 4" xfId="22141" xr:uid="{00000000-0005-0000-0000-000088440000}"/>
    <cellStyle name="Normal 38 3 5" xfId="4262" xr:uid="{00000000-0005-0000-0000-000089440000}"/>
    <cellStyle name="Normal 38 3 5 2" xfId="13641" xr:uid="{00000000-0005-0000-0000-00008A440000}"/>
    <cellStyle name="Normal 38 3 5 2 2" xfId="30185" xr:uid="{00000000-0005-0000-0000-00008B440000}"/>
    <cellStyle name="Normal 38 3 5 3" xfId="22142" xr:uid="{00000000-0005-0000-0000-00008C440000}"/>
    <cellStyle name="Normal 38 4" xfId="4263" xr:uid="{00000000-0005-0000-0000-00008D440000}"/>
    <cellStyle name="Normal 38 4 2" xfId="4264" xr:uid="{00000000-0005-0000-0000-00008E440000}"/>
    <cellStyle name="Normal 38 4 2 2" xfId="4265" xr:uid="{00000000-0005-0000-0000-00008F440000}"/>
    <cellStyle name="Normal 38 4 2 2 2" xfId="4266" xr:uid="{00000000-0005-0000-0000-000090440000}"/>
    <cellStyle name="Normal 38 4 2 2 2 2" xfId="8307" xr:uid="{00000000-0005-0000-0000-000091440000}"/>
    <cellStyle name="Normal 38 4 2 2 2 2 2" xfId="17484" xr:uid="{00000000-0005-0000-0000-000092440000}"/>
    <cellStyle name="Normal 38 4 2 2 2 2 2 2" xfId="34058" xr:uid="{00000000-0005-0000-0000-000093440000}"/>
    <cellStyle name="Normal 38 4 2 2 2 2 3" xfId="26011" xr:uid="{00000000-0005-0000-0000-000094440000}"/>
    <cellStyle name="Normal 38 4 2 2 2 3" xfId="13645" xr:uid="{00000000-0005-0000-0000-000095440000}"/>
    <cellStyle name="Normal 38 4 2 2 2 3 2" xfId="30189" xr:uid="{00000000-0005-0000-0000-000096440000}"/>
    <cellStyle name="Normal 38 4 2 2 2 4" xfId="22146" xr:uid="{00000000-0005-0000-0000-000097440000}"/>
    <cellStyle name="Normal 38 4 2 2 3" xfId="8308" xr:uid="{00000000-0005-0000-0000-000098440000}"/>
    <cellStyle name="Normal 38 4 2 2 3 2" xfId="17485" xr:uid="{00000000-0005-0000-0000-000099440000}"/>
    <cellStyle name="Normal 38 4 2 2 3 2 2" xfId="34059" xr:uid="{00000000-0005-0000-0000-00009A440000}"/>
    <cellStyle name="Normal 38 4 2 2 3 3" xfId="26012" xr:uid="{00000000-0005-0000-0000-00009B440000}"/>
    <cellStyle name="Normal 38 4 2 2 4" xfId="13644" xr:uid="{00000000-0005-0000-0000-00009C440000}"/>
    <cellStyle name="Normal 38 4 2 2 4 2" xfId="30188" xr:uid="{00000000-0005-0000-0000-00009D440000}"/>
    <cellStyle name="Normal 38 4 2 2 5" xfId="22145" xr:uid="{00000000-0005-0000-0000-00009E440000}"/>
    <cellStyle name="Normal 38 4 2 3" xfId="4267" xr:uid="{00000000-0005-0000-0000-00009F440000}"/>
    <cellStyle name="Normal 38 4 2 3 2" xfId="8309" xr:uid="{00000000-0005-0000-0000-0000A0440000}"/>
    <cellStyle name="Normal 38 4 2 3 2 2" xfId="17486" xr:uid="{00000000-0005-0000-0000-0000A1440000}"/>
    <cellStyle name="Normal 38 4 2 3 2 2 2" xfId="34060" xr:uid="{00000000-0005-0000-0000-0000A2440000}"/>
    <cellStyle name="Normal 38 4 2 3 2 3" xfId="26013" xr:uid="{00000000-0005-0000-0000-0000A3440000}"/>
    <cellStyle name="Normal 38 4 2 3 3" xfId="13646" xr:uid="{00000000-0005-0000-0000-0000A4440000}"/>
    <cellStyle name="Normal 38 4 2 3 3 2" xfId="30190" xr:uid="{00000000-0005-0000-0000-0000A5440000}"/>
    <cellStyle name="Normal 38 4 2 3 4" xfId="22147" xr:uid="{00000000-0005-0000-0000-0000A6440000}"/>
    <cellStyle name="Normal 38 4 2 4" xfId="8310" xr:uid="{00000000-0005-0000-0000-0000A7440000}"/>
    <cellStyle name="Normal 38 4 2 4 2" xfId="17487" xr:uid="{00000000-0005-0000-0000-0000A8440000}"/>
    <cellStyle name="Normal 38 4 2 4 2 2" xfId="34061" xr:uid="{00000000-0005-0000-0000-0000A9440000}"/>
    <cellStyle name="Normal 38 4 2 4 3" xfId="26014" xr:uid="{00000000-0005-0000-0000-0000AA440000}"/>
    <cellStyle name="Normal 38 4 2 5" xfId="13643" xr:uid="{00000000-0005-0000-0000-0000AB440000}"/>
    <cellStyle name="Normal 38 4 2 5 2" xfId="30187" xr:uid="{00000000-0005-0000-0000-0000AC440000}"/>
    <cellStyle name="Normal 38 4 2 6" xfId="22144" xr:uid="{00000000-0005-0000-0000-0000AD440000}"/>
    <cellStyle name="Normal 38 4 3" xfId="4268" xr:uid="{00000000-0005-0000-0000-0000AE440000}"/>
    <cellStyle name="Normal 38 4 3 2" xfId="4269" xr:uid="{00000000-0005-0000-0000-0000AF440000}"/>
    <cellStyle name="Normal 38 4 3 2 2" xfId="8311" xr:uid="{00000000-0005-0000-0000-0000B0440000}"/>
    <cellStyle name="Normal 38 4 3 2 2 2" xfId="17488" xr:uid="{00000000-0005-0000-0000-0000B1440000}"/>
    <cellStyle name="Normal 38 4 3 2 2 2 2" xfId="34062" xr:uid="{00000000-0005-0000-0000-0000B2440000}"/>
    <cellStyle name="Normal 38 4 3 2 2 3" xfId="26015" xr:uid="{00000000-0005-0000-0000-0000B3440000}"/>
    <cellStyle name="Normal 38 4 3 2 3" xfId="13648" xr:uid="{00000000-0005-0000-0000-0000B4440000}"/>
    <cellStyle name="Normal 38 4 3 2 3 2" xfId="30192" xr:uid="{00000000-0005-0000-0000-0000B5440000}"/>
    <cellStyle name="Normal 38 4 3 2 4" xfId="22149" xr:uid="{00000000-0005-0000-0000-0000B6440000}"/>
    <cellStyle name="Normal 38 4 3 3" xfId="8312" xr:uid="{00000000-0005-0000-0000-0000B7440000}"/>
    <cellStyle name="Normal 38 4 3 3 2" xfId="17489" xr:uid="{00000000-0005-0000-0000-0000B8440000}"/>
    <cellStyle name="Normal 38 4 3 3 2 2" xfId="34063" xr:uid="{00000000-0005-0000-0000-0000B9440000}"/>
    <cellStyle name="Normal 38 4 3 3 3" xfId="26016" xr:uid="{00000000-0005-0000-0000-0000BA440000}"/>
    <cellStyle name="Normal 38 4 3 4" xfId="13647" xr:uid="{00000000-0005-0000-0000-0000BB440000}"/>
    <cellStyle name="Normal 38 4 3 4 2" xfId="30191" xr:uid="{00000000-0005-0000-0000-0000BC440000}"/>
    <cellStyle name="Normal 38 4 3 5" xfId="22148" xr:uid="{00000000-0005-0000-0000-0000BD440000}"/>
    <cellStyle name="Normal 38 4 4" xfId="4270" xr:uid="{00000000-0005-0000-0000-0000BE440000}"/>
    <cellStyle name="Normal 38 4 4 2" xfId="8313" xr:uid="{00000000-0005-0000-0000-0000BF440000}"/>
    <cellStyle name="Normal 38 4 4 2 2" xfId="17490" xr:uid="{00000000-0005-0000-0000-0000C0440000}"/>
    <cellStyle name="Normal 38 4 4 2 2 2" xfId="34064" xr:uid="{00000000-0005-0000-0000-0000C1440000}"/>
    <cellStyle name="Normal 38 4 4 2 3" xfId="26017" xr:uid="{00000000-0005-0000-0000-0000C2440000}"/>
    <cellStyle name="Normal 38 4 4 3" xfId="13649" xr:uid="{00000000-0005-0000-0000-0000C3440000}"/>
    <cellStyle name="Normal 38 4 4 3 2" xfId="30193" xr:uid="{00000000-0005-0000-0000-0000C4440000}"/>
    <cellStyle name="Normal 38 4 4 4" xfId="22150" xr:uid="{00000000-0005-0000-0000-0000C5440000}"/>
    <cellStyle name="Normal 38 4 5" xfId="8314" xr:uid="{00000000-0005-0000-0000-0000C6440000}"/>
    <cellStyle name="Normal 38 4 5 2" xfId="17491" xr:uid="{00000000-0005-0000-0000-0000C7440000}"/>
    <cellStyle name="Normal 38 4 5 2 2" xfId="34065" xr:uid="{00000000-0005-0000-0000-0000C8440000}"/>
    <cellStyle name="Normal 38 4 5 3" xfId="26018" xr:uid="{00000000-0005-0000-0000-0000C9440000}"/>
    <cellStyle name="Normal 38 4 6" xfId="13642" xr:uid="{00000000-0005-0000-0000-0000CA440000}"/>
    <cellStyle name="Normal 38 4 6 2" xfId="30186" xr:uid="{00000000-0005-0000-0000-0000CB440000}"/>
    <cellStyle name="Normal 38 4 7" xfId="22143" xr:uid="{00000000-0005-0000-0000-0000CC440000}"/>
    <cellStyle name="Normal 38 5" xfId="4271" xr:uid="{00000000-0005-0000-0000-0000CD440000}"/>
    <cellStyle name="Normal 38 5 2" xfId="4272" xr:uid="{00000000-0005-0000-0000-0000CE440000}"/>
    <cellStyle name="Normal 38 5 2 2" xfId="4273" xr:uid="{00000000-0005-0000-0000-0000CF440000}"/>
    <cellStyle name="Normal 38 5 2 2 2" xfId="4274" xr:uid="{00000000-0005-0000-0000-0000D0440000}"/>
    <cellStyle name="Normal 38 5 2 2 2 2" xfId="8315" xr:uid="{00000000-0005-0000-0000-0000D1440000}"/>
    <cellStyle name="Normal 38 5 2 2 2 2 2" xfId="17492" xr:uid="{00000000-0005-0000-0000-0000D2440000}"/>
    <cellStyle name="Normal 38 5 2 2 2 2 2 2" xfId="34066" xr:uid="{00000000-0005-0000-0000-0000D3440000}"/>
    <cellStyle name="Normal 38 5 2 2 2 2 3" xfId="26019" xr:uid="{00000000-0005-0000-0000-0000D4440000}"/>
    <cellStyle name="Normal 38 5 2 2 2 3" xfId="13653" xr:uid="{00000000-0005-0000-0000-0000D5440000}"/>
    <cellStyle name="Normal 38 5 2 2 2 3 2" xfId="30197" xr:uid="{00000000-0005-0000-0000-0000D6440000}"/>
    <cellStyle name="Normal 38 5 2 2 2 4" xfId="22154" xr:uid="{00000000-0005-0000-0000-0000D7440000}"/>
    <cellStyle name="Normal 38 5 2 2 3" xfId="8316" xr:uid="{00000000-0005-0000-0000-0000D8440000}"/>
    <cellStyle name="Normal 38 5 2 2 3 2" xfId="17493" xr:uid="{00000000-0005-0000-0000-0000D9440000}"/>
    <cellStyle name="Normal 38 5 2 2 3 2 2" xfId="34067" xr:uid="{00000000-0005-0000-0000-0000DA440000}"/>
    <cellStyle name="Normal 38 5 2 2 3 3" xfId="26020" xr:uid="{00000000-0005-0000-0000-0000DB440000}"/>
    <cellStyle name="Normal 38 5 2 2 4" xfId="13652" xr:uid="{00000000-0005-0000-0000-0000DC440000}"/>
    <cellStyle name="Normal 38 5 2 2 4 2" xfId="30196" xr:uid="{00000000-0005-0000-0000-0000DD440000}"/>
    <cellStyle name="Normal 38 5 2 2 5" xfId="22153" xr:uid="{00000000-0005-0000-0000-0000DE440000}"/>
    <cellStyle name="Normal 38 5 2 3" xfId="4275" xr:uid="{00000000-0005-0000-0000-0000DF440000}"/>
    <cellStyle name="Normal 38 5 2 3 2" xfId="8317" xr:uid="{00000000-0005-0000-0000-0000E0440000}"/>
    <cellStyle name="Normal 38 5 2 3 2 2" xfId="17494" xr:uid="{00000000-0005-0000-0000-0000E1440000}"/>
    <cellStyle name="Normal 38 5 2 3 2 2 2" xfId="34068" xr:uid="{00000000-0005-0000-0000-0000E2440000}"/>
    <cellStyle name="Normal 38 5 2 3 2 3" xfId="26021" xr:uid="{00000000-0005-0000-0000-0000E3440000}"/>
    <cellStyle name="Normal 38 5 2 3 3" xfId="13654" xr:uid="{00000000-0005-0000-0000-0000E4440000}"/>
    <cellStyle name="Normal 38 5 2 3 3 2" xfId="30198" xr:uid="{00000000-0005-0000-0000-0000E5440000}"/>
    <cellStyle name="Normal 38 5 2 3 4" xfId="22155" xr:uid="{00000000-0005-0000-0000-0000E6440000}"/>
    <cellStyle name="Normal 38 5 2 4" xfId="8318" xr:uid="{00000000-0005-0000-0000-0000E7440000}"/>
    <cellStyle name="Normal 38 5 2 4 2" xfId="17495" xr:uid="{00000000-0005-0000-0000-0000E8440000}"/>
    <cellStyle name="Normal 38 5 2 4 2 2" xfId="34069" xr:uid="{00000000-0005-0000-0000-0000E9440000}"/>
    <cellStyle name="Normal 38 5 2 4 3" xfId="26022" xr:uid="{00000000-0005-0000-0000-0000EA440000}"/>
    <cellStyle name="Normal 38 5 2 5" xfId="13651" xr:uid="{00000000-0005-0000-0000-0000EB440000}"/>
    <cellStyle name="Normal 38 5 2 5 2" xfId="30195" xr:uid="{00000000-0005-0000-0000-0000EC440000}"/>
    <cellStyle name="Normal 38 5 2 6" xfId="22152" xr:uid="{00000000-0005-0000-0000-0000ED440000}"/>
    <cellStyle name="Normal 38 5 3" xfId="4276" xr:uid="{00000000-0005-0000-0000-0000EE440000}"/>
    <cellStyle name="Normal 38 5 3 2" xfId="4277" xr:uid="{00000000-0005-0000-0000-0000EF440000}"/>
    <cellStyle name="Normal 38 5 3 2 2" xfId="8319" xr:uid="{00000000-0005-0000-0000-0000F0440000}"/>
    <cellStyle name="Normal 38 5 3 2 2 2" xfId="17496" xr:uid="{00000000-0005-0000-0000-0000F1440000}"/>
    <cellStyle name="Normal 38 5 3 2 2 2 2" xfId="34070" xr:uid="{00000000-0005-0000-0000-0000F2440000}"/>
    <cellStyle name="Normal 38 5 3 2 2 3" xfId="26023" xr:uid="{00000000-0005-0000-0000-0000F3440000}"/>
    <cellStyle name="Normal 38 5 3 2 3" xfId="13656" xr:uid="{00000000-0005-0000-0000-0000F4440000}"/>
    <cellStyle name="Normal 38 5 3 2 3 2" xfId="30200" xr:uid="{00000000-0005-0000-0000-0000F5440000}"/>
    <cellStyle name="Normal 38 5 3 2 4" xfId="22157" xr:uid="{00000000-0005-0000-0000-0000F6440000}"/>
    <cellStyle name="Normal 38 5 3 3" xfId="8320" xr:uid="{00000000-0005-0000-0000-0000F7440000}"/>
    <cellStyle name="Normal 38 5 3 3 2" xfId="17497" xr:uid="{00000000-0005-0000-0000-0000F8440000}"/>
    <cellStyle name="Normal 38 5 3 3 2 2" xfId="34071" xr:uid="{00000000-0005-0000-0000-0000F9440000}"/>
    <cellStyle name="Normal 38 5 3 3 3" xfId="26024" xr:uid="{00000000-0005-0000-0000-0000FA440000}"/>
    <cellStyle name="Normal 38 5 3 4" xfId="13655" xr:uid="{00000000-0005-0000-0000-0000FB440000}"/>
    <cellStyle name="Normal 38 5 3 4 2" xfId="30199" xr:uid="{00000000-0005-0000-0000-0000FC440000}"/>
    <cellStyle name="Normal 38 5 3 5" xfId="22156" xr:uid="{00000000-0005-0000-0000-0000FD440000}"/>
    <cellStyle name="Normal 38 5 4" xfId="4278" xr:uid="{00000000-0005-0000-0000-0000FE440000}"/>
    <cellStyle name="Normal 38 5 4 2" xfId="8321" xr:uid="{00000000-0005-0000-0000-0000FF440000}"/>
    <cellStyle name="Normal 38 5 4 2 2" xfId="17498" xr:uid="{00000000-0005-0000-0000-000000450000}"/>
    <cellStyle name="Normal 38 5 4 2 2 2" xfId="34072" xr:uid="{00000000-0005-0000-0000-000001450000}"/>
    <cellStyle name="Normal 38 5 4 2 3" xfId="26025" xr:uid="{00000000-0005-0000-0000-000002450000}"/>
    <cellStyle name="Normal 38 5 4 3" xfId="13657" xr:uid="{00000000-0005-0000-0000-000003450000}"/>
    <cellStyle name="Normal 38 5 4 3 2" xfId="30201" xr:uid="{00000000-0005-0000-0000-000004450000}"/>
    <cellStyle name="Normal 38 5 4 4" xfId="22158" xr:uid="{00000000-0005-0000-0000-000005450000}"/>
    <cellStyle name="Normal 38 5 5" xfId="8322" xr:uid="{00000000-0005-0000-0000-000006450000}"/>
    <cellStyle name="Normal 38 5 5 2" xfId="17499" xr:uid="{00000000-0005-0000-0000-000007450000}"/>
    <cellStyle name="Normal 38 5 5 2 2" xfId="34073" xr:uid="{00000000-0005-0000-0000-000008450000}"/>
    <cellStyle name="Normal 38 5 5 3" xfId="26026" xr:uid="{00000000-0005-0000-0000-000009450000}"/>
    <cellStyle name="Normal 38 5 6" xfId="13650" xr:uid="{00000000-0005-0000-0000-00000A450000}"/>
    <cellStyle name="Normal 38 5 6 2" xfId="30194" xr:uid="{00000000-0005-0000-0000-00000B450000}"/>
    <cellStyle name="Normal 38 5 7" xfId="22151" xr:uid="{00000000-0005-0000-0000-00000C450000}"/>
    <cellStyle name="Normal 38 6" xfId="4279" xr:uid="{00000000-0005-0000-0000-00000D450000}"/>
    <cellStyle name="Normal 38 6 2" xfId="4280" xr:uid="{00000000-0005-0000-0000-00000E450000}"/>
    <cellStyle name="Normal 38 6 2 2" xfId="4281" xr:uid="{00000000-0005-0000-0000-00000F450000}"/>
    <cellStyle name="Normal 38 6 2 2 2" xfId="8323" xr:uid="{00000000-0005-0000-0000-000010450000}"/>
    <cellStyle name="Normal 38 6 2 2 2 2" xfId="17500" xr:uid="{00000000-0005-0000-0000-000011450000}"/>
    <cellStyle name="Normal 38 6 2 2 2 2 2" xfId="34074" xr:uid="{00000000-0005-0000-0000-000012450000}"/>
    <cellStyle name="Normal 38 6 2 2 2 3" xfId="26027" xr:uid="{00000000-0005-0000-0000-000013450000}"/>
    <cellStyle name="Normal 38 6 2 2 3" xfId="13660" xr:uid="{00000000-0005-0000-0000-000014450000}"/>
    <cellStyle name="Normal 38 6 2 2 3 2" xfId="30204" xr:uid="{00000000-0005-0000-0000-000015450000}"/>
    <cellStyle name="Normal 38 6 2 2 4" xfId="22161" xr:uid="{00000000-0005-0000-0000-000016450000}"/>
    <cellStyle name="Normal 38 6 2 3" xfId="8324" xr:uid="{00000000-0005-0000-0000-000017450000}"/>
    <cellStyle name="Normal 38 6 2 3 2" xfId="17501" xr:uid="{00000000-0005-0000-0000-000018450000}"/>
    <cellStyle name="Normal 38 6 2 3 2 2" xfId="34075" xr:uid="{00000000-0005-0000-0000-000019450000}"/>
    <cellStyle name="Normal 38 6 2 3 3" xfId="26028" xr:uid="{00000000-0005-0000-0000-00001A450000}"/>
    <cellStyle name="Normal 38 6 2 4" xfId="13659" xr:uid="{00000000-0005-0000-0000-00001B450000}"/>
    <cellStyle name="Normal 38 6 2 4 2" xfId="30203" xr:uid="{00000000-0005-0000-0000-00001C450000}"/>
    <cellStyle name="Normal 38 6 2 5" xfId="22160" xr:uid="{00000000-0005-0000-0000-00001D450000}"/>
    <cellStyle name="Normal 38 6 3" xfId="4282" xr:uid="{00000000-0005-0000-0000-00001E450000}"/>
    <cellStyle name="Normal 38 6 3 2" xfId="8325" xr:uid="{00000000-0005-0000-0000-00001F450000}"/>
    <cellStyle name="Normal 38 6 3 2 2" xfId="17502" xr:uid="{00000000-0005-0000-0000-000020450000}"/>
    <cellStyle name="Normal 38 6 3 2 2 2" xfId="34076" xr:uid="{00000000-0005-0000-0000-000021450000}"/>
    <cellStyle name="Normal 38 6 3 2 3" xfId="26029" xr:uid="{00000000-0005-0000-0000-000022450000}"/>
    <cellStyle name="Normal 38 6 3 3" xfId="13661" xr:uid="{00000000-0005-0000-0000-000023450000}"/>
    <cellStyle name="Normal 38 6 3 3 2" xfId="30205" xr:uid="{00000000-0005-0000-0000-000024450000}"/>
    <cellStyle name="Normal 38 6 3 4" xfId="22162" xr:uid="{00000000-0005-0000-0000-000025450000}"/>
    <cellStyle name="Normal 38 6 4" xfId="8326" xr:uid="{00000000-0005-0000-0000-000026450000}"/>
    <cellStyle name="Normal 38 6 4 2" xfId="17503" xr:uid="{00000000-0005-0000-0000-000027450000}"/>
    <cellStyle name="Normal 38 6 4 2 2" xfId="34077" xr:uid="{00000000-0005-0000-0000-000028450000}"/>
    <cellStyle name="Normal 38 6 4 3" xfId="26030" xr:uid="{00000000-0005-0000-0000-000029450000}"/>
    <cellStyle name="Normal 38 6 5" xfId="13658" xr:uid="{00000000-0005-0000-0000-00002A450000}"/>
    <cellStyle name="Normal 38 6 5 2" xfId="30202" xr:uid="{00000000-0005-0000-0000-00002B450000}"/>
    <cellStyle name="Normal 38 6 6" xfId="22159" xr:uid="{00000000-0005-0000-0000-00002C450000}"/>
    <cellStyle name="Normal 38 7" xfId="4283" xr:uid="{00000000-0005-0000-0000-00002D450000}"/>
    <cellStyle name="Normal 38 7 2" xfId="4284" xr:uid="{00000000-0005-0000-0000-00002E450000}"/>
    <cellStyle name="Normal 38 7 2 2" xfId="8327" xr:uid="{00000000-0005-0000-0000-00002F450000}"/>
    <cellStyle name="Normal 38 7 2 2 2" xfId="17504" xr:uid="{00000000-0005-0000-0000-000030450000}"/>
    <cellStyle name="Normal 38 7 2 2 2 2" xfId="34078" xr:uid="{00000000-0005-0000-0000-000031450000}"/>
    <cellStyle name="Normal 38 7 2 2 3" xfId="26031" xr:uid="{00000000-0005-0000-0000-000032450000}"/>
    <cellStyle name="Normal 38 7 2 3" xfId="13663" xr:uid="{00000000-0005-0000-0000-000033450000}"/>
    <cellStyle name="Normal 38 7 2 3 2" xfId="30207" xr:uid="{00000000-0005-0000-0000-000034450000}"/>
    <cellStyle name="Normal 38 7 2 4" xfId="22164" xr:uid="{00000000-0005-0000-0000-000035450000}"/>
    <cellStyle name="Normal 38 7 3" xfId="8328" xr:uid="{00000000-0005-0000-0000-000036450000}"/>
    <cellStyle name="Normal 38 7 3 2" xfId="17505" xr:uid="{00000000-0005-0000-0000-000037450000}"/>
    <cellStyle name="Normal 38 7 3 2 2" xfId="34079" xr:uid="{00000000-0005-0000-0000-000038450000}"/>
    <cellStyle name="Normal 38 7 3 3" xfId="26032" xr:uid="{00000000-0005-0000-0000-000039450000}"/>
    <cellStyle name="Normal 38 7 4" xfId="13662" xr:uid="{00000000-0005-0000-0000-00003A450000}"/>
    <cellStyle name="Normal 38 7 4 2" xfId="30206" xr:uid="{00000000-0005-0000-0000-00003B450000}"/>
    <cellStyle name="Normal 38 7 5" xfId="22163" xr:uid="{00000000-0005-0000-0000-00003C450000}"/>
    <cellStyle name="Normal 38 8" xfId="4285" xr:uid="{00000000-0005-0000-0000-00003D450000}"/>
    <cellStyle name="Normal 38 8 2" xfId="8329" xr:uid="{00000000-0005-0000-0000-00003E450000}"/>
    <cellStyle name="Normal 38 8 2 2" xfId="17506" xr:uid="{00000000-0005-0000-0000-00003F450000}"/>
    <cellStyle name="Normal 38 8 2 2 2" xfId="34080" xr:uid="{00000000-0005-0000-0000-000040450000}"/>
    <cellStyle name="Normal 38 8 2 3" xfId="26033" xr:uid="{00000000-0005-0000-0000-000041450000}"/>
    <cellStyle name="Normal 38 8 3" xfId="13664" xr:uid="{00000000-0005-0000-0000-000042450000}"/>
    <cellStyle name="Normal 38 8 3 2" xfId="30208" xr:uid="{00000000-0005-0000-0000-000043450000}"/>
    <cellStyle name="Normal 38 8 4" xfId="22165" xr:uid="{00000000-0005-0000-0000-000044450000}"/>
    <cellStyle name="Normal 38 9" xfId="8330" xr:uid="{00000000-0005-0000-0000-000045450000}"/>
    <cellStyle name="Normal 38 9 2" xfId="17507" xr:uid="{00000000-0005-0000-0000-000046450000}"/>
    <cellStyle name="Normal 38 9 2 2" xfId="34081" xr:uid="{00000000-0005-0000-0000-000047450000}"/>
    <cellStyle name="Normal 38 9 3" xfId="26034" xr:uid="{00000000-0005-0000-0000-000048450000}"/>
    <cellStyle name="Normal 39" xfId="4286" xr:uid="{00000000-0005-0000-0000-000049450000}"/>
    <cellStyle name="Normal 39 10" xfId="13665" xr:uid="{00000000-0005-0000-0000-00004A450000}"/>
    <cellStyle name="Normal 39 10 2" xfId="30209" xr:uid="{00000000-0005-0000-0000-00004B450000}"/>
    <cellStyle name="Normal 39 11" xfId="22166" xr:uid="{00000000-0005-0000-0000-00004C450000}"/>
    <cellStyle name="Normal 39 2" xfId="4287" xr:uid="{00000000-0005-0000-0000-00004D450000}"/>
    <cellStyle name="Normal 39 2 2" xfId="4288" xr:uid="{00000000-0005-0000-0000-00004E450000}"/>
    <cellStyle name="Normal 39 2 3" xfId="13666" xr:uid="{00000000-0005-0000-0000-00004F450000}"/>
    <cellStyle name="Normal 39 2 3 2" xfId="30210" xr:uid="{00000000-0005-0000-0000-000050450000}"/>
    <cellStyle name="Normal 39 2 4" xfId="22167" xr:uid="{00000000-0005-0000-0000-000051450000}"/>
    <cellStyle name="Normal 39 3" xfId="4289" xr:uid="{00000000-0005-0000-0000-000052450000}"/>
    <cellStyle name="Normal 39 3 2" xfId="4290" xr:uid="{00000000-0005-0000-0000-000053450000}"/>
    <cellStyle name="Normal 39 3 2 2" xfId="4291" xr:uid="{00000000-0005-0000-0000-000054450000}"/>
    <cellStyle name="Normal 39 3 2 2 2" xfId="4292" xr:uid="{00000000-0005-0000-0000-000055450000}"/>
    <cellStyle name="Normal 39 3 2 2 2 2" xfId="8331" xr:uid="{00000000-0005-0000-0000-000056450000}"/>
    <cellStyle name="Normal 39 3 2 2 2 2 2" xfId="17508" xr:uid="{00000000-0005-0000-0000-000057450000}"/>
    <cellStyle name="Normal 39 3 2 2 2 2 2 2" xfId="34082" xr:uid="{00000000-0005-0000-0000-000058450000}"/>
    <cellStyle name="Normal 39 3 2 2 2 2 3" xfId="26035" xr:uid="{00000000-0005-0000-0000-000059450000}"/>
    <cellStyle name="Normal 39 3 2 2 2 3" xfId="13669" xr:uid="{00000000-0005-0000-0000-00005A450000}"/>
    <cellStyle name="Normal 39 3 2 2 2 3 2" xfId="30213" xr:uid="{00000000-0005-0000-0000-00005B450000}"/>
    <cellStyle name="Normal 39 3 2 2 2 4" xfId="22170" xr:uid="{00000000-0005-0000-0000-00005C450000}"/>
    <cellStyle name="Normal 39 3 2 2 3" xfId="8332" xr:uid="{00000000-0005-0000-0000-00005D450000}"/>
    <cellStyle name="Normal 39 3 2 2 3 2" xfId="17509" xr:uid="{00000000-0005-0000-0000-00005E450000}"/>
    <cellStyle name="Normal 39 3 2 2 3 2 2" xfId="34083" xr:uid="{00000000-0005-0000-0000-00005F450000}"/>
    <cellStyle name="Normal 39 3 2 2 3 3" xfId="26036" xr:uid="{00000000-0005-0000-0000-000060450000}"/>
    <cellStyle name="Normal 39 3 2 2 4" xfId="13668" xr:uid="{00000000-0005-0000-0000-000061450000}"/>
    <cellStyle name="Normal 39 3 2 2 4 2" xfId="30212" xr:uid="{00000000-0005-0000-0000-000062450000}"/>
    <cellStyle name="Normal 39 3 2 2 5" xfId="22169" xr:uid="{00000000-0005-0000-0000-000063450000}"/>
    <cellStyle name="Normal 39 3 2 3" xfId="4293" xr:uid="{00000000-0005-0000-0000-000064450000}"/>
    <cellStyle name="Normal 39 3 2 3 2" xfId="8333" xr:uid="{00000000-0005-0000-0000-000065450000}"/>
    <cellStyle name="Normal 39 3 2 3 2 2" xfId="17510" xr:uid="{00000000-0005-0000-0000-000066450000}"/>
    <cellStyle name="Normal 39 3 2 3 2 2 2" xfId="34084" xr:uid="{00000000-0005-0000-0000-000067450000}"/>
    <cellStyle name="Normal 39 3 2 3 2 3" xfId="26037" xr:uid="{00000000-0005-0000-0000-000068450000}"/>
    <cellStyle name="Normal 39 3 2 3 3" xfId="13670" xr:uid="{00000000-0005-0000-0000-000069450000}"/>
    <cellStyle name="Normal 39 3 2 3 3 2" xfId="30214" xr:uid="{00000000-0005-0000-0000-00006A450000}"/>
    <cellStyle name="Normal 39 3 2 3 4" xfId="22171" xr:uid="{00000000-0005-0000-0000-00006B450000}"/>
    <cellStyle name="Normal 39 3 2 4" xfId="8334" xr:uid="{00000000-0005-0000-0000-00006C450000}"/>
    <cellStyle name="Normal 39 3 2 4 2" xfId="17511" xr:uid="{00000000-0005-0000-0000-00006D450000}"/>
    <cellStyle name="Normal 39 3 2 4 2 2" xfId="34085" xr:uid="{00000000-0005-0000-0000-00006E450000}"/>
    <cellStyle name="Normal 39 3 2 4 3" xfId="26038" xr:uid="{00000000-0005-0000-0000-00006F450000}"/>
    <cellStyle name="Normal 39 3 2 5" xfId="13667" xr:uid="{00000000-0005-0000-0000-000070450000}"/>
    <cellStyle name="Normal 39 3 2 5 2" xfId="30211" xr:uid="{00000000-0005-0000-0000-000071450000}"/>
    <cellStyle name="Normal 39 3 2 6" xfId="22168" xr:uid="{00000000-0005-0000-0000-000072450000}"/>
    <cellStyle name="Normal 39 3 3" xfId="4294" xr:uid="{00000000-0005-0000-0000-000073450000}"/>
    <cellStyle name="Normal 39 3 3 2" xfId="4295" xr:uid="{00000000-0005-0000-0000-000074450000}"/>
    <cellStyle name="Normal 39 3 3 2 2" xfId="8335" xr:uid="{00000000-0005-0000-0000-000075450000}"/>
    <cellStyle name="Normal 39 3 3 2 2 2" xfId="17512" xr:uid="{00000000-0005-0000-0000-000076450000}"/>
    <cellStyle name="Normal 39 3 3 2 2 2 2" xfId="34086" xr:uid="{00000000-0005-0000-0000-000077450000}"/>
    <cellStyle name="Normal 39 3 3 2 2 3" xfId="26039" xr:uid="{00000000-0005-0000-0000-000078450000}"/>
    <cellStyle name="Normal 39 3 3 2 3" xfId="13672" xr:uid="{00000000-0005-0000-0000-000079450000}"/>
    <cellStyle name="Normal 39 3 3 2 3 2" xfId="30216" xr:uid="{00000000-0005-0000-0000-00007A450000}"/>
    <cellStyle name="Normal 39 3 3 2 4" xfId="22173" xr:uid="{00000000-0005-0000-0000-00007B450000}"/>
    <cellStyle name="Normal 39 3 3 3" xfId="8336" xr:uid="{00000000-0005-0000-0000-00007C450000}"/>
    <cellStyle name="Normal 39 3 3 3 2" xfId="17513" xr:uid="{00000000-0005-0000-0000-00007D450000}"/>
    <cellStyle name="Normal 39 3 3 3 2 2" xfId="34087" xr:uid="{00000000-0005-0000-0000-00007E450000}"/>
    <cellStyle name="Normal 39 3 3 3 3" xfId="26040" xr:uid="{00000000-0005-0000-0000-00007F450000}"/>
    <cellStyle name="Normal 39 3 3 4" xfId="13671" xr:uid="{00000000-0005-0000-0000-000080450000}"/>
    <cellStyle name="Normal 39 3 3 4 2" xfId="30215" xr:uid="{00000000-0005-0000-0000-000081450000}"/>
    <cellStyle name="Normal 39 3 3 5" xfId="22172" xr:uid="{00000000-0005-0000-0000-000082450000}"/>
    <cellStyle name="Normal 39 3 4" xfId="4296" xr:uid="{00000000-0005-0000-0000-000083450000}"/>
    <cellStyle name="Normal 39 3 4 2" xfId="8337" xr:uid="{00000000-0005-0000-0000-000084450000}"/>
    <cellStyle name="Normal 39 3 4 2 2" xfId="17514" xr:uid="{00000000-0005-0000-0000-000085450000}"/>
    <cellStyle name="Normal 39 3 4 2 2 2" xfId="34088" xr:uid="{00000000-0005-0000-0000-000086450000}"/>
    <cellStyle name="Normal 39 3 4 2 3" xfId="26041" xr:uid="{00000000-0005-0000-0000-000087450000}"/>
    <cellStyle name="Normal 39 3 4 3" xfId="13673" xr:uid="{00000000-0005-0000-0000-000088450000}"/>
    <cellStyle name="Normal 39 3 4 3 2" xfId="30217" xr:uid="{00000000-0005-0000-0000-000089450000}"/>
    <cellStyle name="Normal 39 3 4 4" xfId="22174" xr:uid="{00000000-0005-0000-0000-00008A450000}"/>
    <cellStyle name="Normal 39 3 5" xfId="4297" xr:uid="{00000000-0005-0000-0000-00008B450000}"/>
    <cellStyle name="Normal 39 3 5 2" xfId="13674" xr:uid="{00000000-0005-0000-0000-00008C450000}"/>
    <cellStyle name="Normal 39 3 5 2 2" xfId="30218" xr:uid="{00000000-0005-0000-0000-00008D450000}"/>
    <cellStyle name="Normal 39 3 5 3" xfId="22175" xr:uid="{00000000-0005-0000-0000-00008E450000}"/>
    <cellStyle name="Normal 39 4" xfId="4298" xr:uid="{00000000-0005-0000-0000-00008F450000}"/>
    <cellStyle name="Normal 39 4 2" xfId="4299" xr:uid="{00000000-0005-0000-0000-000090450000}"/>
    <cellStyle name="Normal 39 4 2 2" xfId="4300" xr:uid="{00000000-0005-0000-0000-000091450000}"/>
    <cellStyle name="Normal 39 4 2 2 2" xfId="4301" xr:uid="{00000000-0005-0000-0000-000092450000}"/>
    <cellStyle name="Normal 39 4 2 2 2 2" xfId="8338" xr:uid="{00000000-0005-0000-0000-000093450000}"/>
    <cellStyle name="Normal 39 4 2 2 2 2 2" xfId="17515" xr:uid="{00000000-0005-0000-0000-000094450000}"/>
    <cellStyle name="Normal 39 4 2 2 2 2 2 2" xfId="34089" xr:uid="{00000000-0005-0000-0000-000095450000}"/>
    <cellStyle name="Normal 39 4 2 2 2 2 3" xfId="26042" xr:uid="{00000000-0005-0000-0000-000096450000}"/>
    <cellStyle name="Normal 39 4 2 2 2 3" xfId="13678" xr:uid="{00000000-0005-0000-0000-000097450000}"/>
    <cellStyle name="Normal 39 4 2 2 2 3 2" xfId="30222" xr:uid="{00000000-0005-0000-0000-000098450000}"/>
    <cellStyle name="Normal 39 4 2 2 2 4" xfId="22179" xr:uid="{00000000-0005-0000-0000-000099450000}"/>
    <cellStyle name="Normal 39 4 2 2 3" xfId="8339" xr:uid="{00000000-0005-0000-0000-00009A450000}"/>
    <cellStyle name="Normal 39 4 2 2 3 2" xfId="17516" xr:uid="{00000000-0005-0000-0000-00009B450000}"/>
    <cellStyle name="Normal 39 4 2 2 3 2 2" xfId="34090" xr:uid="{00000000-0005-0000-0000-00009C450000}"/>
    <cellStyle name="Normal 39 4 2 2 3 3" xfId="26043" xr:uid="{00000000-0005-0000-0000-00009D450000}"/>
    <cellStyle name="Normal 39 4 2 2 4" xfId="13677" xr:uid="{00000000-0005-0000-0000-00009E450000}"/>
    <cellStyle name="Normal 39 4 2 2 4 2" xfId="30221" xr:uid="{00000000-0005-0000-0000-00009F450000}"/>
    <cellStyle name="Normal 39 4 2 2 5" xfId="22178" xr:uid="{00000000-0005-0000-0000-0000A0450000}"/>
    <cellStyle name="Normal 39 4 2 3" xfId="4302" xr:uid="{00000000-0005-0000-0000-0000A1450000}"/>
    <cellStyle name="Normal 39 4 2 3 2" xfId="8340" xr:uid="{00000000-0005-0000-0000-0000A2450000}"/>
    <cellStyle name="Normal 39 4 2 3 2 2" xfId="17517" xr:uid="{00000000-0005-0000-0000-0000A3450000}"/>
    <cellStyle name="Normal 39 4 2 3 2 2 2" xfId="34091" xr:uid="{00000000-0005-0000-0000-0000A4450000}"/>
    <cellStyle name="Normal 39 4 2 3 2 3" xfId="26044" xr:uid="{00000000-0005-0000-0000-0000A5450000}"/>
    <cellStyle name="Normal 39 4 2 3 3" xfId="13679" xr:uid="{00000000-0005-0000-0000-0000A6450000}"/>
    <cellStyle name="Normal 39 4 2 3 3 2" xfId="30223" xr:uid="{00000000-0005-0000-0000-0000A7450000}"/>
    <cellStyle name="Normal 39 4 2 3 4" xfId="22180" xr:uid="{00000000-0005-0000-0000-0000A8450000}"/>
    <cellStyle name="Normal 39 4 2 4" xfId="8341" xr:uid="{00000000-0005-0000-0000-0000A9450000}"/>
    <cellStyle name="Normal 39 4 2 4 2" xfId="17518" xr:uid="{00000000-0005-0000-0000-0000AA450000}"/>
    <cellStyle name="Normal 39 4 2 4 2 2" xfId="34092" xr:uid="{00000000-0005-0000-0000-0000AB450000}"/>
    <cellStyle name="Normal 39 4 2 4 3" xfId="26045" xr:uid="{00000000-0005-0000-0000-0000AC450000}"/>
    <cellStyle name="Normal 39 4 2 5" xfId="13676" xr:uid="{00000000-0005-0000-0000-0000AD450000}"/>
    <cellStyle name="Normal 39 4 2 5 2" xfId="30220" xr:uid="{00000000-0005-0000-0000-0000AE450000}"/>
    <cellStyle name="Normal 39 4 2 6" xfId="22177" xr:uid="{00000000-0005-0000-0000-0000AF450000}"/>
    <cellStyle name="Normal 39 4 3" xfId="4303" xr:uid="{00000000-0005-0000-0000-0000B0450000}"/>
    <cellStyle name="Normal 39 4 3 2" xfId="4304" xr:uid="{00000000-0005-0000-0000-0000B1450000}"/>
    <cellStyle name="Normal 39 4 3 2 2" xfId="8342" xr:uid="{00000000-0005-0000-0000-0000B2450000}"/>
    <cellStyle name="Normal 39 4 3 2 2 2" xfId="17519" xr:uid="{00000000-0005-0000-0000-0000B3450000}"/>
    <cellStyle name="Normal 39 4 3 2 2 2 2" xfId="34093" xr:uid="{00000000-0005-0000-0000-0000B4450000}"/>
    <cellStyle name="Normal 39 4 3 2 2 3" xfId="26046" xr:uid="{00000000-0005-0000-0000-0000B5450000}"/>
    <cellStyle name="Normal 39 4 3 2 3" xfId="13681" xr:uid="{00000000-0005-0000-0000-0000B6450000}"/>
    <cellStyle name="Normal 39 4 3 2 3 2" xfId="30225" xr:uid="{00000000-0005-0000-0000-0000B7450000}"/>
    <cellStyle name="Normal 39 4 3 2 4" xfId="22182" xr:uid="{00000000-0005-0000-0000-0000B8450000}"/>
    <cellStyle name="Normal 39 4 3 3" xfId="8343" xr:uid="{00000000-0005-0000-0000-0000B9450000}"/>
    <cellStyle name="Normal 39 4 3 3 2" xfId="17520" xr:uid="{00000000-0005-0000-0000-0000BA450000}"/>
    <cellStyle name="Normal 39 4 3 3 2 2" xfId="34094" xr:uid="{00000000-0005-0000-0000-0000BB450000}"/>
    <cellStyle name="Normal 39 4 3 3 3" xfId="26047" xr:uid="{00000000-0005-0000-0000-0000BC450000}"/>
    <cellStyle name="Normal 39 4 3 4" xfId="13680" xr:uid="{00000000-0005-0000-0000-0000BD450000}"/>
    <cellStyle name="Normal 39 4 3 4 2" xfId="30224" xr:uid="{00000000-0005-0000-0000-0000BE450000}"/>
    <cellStyle name="Normal 39 4 3 5" xfId="22181" xr:uid="{00000000-0005-0000-0000-0000BF450000}"/>
    <cellStyle name="Normal 39 4 4" xfId="4305" xr:uid="{00000000-0005-0000-0000-0000C0450000}"/>
    <cellStyle name="Normal 39 4 4 2" xfId="8344" xr:uid="{00000000-0005-0000-0000-0000C1450000}"/>
    <cellStyle name="Normal 39 4 4 2 2" xfId="17521" xr:uid="{00000000-0005-0000-0000-0000C2450000}"/>
    <cellStyle name="Normal 39 4 4 2 2 2" xfId="34095" xr:uid="{00000000-0005-0000-0000-0000C3450000}"/>
    <cellStyle name="Normal 39 4 4 2 3" xfId="26048" xr:uid="{00000000-0005-0000-0000-0000C4450000}"/>
    <cellStyle name="Normal 39 4 4 3" xfId="13682" xr:uid="{00000000-0005-0000-0000-0000C5450000}"/>
    <cellStyle name="Normal 39 4 4 3 2" xfId="30226" xr:uid="{00000000-0005-0000-0000-0000C6450000}"/>
    <cellStyle name="Normal 39 4 4 4" xfId="22183" xr:uid="{00000000-0005-0000-0000-0000C7450000}"/>
    <cellStyle name="Normal 39 4 5" xfId="8345" xr:uid="{00000000-0005-0000-0000-0000C8450000}"/>
    <cellStyle name="Normal 39 4 5 2" xfId="17522" xr:uid="{00000000-0005-0000-0000-0000C9450000}"/>
    <cellStyle name="Normal 39 4 5 2 2" xfId="34096" xr:uid="{00000000-0005-0000-0000-0000CA450000}"/>
    <cellStyle name="Normal 39 4 5 3" xfId="26049" xr:uid="{00000000-0005-0000-0000-0000CB450000}"/>
    <cellStyle name="Normal 39 4 6" xfId="13675" xr:uid="{00000000-0005-0000-0000-0000CC450000}"/>
    <cellStyle name="Normal 39 4 6 2" xfId="30219" xr:uid="{00000000-0005-0000-0000-0000CD450000}"/>
    <cellStyle name="Normal 39 4 7" xfId="22176" xr:uid="{00000000-0005-0000-0000-0000CE450000}"/>
    <cellStyle name="Normal 39 5" xfId="4306" xr:uid="{00000000-0005-0000-0000-0000CF450000}"/>
    <cellStyle name="Normal 39 5 2" xfId="4307" xr:uid="{00000000-0005-0000-0000-0000D0450000}"/>
    <cellStyle name="Normal 39 5 2 2" xfId="4308" xr:uid="{00000000-0005-0000-0000-0000D1450000}"/>
    <cellStyle name="Normal 39 5 2 2 2" xfId="4309" xr:uid="{00000000-0005-0000-0000-0000D2450000}"/>
    <cellStyle name="Normal 39 5 2 2 2 2" xfId="8346" xr:uid="{00000000-0005-0000-0000-0000D3450000}"/>
    <cellStyle name="Normal 39 5 2 2 2 2 2" xfId="17523" xr:uid="{00000000-0005-0000-0000-0000D4450000}"/>
    <cellStyle name="Normal 39 5 2 2 2 2 2 2" xfId="34097" xr:uid="{00000000-0005-0000-0000-0000D5450000}"/>
    <cellStyle name="Normal 39 5 2 2 2 2 3" xfId="26050" xr:uid="{00000000-0005-0000-0000-0000D6450000}"/>
    <cellStyle name="Normal 39 5 2 2 2 3" xfId="13686" xr:uid="{00000000-0005-0000-0000-0000D7450000}"/>
    <cellStyle name="Normal 39 5 2 2 2 3 2" xfId="30230" xr:uid="{00000000-0005-0000-0000-0000D8450000}"/>
    <cellStyle name="Normal 39 5 2 2 2 4" xfId="22187" xr:uid="{00000000-0005-0000-0000-0000D9450000}"/>
    <cellStyle name="Normal 39 5 2 2 3" xfId="8347" xr:uid="{00000000-0005-0000-0000-0000DA450000}"/>
    <cellStyle name="Normal 39 5 2 2 3 2" xfId="17524" xr:uid="{00000000-0005-0000-0000-0000DB450000}"/>
    <cellStyle name="Normal 39 5 2 2 3 2 2" xfId="34098" xr:uid="{00000000-0005-0000-0000-0000DC450000}"/>
    <cellStyle name="Normal 39 5 2 2 3 3" xfId="26051" xr:uid="{00000000-0005-0000-0000-0000DD450000}"/>
    <cellStyle name="Normal 39 5 2 2 4" xfId="13685" xr:uid="{00000000-0005-0000-0000-0000DE450000}"/>
    <cellStyle name="Normal 39 5 2 2 4 2" xfId="30229" xr:uid="{00000000-0005-0000-0000-0000DF450000}"/>
    <cellStyle name="Normal 39 5 2 2 5" xfId="22186" xr:uid="{00000000-0005-0000-0000-0000E0450000}"/>
    <cellStyle name="Normal 39 5 2 3" xfId="4310" xr:uid="{00000000-0005-0000-0000-0000E1450000}"/>
    <cellStyle name="Normal 39 5 2 3 2" xfId="8348" xr:uid="{00000000-0005-0000-0000-0000E2450000}"/>
    <cellStyle name="Normal 39 5 2 3 2 2" xfId="17525" xr:uid="{00000000-0005-0000-0000-0000E3450000}"/>
    <cellStyle name="Normal 39 5 2 3 2 2 2" xfId="34099" xr:uid="{00000000-0005-0000-0000-0000E4450000}"/>
    <cellStyle name="Normal 39 5 2 3 2 3" xfId="26052" xr:uid="{00000000-0005-0000-0000-0000E5450000}"/>
    <cellStyle name="Normal 39 5 2 3 3" xfId="13687" xr:uid="{00000000-0005-0000-0000-0000E6450000}"/>
    <cellStyle name="Normal 39 5 2 3 3 2" xfId="30231" xr:uid="{00000000-0005-0000-0000-0000E7450000}"/>
    <cellStyle name="Normal 39 5 2 3 4" xfId="22188" xr:uid="{00000000-0005-0000-0000-0000E8450000}"/>
    <cellStyle name="Normal 39 5 2 4" xfId="8349" xr:uid="{00000000-0005-0000-0000-0000E9450000}"/>
    <cellStyle name="Normal 39 5 2 4 2" xfId="17526" xr:uid="{00000000-0005-0000-0000-0000EA450000}"/>
    <cellStyle name="Normal 39 5 2 4 2 2" xfId="34100" xr:uid="{00000000-0005-0000-0000-0000EB450000}"/>
    <cellStyle name="Normal 39 5 2 4 3" xfId="26053" xr:uid="{00000000-0005-0000-0000-0000EC450000}"/>
    <cellStyle name="Normal 39 5 2 5" xfId="13684" xr:uid="{00000000-0005-0000-0000-0000ED450000}"/>
    <cellStyle name="Normal 39 5 2 5 2" xfId="30228" xr:uid="{00000000-0005-0000-0000-0000EE450000}"/>
    <cellStyle name="Normal 39 5 2 6" xfId="22185" xr:uid="{00000000-0005-0000-0000-0000EF450000}"/>
    <cellStyle name="Normal 39 5 3" xfId="4311" xr:uid="{00000000-0005-0000-0000-0000F0450000}"/>
    <cellStyle name="Normal 39 5 3 2" xfId="4312" xr:uid="{00000000-0005-0000-0000-0000F1450000}"/>
    <cellStyle name="Normal 39 5 3 2 2" xfId="8350" xr:uid="{00000000-0005-0000-0000-0000F2450000}"/>
    <cellStyle name="Normal 39 5 3 2 2 2" xfId="17527" xr:uid="{00000000-0005-0000-0000-0000F3450000}"/>
    <cellStyle name="Normal 39 5 3 2 2 2 2" xfId="34101" xr:uid="{00000000-0005-0000-0000-0000F4450000}"/>
    <cellStyle name="Normal 39 5 3 2 2 3" xfId="26054" xr:uid="{00000000-0005-0000-0000-0000F5450000}"/>
    <cellStyle name="Normal 39 5 3 2 3" xfId="13689" xr:uid="{00000000-0005-0000-0000-0000F6450000}"/>
    <cellStyle name="Normal 39 5 3 2 3 2" xfId="30233" xr:uid="{00000000-0005-0000-0000-0000F7450000}"/>
    <cellStyle name="Normal 39 5 3 2 4" xfId="22190" xr:uid="{00000000-0005-0000-0000-0000F8450000}"/>
    <cellStyle name="Normal 39 5 3 3" xfId="8351" xr:uid="{00000000-0005-0000-0000-0000F9450000}"/>
    <cellStyle name="Normal 39 5 3 3 2" xfId="17528" xr:uid="{00000000-0005-0000-0000-0000FA450000}"/>
    <cellStyle name="Normal 39 5 3 3 2 2" xfId="34102" xr:uid="{00000000-0005-0000-0000-0000FB450000}"/>
    <cellStyle name="Normal 39 5 3 3 3" xfId="26055" xr:uid="{00000000-0005-0000-0000-0000FC450000}"/>
    <cellStyle name="Normal 39 5 3 4" xfId="13688" xr:uid="{00000000-0005-0000-0000-0000FD450000}"/>
    <cellStyle name="Normal 39 5 3 4 2" xfId="30232" xr:uid="{00000000-0005-0000-0000-0000FE450000}"/>
    <cellStyle name="Normal 39 5 3 5" xfId="22189" xr:uid="{00000000-0005-0000-0000-0000FF450000}"/>
    <cellStyle name="Normal 39 5 4" xfId="4313" xr:uid="{00000000-0005-0000-0000-000000460000}"/>
    <cellStyle name="Normal 39 5 4 2" xfId="8352" xr:uid="{00000000-0005-0000-0000-000001460000}"/>
    <cellStyle name="Normal 39 5 4 2 2" xfId="17529" xr:uid="{00000000-0005-0000-0000-000002460000}"/>
    <cellStyle name="Normal 39 5 4 2 2 2" xfId="34103" xr:uid="{00000000-0005-0000-0000-000003460000}"/>
    <cellStyle name="Normal 39 5 4 2 3" xfId="26056" xr:uid="{00000000-0005-0000-0000-000004460000}"/>
    <cellStyle name="Normal 39 5 4 3" xfId="13690" xr:uid="{00000000-0005-0000-0000-000005460000}"/>
    <cellStyle name="Normal 39 5 4 3 2" xfId="30234" xr:uid="{00000000-0005-0000-0000-000006460000}"/>
    <cellStyle name="Normal 39 5 4 4" xfId="22191" xr:uid="{00000000-0005-0000-0000-000007460000}"/>
    <cellStyle name="Normal 39 5 5" xfId="8353" xr:uid="{00000000-0005-0000-0000-000008460000}"/>
    <cellStyle name="Normal 39 5 5 2" xfId="17530" xr:uid="{00000000-0005-0000-0000-000009460000}"/>
    <cellStyle name="Normal 39 5 5 2 2" xfId="34104" xr:uid="{00000000-0005-0000-0000-00000A460000}"/>
    <cellStyle name="Normal 39 5 5 3" xfId="26057" xr:uid="{00000000-0005-0000-0000-00000B460000}"/>
    <cellStyle name="Normal 39 5 6" xfId="13683" xr:uid="{00000000-0005-0000-0000-00000C460000}"/>
    <cellStyle name="Normal 39 5 6 2" xfId="30227" xr:uid="{00000000-0005-0000-0000-00000D460000}"/>
    <cellStyle name="Normal 39 5 7" xfId="22184" xr:uid="{00000000-0005-0000-0000-00000E460000}"/>
    <cellStyle name="Normal 39 6" xfId="4314" xr:uid="{00000000-0005-0000-0000-00000F460000}"/>
    <cellStyle name="Normal 39 6 2" xfId="4315" xr:uid="{00000000-0005-0000-0000-000010460000}"/>
    <cellStyle name="Normal 39 6 2 2" xfId="4316" xr:uid="{00000000-0005-0000-0000-000011460000}"/>
    <cellStyle name="Normal 39 6 2 2 2" xfId="8354" xr:uid="{00000000-0005-0000-0000-000012460000}"/>
    <cellStyle name="Normal 39 6 2 2 2 2" xfId="17531" xr:uid="{00000000-0005-0000-0000-000013460000}"/>
    <cellStyle name="Normal 39 6 2 2 2 2 2" xfId="34105" xr:uid="{00000000-0005-0000-0000-000014460000}"/>
    <cellStyle name="Normal 39 6 2 2 2 3" xfId="26058" xr:uid="{00000000-0005-0000-0000-000015460000}"/>
    <cellStyle name="Normal 39 6 2 2 3" xfId="13693" xr:uid="{00000000-0005-0000-0000-000016460000}"/>
    <cellStyle name="Normal 39 6 2 2 3 2" xfId="30237" xr:uid="{00000000-0005-0000-0000-000017460000}"/>
    <cellStyle name="Normal 39 6 2 2 4" xfId="22194" xr:uid="{00000000-0005-0000-0000-000018460000}"/>
    <cellStyle name="Normal 39 6 2 3" xfId="8355" xr:uid="{00000000-0005-0000-0000-000019460000}"/>
    <cellStyle name="Normal 39 6 2 3 2" xfId="17532" xr:uid="{00000000-0005-0000-0000-00001A460000}"/>
    <cellStyle name="Normal 39 6 2 3 2 2" xfId="34106" xr:uid="{00000000-0005-0000-0000-00001B460000}"/>
    <cellStyle name="Normal 39 6 2 3 3" xfId="26059" xr:uid="{00000000-0005-0000-0000-00001C460000}"/>
    <cellStyle name="Normal 39 6 2 4" xfId="13692" xr:uid="{00000000-0005-0000-0000-00001D460000}"/>
    <cellStyle name="Normal 39 6 2 4 2" xfId="30236" xr:uid="{00000000-0005-0000-0000-00001E460000}"/>
    <cellStyle name="Normal 39 6 2 5" xfId="22193" xr:uid="{00000000-0005-0000-0000-00001F460000}"/>
    <cellStyle name="Normal 39 6 3" xfId="4317" xr:uid="{00000000-0005-0000-0000-000020460000}"/>
    <cellStyle name="Normal 39 6 3 2" xfId="8356" xr:uid="{00000000-0005-0000-0000-000021460000}"/>
    <cellStyle name="Normal 39 6 3 2 2" xfId="17533" xr:uid="{00000000-0005-0000-0000-000022460000}"/>
    <cellStyle name="Normal 39 6 3 2 2 2" xfId="34107" xr:uid="{00000000-0005-0000-0000-000023460000}"/>
    <cellStyle name="Normal 39 6 3 2 3" xfId="26060" xr:uid="{00000000-0005-0000-0000-000024460000}"/>
    <cellStyle name="Normal 39 6 3 3" xfId="13694" xr:uid="{00000000-0005-0000-0000-000025460000}"/>
    <cellStyle name="Normal 39 6 3 3 2" xfId="30238" xr:uid="{00000000-0005-0000-0000-000026460000}"/>
    <cellStyle name="Normal 39 6 3 4" xfId="22195" xr:uid="{00000000-0005-0000-0000-000027460000}"/>
    <cellStyle name="Normal 39 6 4" xfId="8357" xr:uid="{00000000-0005-0000-0000-000028460000}"/>
    <cellStyle name="Normal 39 6 4 2" xfId="17534" xr:uid="{00000000-0005-0000-0000-000029460000}"/>
    <cellStyle name="Normal 39 6 4 2 2" xfId="34108" xr:uid="{00000000-0005-0000-0000-00002A460000}"/>
    <cellStyle name="Normal 39 6 4 3" xfId="26061" xr:uid="{00000000-0005-0000-0000-00002B460000}"/>
    <cellStyle name="Normal 39 6 5" xfId="13691" xr:uid="{00000000-0005-0000-0000-00002C460000}"/>
    <cellStyle name="Normal 39 6 5 2" xfId="30235" xr:uid="{00000000-0005-0000-0000-00002D460000}"/>
    <cellStyle name="Normal 39 6 6" xfId="22192" xr:uid="{00000000-0005-0000-0000-00002E460000}"/>
    <cellStyle name="Normal 39 7" xfId="4318" xr:uid="{00000000-0005-0000-0000-00002F460000}"/>
    <cellStyle name="Normal 39 7 2" xfId="4319" xr:uid="{00000000-0005-0000-0000-000030460000}"/>
    <cellStyle name="Normal 39 7 2 2" xfId="8358" xr:uid="{00000000-0005-0000-0000-000031460000}"/>
    <cellStyle name="Normal 39 7 2 2 2" xfId="17535" xr:uid="{00000000-0005-0000-0000-000032460000}"/>
    <cellStyle name="Normal 39 7 2 2 2 2" xfId="34109" xr:uid="{00000000-0005-0000-0000-000033460000}"/>
    <cellStyle name="Normal 39 7 2 2 3" xfId="26062" xr:uid="{00000000-0005-0000-0000-000034460000}"/>
    <cellStyle name="Normal 39 7 2 3" xfId="13696" xr:uid="{00000000-0005-0000-0000-000035460000}"/>
    <cellStyle name="Normal 39 7 2 3 2" xfId="30240" xr:uid="{00000000-0005-0000-0000-000036460000}"/>
    <cellStyle name="Normal 39 7 2 4" xfId="22197" xr:uid="{00000000-0005-0000-0000-000037460000}"/>
    <cellStyle name="Normal 39 7 3" xfId="8359" xr:uid="{00000000-0005-0000-0000-000038460000}"/>
    <cellStyle name="Normal 39 7 3 2" xfId="17536" xr:uid="{00000000-0005-0000-0000-000039460000}"/>
    <cellStyle name="Normal 39 7 3 2 2" xfId="34110" xr:uid="{00000000-0005-0000-0000-00003A460000}"/>
    <cellStyle name="Normal 39 7 3 3" xfId="26063" xr:uid="{00000000-0005-0000-0000-00003B460000}"/>
    <cellStyle name="Normal 39 7 4" xfId="13695" xr:uid="{00000000-0005-0000-0000-00003C460000}"/>
    <cellStyle name="Normal 39 7 4 2" xfId="30239" xr:uid="{00000000-0005-0000-0000-00003D460000}"/>
    <cellStyle name="Normal 39 7 5" xfId="22196" xr:uid="{00000000-0005-0000-0000-00003E460000}"/>
    <cellStyle name="Normal 39 8" xfId="4320" xr:uid="{00000000-0005-0000-0000-00003F460000}"/>
    <cellStyle name="Normal 39 8 2" xfId="8360" xr:uid="{00000000-0005-0000-0000-000040460000}"/>
    <cellStyle name="Normal 39 8 2 2" xfId="17537" xr:uid="{00000000-0005-0000-0000-000041460000}"/>
    <cellStyle name="Normal 39 8 2 2 2" xfId="34111" xr:uid="{00000000-0005-0000-0000-000042460000}"/>
    <cellStyle name="Normal 39 8 2 3" xfId="26064" xr:uid="{00000000-0005-0000-0000-000043460000}"/>
    <cellStyle name="Normal 39 8 3" xfId="13697" xr:uid="{00000000-0005-0000-0000-000044460000}"/>
    <cellStyle name="Normal 39 8 3 2" xfId="30241" xr:uid="{00000000-0005-0000-0000-000045460000}"/>
    <cellStyle name="Normal 39 8 4" xfId="22198" xr:uid="{00000000-0005-0000-0000-000046460000}"/>
    <cellStyle name="Normal 39 9" xfId="8361" xr:uid="{00000000-0005-0000-0000-000047460000}"/>
    <cellStyle name="Normal 39 9 2" xfId="17538" xr:uid="{00000000-0005-0000-0000-000048460000}"/>
    <cellStyle name="Normal 39 9 2 2" xfId="34112" xr:uid="{00000000-0005-0000-0000-000049460000}"/>
    <cellStyle name="Normal 39 9 3" xfId="26065" xr:uid="{00000000-0005-0000-0000-00004A460000}"/>
    <cellStyle name="Normal 4" xfId="7" xr:uid="{00000000-0005-0000-0000-00004B460000}"/>
    <cellStyle name="Normal 4 10" xfId="1718" xr:uid="{00000000-0005-0000-0000-00004C460000}"/>
    <cellStyle name="Normal 4 11" xfId="2070" xr:uid="{00000000-0005-0000-0000-00004D460000}"/>
    <cellStyle name="Normal 4 2" xfId="71" xr:uid="{00000000-0005-0000-0000-00004E460000}"/>
    <cellStyle name="Normal 4 2 10" xfId="1676" xr:uid="{00000000-0005-0000-0000-00004F460000}"/>
    <cellStyle name="Normal 4 2 2" xfId="224" xr:uid="{00000000-0005-0000-0000-000050460000}"/>
    <cellStyle name="Normal 4 2 2 2" xfId="225" xr:uid="{00000000-0005-0000-0000-000051460000}"/>
    <cellStyle name="Normal 4 2 2 2 2" xfId="226" xr:uid="{00000000-0005-0000-0000-000052460000}"/>
    <cellStyle name="Normal 4 2 2 2 2 2" xfId="227" xr:uid="{00000000-0005-0000-0000-000053460000}"/>
    <cellStyle name="Normal 4 2 2 2 2 2 2" xfId="19570" xr:uid="{00000000-0005-0000-0000-000054460000}"/>
    <cellStyle name="Normal 4 2 2 2 2 2 2 2" xfId="36146" xr:uid="{00000000-0005-0000-0000-000055460000}"/>
    <cellStyle name="Normal 4 2 2 2 2 2 3" xfId="28100" xr:uid="{00000000-0005-0000-0000-000056460000}"/>
    <cellStyle name="Normal 4 2 2 2 2 3" xfId="19569" xr:uid="{00000000-0005-0000-0000-000057460000}"/>
    <cellStyle name="Normal 4 2 2 2 2 3 2" xfId="36145" xr:uid="{00000000-0005-0000-0000-000058460000}"/>
    <cellStyle name="Normal 4 2 2 2 2 4" xfId="28099" xr:uid="{00000000-0005-0000-0000-000059460000}"/>
    <cellStyle name="Normal 4 2 2 2 3" xfId="228" xr:uid="{00000000-0005-0000-0000-00005A460000}"/>
    <cellStyle name="Normal 4 2 2 2 3 2" xfId="229" xr:uid="{00000000-0005-0000-0000-00005B460000}"/>
    <cellStyle name="Normal 4 2 2 2 3 2 2" xfId="19572" xr:uid="{00000000-0005-0000-0000-00005C460000}"/>
    <cellStyle name="Normal 4 2 2 2 3 2 2 2" xfId="36148" xr:uid="{00000000-0005-0000-0000-00005D460000}"/>
    <cellStyle name="Normal 4 2 2 2 3 2 3" xfId="28102" xr:uid="{00000000-0005-0000-0000-00005E460000}"/>
    <cellStyle name="Normal 4 2 2 2 3 3" xfId="19571" xr:uid="{00000000-0005-0000-0000-00005F460000}"/>
    <cellStyle name="Normal 4 2 2 2 3 3 2" xfId="36147" xr:uid="{00000000-0005-0000-0000-000060460000}"/>
    <cellStyle name="Normal 4 2 2 2 3 4" xfId="28101" xr:uid="{00000000-0005-0000-0000-000061460000}"/>
    <cellStyle name="Normal 4 2 2 2 4" xfId="230" xr:uid="{00000000-0005-0000-0000-000062460000}"/>
    <cellStyle name="Normal 4 2 2 2 4 2" xfId="19573" xr:uid="{00000000-0005-0000-0000-000063460000}"/>
    <cellStyle name="Normal 4 2 2 2 4 2 2" xfId="36149" xr:uid="{00000000-0005-0000-0000-000064460000}"/>
    <cellStyle name="Normal 4 2 2 2 4 3" xfId="28103" xr:uid="{00000000-0005-0000-0000-000065460000}"/>
    <cellStyle name="Normal 4 2 2 2 5" xfId="19568" xr:uid="{00000000-0005-0000-0000-000066460000}"/>
    <cellStyle name="Normal 4 2 2 2 5 2" xfId="36144" xr:uid="{00000000-0005-0000-0000-000067460000}"/>
    <cellStyle name="Normal 4 2 2 2 6" xfId="28098" xr:uid="{00000000-0005-0000-0000-000068460000}"/>
    <cellStyle name="Normal 4 2 2 3" xfId="231" xr:uid="{00000000-0005-0000-0000-000069460000}"/>
    <cellStyle name="Normal 4 2 2 3 2" xfId="232" xr:uid="{00000000-0005-0000-0000-00006A460000}"/>
    <cellStyle name="Normal 4 2 2 3 2 2" xfId="19575" xr:uid="{00000000-0005-0000-0000-00006B460000}"/>
    <cellStyle name="Normal 4 2 2 3 2 2 2" xfId="36151" xr:uid="{00000000-0005-0000-0000-00006C460000}"/>
    <cellStyle name="Normal 4 2 2 3 2 3" xfId="28105" xr:uid="{00000000-0005-0000-0000-00006D460000}"/>
    <cellStyle name="Normal 4 2 2 3 3" xfId="19574" xr:uid="{00000000-0005-0000-0000-00006E460000}"/>
    <cellStyle name="Normal 4 2 2 3 3 2" xfId="36150" xr:uid="{00000000-0005-0000-0000-00006F460000}"/>
    <cellStyle name="Normal 4 2 2 3 4" xfId="28104" xr:uid="{00000000-0005-0000-0000-000070460000}"/>
    <cellStyle name="Normal 4 2 2 4" xfId="233" xr:uid="{00000000-0005-0000-0000-000071460000}"/>
    <cellStyle name="Normal 4 2 2 4 2" xfId="234" xr:uid="{00000000-0005-0000-0000-000072460000}"/>
    <cellStyle name="Normal 4 2 2 4 2 2" xfId="19577" xr:uid="{00000000-0005-0000-0000-000073460000}"/>
    <cellStyle name="Normal 4 2 2 4 2 2 2" xfId="36153" xr:uid="{00000000-0005-0000-0000-000074460000}"/>
    <cellStyle name="Normal 4 2 2 4 2 3" xfId="28107" xr:uid="{00000000-0005-0000-0000-000075460000}"/>
    <cellStyle name="Normal 4 2 2 4 3" xfId="19576" xr:uid="{00000000-0005-0000-0000-000076460000}"/>
    <cellStyle name="Normal 4 2 2 4 3 2" xfId="36152" xr:uid="{00000000-0005-0000-0000-000077460000}"/>
    <cellStyle name="Normal 4 2 2 4 4" xfId="28106" xr:uid="{00000000-0005-0000-0000-000078460000}"/>
    <cellStyle name="Normal 4 2 2 5" xfId="235" xr:uid="{00000000-0005-0000-0000-000079460000}"/>
    <cellStyle name="Normal 4 2 2 5 2" xfId="236" xr:uid="{00000000-0005-0000-0000-00007A460000}"/>
    <cellStyle name="Normal 4 2 2 5 2 2" xfId="19579" xr:uid="{00000000-0005-0000-0000-00007B460000}"/>
    <cellStyle name="Normal 4 2 2 5 2 2 2" xfId="36155" xr:uid="{00000000-0005-0000-0000-00007C460000}"/>
    <cellStyle name="Normal 4 2 2 5 2 3" xfId="28109" xr:uid="{00000000-0005-0000-0000-00007D460000}"/>
    <cellStyle name="Normal 4 2 2 5 3" xfId="19578" xr:uid="{00000000-0005-0000-0000-00007E460000}"/>
    <cellStyle name="Normal 4 2 2 5 3 2" xfId="36154" xr:uid="{00000000-0005-0000-0000-00007F460000}"/>
    <cellStyle name="Normal 4 2 2 5 4" xfId="28108" xr:uid="{00000000-0005-0000-0000-000080460000}"/>
    <cellStyle name="Normal 4 2 2 6" xfId="237" xr:uid="{00000000-0005-0000-0000-000081460000}"/>
    <cellStyle name="Normal 4 2 2 6 2" xfId="19580" xr:uid="{00000000-0005-0000-0000-000082460000}"/>
    <cellStyle name="Normal 4 2 2 6 2 2" xfId="36156" xr:uid="{00000000-0005-0000-0000-000083460000}"/>
    <cellStyle name="Normal 4 2 2 6 3" xfId="28110" xr:uid="{00000000-0005-0000-0000-000084460000}"/>
    <cellStyle name="Normal 4 2 2 7" xfId="13698" xr:uid="{00000000-0005-0000-0000-000085460000}"/>
    <cellStyle name="Normal 4 2 2 7 2" xfId="30242" xr:uid="{00000000-0005-0000-0000-000086460000}"/>
    <cellStyle name="Normal 4 2 2 8" xfId="22199" xr:uid="{00000000-0005-0000-0000-000087460000}"/>
    <cellStyle name="Normal 4 2 3" xfId="238" xr:uid="{00000000-0005-0000-0000-000088460000}"/>
    <cellStyle name="Normal 4 2 3 2" xfId="239" xr:uid="{00000000-0005-0000-0000-000089460000}"/>
    <cellStyle name="Normal 4 2 3 2 2" xfId="240" xr:uid="{00000000-0005-0000-0000-00008A460000}"/>
    <cellStyle name="Normal 4 2 3 2 2 2" xfId="19582" xr:uid="{00000000-0005-0000-0000-00008B460000}"/>
    <cellStyle name="Normal 4 2 3 2 2 2 2" xfId="36158" xr:uid="{00000000-0005-0000-0000-00008C460000}"/>
    <cellStyle name="Normal 4 2 3 2 2 3" xfId="28112" xr:uid="{00000000-0005-0000-0000-00008D460000}"/>
    <cellStyle name="Normal 4 2 3 2 3" xfId="19581" xr:uid="{00000000-0005-0000-0000-00008E460000}"/>
    <cellStyle name="Normal 4 2 3 2 3 2" xfId="36157" xr:uid="{00000000-0005-0000-0000-00008F460000}"/>
    <cellStyle name="Normal 4 2 3 2 4" xfId="28111" xr:uid="{00000000-0005-0000-0000-000090460000}"/>
    <cellStyle name="Normal 4 2 3 3" xfId="241" xr:uid="{00000000-0005-0000-0000-000091460000}"/>
    <cellStyle name="Normal 4 2 3 3 2" xfId="242" xr:uid="{00000000-0005-0000-0000-000092460000}"/>
    <cellStyle name="Normal 4 2 3 3 2 2" xfId="19584" xr:uid="{00000000-0005-0000-0000-000093460000}"/>
    <cellStyle name="Normal 4 2 3 3 2 2 2" xfId="36160" xr:uid="{00000000-0005-0000-0000-000094460000}"/>
    <cellStyle name="Normal 4 2 3 3 2 3" xfId="28114" xr:uid="{00000000-0005-0000-0000-000095460000}"/>
    <cellStyle name="Normal 4 2 3 3 3" xfId="19583" xr:uid="{00000000-0005-0000-0000-000096460000}"/>
    <cellStyle name="Normal 4 2 3 3 3 2" xfId="36159" xr:uid="{00000000-0005-0000-0000-000097460000}"/>
    <cellStyle name="Normal 4 2 3 3 4" xfId="28113" xr:uid="{00000000-0005-0000-0000-000098460000}"/>
    <cellStyle name="Normal 4 2 3 4" xfId="243" xr:uid="{00000000-0005-0000-0000-000099460000}"/>
    <cellStyle name="Normal 4 2 3 4 2" xfId="19585" xr:uid="{00000000-0005-0000-0000-00009A460000}"/>
    <cellStyle name="Normal 4 2 3 4 2 2" xfId="36161" xr:uid="{00000000-0005-0000-0000-00009B460000}"/>
    <cellStyle name="Normal 4 2 3 4 3" xfId="28115" xr:uid="{00000000-0005-0000-0000-00009C460000}"/>
    <cellStyle name="Normal 4 2 3 5" xfId="4322" xr:uid="{00000000-0005-0000-0000-00009D460000}"/>
    <cellStyle name="Normal 4 2 4" xfId="244" xr:uid="{00000000-0005-0000-0000-00009E460000}"/>
    <cellStyle name="Normal 4 2 4 2" xfId="245" xr:uid="{00000000-0005-0000-0000-00009F460000}"/>
    <cellStyle name="Normal 4 2 4 2 2" xfId="19586" xr:uid="{00000000-0005-0000-0000-0000A0460000}"/>
    <cellStyle name="Normal 4 2 4 2 2 2" xfId="36162" xr:uid="{00000000-0005-0000-0000-0000A1460000}"/>
    <cellStyle name="Normal 4 2 4 2 3" xfId="28116" xr:uid="{00000000-0005-0000-0000-0000A2460000}"/>
    <cellStyle name="Normal 4 2 4 3" xfId="6612" xr:uid="{00000000-0005-0000-0000-0000A3460000}"/>
    <cellStyle name="Normal 4 2 5" xfId="246" xr:uid="{00000000-0005-0000-0000-0000A4460000}"/>
    <cellStyle name="Normal 4 2 5 2" xfId="247" xr:uid="{00000000-0005-0000-0000-0000A5460000}"/>
    <cellStyle name="Normal 4 2 5 2 2" xfId="19588" xr:uid="{00000000-0005-0000-0000-0000A6460000}"/>
    <cellStyle name="Normal 4 2 5 2 2 2" xfId="36164" xr:uid="{00000000-0005-0000-0000-0000A7460000}"/>
    <cellStyle name="Normal 4 2 5 2 3" xfId="28118" xr:uid="{00000000-0005-0000-0000-0000A8460000}"/>
    <cellStyle name="Normal 4 2 5 3" xfId="19587" xr:uid="{00000000-0005-0000-0000-0000A9460000}"/>
    <cellStyle name="Normal 4 2 5 3 2" xfId="36163" xr:uid="{00000000-0005-0000-0000-0000AA460000}"/>
    <cellStyle name="Normal 4 2 5 4" xfId="28117" xr:uid="{00000000-0005-0000-0000-0000AB460000}"/>
    <cellStyle name="Normal 4 2 6" xfId="248" xr:uid="{00000000-0005-0000-0000-0000AC460000}"/>
    <cellStyle name="Normal 4 2 6 2" xfId="249" xr:uid="{00000000-0005-0000-0000-0000AD460000}"/>
    <cellStyle name="Normal 4 2 6 2 2" xfId="19590" xr:uid="{00000000-0005-0000-0000-0000AE460000}"/>
    <cellStyle name="Normal 4 2 6 2 2 2" xfId="36166" xr:uid="{00000000-0005-0000-0000-0000AF460000}"/>
    <cellStyle name="Normal 4 2 6 2 3" xfId="28120" xr:uid="{00000000-0005-0000-0000-0000B0460000}"/>
    <cellStyle name="Normal 4 2 6 3" xfId="19589" xr:uid="{00000000-0005-0000-0000-0000B1460000}"/>
    <cellStyle name="Normal 4 2 6 3 2" xfId="36165" xr:uid="{00000000-0005-0000-0000-0000B2460000}"/>
    <cellStyle name="Normal 4 2 6 4" xfId="28119" xr:uid="{00000000-0005-0000-0000-0000B3460000}"/>
    <cellStyle name="Normal 4 2 7" xfId="250" xr:uid="{00000000-0005-0000-0000-0000B4460000}"/>
    <cellStyle name="Normal 4 2 7 2" xfId="19591" xr:uid="{00000000-0005-0000-0000-0000B5460000}"/>
    <cellStyle name="Normal 4 2 7 2 2" xfId="36167" xr:uid="{00000000-0005-0000-0000-0000B6460000}"/>
    <cellStyle name="Normal 4 2 7 3" xfId="28121" xr:uid="{00000000-0005-0000-0000-0000B7460000}"/>
    <cellStyle name="Normal 4 2 8" xfId="381" xr:uid="{00000000-0005-0000-0000-0000B8460000}"/>
    <cellStyle name="Normal 4 2 9" xfId="1719" xr:uid="{00000000-0005-0000-0000-0000B9460000}"/>
    <cellStyle name="Normal 4 3" xfId="251" xr:uid="{00000000-0005-0000-0000-0000BA460000}"/>
    <cellStyle name="Normal 4 3 2" xfId="252" xr:uid="{00000000-0005-0000-0000-0000BB460000}"/>
    <cellStyle name="Normal 4 3 2 2" xfId="253" xr:uid="{00000000-0005-0000-0000-0000BC460000}"/>
    <cellStyle name="Normal 4 3 2 2 2" xfId="254" xr:uid="{00000000-0005-0000-0000-0000BD460000}"/>
    <cellStyle name="Normal 4 3 2 2 2 2" xfId="19593" xr:uid="{00000000-0005-0000-0000-0000BE460000}"/>
    <cellStyle name="Normal 4 3 2 2 2 2 2" xfId="36169" xr:uid="{00000000-0005-0000-0000-0000BF460000}"/>
    <cellStyle name="Normal 4 3 2 2 2 3" xfId="28123" xr:uid="{00000000-0005-0000-0000-0000C0460000}"/>
    <cellStyle name="Normal 4 3 2 2 3" xfId="19592" xr:uid="{00000000-0005-0000-0000-0000C1460000}"/>
    <cellStyle name="Normal 4 3 2 2 3 2" xfId="36168" xr:uid="{00000000-0005-0000-0000-0000C2460000}"/>
    <cellStyle name="Normal 4 3 2 2 4" xfId="28122" xr:uid="{00000000-0005-0000-0000-0000C3460000}"/>
    <cellStyle name="Normal 4 3 2 3" xfId="255" xr:uid="{00000000-0005-0000-0000-0000C4460000}"/>
    <cellStyle name="Normal 4 3 2 3 2" xfId="256" xr:uid="{00000000-0005-0000-0000-0000C5460000}"/>
    <cellStyle name="Normal 4 3 2 3 2 2" xfId="19595" xr:uid="{00000000-0005-0000-0000-0000C6460000}"/>
    <cellStyle name="Normal 4 3 2 3 2 2 2" xfId="36171" xr:uid="{00000000-0005-0000-0000-0000C7460000}"/>
    <cellStyle name="Normal 4 3 2 3 2 3" xfId="28125" xr:uid="{00000000-0005-0000-0000-0000C8460000}"/>
    <cellStyle name="Normal 4 3 2 3 3" xfId="19594" xr:uid="{00000000-0005-0000-0000-0000C9460000}"/>
    <cellStyle name="Normal 4 3 2 3 3 2" xfId="36170" xr:uid="{00000000-0005-0000-0000-0000CA460000}"/>
    <cellStyle name="Normal 4 3 2 3 4" xfId="28124" xr:uid="{00000000-0005-0000-0000-0000CB460000}"/>
    <cellStyle name="Normal 4 3 2 4" xfId="257" xr:uid="{00000000-0005-0000-0000-0000CC460000}"/>
    <cellStyle name="Normal 4 3 2 4 2" xfId="19596" xr:uid="{00000000-0005-0000-0000-0000CD460000}"/>
    <cellStyle name="Normal 4 3 2 4 2 2" xfId="36172" xr:uid="{00000000-0005-0000-0000-0000CE460000}"/>
    <cellStyle name="Normal 4 3 2 4 3" xfId="28126" xr:uid="{00000000-0005-0000-0000-0000CF460000}"/>
    <cellStyle name="Normal 4 3 2 5" xfId="4324" xr:uid="{00000000-0005-0000-0000-0000D0460000}"/>
    <cellStyle name="Normal 4 3 3" xfId="258" xr:uid="{00000000-0005-0000-0000-0000D1460000}"/>
    <cellStyle name="Normal 4 3 3 2" xfId="259" xr:uid="{00000000-0005-0000-0000-0000D2460000}"/>
    <cellStyle name="Normal 4 3 3 2 2" xfId="19598" xr:uid="{00000000-0005-0000-0000-0000D3460000}"/>
    <cellStyle name="Normal 4 3 3 2 2 2" xfId="36174" xr:uid="{00000000-0005-0000-0000-0000D4460000}"/>
    <cellStyle name="Normal 4 3 3 2 3" xfId="28128" xr:uid="{00000000-0005-0000-0000-0000D5460000}"/>
    <cellStyle name="Normal 4 3 3 3" xfId="19597" xr:uid="{00000000-0005-0000-0000-0000D6460000}"/>
    <cellStyle name="Normal 4 3 3 3 2" xfId="36173" xr:uid="{00000000-0005-0000-0000-0000D7460000}"/>
    <cellStyle name="Normal 4 3 3 4" xfId="28127" xr:uid="{00000000-0005-0000-0000-0000D8460000}"/>
    <cellStyle name="Normal 4 3 4" xfId="260" xr:uid="{00000000-0005-0000-0000-0000D9460000}"/>
    <cellStyle name="Normal 4 3 4 2" xfId="261" xr:uid="{00000000-0005-0000-0000-0000DA460000}"/>
    <cellStyle name="Normal 4 3 4 2 2" xfId="19600" xr:uid="{00000000-0005-0000-0000-0000DB460000}"/>
    <cellStyle name="Normal 4 3 4 2 2 2" xfId="36176" xr:uid="{00000000-0005-0000-0000-0000DC460000}"/>
    <cellStyle name="Normal 4 3 4 2 3" xfId="28130" xr:uid="{00000000-0005-0000-0000-0000DD460000}"/>
    <cellStyle name="Normal 4 3 4 3" xfId="19599" xr:uid="{00000000-0005-0000-0000-0000DE460000}"/>
    <cellStyle name="Normal 4 3 4 3 2" xfId="36175" xr:uid="{00000000-0005-0000-0000-0000DF460000}"/>
    <cellStyle name="Normal 4 3 4 4" xfId="28129" xr:uid="{00000000-0005-0000-0000-0000E0460000}"/>
    <cellStyle name="Normal 4 3 5" xfId="262" xr:uid="{00000000-0005-0000-0000-0000E1460000}"/>
    <cellStyle name="Normal 4 3 5 2" xfId="263" xr:uid="{00000000-0005-0000-0000-0000E2460000}"/>
    <cellStyle name="Normal 4 3 5 2 2" xfId="19602" xr:uid="{00000000-0005-0000-0000-0000E3460000}"/>
    <cellStyle name="Normal 4 3 5 2 2 2" xfId="36178" xr:uid="{00000000-0005-0000-0000-0000E4460000}"/>
    <cellStyle name="Normal 4 3 5 2 3" xfId="28132" xr:uid="{00000000-0005-0000-0000-0000E5460000}"/>
    <cellStyle name="Normal 4 3 5 3" xfId="19601" xr:uid="{00000000-0005-0000-0000-0000E6460000}"/>
    <cellStyle name="Normal 4 3 5 3 2" xfId="36177" xr:uid="{00000000-0005-0000-0000-0000E7460000}"/>
    <cellStyle name="Normal 4 3 5 4" xfId="28131" xr:uid="{00000000-0005-0000-0000-0000E8460000}"/>
    <cellStyle name="Normal 4 3 6" xfId="264" xr:uid="{00000000-0005-0000-0000-0000E9460000}"/>
    <cellStyle name="Normal 4 3 6 2" xfId="19603" xr:uid="{00000000-0005-0000-0000-0000EA460000}"/>
    <cellStyle name="Normal 4 3 6 2 2" xfId="36179" xr:uid="{00000000-0005-0000-0000-0000EB460000}"/>
    <cellStyle name="Normal 4 3 6 3" xfId="28133" xr:uid="{00000000-0005-0000-0000-0000EC460000}"/>
    <cellStyle name="Normal 4 3 7" xfId="4323" xr:uid="{00000000-0005-0000-0000-0000ED460000}"/>
    <cellStyle name="Normal 4 4" xfId="265" xr:uid="{00000000-0005-0000-0000-0000EE460000}"/>
    <cellStyle name="Normal 4 4 2" xfId="266" xr:uid="{00000000-0005-0000-0000-0000EF460000}"/>
    <cellStyle name="Normal 4 4 2 2" xfId="267" xr:uid="{00000000-0005-0000-0000-0000F0460000}"/>
    <cellStyle name="Normal 4 4 2 2 2" xfId="19604" xr:uid="{00000000-0005-0000-0000-0000F1460000}"/>
    <cellStyle name="Normal 4 4 2 2 2 2" xfId="36180" xr:uid="{00000000-0005-0000-0000-0000F2460000}"/>
    <cellStyle name="Normal 4 4 2 2 3" xfId="28134" xr:uid="{00000000-0005-0000-0000-0000F3460000}"/>
    <cellStyle name="Normal 4 4 2 3" xfId="8362" xr:uid="{00000000-0005-0000-0000-0000F4460000}"/>
    <cellStyle name="Normal 4 4 3" xfId="268" xr:uid="{00000000-0005-0000-0000-0000F5460000}"/>
    <cellStyle name="Normal 4 4 3 2" xfId="269" xr:uid="{00000000-0005-0000-0000-0000F6460000}"/>
    <cellStyle name="Normal 4 4 3 2 2" xfId="19606" xr:uid="{00000000-0005-0000-0000-0000F7460000}"/>
    <cellStyle name="Normal 4 4 3 2 2 2" xfId="36182" xr:uid="{00000000-0005-0000-0000-0000F8460000}"/>
    <cellStyle name="Normal 4 4 3 2 3" xfId="28136" xr:uid="{00000000-0005-0000-0000-0000F9460000}"/>
    <cellStyle name="Normal 4 4 3 3" xfId="19605" xr:uid="{00000000-0005-0000-0000-0000FA460000}"/>
    <cellStyle name="Normal 4 4 3 3 2" xfId="36181" xr:uid="{00000000-0005-0000-0000-0000FB460000}"/>
    <cellStyle name="Normal 4 4 3 4" xfId="28135" xr:uid="{00000000-0005-0000-0000-0000FC460000}"/>
    <cellStyle name="Normal 4 4 4" xfId="270" xr:uid="{00000000-0005-0000-0000-0000FD460000}"/>
    <cellStyle name="Normal 4 4 4 2" xfId="19607" xr:uid="{00000000-0005-0000-0000-0000FE460000}"/>
    <cellStyle name="Normal 4 4 4 2 2" xfId="36183" xr:uid="{00000000-0005-0000-0000-0000FF460000}"/>
    <cellStyle name="Normal 4 4 4 3" xfId="28137" xr:uid="{00000000-0005-0000-0000-000000470000}"/>
    <cellStyle name="Normal 4 4 5" xfId="6613" xr:uid="{00000000-0005-0000-0000-000001470000}"/>
    <cellStyle name="Normal 4 5" xfId="271" xr:uid="{00000000-0005-0000-0000-000002470000}"/>
    <cellStyle name="Normal 4 5 2" xfId="272" xr:uid="{00000000-0005-0000-0000-000003470000}"/>
    <cellStyle name="Normal 4 5 2 2" xfId="19608" xr:uid="{00000000-0005-0000-0000-000004470000}"/>
    <cellStyle name="Normal 4 5 2 2 2" xfId="36184" xr:uid="{00000000-0005-0000-0000-000005470000}"/>
    <cellStyle name="Normal 4 5 2 3" xfId="28138" xr:uid="{00000000-0005-0000-0000-000006470000}"/>
    <cellStyle name="Normal 4 5 3" xfId="4321" xr:uid="{00000000-0005-0000-0000-000007470000}"/>
    <cellStyle name="Normal 4 6" xfId="273" xr:uid="{00000000-0005-0000-0000-000008470000}"/>
    <cellStyle name="Normal 4 6 2" xfId="274" xr:uid="{00000000-0005-0000-0000-000009470000}"/>
    <cellStyle name="Normal 4 6 2 2" xfId="19610" xr:uid="{00000000-0005-0000-0000-00000A470000}"/>
    <cellStyle name="Normal 4 6 2 2 2" xfId="36186" xr:uid="{00000000-0005-0000-0000-00000B470000}"/>
    <cellStyle name="Normal 4 6 2 3" xfId="28140" xr:uid="{00000000-0005-0000-0000-00000C470000}"/>
    <cellStyle name="Normal 4 6 3" xfId="19609" xr:uid="{00000000-0005-0000-0000-00000D470000}"/>
    <cellStyle name="Normal 4 6 3 2" xfId="36185" xr:uid="{00000000-0005-0000-0000-00000E470000}"/>
    <cellStyle name="Normal 4 6 4" xfId="28139" xr:uid="{00000000-0005-0000-0000-00000F470000}"/>
    <cellStyle name="Normal 4 7" xfId="275" xr:uid="{00000000-0005-0000-0000-000010470000}"/>
    <cellStyle name="Normal 4 7 2" xfId="276" xr:uid="{00000000-0005-0000-0000-000011470000}"/>
    <cellStyle name="Normal 4 7 2 2" xfId="19612" xr:uid="{00000000-0005-0000-0000-000012470000}"/>
    <cellStyle name="Normal 4 7 2 2 2" xfId="36188" xr:uid="{00000000-0005-0000-0000-000013470000}"/>
    <cellStyle name="Normal 4 7 2 3" xfId="28142" xr:uid="{00000000-0005-0000-0000-000014470000}"/>
    <cellStyle name="Normal 4 7 3" xfId="19611" xr:uid="{00000000-0005-0000-0000-000015470000}"/>
    <cellStyle name="Normal 4 7 3 2" xfId="36187" xr:uid="{00000000-0005-0000-0000-000016470000}"/>
    <cellStyle name="Normal 4 7 4" xfId="28141" xr:uid="{00000000-0005-0000-0000-000017470000}"/>
    <cellStyle name="Normal 4 8" xfId="277" xr:uid="{00000000-0005-0000-0000-000018470000}"/>
    <cellStyle name="Normal 4 8 2" xfId="19613" xr:uid="{00000000-0005-0000-0000-000019470000}"/>
    <cellStyle name="Normal 4 8 2 2" xfId="36189" xr:uid="{00000000-0005-0000-0000-00001A470000}"/>
    <cellStyle name="Normal 4 8 3" xfId="28143" xr:uid="{00000000-0005-0000-0000-00001B470000}"/>
    <cellStyle name="Normal 4 9" xfId="28" xr:uid="{00000000-0005-0000-0000-00001C470000}"/>
    <cellStyle name="Normal 40" xfId="4325" xr:uid="{00000000-0005-0000-0000-00001D470000}"/>
    <cellStyle name="Normal 40 10" xfId="13699" xr:uid="{00000000-0005-0000-0000-00001E470000}"/>
    <cellStyle name="Normal 40 10 2" xfId="30243" xr:uid="{00000000-0005-0000-0000-00001F470000}"/>
    <cellStyle name="Normal 40 11" xfId="22200" xr:uid="{00000000-0005-0000-0000-000020470000}"/>
    <cellStyle name="Normal 40 2" xfId="4326" xr:uid="{00000000-0005-0000-0000-000021470000}"/>
    <cellStyle name="Normal 40 2 2" xfId="4327" xr:uid="{00000000-0005-0000-0000-000022470000}"/>
    <cellStyle name="Normal 40 2 3" xfId="13700" xr:uid="{00000000-0005-0000-0000-000023470000}"/>
    <cellStyle name="Normal 40 2 3 2" xfId="30244" xr:uid="{00000000-0005-0000-0000-000024470000}"/>
    <cellStyle name="Normal 40 2 4" xfId="22201" xr:uid="{00000000-0005-0000-0000-000025470000}"/>
    <cellStyle name="Normal 40 3" xfId="4328" xr:uid="{00000000-0005-0000-0000-000026470000}"/>
    <cellStyle name="Normal 40 3 2" xfId="4329" xr:uid="{00000000-0005-0000-0000-000027470000}"/>
    <cellStyle name="Normal 40 3 2 2" xfId="4330" xr:uid="{00000000-0005-0000-0000-000028470000}"/>
    <cellStyle name="Normal 40 3 2 2 2" xfId="4331" xr:uid="{00000000-0005-0000-0000-000029470000}"/>
    <cellStyle name="Normal 40 3 2 2 2 2" xfId="8363" xr:uid="{00000000-0005-0000-0000-00002A470000}"/>
    <cellStyle name="Normal 40 3 2 2 2 2 2" xfId="17539" xr:uid="{00000000-0005-0000-0000-00002B470000}"/>
    <cellStyle name="Normal 40 3 2 2 2 2 2 2" xfId="34113" xr:uid="{00000000-0005-0000-0000-00002C470000}"/>
    <cellStyle name="Normal 40 3 2 2 2 2 3" xfId="26066" xr:uid="{00000000-0005-0000-0000-00002D470000}"/>
    <cellStyle name="Normal 40 3 2 2 2 3" xfId="13703" xr:uid="{00000000-0005-0000-0000-00002E470000}"/>
    <cellStyle name="Normal 40 3 2 2 2 3 2" xfId="30247" xr:uid="{00000000-0005-0000-0000-00002F470000}"/>
    <cellStyle name="Normal 40 3 2 2 2 4" xfId="22204" xr:uid="{00000000-0005-0000-0000-000030470000}"/>
    <cellStyle name="Normal 40 3 2 2 3" xfId="8364" xr:uid="{00000000-0005-0000-0000-000031470000}"/>
    <cellStyle name="Normal 40 3 2 2 3 2" xfId="17540" xr:uid="{00000000-0005-0000-0000-000032470000}"/>
    <cellStyle name="Normal 40 3 2 2 3 2 2" xfId="34114" xr:uid="{00000000-0005-0000-0000-000033470000}"/>
    <cellStyle name="Normal 40 3 2 2 3 3" xfId="26067" xr:uid="{00000000-0005-0000-0000-000034470000}"/>
    <cellStyle name="Normal 40 3 2 2 4" xfId="13702" xr:uid="{00000000-0005-0000-0000-000035470000}"/>
    <cellStyle name="Normal 40 3 2 2 4 2" xfId="30246" xr:uid="{00000000-0005-0000-0000-000036470000}"/>
    <cellStyle name="Normal 40 3 2 2 5" xfId="22203" xr:uid="{00000000-0005-0000-0000-000037470000}"/>
    <cellStyle name="Normal 40 3 2 3" xfId="4332" xr:uid="{00000000-0005-0000-0000-000038470000}"/>
    <cellStyle name="Normal 40 3 2 3 2" xfId="8365" xr:uid="{00000000-0005-0000-0000-000039470000}"/>
    <cellStyle name="Normal 40 3 2 3 2 2" xfId="17541" xr:uid="{00000000-0005-0000-0000-00003A470000}"/>
    <cellStyle name="Normal 40 3 2 3 2 2 2" xfId="34115" xr:uid="{00000000-0005-0000-0000-00003B470000}"/>
    <cellStyle name="Normal 40 3 2 3 2 3" xfId="26068" xr:uid="{00000000-0005-0000-0000-00003C470000}"/>
    <cellStyle name="Normal 40 3 2 3 3" xfId="13704" xr:uid="{00000000-0005-0000-0000-00003D470000}"/>
    <cellStyle name="Normal 40 3 2 3 3 2" xfId="30248" xr:uid="{00000000-0005-0000-0000-00003E470000}"/>
    <cellStyle name="Normal 40 3 2 3 4" xfId="22205" xr:uid="{00000000-0005-0000-0000-00003F470000}"/>
    <cellStyle name="Normal 40 3 2 4" xfId="8366" xr:uid="{00000000-0005-0000-0000-000040470000}"/>
    <cellStyle name="Normal 40 3 2 4 2" xfId="17542" xr:uid="{00000000-0005-0000-0000-000041470000}"/>
    <cellStyle name="Normal 40 3 2 4 2 2" xfId="34116" xr:uid="{00000000-0005-0000-0000-000042470000}"/>
    <cellStyle name="Normal 40 3 2 4 3" xfId="26069" xr:uid="{00000000-0005-0000-0000-000043470000}"/>
    <cellStyle name="Normal 40 3 2 5" xfId="13701" xr:uid="{00000000-0005-0000-0000-000044470000}"/>
    <cellStyle name="Normal 40 3 2 5 2" xfId="30245" xr:uid="{00000000-0005-0000-0000-000045470000}"/>
    <cellStyle name="Normal 40 3 2 6" xfId="22202" xr:uid="{00000000-0005-0000-0000-000046470000}"/>
    <cellStyle name="Normal 40 3 3" xfId="4333" xr:uid="{00000000-0005-0000-0000-000047470000}"/>
    <cellStyle name="Normal 40 3 3 2" xfId="4334" xr:uid="{00000000-0005-0000-0000-000048470000}"/>
    <cellStyle name="Normal 40 3 3 2 2" xfId="8367" xr:uid="{00000000-0005-0000-0000-000049470000}"/>
    <cellStyle name="Normal 40 3 3 2 2 2" xfId="17543" xr:uid="{00000000-0005-0000-0000-00004A470000}"/>
    <cellStyle name="Normal 40 3 3 2 2 2 2" xfId="34117" xr:uid="{00000000-0005-0000-0000-00004B470000}"/>
    <cellStyle name="Normal 40 3 3 2 2 3" xfId="26070" xr:uid="{00000000-0005-0000-0000-00004C470000}"/>
    <cellStyle name="Normal 40 3 3 2 3" xfId="13706" xr:uid="{00000000-0005-0000-0000-00004D470000}"/>
    <cellStyle name="Normal 40 3 3 2 3 2" xfId="30250" xr:uid="{00000000-0005-0000-0000-00004E470000}"/>
    <cellStyle name="Normal 40 3 3 2 4" xfId="22207" xr:uid="{00000000-0005-0000-0000-00004F470000}"/>
    <cellStyle name="Normal 40 3 3 3" xfId="8368" xr:uid="{00000000-0005-0000-0000-000050470000}"/>
    <cellStyle name="Normal 40 3 3 3 2" xfId="17544" xr:uid="{00000000-0005-0000-0000-000051470000}"/>
    <cellStyle name="Normal 40 3 3 3 2 2" xfId="34118" xr:uid="{00000000-0005-0000-0000-000052470000}"/>
    <cellStyle name="Normal 40 3 3 3 3" xfId="26071" xr:uid="{00000000-0005-0000-0000-000053470000}"/>
    <cellStyle name="Normal 40 3 3 4" xfId="13705" xr:uid="{00000000-0005-0000-0000-000054470000}"/>
    <cellStyle name="Normal 40 3 3 4 2" xfId="30249" xr:uid="{00000000-0005-0000-0000-000055470000}"/>
    <cellStyle name="Normal 40 3 3 5" xfId="22206" xr:uid="{00000000-0005-0000-0000-000056470000}"/>
    <cellStyle name="Normal 40 3 4" xfId="4335" xr:uid="{00000000-0005-0000-0000-000057470000}"/>
    <cellStyle name="Normal 40 3 4 2" xfId="8369" xr:uid="{00000000-0005-0000-0000-000058470000}"/>
    <cellStyle name="Normal 40 3 4 2 2" xfId="17545" xr:uid="{00000000-0005-0000-0000-000059470000}"/>
    <cellStyle name="Normal 40 3 4 2 2 2" xfId="34119" xr:uid="{00000000-0005-0000-0000-00005A470000}"/>
    <cellStyle name="Normal 40 3 4 2 3" xfId="26072" xr:uid="{00000000-0005-0000-0000-00005B470000}"/>
    <cellStyle name="Normal 40 3 4 3" xfId="13707" xr:uid="{00000000-0005-0000-0000-00005C470000}"/>
    <cellStyle name="Normal 40 3 4 3 2" xfId="30251" xr:uid="{00000000-0005-0000-0000-00005D470000}"/>
    <cellStyle name="Normal 40 3 4 4" xfId="22208" xr:uid="{00000000-0005-0000-0000-00005E470000}"/>
    <cellStyle name="Normal 40 3 5" xfId="4336" xr:uid="{00000000-0005-0000-0000-00005F470000}"/>
    <cellStyle name="Normal 40 3 5 2" xfId="13708" xr:uid="{00000000-0005-0000-0000-000060470000}"/>
    <cellStyle name="Normal 40 3 5 2 2" xfId="30252" xr:uid="{00000000-0005-0000-0000-000061470000}"/>
    <cellStyle name="Normal 40 3 5 3" xfId="22209" xr:uid="{00000000-0005-0000-0000-000062470000}"/>
    <cellStyle name="Normal 40 4" xfId="4337" xr:uid="{00000000-0005-0000-0000-000063470000}"/>
    <cellStyle name="Normal 40 4 2" xfId="4338" xr:uid="{00000000-0005-0000-0000-000064470000}"/>
    <cellStyle name="Normal 40 4 2 2" xfId="4339" xr:uid="{00000000-0005-0000-0000-000065470000}"/>
    <cellStyle name="Normal 40 4 2 2 2" xfId="4340" xr:uid="{00000000-0005-0000-0000-000066470000}"/>
    <cellStyle name="Normal 40 4 2 2 2 2" xfId="8370" xr:uid="{00000000-0005-0000-0000-000067470000}"/>
    <cellStyle name="Normal 40 4 2 2 2 2 2" xfId="17546" xr:uid="{00000000-0005-0000-0000-000068470000}"/>
    <cellStyle name="Normal 40 4 2 2 2 2 2 2" xfId="34120" xr:uid="{00000000-0005-0000-0000-000069470000}"/>
    <cellStyle name="Normal 40 4 2 2 2 2 3" xfId="26073" xr:uid="{00000000-0005-0000-0000-00006A470000}"/>
    <cellStyle name="Normal 40 4 2 2 2 3" xfId="13712" xr:uid="{00000000-0005-0000-0000-00006B470000}"/>
    <cellStyle name="Normal 40 4 2 2 2 3 2" xfId="30256" xr:uid="{00000000-0005-0000-0000-00006C470000}"/>
    <cellStyle name="Normal 40 4 2 2 2 4" xfId="22213" xr:uid="{00000000-0005-0000-0000-00006D470000}"/>
    <cellStyle name="Normal 40 4 2 2 3" xfId="8371" xr:uid="{00000000-0005-0000-0000-00006E470000}"/>
    <cellStyle name="Normal 40 4 2 2 3 2" xfId="17547" xr:uid="{00000000-0005-0000-0000-00006F470000}"/>
    <cellStyle name="Normal 40 4 2 2 3 2 2" xfId="34121" xr:uid="{00000000-0005-0000-0000-000070470000}"/>
    <cellStyle name="Normal 40 4 2 2 3 3" xfId="26074" xr:uid="{00000000-0005-0000-0000-000071470000}"/>
    <cellStyle name="Normal 40 4 2 2 4" xfId="13711" xr:uid="{00000000-0005-0000-0000-000072470000}"/>
    <cellStyle name="Normal 40 4 2 2 4 2" xfId="30255" xr:uid="{00000000-0005-0000-0000-000073470000}"/>
    <cellStyle name="Normal 40 4 2 2 5" xfId="22212" xr:uid="{00000000-0005-0000-0000-000074470000}"/>
    <cellStyle name="Normal 40 4 2 3" xfId="4341" xr:uid="{00000000-0005-0000-0000-000075470000}"/>
    <cellStyle name="Normal 40 4 2 3 2" xfId="8372" xr:uid="{00000000-0005-0000-0000-000076470000}"/>
    <cellStyle name="Normal 40 4 2 3 2 2" xfId="17548" xr:uid="{00000000-0005-0000-0000-000077470000}"/>
    <cellStyle name="Normal 40 4 2 3 2 2 2" xfId="34122" xr:uid="{00000000-0005-0000-0000-000078470000}"/>
    <cellStyle name="Normal 40 4 2 3 2 3" xfId="26075" xr:uid="{00000000-0005-0000-0000-000079470000}"/>
    <cellStyle name="Normal 40 4 2 3 3" xfId="13713" xr:uid="{00000000-0005-0000-0000-00007A470000}"/>
    <cellStyle name="Normal 40 4 2 3 3 2" xfId="30257" xr:uid="{00000000-0005-0000-0000-00007B470000}"/>
    <cellStyle name="Normal 40 4 2 3 4" xfId="22214" xr:uid="{00000000-0005-0000-0000-00007C470000}"/>
    <cellStyle name="Normal 40 4 2 4" xfId="8373" xr:uid="{00000000-0005-0000-0000-00007D470000}"/>
    <cellStyle name="Normal 40 4 2 4 2" xfId="17549" xr:uid="{00000000-0005-0000-0000-00007E470000}"/>
    <cellStyle name="Normal 40 4 2 4 2 2" xfId="34123" xr:uid="{00000000-0005-0000-0000-00007F470000}"/>
    <cellStyle name="Normal 40 4 2 4 3" xfId="26076" xr:uid="{00000000-0005-0000-0000-000080470000}"/>
    <cellStyle name="Normal 40 4 2 5" xfId="13710" xr:uid="{00000000-0005-0000-0000-000081470000}"/>
    <cellStyle name="Normal 40 4 2 5 2" xfId="30254" xr:uid="{00000000-0005-0000-0000-000082470000}"/>
    <cellStyle name="Normal 40 4 2 6" xfId="22211" xr:uid="{00000000-0005-0000-0000-000083470000}"/>
    <cellStyle name="Normal 40 4 3" xfId="4342" xr:uid="{00000000-0005-0000-0000-000084470000}"/>
    <cellStyle name="Normal 40 4 3 2" xfId="4343" xr:uid="{00000000-0005-0000-0000-000085470000}"/>
    <cellStyle name="Normal 40 4 3 2 2" xfId="8374" xr:uid="{00000000-0005-0000-0000-000086470000}"/>
    <cellStyle name="Normal 40 4 3 2 2 2" xfId="17550" xr:uid="{00000000-0005-0000-0000-000087470000}"/>
    <cellStyle name="Normal 40 4 3 2 2 2 2" xfId="34124" xr:uid="{00000000-0005-0000-0000-000088470000}"/>
    <cellStyle name="Normal 40 4 3 2 2 3" xfId="26077" xr:uid="{00000000-0005-0000-0000-000089470000}"/>
    <cellStyle name="Normal 40 4 3 2 3" xfId="13715" xr:uid="{00000000-0005-0000-0000-00008A470000}"/>
    <cellStyle name="Normal 40 4 3 2 3 2" xfId="30259" xr:uid="{00000000-0005-0000-0000-00008B470000}"/>
    <cellStyle name="Normal 40 4 3 2 4" xfId="22216" xr:uid="{00000000-0005-0000-0000-00008C470000}"/>
    <cellStyle name="Normal 40 4 3 3" xfId="8375" xr:uid="{00000000-0005-0000-0000-00008D470000}"/>
    <cellStyle name="Normal 40 4 3 3 2" xfId="17551" xr:uid="{00000000-0005-0000-0000-00008E470000}"/>
    <cellStyle name="Normal 40 4 3 3 2 2" xfId="34125" xr:uid="{00000000-0005-0000-0000-00008F470000}"/>
    <cellStyle name="Normal 40 4 3 3 3" xfId="26078" xr:uid="{00000000-0005-0000-0000-000090470000}"/>
    <cellStyle name="Normal 40 4 3 4" xfId="13714" xr:uid="{00000000-0005-0000-0000-000091470000}"/>
    <cellStyle name="Normal 40 4 3 4 2" xfId="30258" xr:uid="{00000000-0005-0000-0000-000092470000}"/>
    <cellStyle name="Normal 40 4 3 5" xfId="22215" xr:uid="{00000000-0005-0000-0000-000093470000}"/>
    <cellStyle name="Normal 40 4 4" xfId="4344" xr:uid="{00000000-0005-0000-0000-000094470000}"/>
    <cellStyle name="Normal 40 4 4 2" xfId="8376" xr:uid="{00000000-0005-0000-0000-000095470000}"/>
    <cellStyle name="Normal 40 4 4 2 2" xfId="17552" xr:uid="{00000000-0005-0000-0000-000096470000}"/>
    <cellStyle name="Normal 40 4 4 2 2 2" xfId="34126" xr:uid="{00000000-0005-0000-0000-000097470000}"/>
    <cellStyle name="Normal 40 4 4 2 3" xfId="26079" xr:uid="{00000000-0005-0000-0000-000098470000}"/>
    <cellStyle name="Normal 40 4 4 3" xfId="13716" xr:uid="{00000000-0005-0000-0000-000099470000}"/>
    <cellStyle name="Normal 40 4 4 3 2" xfId="30260" xr:uid="{00000000-0005-0000-0000-00009A470000}"/>
    <cellStyle name="Normal 40 4 4 4" xfId="22217" xr:uid="{00000000-0005-0000-0000-00009B470000}"/>
    <cellStyle name="Normal 40 4 5" xfId="8377" xr:uid="{00000000-0005-0000-0000-00009C470000}"/>
    <cellStyle name="Normal 40 4 5 2" xfId="17553" xr:uid="{00000000-0005-0000-0000-00009D470000}"/>
    <cellStyle name="Normal 40 4 5 2 2" xfId="34127" xr:uid="{00000000-0005-0000-0000-00009E470000}"/>
    <cellStyle name="Normal 40 4 5 3" xfId="26080" xr:uid="{00000000-0005-0000-0000-00009F470000}"/>
    <cellStyle name="Normal 40 4 6" xfId="13709" xr:uid="{00000000-0005-0000-0000-0000A0470000}"/>
    <cellStyle name="Normal 40 4 6 2" xfId="30253" xr:uid="{00000000-0005-0000-0000-0000A1470000}"/>
    <cellStyle name="Normal 40 4 7" xfId="22210" xr:uid="{00000000-0005-0000-0000-0000A2470000}"/>
    <cellStyle name="Normal 40 5" xfId="4345" xr:uid="{00000000-0005-0000-0000-0000A3470000}"/>
    <cellStyle name="Normal 40 5 2" xfId="4346" xr:uid="{00000000-0005-0000-0000-0000A4470000}"/>
    <cellStyle name="Normal 40 5 2 2" xfId="4347" xr:uid="{00000000-0005-0000-0000-0000A5470000}"/>
    <cellStyle name="Normal 40 5 2 2 2" xfId="4348" xr:uid="{00000000-0005-0000-0000-0000A6470000}"/>
    <cellStyle name="Normal 40 5 2 2 2 2" xfId="8378" xr:uid="{00000000-0005-0000-0000-0000A7470000}"/>
    <cellStyle name="Normal 40 5 2 2 2 2 2" xfId="17554" xr:uid="{00000000-0005-0000-0000-0000A8470000}"/>
    <cellStyle name="Normal 40 5 2 2 2 2 2 2" xfId="34128" xr:uid="{00000000-0005-0000-0000-0000A9470000}"/>
    <cellStyle name="Normal 40 5 2 2 2 2 3" xfId="26081" xr:uid="{00000000-0005-0000-0000-0000AA470000}"/>
    <cellStyle name="Normal 40 5 2 2 2 3" xfId="13720" xr:uid="{00000000-0005-0000-0000-0000AB470000}"/>
    <cellStyle name="Normal 40 5 2 2 2 3 2" xfId="30264" xr:uid="{00000000-0005-0000-0000-0000AC470000}"/>
    <cellStyle name="Normal 40 5 2 2 2 4" xfId="22221" xr:uid="{00000000-0005-0000-0000-0000AD470000}"/>
    <cellStyle name="Normal 40 5 2 2 3" xfId="8379" xr:uid="{00000000-0005-0000-0000-0000AE470000}"/>
    <cellStyle name="Normal 40 5 2 2 3 2" xfId="17555" xr:uid="{00000000-0005-0000-0000-0000AF470000}"/>
    <cellStyle name="Normal 40 5 2 2 3 2 2" xfId="34129" xr:uid="{00000000-0005-0000-0000-0000B0470000}"/>
    <cellStyle name="Normal 40 5 2 2 3 3" xfId="26082" xr:uid="{00000000-0005-0000-0000-0000B1470000}"/>
    <cellStyle name="Normal 40 5 2 2 4" xfId="13719" xr:uid="{00000000-0005-0000-0000-0000B2470000}"/>
    <cellStyle name="Normal 40 5 2 2 4 2" xfId="30263" xr:uid="{00000000-0005-0000-0000-0000B3470000}"/>
    <cellStyle name="Normal 40 5 2 2 5" xfId="22220" xr:uid="{00000000-0005-0000-0000-0000B4470000}"/>
    <cellStyle name="Normal 40 5 2 3" xfId="4349" xr:uid="{00000000-0005-0000-0000-0000B5470000}"/>
    <cellStyle name="Normal 40 5 2 3 2" xfId="8380" xr:uid="{00000000-0005-0000-0000-0000B6470000}"/>
    <cellStyle name="Normal 40 5 2 3 2 2" xfId="17556" xr:uid="{00000000-0005-0000-0000-0000B7470000}"/>
    <cellStyle name="Normal 40 5 2 3 2 2 2" xfId="34130" xr:uid="{00000000-0005-0000-0000-0000B8470000}"/>
    <cellStyle name="Normal 40 5 2 3 2 3" xfId="26083" xr:uid="{00000000-0005-0000-0000-0000B9470000}"/>
    <cellStyle name="Normal 40 5 2 3 3" xfId="13721" xr:uid="{00000000-0005-0000-0000-0000BA470000}"/>
    <cellStyle name="Normal 40 5 2 3 3 2" xfId="30265" xr:uid="{00000000-0005-0000-0000-0000BB470000}"/>
    <cellStyle name="Normal 40 5 2 3 4" xfId="22222" xr:uid="{00000000-0005-0000-0000-0000BC470000}"/>
    <cellStyle name="Normal 40 5 2 4" xfId="8381" xr:uid="{00000000-0005-0000-0000-0000BD470000}"/>
    <cellStyle name="Normal 40 5 2 4 2" xfId="17557" xr:uid="{00000000-0005-0000-0000-0000BE470000}"/>
    <cellStyle name="Normal 40 5 2 4 2 2" xfId="34131" xr:uid="{00000000-0005-0000-0000-0000BF470000}"/>
    <cellStyle name="Normal 40 5 2 4 3" xfId="26084" xr:uid="{00000000-0005-0000-0000-0000C0470000}"/>
    <cellStyle name="Normal 40 5 2 5" xfId="13718" xr:uid="{00000000-0005-0000-0000-0000C1470000}"/>
    <cellStyle name="Normal 40 5 2 5 2" xfId="30262" xr:uid="{00000000-0005-0000-0000-0000C2470000}"/>
    <cellStyle name="Normal 40 5 2 6" xfId="22219" xr:uid="{00000000-0005-0000-0000-0000C3470000}"/>
    <cellStyle name="Normal 40 5 3" xfId="4350" xr:uid="{00000000-0005-0000-0000-0000C4470000}"/>
    <cellStyle name="Normal 40 5 3 2" xfId="4351" xr:uid="{00000000-0005-0000-0000-0000C5470000}"/>
    <cellStyle name="Normal 40 5 3 2 2" xfId="8382" xr:uid="{00000000-0005-0000-0000-0000C6470000}"/>
    <cellStyle name="Normal 40 5 3 2 2 2" xfId="17558" xr:uid="{00000000-0005-0000-0000-0000C7470000}"/>
    <cellStyle name="Normal 40 5 3 2 2 2 2" xfId="34132" xr:uid="{00000000-0005-0000-0000-0000C8470000}"/>
    <cellStyle name="Normal 40 5 3 2 2 3" xfId="26085" xr:uid="{00000000-0005-0000-0000-0000C9470000}"/>
    <cellStyle name="Normal 40 5 3 2 3" xfId="13723" xr:uid="{00000000-0005-0000-0000-0000CA470000}"/>
    <cellStyle name="Normal 40 5 3 2 3 2" xfId="30267" xr:uid="{00000000-0005-0000-0000-0000CB470000}"/>
    <cellStyle name="Normal 40 5 3 2 4" xfId="22224" xr:uid="{00000000-0005-0000-0000-0000CC470000}"/>
    <cellStyle name="Normal 40 5 3 3" xfId="8383" xr:uid="{00000000-0005-0000-0000-0000CD470000}"/>
    <cellStyle name="Normal 40 5 3 3 2" xfId="17559" xr:uid="{00000000-0005-0000-0000-0000CE470000}"/>
    <cellStyle name="Normal 40 5 3 3 2 2" xfId="34133" xr:uid="{00000000-0005-0000-0000-0000CF470000}"/>
    <cellStyle name="Normal 40 5 3 3 3" xfId="26086" xr:uid="{00000000-0005-0000-0000-0000D0470000}"/>
    <cellStyle name="Normal 40 5 3 4" xfId="13722" xr:uid="{00000000-0005-0000-0000-0000D1470000}"/>
    <cellStyle name="Normal 40 5 3 4 2" xfId="30266" xr:uid="{00000000-0005-0000-0000-0000D2470000}"/>
    <cellStyle name="Normal 40 5 3 5" xfId="22223" xr:uid="{00000000-0005-0000-0000-0000D3470000}"/>
    <cellStyle name="Normal 40 5 4" xfId="4352" xr:uid="{00000000-0005-0000-0000-0000D4470000}"/>
    <cellStyle name="Normal 40 5 4 2" xfId="8384" xr:uid="{00000000-0005-0000-0000-0000D5470000}"/>
    <cellStyle name="Normal 40 5 4 2 2" xfId="17560" xr:uid="{00000000-0005-0000-0000-0000D6470000}"/>
    <cellStyle name="Normal 40 5 4 2 2 2" xfId="34134" xr:uid="{00000000-0005-0000-0000-0000D7470000}"/>
    <cellStyle name="Normal 40 5 4 2 3" xfId="26087" xr:uid="{00000000-0005-0000-0000-0000D8470000}"/>
    <cellStyle name="Normal 40 5 4 3" xfId="13724" xr:uid="{00000000-0005-0000-0000-0000D9470000}"/>
    <cellStyle name="Normal 40 5 4 3 2" xfId="30268" xr:uid="{00000000-0005-0000-0000-0000DA470000}"/>
    <cellStyle name="Normal 40 5 4 4" xfId="22225" xr:uid="{00000000-0005-0000-0000-0000DB470000}"/>
    <cellStyle name="Normal 40 5 5" xfId="8385" xr:uid="{00000000-0005-0000-0000-0000DC470000}"/>
    <cellStyle name="Normal 40 5 5 2" xfId="17561" xr:uid="{00000000-0005-0000-0000-0000DD470000}"/>
    <cellStyle name="Normal 40 5 5 2 2" xfId="34135" xr:uid="{00000000-0005-0000-0000-0000DE470000}"/>
    <cellStyle name="Normal 40 5 5 3" xfId="26088" xr:uid="{00000000-0005-0000-0000-0000DF470000}"/>
    <cellStyle name="Normal 40 5 6" xfId="13717" xr:uid="{00000000-0005-0000-0000-0000E0470000}"/>
    <cellStyle name="Normal 40 5 6 2" xfId="30261" xr:uid="{00000000-0005-0000-0000-0000E1470000}"/>
    <cellStyle name="Normal 40 5 7" xfId="22218" xr:uid="{00000000-0005-0000-0000-0000E2470000}"/>
    <cellStyle name="Normal 40 6" xfId="4353" xr:uid="{00000000-0005-0000-0000-0000E3470000}"/>
    <cellStyle name="Normal 40 6 2" xfId="4354" xr:uid="{00000000-0005-0000-0000-0000E4470000}"/>
    <cellStyle name="Normal 40 6 2 2" xfId="4355" xr:uid="{00000000-0005-0000-0000-0000E5470000}"/>
    <cellStyle name="Normal 40 6 2 2 2" xfId="8386" xr:uid="{00000000-0005-0000-0000-0000E6470000}"/>
    <cellStyle name="Normal 40 6 2 2 2 2" xfId="17562" xr:uid="{00000000-0005-0000-0000-0000E7470000}"/>
    <cellStyle name="Normal 40 6 2 2 2 2 2" xfId="34136" xr:uid="{00000000-0005-0000-0000-0000E8470000}"/>
    <cellStyle name="Normal 40 6 2 2 2 3" xfId="26089" xr:uid="{00000000-0005-0000-0000-0000E9470000}"/>
    <cellStyle name="Normal 40 6 2 2 3" xfId="13727" xr:uid="{00000000-0005-0000-0000-0000EA470000}"/>
    <cellStyle name="Normal 40 6 2 2 3 2" xfId="30271" xr:uid="{00000000-0005-0000-0000-0000EB470000}"/>
    <cellStyle name="Normal 40 6 2 2 4" xfId="22228" xr:uid="{00000000-0005-0000-0000-0000EC470000}"/>
    <cellStyle name="Normal 40 6 2 3" xfId="8387" xr:uid="{00000000-0005-0000-0000-0000ED470000}"/>
    <cellStyle name="Normal 40 6 2 3 2" xfId="17563" xr:uid="{00000000-0005-0000-0000-0000EE470000}"/>
    <cellStyle name="Normal 40 6 2 3 2 2" xfId="34137" xr:uid="{00000000-0005-0000-0000-0000EF470000}"/>
    <cellStyle name="Normal 40 6 2 3 3" xfId="26090" xr:uid="{00000000-0005-0000-0000-0000F0470000}"/>
    <cellStyle name="Normal 40 6 2 4" xfId="13726" xr:uid="{00000000-0005-0000-0000-0000F1470000}"/>
    <cellStyle name="Normal 40 6 2 4 2" xfId="30270" xr:uid="{00000000-0005-0000-0000-0000F2470000}"/>
    <cellStyle name="Normal 40 6 2 5" xfId="22227" xr:uid="{00000000-0005-0000-0000-0000F3470000}"/>
    <cellStyle name="Normal 40 6 3" xfId="4356" xr:uid="{00000000-0005-0000-0000-0000F4470000}"/>
    <cellStyle name="Normal 40 6 3 2" xfId="8388" xr:uid="{00000000-0005-0000-0000-0000F5470000}"/>
    <cellStyle name="Normal 40 6 3 2 2" xfId="17564" xr:uid="{00000000-0005-0000-0000-0000F6470000}"/>
    <cellStyle name="Normal 40 6 3 2 2 2" xfId="34138" xr:uid="{00000000-0005-0000-0000-0000F7470000}"/>
    <cellStyle name="Normal 40 6 3 2 3" xfId="26091" xr:uid="{00000000-0005-0000-0000-0000F8470000}"/>
    <cellStyle name="Normal 40 6 3 3" xfId="13728" xr:uid="{00000000-0005-0000-0000-0000F9470000}"/>
    <cellStyle name="Normal 40 6 3 3 2" xfId="30272" xr:uid="{00000000-0005-0000-0000-0000FA470000}"/>
    <cellStyle name="Normal 40 6 3 4" xfId="22229" xr:uid="{00000000-0005-0000-0000-0000FB470000}"/>
    <cellStyle name="Normal 40 6 4" xfId="8389" xr:uid="{00000000-0005-0000-0000-0000FC470000}"/>
    <cellStyle name="Normal 40 6 4 2" xfId="17565" xr:uid="{00000000-0005-0000-0000-0000FD470000}"/>
    <cellStyle name="Normal 40 6 4 2 2" xfId="34139" xr:uid="{00000000-0005-0000-0000-0000FE470000}"/>
    <cellStyle name="Normal 40 6 4 3" xfId="26092" xr:uid="{00000000-0005-0000-0000-0000FF470000}"/>
    <cellStyle name="Normal 40 6 5" xfId="13725" xr:uid="{00000000-0005-0000-0000-000000480000}"/>
    <cellStyle name="Normal 40 6 5 2" xfId="30269" xr:uid="{00000000-0005-0000-0000-000001480000}"/>
    <cellStyle name="Normal 40 6 6" xfId="22226" xr:uid="{00000000-0005-0000-0000-000002480000}"/>
    <cellStyle name="Normal 40 7" xfId="4357" xr:uid="{00000000-0005-0000-0000-000003480000}"/>
    <cellStyle name="Normal 40 7 2" xfId="4358" xr:uid="{00000000-0005-0000-0000-000004480000}"/>
    <cellStyle name="Normal 40 7 2 2" xfId="8390" xr:uid="{00000000-0005-0000-0000-000005480000}"/>
    <cellStyle name="Normal 40 7 2 2 2" xfId="17566" xr:uid="{00000000-0005-0000-0000-000006480000}"/>
    <cellStyle name="Normal 40 7 2 2 2 2" xfId="34140" xr:uid="{00000000-0005-0000-0000-000007480000}"/>
    <cellStyle name="Normal 40 7 2 2 3" xfId="26093" xr:uid="{00000000-0005-0000-0000-000008480000}"/>
    <cellStyle name="Normal 40 7 2 3" xfId="13730" xr:uid="{00000000-0005-0000-0000-000009480000}"/>
    <cellStyle name="Normal 40 7 2 3 2" xfId="30274" xr:uid="{00000000-0005-0000-0000-00000A480000}"/>
    <cellStyle name="Normal 40 7 2 4" xfId="22231" xr:uid="{00000000-0005-0000-0000-00000B480000}"/>
    <cellStyle name="Normal 40 7 3" xfId="8391" xr:uid="{00000000-0005-0000-0000-00000C480000}"/>
    <cellStyle name="Normal 40 7 3 2" xfId="17567" xr:uid="{00000000-0005-0000-0000-00000D480000}"/>
    <cellStyle name="Normal 40 7 3 2 2" xfId="34141" xr:uid="{00000000-0005-0000-0000-00000E480000}"/>
    <cellStyle name="Normal 40 7 3 3" xfId="26094" xr:uid="{00000000-0005-0000-0000-00000F480000}"/>
    <cellStyle name="Normal 40 7 4" xfId="13729" xr:uid="{00000000-0005-0000-0000-000010480000}"/>
    <cellStyle name="Normal 40 7 4 2" xfId="30273" xr:uid="{00000000-0005-0000-0000-000011480000}"/>
    <cellStyle name="Normal 40 7 5" xfId="22230" xr:uid="{00000000-0005-0000-0000-000012480000}"/>
    <cellStyle name="Normal 40 8" xfId="4359" xr:uid="{00000000-0005-0000-0000-000013480000}"/>
    <cellStyle name="Normal 40 8 2" xfId="8392" xr:uid="{00000000-0005-0000-0000-000014480000}"/>
    <cellStyle name="Normal 40 8 2 2" xfId="17568" xr:uid="{00000000-0005-0000-0000-000015480000}"/>
    <cellStyle name="Normal 40 8 2 2 2" xfId="34142" xr:uid="{00000000-0005-0000-0000-000016480000}"/>
    <cellStyle name="Normal 40 8 2 3" xfId="26095" xr:uid="{00000000-0005-0000-0000-000017480000}"/>
    <cellStyle name="Normal 40 8 3" xfId="13731" xr:uid="{00000000-0005-0000-0000-000018480000}"/>
    <cellStyle name="Normal 40 8 3 2" xfId="30275" xr:uid="{00000000-0005-0000-0000-000019480000}"/>
    <cellStyle name="Normal 40 8 4" xfId="22232" xr:uid="{00000000-0005-0000-0000-00001A480000}"/>
    <cellStyle name="Normal 40 9" xfId="8393" xr:uid="{00000000-0005-0000-0000-00001B480000}"/>
    <cellStyle name="Normal 40 9 2" xfId="17569" xr:uid="{00000000-0005-0000-0000-00001C480000}"/>
    <cellStyle name="Normal 40 9 2 2" xfId="34143" xr:uid="{00000000-0005-0000-0000-00001D480000}"/>
    <cellStyle name="Normal 40 9 3" xfId="26096" xr:uid="{00000000-0005-0000-0000-00001E480000}"/>
    <cellStyle name="Normal 41" xfId="4360" xr:uid="{00000000-0005-0000-0000-00001F480000}"/>
    <cellStyle name="Normal 41 10" xfId="13732" xr:uid="{00000000-0005-0000-0000-000020480000}"/>
    <cellStyle name="Normal 41 10 2" xfId="30276" xr:uid="{00000000-0005-0000-0000-000021480000}"/>
    <cellStyle name="Normal 41 11" xfId="22233" xr:uid="{00000000-0005-0000-0000-000022480000}"/>
    <cellStyle name="Normal 41 2" xfId="4361" xr:uid="{00000000-0005-0000-0000-000023480000}"/>
    <cellStyle name="Normal 41 2 2" xfId="4362" xr:uid="{00000000-0005-0000-0000-000024480000}"/>
    <cellStyle name="Normal 41 2 3" xfId="13733" xr:uid="{00000000-0005-0000-0000-000025480000}"/>
    <cellStyle name="Normal 41 2 3 2" xfId="30277" xr:uid="{00000000-0005-0000-0000-000026480000}"/>
    <cellStyle name="Normal 41 2 4" xfId="22234" xr:uid="{00000000-0005-0000-0000-000027480000}"/>
    <cellStyle name="Normal 41 3" xfId="4363" xr:uid="{00000000-0005-0000-0000-000028480000}"/>
    <cellStyle name="Normal 41 3 2" xfId="4364" xr:uid="{00000000-0005-0000-0000-000029480000}"/>
    <cellStyle name="Normal 41 3 2 2" xfId="4365" xr:uid="{00000000-0005-0000-0000-00002A480000}"/>
    <cellStyle name="Normal 41 3 2 2 2" xfId="4366" xr:uid="{00000000-0005-0000-0000-00002B480000}"/>
    <cellStyle name="Normal 41 3 2 2 2 2" xfId="8394" xr:uid="{00000000-0005-0000-0000-00002C480000}"/>
    <cellStyle name="Normal 41 3 2 2 2 2 2" xfId="17570" xr:uid="{00000000-0005-0000-0000-00002D480000}"/>
    <cellStyle name="Normal 41 3 2 2 2 2 2 2" xfId="34144" xr:uid="{00000000-0005-0000-0000-00002E480000}"/>
    <cellStyle name="Normal 41 3 2 2 2 2 3" xfId="26097" xr:uid="{00000000-0005-0000-0000-00002F480000}"/>
    <cellStyle name="Normal 41 3 2 2 2 3" xfId="13736" xr:uid="{00000000-0005-0000-0000-000030480000}"/>
    <cellStyle name="Normal 41 3 2 2 2 3 2" xfId="30280" xr:uid="{00000000-0005-0000-0000-000031480000}"/>
    <cellStyle name="Normal 41 3 2 2 2 4" xfId="22237" xr:uid="{00000000-0005-0000-0000-000032480000}"/>
    <cellStyle name="Normal 41 3 2 2 3" xfId="8395" xr:uid="{00000000-0005-0000-0000-000033480000}"/>
    <cellStyle name="Normal 41 3 2 2 3 2" xfId="17571" xr:uid="{00000000-0005-0000-0000-000034480000}"/>
    <cellStyle name="Normal 41 3 2 2 3 2 2" xfId="34145" xr:uid="{00000000-0005-0000-0000-000035480000}"/>
    <cellStyle name="Normal 41 3 2 2 3 3" xfId="26098" xr:uid="{00000000-0005-0000-0000-000036480000}"/>
    <cellStyle name="Normal 41 3 2 2 4" xfId="13735" xr:uid="{00000000-0005-0000-0000-000037480000}"/>
    <cellStyle name="Normal 41 3 2 2 4 2" xfId="30279" xr:uid="{00000000-0005-0000-0000-000038480000}"/>
    <cellStyle name="Normal 41 3 2 2 5" xfId="22236" xr:uid="{00000000-0005-0000-0000-000039480000}"/>
    <cellStyle name="Normal 41 3 2 3" xfId="4367" xr:uid="{00000000-0005-0000-0000-00003A480000}"/>
    <cellStyle name="Normal 41 3 2 3 2" xfId="8396" xr:uid="{00000000-0005-0000-0000-00003B480000}"/>
    <cellStyle name="Normal 41 3 2 3 2 2" xfId="17572" xr:uid="{00000000-0005-0000-0000-00003C480000}"/>
    <cellStyle name="Normal 41 3 2 3 2 2 2" xfId="34146" xr:uid="{00000000-0005-0000-0000-00003D480000}"/>
    <cellStyle name="Normal 41 3 2 3 2 3" xfId="26099" xr:uid="{00000000-0005-0000-0000-00003E480000}"/>
    <cellStyle name="Normal 41 3 2 3 3" xfId="13737" xr:uid="{00000000-0005-0000-0000-00003F480000}"/>
    <cellStyle name="Normal 41 3 2 3 3 2" xfId="30281" xr:uid="{00000000-0005-0000-0000-000040480000}"/>
    <cellStyle name="Normal 41 3 2 3 4" xfId="22238" xr:uid="{00000000-0005-0000-0000-000041480000}"/>
    <cellStyle name="Normal 41 3 2 4" xfId="8397" xr:uid="{00000000-0005-0000-0000-000042480000}"/>
    <cellStyle name="Normal 41 3 2 4 2" xfId="17573" xr:uid="{00000000-0005-0000-0000-000043480000}"/>
    <cellStyle name="Normal 41 3 2 4 2 2" xfId="34147" xr:uid="{00000000-0005-0000-0000-000044480000}"/>
    <cellStyle name="Normal 41 3 2 4 3" xfId="26100" xr:uid="{00000000-0005-0000-0000-000045480000}"/>
    <cellStyle name="Normal 41 3 2 5" xfId="13734" xr:uid="{00000000-0005-0000-0000-000046480000}"/>
    <cellStyle name="Normal 41 3 2 5 2" xfId="30278" xr:uid="{00000000-0005-0000-0000-000047480000}"/>
    <cellStyle name="Normal 41 3 2 6" xfId="22235" xr:uid="{00000000-0005-0000-0000-000048480000}"/>
    <cellStyle name="Normal 41 3 3" xfId="4368" xr:uid="{00000000-0005-0000-0000-000049480000}"/>
    <cellStyle name="Normal 41 3 3 2" xfId="4369" xr:uid="{00000000-0005-0000-0000-00004A480000}"/>
    <cellStyle name="Normal 41 3 3 2 2" xfId="8398" xr:uid="{00000000-0005-0000-0000-00004B480000}"/>
    <cellStyle name="Normal 41 3 3 2 2 2" xfId="17574" xr:uid="{00000000-0005-0000-0000-00004C480000}"/>
    <cellStyle name="Normal 41 3 3 2 2 2 2" xfId="34148" xr:uid="{00000000-0005-0000-0000-00004D480000}"/>
    <cellStyle name="Normal 41 3 3 2 2 3" xfId="26101" xr:uid="{00000000-0005-0000-0000-00004E480000}"/>
    <cellStyle name="Normal 41 3 3 2 3" xfId="13739" xr:uid="{00000000-0005-0000-0000-00004F480000}"/>
    <cellStyle name="Normal 41 3 3 2 3 2" xfId="30283" xr:uid="{00000000-0005-0000-0000-000050480000}"/>
    <cellStyle name="Normal 41 3 3 2 4" xfId="22240" xr:uid="{00000000-0005-0000-0000-000051480000}"/>
    <cellStyle name="Normal 41 3 3 3" xfId="8399" xr:uid="{00000000-0005-0000-0000-000052480000}"/>
    <cellStyle name="Normal 41 3 3 3 2" xfId="17575" xr:uid="{00000000-0005-0000-0000-000053480000}"/>
    <cellStyle name="Normal 41 3 3 3 2 2" xfId="34149" xr:uid="{00000000-0005-0000-0000-000054480000}"/>
    <cellStyle name="Normal 41 3 3 3 3" xfId="26102" xr:uid="{00000000-0005-0000-0000-000055480000}"/>
    <cellStyle name="Normal 41 3 3 4" xfId="13738" xr:uid="{00000000-0005-0000-0000-000056480000}"/>
    <cellStyle name="Normal 41 3 3 4 2" xfId="30282" xr:uid="{00000000-0005-0000-0000-000057480000}"/>
    <cellStyle name="Normal 41 3 3 5" xfId="22239" xr:uid="{00000000-0005-0000-0000-000058480000}"/>
    <cellStyle name="Normal 41 3 4" xfId="4370" xr:uid="{00000000-0005-0000-0000-000059480000}"/>
    <cellStyle name="Normal 41 3 4 2" xfId="8400" xr:uid="{00000000-0005-0000-0000-00005A480000}"/>
    <cellStyle name="Normal 41 3 4 2 2" xfId="17576" xr:uid="{00000000-0005-0000-0000-00005B480000}"/>
    <cellStyle name="Normal 41 3 4 2 2 2" xfId="34150" xr:uid="{00000000-0005-0000-0000-00005C480000}"/>
    <cellStyle name="Normal 41 3 4 2 3" xfId="26103" xr:uid="{00000000-0005-0000-0000-00005D480000}"/>
    <cellStyle name="Normal 41 3 4 3" xfId="13740" xr:uid="{00000000-0005-0000-0000-00005E480000}"/>
    <cellStyle name="Normal 41 3 4 3 2" xfId="30284" xr:uid="{00000000-0005-0000-0000-00005F480000}"/>
    <cellStyle name="Normal 41 3 4 4" xfId="22241" xr:uid="{00000000-0005-0000-0000-000060480000}"/>
    <cellStyle name="Normal 41 3 5" xfId="4371" xr:uid="{00000000-0005-0000-0000-000061480000}"/>
    <cellStyle name="Normal 41 3 5 2" xfId="13741" xr:uid="{00000000-0005-0000-0000-000062480000}"/>
    <cellStyle name="Normal 41 3 5 2 2" xfId="30285" xr:uid="{00000000-0005-0000-0000-000063480000}"/>
    <cellStyle name="Normal 41 3 5 3" xfId="22242" xr:uid="{00000000-0005-0000-0000-000064480000}"/>
    <cellStyle name="Normal 41 4" xfId="4372" xr:uid="{00000000-0005-0000-0000-000065480000}"/>
    <cellStyle name="Normal 41 4 2" xfId="4373" xr:uid="{00000000-0005-0000-0000-000066480000}"/>
    <cellStyle name="Normal 41 4 2 2" xfId="4374" xr:uid="{00000000-0005-0000-0000-000067480000}"/>
    <cellStyle name="Normal 41 4 2 2 2" xfId="4375" xr:uid="{00000000-0005-0000-0000-000068480000}"/>
    <cellStyle name="Normal 41 4 2 2 2 2" xfId="8401" xr:uid="{00000000-0005-0000-0000-000069480000}"/>
    <cellStyle name="Normal 41 4 2 2 2 2 2" xfId="17577" xr:uid="{00000000-0005-0000-0000-00006A480000}"/>
    <cellStyle name="Normal 41 4 2 2 2 2 2 2" xfId="34151" xr:uid="{00000000-0005-0000-0000-00006B480000}"/>
    <cellStyle name="Normal 41 4 2 2 2 2 3" xfId="26104" xr:uid="{00000000-0005-0000-0000-00006C480000}"/>
    <cellStyle name="Normal 41 4 2 2 2 3" xfId="13745" xr:uid="{00000000-0005-0000-0000-00006D480000}"/>
    <cellStyle name="Normal 41 4 2 2 2 3 2" xfId="30289" xr:uid="{00000000-0005-0000-0000-00006E480000}"/>
    <cellStyle name="Normal 41 4 2 2 2 4" xfId="22246" xr:uid="{00000000-0005-0000-0000-00006F480000}"/>
    <cellStyle name="Normal 41 4 2 2 3" xfId="8402" xr:uid="{00000000-0005-0000-0000-000070480000}"/>
    <cellStyle name="Normal 41 4 2 2 3 2" xfId="17578" xr:uid="{00000000-0005-0000-0000-000071480000}"/>
    <cellStyle name="Normal 41 4 2 2 3 2 2" xfId="34152" xr:uid="{00000000-0005-0000-0000-000072480000}"/>
    <cellStyle name="Normal 41 4 2 2 3 3" xfId="26105" xr:uid="{00000000-0005-0000-0000-000073480000}"/>
    <cellStyle name="Normal 41 4 2 2 4" xfId="13744" xr:uid="{00000000-0005-0000-0000-000074480000}"/>
    <cellStyle name="Normal 41 4 2 2 4 2" xfId="30288" xr:uid="{00000000-0005-0000-0000-000075480000}"/>
    <cellStyle name="Normal 41 4 2 2 5" xfId="22245" xr:uid="{00000000-0005-0000-0000-000076480000}"/>
    <cellStyle name="Normal 41 4 2 3" xfId="4376" xr:uid="{00000000-0005-0000-0000-000077480000}"/>
    <cellStyle name="Normal 41 4 2 3 2" xfId="8403" xr:uid="{00000000-0005-0000-0000-000078480000}"/>
    <cellStyle name="Normal 41 4 2 3 2 2" xfId="17579" xr:uid="{00000000-0005-0000-0000-000079480000}"/>
    <cellStyle name="Normal 41 4 2 3 2 2 2" xfId="34153" xr:uid="{00000000-0005-0000-0000-00007A480000}"/>
    <cellStyle name="Normal 41 4 2 3 2 3" xfId="26106" xr:uid="{00000000-0005-0000-0000-00007B480000}"/>
    <cellStyle name="Normal 41 4 2 3 3" xfId="13746" xr:uid="{00000000-0005-0000-0000-00007C480000}"/>
    <cellStyle name="Normal 41 4 2 3 3 2" xfId="30290" xr:uid="{00000000-0005-0000-0000-00007D480000}"/>
    <cellStyle name="Normal 41 4 2 3 4" xfId="22247" xr:uid="{00000000-0005-0000-0000-00007E480000}"/>
    <cellStyle name="Normal 41 4 2 4" xfId="8404" xr:uid="{00000000-0005-0000-0000-00007F480000}"/>
    <cellStyle name="Normal 41 4 2 4 2" xfId="17580" xr:uid="{00000000-0005-0000-0000-000080480000}"/>
    <cellStyle name="Normal 41 4 2 4 2 2" xfId="34154" xr:uid="{00000000-0005-0000-0000-000081480000}"/>
    <cellStyle name="Normal 41 4 2 4 3" xfId="26107" xr:uid="{00000000-0005-0000-0000-000082480000}"/>
    <cellStyle name="Normal 41 4 2 5" xfId="13743" xr:uid="{00000000-0005-0000-0000-000083480000}"/>
    <cellStyle name="Normal 41 4 2 5 2" xfId="30287" xr:uid="{00000000-0005-0000-0000-000084480000}"/>
    <cellStyle name="Normal 41 4 2 6" xfId="22244" xr:uid="{00000000-0005-0000-0000-000085480000}"/>
    <cellStyle name="Normal 41 4 3" xfId="4377" xr:uid="{00000000-0005-0000-0000-000086480000}"/>
    <cellStyle name="Normal 41 4 3 2" xfId="4378" xr:uid="{00000000-0005-0000-0000-000087480000}"/>
    <cellStyle name="Normal 41 4 3 2 2" xfId="8405" xr:uid="{00000000-0005-0000-0000-000088480000}"/>
    <cellStyle name="Normal 41 4 3 2 2 2" xfId="17581" xr:uid="{00000000-0005-0000-0000-000089480000}"/>
    <cellStyle name="Normal 41 4 3 2 2 2 2" xfId="34155" xr:uid="{00000000-0005-0000-0000-00008A480000}"/>
    <cellStyle name="Normal 41 4 3 2 2 3" xfId="26108" xr:uid="{00000000-0005-0000-0000-00008B480000}"/>
    <cellStyle name="Normal 41 4 3 2 3" xfId="13748" xr:uid="{00000000-0005-0000-0000-00008C480000}"/>
    <cellStyle name="Normal 41 4 3 2 3 2" xfId="30292" xr:uid="{00000000-0005-0000-0000-00008D480000}"/>
    <cellStyle name="Normal 41 4 3 2 4" xfId="22249" xr:uid="{00000000-0005-0000-0000-00008E480000}"/>
    <cellStyle name="Normal 41 4 3 3" xfId="8406" xr:uid="{00000000-0005-0000-0000-00008F480000}"/>
    <cellStyle name="Normal 41 4 3 3 2" xfId="17582" xr:uid="{00000000-0005-0000-0000-000090480000}"/>
    <cellStyle name="Normal 41 4 3 3 2 2" xfId="34156" xr:uid="{00000000-0005-0000-0000-000091480000}"/>
    <cellStyle name="Normal 41 4 3 3 3" xfId="26109" xr:uid="{00000000-0005-0000-0000-000092480000}"/>
    <cellStyle name="Normal 41 4 3 4" xfId="13747" xr:uid="{00000000-0005-0000-0000-000093480000}"/>
    <cellStyle name="Normal 41 4 3 4 2" xfId="30291" xr:uid="{00000000-0005-0000-0000-000094480000}"/>
    <cellStyle name="Normal 41 4 3 5" xfId="22248" xr:uid="{00000000-0005-0000-0000-000095480000}"/>
    <cellStyle name="Normal 41 4 4" xfId="4379" xr:uid="{00000000-0005-0000-0000-000096480000}"/>
    <cellStyle name="Normal 41 4 4 2" xfId="8407" xr:uid="{00000000-0005-0000-0000-000097480000}"/>
    <cellStyle name="Normal 41 4 4 2 2" xfId="17583" xr:uid="{00000000-0005-0000-0000-000098480000}"/>
    <cellStyle name="Normal 41 4 4 2 2 2" xfId="34157" xr:uid="{00000000-0005-0000-0000-000099480000}"/>
    <cellStyle name="Normal 41 4 4 2 3" xfId="26110" xr:uid="{00000000-0005-0000-0000-00009A480000}"/>
    <cellStyle name="Normal 41 4 4 3" xfId="13749" xr:uid="{00000000-0005-0000-0000-00009B480000}"/>
    <cellStyle name="Normal 41 4 4 3 2" xfId="30293" xr:uid="{00000000-0005-0000-0000-00009C480000}"/>
    <cellStyle name="Normal 41 4 4 4" xfId="22250" xr:uid="{00000000-0005-0000-0000-00009D480000}"/>
    <cellStyle name="Normal 41 4 5" xfId="8408" xr:uid="{00000000-0005-0000-0000-00009E480000}"/>
    <cellStyle name="Normal 41 4 5 2" xfId="17584" xr:uid="{00000000-0005-0000-0000-00009F480000}"/>
    <cellStyle name="Normal 41 4 5 2 2" xfId="34158" xr:uid="{00000000-0005-0000-0000-0000A0480000}"/>
    <cellStyle name="Normal 41 4 5 3" xfId="26111" xr:uid="{00000000-0005-0000-0000-0000A1480000}"/>
    <cellStyle name="Normal 41 4 6" xfId="13742" xr:uid="{00000000-0005-0000-0000-0000A2480000}"/>
    <cellStyle name="Normal 41 4 6 2" xfId="30286" xr:uid="{00000000-0005-0000-0000-0000A3480000}"/>
    <cellStyle name="Normal 41 4 7" xfId="22243" xr:uid="{00000000-0005-0000-0000-0000A4480000}"/>
    <cellStyle name="Normal 41 5" xfId="4380" xr:uid="{00000000-0005-0000-0000-0000A5480000}"/>
    <cellStyle name="Normal 41 5 2" xfId="4381" xr:uid="{00000000-0005-0000-0000-0000A6480000}"/>
    <cellStyle name="Normal 41 5 2 2" xfId="4382" xr:uid="{00000000-0005-0000-0000-0000A7480000}"/>
    <cellStyle name="Normal 41 5 2 2 2" xfId="4383" xr:uid="{00000000-0005-0000-0000-0000A8480000}"/>
    <cellStyle name="Normal 41 5 2 2 2 2" xfId="8409" xr:uid="{00000000-0005-0000-0000-0000A9480000}"/>
    <cellStyle name="Normal 41 5 2 2 2 2 2" xfId="17585" xr:uid="{00000000-0005-0000-0000-0000AA480000}"/>
    <cellStyle name="Normal 41 5 2 2 2 2 2 2" xfId="34159" xr:uid="{00000000-0005-0000-0000-0000AB480000}"/>
    <cellStyle name="Normal 41 5 2 2 2 2 3" xfId="26112" xr:uid="{00000000-0005-0000-0000-0000AC480000}"/>
    <cellStyle name="Normal 41 5 2 2 2 3" xfId="13753" xr:uid="{00000000-0005-0000-0000-0000AD480000}"/>
    <cellStyle name="Normal 41 5 2 2 2 3 2" xfId="30297" xr:uid="{00000000-0005-0000-0000-0000AE480000}"/>
    <cellStyle name="Normal 41 5 2 2 2 4" xfId="22254" xr:uid="{00000000-0005-0000-0000-0000AF480000}"/>
    <cellStyle name="Normal 41 5 2 2 3" xfId="8410" xr:uid="{00000000-0005-0000-0000-0000B0480000}"/>
    <cellStyle name="Normal 41 5 2 2 3 2" xfId="17586" xr:uid="{00000000-0005-0000-0000-0000B1480000}"/>
    <cellStyle name="Normal 41 5 2 2 3 2 2" xfId="34160" xr:uid="{00000000-0005-0000-0000-0000B2480000}"/>
    <cellStyle name="Normal 41 5 2 2 3 3" xfId="26113" xr:uid="{00000000-0005-0000-0000-0000B3480000}"/>
    <cellStyle name="Normal 41 5 2 2 4" xfId="13752" xr:uid="{00000000-0005-0000-0000-0000B4480000}"/>
    <cellStyle name="Normal 41 5 2 2 4 2" xfId="30296" xr:uid="{00000000-0005-0000-0000-0000B5480000}"/>
    <cellStyle name="Normal 41 5 2 2 5" xfId="22253" xr:uid="{00000000-0005-0000-0000-0000B6480000}"/>
    <cellStyle name="Normal 41 5 2 3" xfId="4384" xr:uid="{00000000-0005-0000-0000-0000B7480000}"/>
    <cellStyle name="Normal 41 5 2 3 2" xfId="8411" xr:uid="{00000000-0005-0000-0000-0000B8480000}"/>
    <cellStyle name="Normal 41 5 2 3 2 2" xfId="17587" xr:uid="{00000000-0005-0000-0000-0000B9480000}"/>
    <cellStyle name="Normal 41 5 2 3 2 2 2" xfId="34161" xr:uid="{00000000-0005-0000-0000-0000BA480000}"/>
    <cellStyle name="Normal 41 5 2 3 2 3" xfId="26114" xr:uid="{00000000-0005-0000-0000-0000BB480000}"/>
    <cellStyle name="Normal 41 5 2 3 3" xfId="13754" xr:uid="{00000000-0005-0000-0000-0000BC480000}"/>
    <cellStyle name="Normal 41 5 2 3 3 2" xfId="30298" xr:uid="{00000000-0005-0000-0000-0000BD480000}"/>
    <cellStyle name="Normal 41 5 2 3 4" xfId="22255" xr:uid="{00000000-0005-0000-0000-0000BE480000}"/>
    <cellStyle name="Normal 41 5 2 4" xfId="8412" xr:uid="{00000000-0005-0000-0000-0000BF480000}"/>
    <cellStyle name="Normal 41 5 2 4 2" xfId="17588" xr:uid="{00000000-0005-0000-0000-0000C0480000}"/>
    <cellStyle name="Normal 41 5 2 4 2 2" xfId="34162" xr:uid="{00000000-0005-0000-0000-0000C1480000}"/>
    <cellStyle name="Normal 41 5 2 4 3" xfId="26115" xr:uid="{00000000-0005-0000-0000-0000C2480000}"/>
    <cellStyle name="Normal 41 5 2 5" xfId="13751" xr:uid="{00000000-0005-0000-0000-0000C3480000}"/>
    <cellStyle name="Normal 41 5 2 5 2" xfId="30295" xr:uid="{00000000-0005-0000-0000-0000C4480000}"/>
    <cellStyle name="Normal 41 5 2 6" xfId="22252" xr:uid="{00000000-0005-0000-0000-0000C5480000}"/>
    <cellStyle name="Normal 41 5 3" xfId="4385" xr:uid="{00000000-0005-0000-0000-0000C6480000}"/>
    <cellStyle name="Normal 41 5 3 2" xfId="4386" xr:uid="{00000000-0005-0000-0000-0000C7480000}"/>
    <cellStyle name="Normal 41 5 3 2 2" xfId="8413" xr:uid="{00000000-0005-0000-0000-0000C8480000}"/>
    <cellStyle name="Normal 41 5 3 2 2 2" xfId="17589" xr:uid="{00000000-0005-0000-0000-0000C9480000}"/>
    <cellStyle name="Normal 41 5 3 2 2 2 2" xfId="34163" xr:uid="{00000000-0005-0000-0000-0000CA480000}"/>
    <cellStyle name="Normal 41 5 3 2 2 3" xfId="26116" xr:uid="{00000000-0005-0000-0000-0000CB480000}"/>
    <cellStyle name="Normal 41 5 3 2 3" xfId="13756" xr:uid="{00000000-0005-0000-0000-0000CC480000}"/>
    <cellStyle name="Normal 41 5 3 2 3 2" xfId="30300" xr:uid="{00000000-0005-0000-0000-0000CD480000}"/>
    <cellStyle name="Normal 41 5 3 2 4" xfId="22257" xr:uid="{00000000-0005-0000-0000-0000CE480000}"/>
    <cellStyle name="Normal 41 5 3 3" xfId="8414" xr:uid="{00000000-0005-0000-0000-0000CF480000}"/>
    <cellStyle name="Normal 41 5 3 3 2" xfId="17590" xr:uid="{00000000-0005-0000-0000-0000D0480000}"/>
    <cellStyle name="Normal 41 5 3 3 2 2" xfId="34164" xr:uid="{00000000-0005-0000-0000-0000D1480000}"/>
    <cellStyle name="Normal 41 5 3 3 3" xfId="26117" xr:uid="{00000000-0005-0000-0000-0000D2480000}"/>
    <cellStyle name="Normal 41 5 3 4" xfId="13755" xr:uid="{00000000-0005-0000-0000-0000D3480000}"/>
    <cellStyle name="Normal 41 5 3 4 2" xfId="30299" xr:uid="{00000000-0005-0000-0000-0000D4480000}"/>
    <cellStyle name="Normal 41 5 3 5" xfId="22256" xr:uid="{00000000-0005-0000-0000-0000D5480000}"/>
    <cellStyle name="Normal 41 5 4" xfId="4387" xr:uid="{00000000-0005-0000-0000-0000D6480000}"/>
    <cellStyle name="Normal 41 5 4 2" xfId="8415" xr:uid="{00000000-0005-0000-0000-0000D7480000}"/>
    <cellStyle name="Normal 41 5 4 2 2" xfId="17591" xr:uid="{00000000-0005-0000-0000-0000D8480000}"/>
    <cellStyle name="Normal 41 5 4 2 2 2" xfId="34165" xr:uid="{00000000-0005-0000-0000-0000D9480000}"/>
    <cellStyle name="Normal 41 5 4 2 3" xfId="26118" xr:uid="{00000000-0005-0000-0000-0000DA480000}"/>
    <cellStyle name="Normal 41 5 4 3" xfId="13757" xr:uid="{00000000-0005-0000-0000-0000DB480000}"/>
    <cellStyle name="Normal 41 5 4 3 2" xfId="30301" xr:uid="{00000000-0005-0000-0000-0000DC480000}"/>
    <cellStyle name="Normal 41 5 4 4" xfId="22258" xr:uid="{00000000-0005-0000-0000-0000DD480000}"/>
    <cellStyle name="Normal 41 5 5" xfId="8416" xr:uid="{00000000-0005-0000-0000-0000DE480000}"/>
    <cellStyle name="Normal 41 5 5 2" xfId="17592" xr:uid="{00000000-0005-0000-0000-0000DF480000}"/>
    <cellStyle name="Normal 41 5 5 2 2" xfId="34166" xr:uid="{00000000-0005-0000-0000-0000E0480000}"/>
    <cellStyle name="Normal 41 5 5 3" xfId="26119" xr:uid="{00000000-0005-0000-0000-0000E1480000}"/>
    <cellStyle name="Normal 41 5 6" xfId="13750" xr:uid="{00000000-0005-0000-0000-0000E2480000}"/>
    <cellStyle name="Normal 41 5 6 2" xfId="30294" xr:uid="{00000000-0005-0000-0000-0000E3480000}"/>
    <cellStyle name="Normal 41 5 7" xfId="22251" xr:uid="{00000000-0005-0000-0000-0000E4480000}"/>
    <cellStyle name="Normal 41 6" xfId="4388" xr:uid="{00000000-0005-0000-0000-0000E5480000}"/>
    <cellStyle name="Normal 41 6 2" xfId="4389" xr:uid="{00000000-0005-0000-0000-0000E6480000}"/>
    <cellStyle name="Normal 41 6 2 2" xfId="4390" xr:uid="{00000000-0005-0000-0000-0000E7480000}"/>
    <cellStyle name="Normal 41 6 2 2 2" xfId="8417" xr:uid="{00000000-0005-0000-0000-0000E8480000}"/>
    <cellStyle name="Normal 41 6 2 2 2 2" xfId="17593" xr:uid="{00000000-0005-0000-0000-0000E9480000}"/>
    <cellStyle name="Normal 41 6 2 2 2 2 2" xfId="34167" xr:uid="{00000000-0005-0000-0000-0000EA480000}"/>
    <cellStyle name="Normal 41 6 2 2 2 3" xfId="26120" xr:uid="{00000000-0005-0000-0000-0000EB480000}"/>
    <cellStyle name="Normal 41 6 2 2 3" xfId="13760" xr:uid="{00000000-0005-0000-0000-0000EC480000}"/>
    <cellStyle name="Normal 41 6 2 2 3 2" xfId="30304" xr:uid="{00000000-0005-0000-0000-0000ED480000}"/>
    <cellStyle name="Normal 41 6 2 2 4" xfId="22261" xr:uid="{00000000-0005-0000-0000-0000EE480000}"/>
    <cellStyle name="Normal 41 6 2 3" xfId="8418" xr:uid="{00000000-0005-0000-0000-0000EF480000}"/>
    <cellStyle name="Normal 41 6 2 3 2" xfId="17594" xr:uid="{00000000-0005-0000-0000-0000F0480000}"/>
    <cellStyle name="Normal 41 6 2 3 2 2" xfId="34168" xr:uid="{00000000-0005-0000-0000-0000F1480000}"/>
    <cellStyle name="Normal 41 6 2 3 3" xfId="26121" xr:uid="{00000000-0005-0000-0000-0000F2480000}"/>
    <cellStyle name="Normal 41 6 2 4" xfId="13759" xr:uid="{00000000-0005-0000-0000-0000F3480000}"/>
    <cellStyle name="Normal 41 6 2 4 2" xfId="30303" xr:uid="{00000000-0005-0000-0000-0000F4480000}"/>
    <cellStyle name="Normal 41 6 2 5" xfId="22260" xr:uid="{00000000-0005-0000-0000-0000F5480000}"/>
    <cellStyle name="Normal 41 6 3" xfId="4391" xr:uid="{00000000-0005-0000-0000-0000F6480000}"/>
    <cellStyle name="Normal 41 6 3 2" xfId="8419" xr:uid="{00000000-0005-0000-0000-0000F7480000}"/>
    <cellStyle name="Normal 41 6 3 2 2" xfId="17595" xr:uid="{00000000-0005-0000-0000-0000F8480000}"/>
    <cellStyle name="Normal 41 6 3 2 2 2" xfId="34169" xr:uid="{00000000-0005-0000-0000-0000F9480000}"/>
    <cellStyle name="Normal 41 6 3 2 3" xfId="26122" xr:uid="{00000000-0005-0000-0000-0000FA480000}"/>
    <cellStyle name="Normal 41 6 3 3" xfId="13761" xr:uid="{00000000-0005-0000-0000-0000FB480000}"/>
    <cellStyle name="Normal 41 6 3 3 2" xfId="30305" xr:uid="{00000000-0005-0000-0000-0000FC480000}"/>
    <cellStyle name="Normal 41 6 3 4" xfId="22262" xr:uid="{00000000-0005-0000-0000-0000FD480000}"/>
    <cellStyle name="Normal 41 6 4" xfId="8420" xr:uid="{00000000-0005-0000-0000-0000FE480000}"/>
    <cellStyle name="Normal 41 6 4 2" xfId="17596" xr:uid="{00000000-0005-0000-0000-0000FF480000}"/>
    <cellStyle name="Normal 41 6 4 2 2" xfId="34170" xr:uid="{00000000-0005-0000-0000-000000490000}"/>
    <cellStyle name="Normal 41 6 4 3" xfId="26123" xr:uid="{00000000-0005-0000-0000-000001490000}"/>
    <cellStyle name="Normal 41 6 5" xfId="13758" xr:uid="{00000000-0005-0000-0000-000002490000}"/>
    <cellStyle name="Normal 41 6 5 2" xfId="30302" xr:uid="{00000000-0005-0000-0000-000003490000}"/>
    <cellStyle name="Normal 41 6 6" xfId="22259" xr:uid="{00000000-0005-0000-0000-000004490000}"/>
    <cellStyle name="Normal 41 7" xfId="4392" xr:uid="{00000000-0005-0000-0000-000005490000}"/>
    <cellStyle name="Normal 41 7 2" xfId="4393" xr:uid="{00000000-0005-0000-0000-000006490000}"/>
    <cellStyle name="Normal 41 7 2 2" xfId="8421" xr:uid="{00000000-0005-0000-0000-000007490000}"/>
    <cellStyle name="Normal 41 7 2 2 2" xfId="17597" xr:uid="{00000000-0005-0000-0000-000008490000}"/>
    <cellStyle name="Normal 41 7 2 2 2 2" xfId="34171" xr:uid="{00000000-0005-0000-0000-000009490000}"/>
    <cellStyle name="Normal 41 7 2 2 3" xfId="26124" xr:uid="{00000000-0005-0000-0000-00000A490000}"/>
    <cellStyle name="Normal 41 7 2 3" xfId="13763" xr:uid="{00000000-0005-0000-0000-00000B490000}"/>
    <cellStyle name="Normal 41 7 2 3 2" xfId="30307" xr:uid="{00000000-0005-0000-0000-00000C490000}"/>
    <cellStyle name="Normal 41 7 2 4" xfId="22264" xr:uid="{00000000-0005-0000-0000-00000D490000}"/>
    <cellStyle name="Normal 41 7 3" xfId="8422" xr:uid="{00000000-0005-0000-0000-00000E490000}"/>
    <cellStyle name="Normal 41 7 3 2" xfId="17598" xr:uid="{00000000-0005-0000-0000-00000F490000}"/>
    <cellStyle name="Normal 41 7 3 2 2" xfId="34172" xr:uid="{00000000-0005-0000-0000-000010490000}"/>
    <cellStyle name="Normal 41 7 3 3" xfId="26125" xr:uid="{00000000-0005-0000-0000-000011490000}"/>
    <cellStyle name="Normal 41 7 4" xfId="13762" xr:uid="{00000000-0005-0000-0000-000012490000}"/>
    <cellStyle name="Normal 41 7 4 2" xfId="30306" xr:uid="{00000000-0005-0000-0000-000013490000}"/>
    <cellStyle name="Normal 41 7 5" xfId="22263" xr:uid="{00000000-0005-0000-0000-000014490000}"/>
    <cellStyle name="Normal 41 8" xfId="4394" xr:uid="{00000000-0005-0000-0000-000015490000}"/>
    <cellStyle name="Normal 41 8 2" xfId="8423" xr:uid="{00000000-0005-0000-0000-000016490000}"/>
    <cellStyle name="Normal 41 8 2 2" xfId="17599" xr:uid="{00000000-0005-0000-0000-000017490000}"/>
    <cellStyle name="Normal 41 8 2 2 2" xfId="34173" xr:uid="{00000000-0005-0000-0000-000018490000}"/>
    <cellStyle name="Normal 41 8 2 3" xfId="26126" xr:uid="{00000000-0005-0000-0000-000019490000}"/>
    <cellStyle name="Normal 41 8 3" xfId="13764" xr:uid="{00000000-0005-0000-0000-00001A490000}"/>
    <cellStyle name="Normal 41 8 3 2" xfId="30308" xr:uid="{00000000-0005-0000-0000-00001B490000}"/>
    <cellStyle name="Normal 41 8 4" xfId="22265" xr:uid="{00000000-0005-0000-0000-00001C490000}"/>
    <cellStyle name="Normal 41 9" xfId="8424" xr:uid="{00000000-0005-0000-0000-00001D490000}"/>
    <cellStyle name="Normal 41 9 2" xfId="17600" xr:uid="{00000000-0005-0000-0000-00001E490000}"/>
    <cellStyle name="Normal 41 9 2 2" xfId="34174" xr:uid="{00000000-0005-0000-0000-00001F490000}"/>
    <cellStyle name="Normal 41 9 3" xfId="26127" xr:uid="{00000000-0005-0000-0000-000020490000}"/>
    <cellStyle name="Normal 42" xfId="4395" xr:uid="{00000000-0005-0000-0000-000021490000}"/>
    <cellStyle name="Normal 42 10" xfId="13765" xr:uid="{00000000-0005-0000-0000-000022490000}"/>
    <cellStyle name="Normal 42 10 2" xfId="30309" xr:uid="{00000000-0005-0000-0000-000023490000}"/>
    <cellStyle name="Normal 42 11" xfId="22266" xr:uid="{00000000-0005-0000-0000-000024490000}"/>
    <cellStyle name="Normal 42 2" xfId="4396" xr:uid="{00000000-0005-0000-0000-000025490000}"/>
    <cellStyle name="Normal 42 2 2" xfId="4397" xr:uid="{00000000-0005-0000-0000-000026490000}"/>
    <cellStyle name="Normal 42 2 3" xfId="13766" xr:uid="{00000000-0005-0000-0000-000027490000}"/>
    <cellStyle name="Normal 42 2 3 2" xfId="30310" xr:uid="{00000000-0005-0000-0000-000028490000}"/>
    <cellStyle name="Normal 42 2 4" xfId="22267" xr:uid="{00000000-0005-0000-0000-000029490000}"/>
    <cellStyle name="Normal 42 3" xfId="4398" xr:uid="{00000000-0005-0000-0000-00002A490000}"/>
    <cellStyle name="Normal 42 3 2" xfId="4399" xr:uid="{00000000-0005-0000-0000-00002B490000}"/>
    <cellStyle name="Normal 42 3 2 2" xfId="4400" xr:uid="{00000000-0005-0000-0000-00002C490000}"/>
    <cellStyle name="Normal 42 3 2 2 2" xfId="4401" xr:uid="{00000000-0005-0000-0000-00002D490000}"/>
    <cellStyle name="Normal 42 3 2 2 2 2" xfId="8425" xr:uid="{00000000-0005-0000-0000-00002E490000}"/>
    <cellStyle name="Normal 42 3 2 2 2 2 2" xfId="17601" xr:uid="{00000000-0005-0000-0000-00002F490000}"/>
    <cellStyle name="Normal 42 3 2 2 2 2 2 2" xfId="34175" xr:uid="{00000000-0005-0000-0000-000030490000}"/>
    <cellStyle name="Normal 42 3 2 2 2 2 3" xfId="26128" xr:uid="{00000000-0005-0000-0000-000031490000}"/>
    <cellStyle name="Normal 42 3 2 2 2 3" xfId="13769" xr:uid="{00000000-0005-0000-0000-000032490000}"/>
    <cellStyle name="Normal 42 3 2 2 2 3 2" xfId="30313" xr:uid="{00000000-0005-0000-0000-000033490000}"/>
    <cellStyle name="Normal 42 3 2 2 2 4" xfId="22270" xr:uid="{00000000-0005-0000-0000-000034490000}"/>
    <cellStyle name="Normal 42 3 2 2 3" xfId="8426" xr:uid="{00000000-0005-0000-0000-000035490000}"/>
    <cellStyle name="Normal 42 3 2 2 3 2" xfId="17602" xr:uid="{00000000-0005-0000-0000-000036490000}"/>
    <cellStyle name="Normal 42 3 2 2 3 2 2" xfId="34176" xr:uid="{00000000-0005-0000-0000-000037490000}"/>
    <cellStyle name="Normal 42 3 2 2 3 3" xfId="26129" xr:uid="{00000000-0005-0000-0000-000038490000}"/>
    <cellStyle name="Normal 42 3 2 2 4" xfId="13768" xr:uid="{00000000-0005-0000-0000-000039490000}"/>
    <cellStyle name="Normal 42 3 2 2 4 2" xfId="30312" xr:uid="{00000000-0005-0000-0000-00003A490000}"/>
    <cellStyle name="Normal 42 3 2 2 5" xfId="22269" xr:uid="{00000000-0005-0000-0000-00003B490000}"/>
    <cellStyle name="Normal 42 3 2 3" xfId="4402" xr:uid="{00000000-0005-0000-0000-00003C490000}"/>
    <cellStyle name="Normal 42 3 2 3 2" xfId="8427" xr:uid="{00000000-0005-0000-0000-00003D490000}"/>
    <cellStyle name="Normal 42 3 2 3 2 2" xfId="17603" xr:uid="{00000000-0005-0000-0000-00003E490000}"/>
    <cellStyle name="Normal 42 3 2 3 2 2 2" xfId="34177" xr:uid="{00000000-0005-0000-0000-00003F490000}"/>
    <cellStyle name="Normal 42 3 2 3 2 3" xfId="26130" xr:uid="{00000000-0005-0000-0000-000040490000}"/>
    <cellStyle name="Normal 42 3 2 3 3" xfId="13770" xr:uid="{00000000-0005-0000-0000-000041490000}"/>
    <cellStyle name="Normal 42 3 2 3 3 2" xfId="30314" xr:uid="{00000000-0005-0000-0000-000042490000}"/>
    <cellStyle name="Normal 42 3 2 3 4" xfId="22271" xr:uid="{00000000-0005-0000-0000-000043490000}"/>
    <cellStyle name="Normal 42 3 2 4" xfId="8428" xr:uid="{00000000-0005-0000-0000-000044490000}"/>
    <cellStyle name="Normal 42 3 2 4 2" xfId="17604" xr:uid="{00000000-0005-0000-0000-000045490000}"/>
    <cellStyle name="Normal 42 3 2 4 2 2" xfId="34178" xr:uid="{00000000-0005-0000-0000-000046490000}"/>
    <cellStyle name="Normal 42 3 2 4 3" xfId="26131" xr:uid="{00000000-0005-0000-0000-000047490000}"/>
    <cellStyle name="Normal 42 3 2 5" xfId="13767" xr:uid="{00000000-0005-0000-0000-000048490000}"/>
    <cellStyle name="Normal 42 3 2 5 2" xfId="30311" xr:uid="{00000000-0005-0000-0000-000049490000}"/>
    <cellStyle name="Normal 42 3 2 6" xfId="22268" xr:uid="{00000000-0005-0000-0000-00004A490000}"/>
    <cellStyle name="Normal 42 3 3" xfId="4403" xr:uid="{00000000-0005-0000-0000-00004B490000}"/>
    <cellStyle name="Normal 42 3 3 2" xfId="4404" xr:uid="{00000000-0005-0000-0000-00004C490000}"/>
    <cellStyle name="Normal 42 3 3 2 2" xfId="8429" xr:uid="{00000000-0005-0000-0000-00004D490000}"/>
    <cellStyle name="Normal 42 3 3 2 2 2" xfId="17605" xr:uid="{00000000-0005-0000-0000-00004E490000}"/>
    <cellStyle name="Normal 42 3 3 2 2 2 2" xfId="34179" xr:uid="{00000000-0005-0000-0000-00004F490000}"/>
    <cellStyle name="Normal 42 3 3 2 2 3" xfId="26132" xr:uid="{00000000-0005-0000-0000-000050490000}"/>
    <cellStyle name="Normal 42 3 3 2 3" xfId="13772" xr:uid="{00000000-0005-0000-0000-000051490000}"/>
    <cellStyle name="Normal 42 3 3 2 3 2" xfId="30316" xr:uid="{00000000-0005-0000-0000-000052490000}"/>
    <cellStyle name="Normal 42 3 3 2 4" xfId="22273" xr:uid="{00000000-0005-0000-0000-000053490000}"/>
    <cellStyle name="Normal 42 3 3 3" xfId="8430" xr:uid="{00000000-0005-0000-0000-000054490000}"/>
    <cellStyle name="Normal 42 3 3 3 2" xfId="17606" xr:uid="{00000000-0005-0000-0000-000055490000}"/>
    <cellStyle name="Normal 42 3 3 3 2 2" xfId="34180" xr:uid="{00000000-0005-0000-0000-000056490000}"/>
    <cellStyle name="Normal 42 3 3 3 3" xfId="26133" xr:uid="{00000000-0005-0000-0000-000057490000}"/>
    <cellStyle name="Normal 42 3 3 4" xfId="13771" xr:uid="{00000000-0005-0000-0000-000058490000}"/>
    <cellStyle name="Normal 42 3 3 4 2" xfId="30315" xr:uid="{00000000-0005-0000-0000-000059490000}"/>
    <cellStyle name="Normal 42 3 3 5" xfId="22272" xr:uid="{00000000-0005-0000-0000-00005A490000}"/>
    <cellStyle name="Normal 42 3 4" xfId="4405" xr:uid="{00000000-0005-0000-0000-00005B490000}"/>
    <cellStyle name="Normal 42 3 4 2" xfId="8431" xr:uid="{00000000-0005-0000-0000-00005C490000}"/>
    <cellStyle name="Normal 42 3 4 2 2" xfId="17607" xr:uid="{00000000-0005-0000-0000-00005D490000}"/>
    <cellStyle name="Normal 42 3 4 2 2 2" xfId="34181" xr:uid="{00000000-0005-0000-0000-00005E490000}"/>
    <cellStyle name="Normal 42 3 4 2 3" xfId="26134" xr:uid="{00000000-0005-0000-0000-00005F490000}"/>
    <cellStyle name="Normal 42 3 4 3" xfId="13773" xr:uid="{00000000-0005-0000-0000-000060490000}"/>
    <cellStyle name="Normal 42 3 4 3 2" xfId="30317" xr:uid="{00000000-0005-0000-0000-000061490000}"/>
    <cellStyle name="Normal 42 3 4 4" xfId="22274" xr:uid="{00000000-0005-0000-0000-000062490000}"/>
    <cellStyle name="Normal 42 3 5" xfId="4406" xr:uid="{00000000-0005-0000-0000-000063490000}"/>
    <cellStyle name="Normal 42 3 5 2" xfId="13774" xr:uid="{00000000-0005-0000-0000-000064490000}"/>
    <cellStyle name="Normal 42 3 5 2 2" xfId="30318" xr:uid="{00000000-0005-0000-0000-000065490000}"/>
    <cellStyle name="Normal 42 3 5 3" xfId="22275" xr:uid="{00000000-0005-0000-0000-000066490000}"/>
    <cellStyle name="Normal 42 4" xfId="4407" xr:uid="{00000000-0005-0000-0000-000067490000}"/>
    <cellStyle name="Normal 42 4 2" xfId="4408" xr:uid="{00000000-0005-0000-0000-000068490000}"/>
    <cellStyle name="Normal 42 4 2 2" xfId="4409" xr:uid="{00000000-0005-0000-0000-000069490000}"/>
    <cellStyle name="Normal 42 4 2 2 2" xfId="4410" xr:uid="{00000000-0005-0000-0000-00006A490000}"/>
    <cellStyle name="Normal 42 4 2 2 2 2" xfId="8432" xr:uid="{00000000-0005-0000-0000-00006B490000}"/>
    <cellStyle name="Normal 42 4 2 2 2 2 2" xfId="17608" xr:uid="{00000000-0005-0000-0000-00006C490000}"/>
    <cellStyle name="Normal 42 4 2 2 2 2 2 2" xfId="34182" xr:uid="{00000000-0005-0000-0000-00006D490000}"/>
    <cellStyle name="Normal 42 4 2 2 2 2 3" xfId="26135" xr:uid="{00000000-0005-0000-0000-00006E490000}"/>
    <cellStyle name="Normal 42 4 2 2 2 3" xfId="13778" xr:uid="{00000000-0005-0000-0000-00006F490000}"/>
    <cellStyle name="Normal 42 4 2 2 2 3 2" xfId="30322" xr:uid="{00000000-0005-0000-0000-000070490000}"/>
    <cellStyle name="Normal 42 4 2 2 2 4" xfId="22279" xr:uid="{00000000-0005-0000-0000-000071490000}"/>
    <cellStyle name="Normal 42 4 2 2 3" xfId="8433" xr:uid="{00000000-0005-0000-0000-000072490000}"/>
    <cellStyle name="Normal 42 4 2 2 3 2" xfId="17609" xr:uid="{00000000-0005-0000-0000-000073490000}"/>
    <cellStyle name="Normal 42 4 2 2 3 2 2" xfId="34183" xr:uid="{00000000-0005-0000-0000-000074490000}"/>
    <cellStyle name="Normal 42 4 2 2 3 3" xfId="26136" xr:uid="{00000000-0005-0000-0000-000075490000}"/>
    <cellStyle name="Normal 42 4 2 2 4" xfId="13777" xr:uid="{00000000-0005-0000-0000-000076490000}"/>
    <cellStyle name="Normal 42 4 2 2 4 2" xfId="30321" xr:uid="{00000000-0005-0000-0000-000077490000}"/>
    <cellStyle name="Normal 42 4 2 2 5" xfId="22278" xr:uid="{00000000-0005-0000-0000-000078490000}"/>
    <cellStyle name="Normal 42 4 2 3" xfId="4411" xr:uid="{00000000-0005-0000-0000-000079490000}"/>
    <cellStyle name="Normal 42 4 2 3 2" xfId="8434" xr:uid="{00000000-0005-0000-0000-00007A490000}"/>
    <cellStyle name="Normal 42 4 2 3 2 2" xfId="17610" xr:uid="{00000000-0005-0000-0000-00007B490000}"/>
    <cellStyle name="Normal 42 4 2 3 2 2 2" xfId="34184" xr:uid="{00000000-0005-0000-0000-00007C490000}"/>
    <cellStyle name="Normal 42 4 2 3 2 3" xfId="26137" xr:uid="{00000000-0005-0000-0000-00007D490000}"/>
    <cellStyle name="Normal 42 4 2 3 3" xfId="13779" xr:uid="{00000000-0005-0000-0000-00007E490000}"/>
    <cellStyle name="Normal 42 4 2 3 3 2" xfId="30323" xr:uid="{00000000-0005-0000-0000-00007F490000}"/>
    <cellStyle name="Normal 42 4 2 3 4" xfId="22280" xr:uid="{00000000-0005-0000-0000-000080490000}"/>
    <cellStyle name="Normal 42 4 2 4" xfId="8435" xr:uid="{00000000-0005-0000-0000-000081490000}"/>
    <cellStyle name="Normal 42 4 2 4 2" xfId="17611" xr:uid="{00000000-0005-0000-0000-000082490000}"/>
    <cellStyle name="Normal 42 4 2 4 2 2" xfId="34185" xr:uid="{00000000-0005-0000-0000-000083490000}"/>
    <cellStyle name="Normal 42 4 2 4 3" xfId="26138" xr:uid="{00000000-0005-0000-0000-000084490000}"/>
    <cellStyle name="Normal 42 4 2 5" xfId="13776" xr:uid="{00000000-0005-0000-0000-000085490000}"/>
    <cellStyle name="Normal 42 4 2 5 2" xfId="30320" xr:uid="{00000000-0005-0000-0000-000086490000}"/>
    <cellStyle name="Normal 42 4 2 6" xfId="22277" xr:uid="{00000000-0005-0000-0000-000087490000}"/>
    <cellStyle name="Normal 42 4 3" xfId="4412" xr:uid="{00000000-0005-0000-0000-000088490000}"/>
    <cellStyle name="Normal 42 4 3 2" xfId="4413" xr:uid="{00000000-0005-0000-0000-000089490000}"/>
    <cellStyle name="Normal 42 4 3 2 2" xfId="8436" xr:uid="{00000000-0005-0000-0000-00008A490000}"/>
    <cellStyle name="Normal 42 4 3 2 2 2" xfId="17612" xr:uid="{00000000-0005-0000-0000-00008B490000}"/>
    <cellStyle name="Normal 42 4 3 2 2 2 2" xfId="34186" xr:uid="{00000000-0005-0000-0000-00008C490000}"/>
    <cellStyle name="Normal 42 4 3 2 2 3" xfId="26139" xr:uid="{00000000-0005-0000-0000-00008D490000}"/>
    <cellStyle name="Normal 42 4 3 2 3" xfId="13781" xr:uid="{00000000-0005-0000-0000-00008E490000}"/>
    <cellStyle name="Normal 42 4 3 2 3 2" xfId="30325" xr:uid="{00000000-0005-0000-0000-00008F490000}"/>
    <cellStyle name="Normal 42 4 3 2 4" xfId="22282" xr:uid="{00000000-0005-0000-0000-000090490000}"/>
    <cellStyle name="Normal 42 4 3 3" xfId="8437" xr:uid="{00000000-0005-0000-0000-000091490000}"/>
    <cellStyle name="Normal 42 4 3 3 2" xfId="17613" xr:uid="{00000000-0005-0000-0000-000092490000}"/>
    <cellStyle name="Normal 42 4 3 3 2 2" xfId="34187" xr:uid="{00000000-0005-0000-0000-000093490000}"/>
    <cellStyle name="Normal 42 4 3 3 3" xfId="26140" xr:uid="{00000000-0005-0000-0000-000094490000}"/>
    <cellStyle name="Normal 42 4 3 4" xfId="13780" xr:uid="{00000000-0005-0000-0000-000095490000}"/>
    <cellStyle name="Normal 42 4 3 4 2" xfId="30324" xr:uid="{00000000-0005-0000-0000-000096490000}"/>
    <cellStyle name="Normal 42 4 3 5" xfId="22281" xr:uid="{00000000-0005-0000-0000-000097490000}"/>
    <cellStyle name="Normal 42 4 4" xfId="4414" xr:uid="{00000000-0005-0000-0000-000098490000}"/>
    <cellStyle name="Normal 42 4 4 2" xfId="8438" xr:uid="{00000000-0005-0000-0000-000099490000}"/>
    <cellStyle name="Normal 42 4 4 2 2" xfId="17614" xr:uid="{00000000-0005-0000-0000-00009A490000}"/>
    <cellStyle name="Normal 42 4 4 2 2 2" xfId="34188" xr:uid="{00000000-0005-0000-0000-00009B490000}"/>
    <cellStyle name="Normal 42 4 4 2 3" xfId="26141" xr:uid="{00000000-0005-0000-0000-00009C490000}"/>
    <cellStyle name="Normal 42 4 4 3" xfId="13782" xr:uid="{00000000-0005-0000-0000-00009D490000}"/>
    <cellStyle name="Normal 42 4 4 3 2" xfId="30326" xr:uid="{00000000-0005-0000-0000-00009E490000}"/>
    <cellStyle name="Normal 42 4 4 4" xfId="22283" xr:uid="{00000000-0005-0000-0000-00009F490000}"/>
    <cellStyle name="Normal 42 4 5" xfId="8439" xr:uid="{00000000-0005-0000-0000-0000A0490000}"/>
    <cellStyle name="Normal 42 4 5 2" xfId="17615" xr:uid="{00000000-0005-0000-0000-0000A1490000}"/>
    <cellStyle name="Normal 42 4 5 2 2" xfId="34189" xr:uid="{00000000-0005-0000-0000-0000A2490000}"/>
    <cellStyle name="Normal 42 4 5 3" xfId="26142" xr:uid="{00000000-0005-0000-0000-0000A3490000}"/>
    <cellStyle name="Normal 42 4 6" xfId="13775" xr:uid="{00000000-0005-0000-0000-0000A4490000}"/>
    <cellStyle name="Normal 42 4 6 2" xfId="30319" xr:uid="{00000000-0005-0000-0000-0000A5490000}"/>
    <cellStyle name="Normal 42 4 7" xfId="22276" xr:uid="{00000000-0005-0000-0000-0000A6490000}"/>
    <cellStyle name="Normal 42 5" xfId="4415" xr:uid="{00000000-0005-0000-0000-0000A7490000}"/>
    <cellStyle name="Normal 42 5 2" xfId="4416" xr:uid="{00000000-0005-0000-0000-0000A8490000}"/>
    <cellStyle name="Normal 42 5 2 2" xfId="4417" xr:uid="{00000000-0005-0000-0000-0000A9490000}"/>
    <cellStyle name="Normal 42 5 2 2 2" xfId="4418" xr:uid="{00000000-0005-0000-0000-0000AA490000}"/>
    <cellStyle name="Normal 42 5 2 2 2 2" xfId="8440" xr:uid="{00000000-0005-0000-0000-0000AB490000}"/>
    <cellStyle name="Normal 42 5 2 2 2 2 2" xfId="17616" xr:uid="{00000000-0005-0000-0000-0000AC490000}"/>
    <cellStyle name="Normal 42 5 2 2 2 2 2 2" xfId="34190" xr:uid="{00000000-0005-0000-0000-0000AD490000}"/>
    <cellStyle name="Normal 42 5 2 2 2 2 3" xfId="26143" xr:uid="{00000000-0005-0000-0000-0000AE490000}"/>
    <cellStyle name="Normal 42 5 2 2 2 3" xfId="13786" xr:uid="{00000000-0005-0000-0000-0000AF490000}"/>
    <cellStyle name="Normal 42 5 2 2 2 3 2" xfId="30330" xr:uid="{00000000-0005-0000-0000-0000B0490000}"/>
    <cellStyle name="Normal 42 5 2 2 2 4" xfId="22287" xr:uid="{00000000-0005-0000-0000-0000B1490000}"/>
    <cellStyle name="Normal 42 5 2 2 3" xfId="8441" xr:uid="{00000000-0005-0000-0000-0000B2490000}"/>
    <cellStyle name="Normal 42 5 2 2 3 2" xfId="17617" xr:uid="{00000000-0005-0000-0000-0000B3490000}"/>
    <cellStyle name="Normal 42 5 2 2 3 2 2" xfId="34191" xr:uid="{00000000-0005-0000-0000-0000B4490000}"/>
    <cellStyle name="Normal 42 5 2 2 3 3" xfId="26144" xr:uid="{00000000-0005-0000-0000-0000B5490000}"/>
    <cellStyle name="Normal 42 5 2 2 4" xfId="13785" xr:uid="{00000000-0005-0000-0000-0000B6490000}"/>
    <cellStyle name="Normal 42 5 2 2 4 2" xfId="30329" xr:uid="{00000000-0005-0000-0000-0000B7490000}"/>
    <cellStyle name="Normal 42 5 2 2 5" xfId="22286" xr:uid="{00000000-0005-0000-0000-0000B8490000}"/>
    <cellStyle name="Normal 42 5 2 3" xfId="4419" xr:uid="{00000000-0005-0000-0000-0000B9490000}"/>
    <cellStyle name="Normal 42 5 2 3 2" xfId="8442" xr:uid="{00000000-0005-0000-0000-0000BA490000}"/>
    <cellStyle name="Normal 42 5 2 3 2 2" xfId="17618" xr:uid="{00000000-0005-0000-0000-0000BB490000}"/>
    <cellStyle name="Normal 42 5 2 3 2 2 2" xfId="34192" xr:uid="{00000000-0005-0000-0000-0000BC490000}"/>
    <cellStyle name="Normal 42 5 2 3 2 3" xfId="26145" xr:uid="{00000000-0005-0000-0000-0000BD490000}"/>
    <cellStyle name="Normal 42 5 2 3 3" xfId="13787" xr:uid="{00000000-0005-0000-0000-0000BE490000}"/>
    <cellStyle name="Normal 42 5 2 3 3 2" xfId="30331" xr:uid="{00000000-0005-0000-0000-0000BF490000}"/>
    <cellStyle name="Normal 42 5 2 3 4" xfId="22288" xr:uid="{00000000-0005-0000-0000-0000C0490000}"/>
    <cellStyle name="Normal 42 5 2 4" xfId="8443" xr:uid="{00000000-0005-0000-0000-0000C1490000}"/>
    <cellStyle name="Normal 42 5 2 4 2" xfId="17619" xr:uid="{00000000-0005-0000-0000-0000C2490000}"/>
    <cellStyle name="Normal 42 5 2 4 2 2" xfId="34193" xr:uid="{00000000-0005-0000-0000-0000C3490000}"/>
    <cellStyle name="Normal 42 5 2 4 3" xfId="26146" xr:uid="{00000000-0005-0000-0000-0000C4490000}"/>
    <cellStyle name="Normal 42 5 2 5" xfId="13784" xr:uid="{00000000-0005-0000-0000-0000C5490000}"/>
    <cellStyle name="Normal 42 5 2 5 2" xfId="30328" xr:uid="{00000000-0005-0000-0000-0000C6490000}"/>
    <cellStyle name="Normal 42 5 2 6" xfId="22285" xr:uid="{00000000-0005-0000-0000-0000C7490000}"/>
    <cellStyle name="Normal 42 5 3" xfId="4420" xr:uid="{00000000-0005-0000-0000-0000C8490000}"/>
    <cellStyle name="Normal 42 5 3 2" xfId="4421" xr:uid="{00000000-0005-0000-0000-0000C9490000}"/>
    <cellStyle name="Normal 42 5 3 2 2" xfId="8444" xr:uid="{00000000-0005-0000-0000-0000CA490000}"/>
    <cellStyle name="Normal 42 5 3 2 2 2" xfId="17620" xr:uid="{00000000-0005-0000-0000-0000CB490000}"/>
    <cellStyle name="Normal 42 5 3 2 2 2 2" xfId="34194" xr:uid="{00000000-0005-0000-0000-0000CC490000}"/>
    <cellStyle name="Normal 42 5 3 2 2 3" xfId="26147" xr:uid="{00000000-0005-0000-0000-0000CD490000}"/>
    <cellStyle name="Normal 42 5 3 2 3" xfId="13789" xr:uid="{00000000-0005-0000-0000-0000CE490000}"/>
    <cellStyle name="Normal 42 5 3 2 3 2" xfId="30333" xr:uid="{00000000-0005-0000-0000-0000CF490000}"/>
    <cellStyle name="Normal 42 5 3 2 4" xfId="22290" xr:uid="{00000000-0005-0000-0000-0000D0490000}"/>
    <cellStyle name="Normal 42 5 3 3" xfId="8445" xr:uid="{00000000-0005-0000-0000-0000D1490000}"/>
    <cellStyle name="Normal 42 5 3 3 2" xfId="17621" xr:uid="{00000000-0005-0000-0000-0000D2490000}"/>
    <cellStyle name="Normal 42 5 3 3 2 2" xfId="34195" xr:uid="{00000000-0005-0000-0000-0000D3490000}"/>
    <cellStyle name="Normal 42 5 3 3 3" xfId="26148" xr:uid="{00000000-0005-0000-0000-0000D4490000}"/>
    <cellStyle name="Normal 42 5 3 4" xfId="13788" xr:uid="{00000000-0005-0000-0000-0000D5490000}"/>
    <cellStyle name="Normal 42 5 3 4 2" xfId="30332" xr:uid="{00000000-0005-0000-0000-0000D6490000}"/>
    <cellStyle name="Normal 42 5 3 5" xfId="22289" xr:uid="{00000000-0005-0000-0000-0000D7490000}"/>
    <cellStyle name="Normal 42 5 4" xfId="4422" xr:uid="{00000000-0005-0000-0000-0000D8490000}"/>
    <cellStyle name="Normal 42 5 4 2" xfId="8446" xr:uid="{00000000-0005-0000-0000-0000D9490000}"/>
    <cellStyle name="Normal 42 5 4 2 2" xfId="17622" xr:uid="{00000000-0005-0000-0000-0000DA490000}"/>
    <cellStyle name="Normal 42 5 4 2 2 2" xfId="34196" xr:uid="{00000000-0005-0000-0000-0000DB490000}"/>
    <cellStyle name="Normal 42 5 4 2 3" xfId="26149" xr:uid="{00000000-0005-0000-0000-0000DC490000}"/>
    <cellStyle name="Normal 42 5 4 3" xfId="13790" xr:uid="{00000000-0005-0000-0000-0000DD490000}"/>
    <cellStyle name="Normal 42 5 4 3 2" xfId="30334" xr:uid="{00000000-0005-0000-0000-0000DE490000}"/>
    <cellStyle name="Normal 42 5 4 4" xfId="22291" xr:uid="{00000000-0005-0000-0000-0000DF490000}"/>
    <cellStyle name="Normal 42 5 5" xfId="8447" xr:uid="{00000000-0005-0000-0000-0000E0490000}"/>
    <cellStyle name="Normal 42 5 5 2" xfId="17623" xr:uid="{00000000-0005-0000-0000-0000E1490000}"/>
    <cellStyle name="Normal 42 5 5 2 2" xfId="34197" xr:uid="{00000000-0005-0000-0000-0000E2490000}"/>
    <cellStyle name="Normal 42 5 5 3" xfId="26150" xr:uid="{00000000-0005-0000-0000-0000E3490000}"/>
    <cellStyle name="Normal 42 5 6" xfId="13783" xr:uid="{00000000-0005-0000-0000-0000E4490000}"/>
    <cellStyle name="Normal 42 5 6 2" xfId="30327" xr:uid="{00000000-0005-0000-0000-0000E5490000}"/>
    <cellStyle name="Normal 42 5 7" xfId="22284" xr:uid="{00000000-0005-0000-0000-0000E6490000}"/>
    <cellStyle name="Normal 42 6" xfId="4423" xr:uid="{00000000-0005-0000-0000-0000E7490000}"/>
    <cellStyle name="Normal 42 6 2" xfId="4424" xr:uid="{00000000-0005-0000-0000-0000E8490000}"/>
    <cellStyle name="Normal 42 6 2 2" xfId="4425" xr:uid="{00000000-0005-0000-0000-0000E9490000}"/>
    <cellStyle name="Normal 42 6 2 2 2" xfId="8448" xr:uid="{00000000-0005-0000-0000-0000EA490000}"/>
    <cellStyle name="Normal 42 6 2 2 2 2" xfId="17624" xr:uid="{00000000-0005-0000-0000-0000EB490000}"/>
    <cellStyle name="Normal 42 6 2 2 2 2 2" xfId="34198" xr:uid="{00000000-0005-0000-0000-0000EC490000}"/>
    <cellStyle name="Normal 42 6 2 2 2 3" xfId="26151" xr:uid="{00000000-0005-0000-0000-0000ED490000}"/>
    <cellStyle name="Normal 42 6 2 2 3" xfId="13793" xr:uid="{00000000-0005-0000-0000-0000EE490000}"/>
    <cellStyle name="Normal 42 6 2 2 3 2" xfId="30337" xr:uid="{00000000-0005-0000-0000-0000EF490000}"/>
    <cellStyle name="Normal 42 6 2 2 4" xfId="22294" xr:uid="{00000000-0005-0000-0000-0000F0490000}"/>
    <cellStyle name="Normal 42 6 2 3" xfId="8449" xr:uid="{00000000-0005-0000-0000-0000F1490000}"/>
    <cellStyle name="Normal 42 6 2 3 2" xfId="17625" xr:uid="{00000000-0005-0000-0000-0000F2490000}"/>
    <cellStyle name="Normal 42 6 2 3 2 2" xfId="34199" xr:uid="{00000000-0005-0000-0000-0000F3490000}"/>
    <cellStyle name="Normal 42 6 2 3 3" xfId="26152" xr:uid="{00000000-0005-0000-0000-0000F4490000}"/>
    <cellStyle name="Normal 42 6 2 4" xfId="13792" xr:uid="{00000000-0005-0000-0000-0000F5490000}"/>
    <cellStyle name="Normal 42 6 2 4 2" xfId="30336" xr:uid="{00000000-0005-0000-0000-0000F6490000}"/>
    <cellStyle name="Normal 42 6 2 5" xfId="22293" xr:uid="{00000000-0005-0000-0000-0000F7490000}"/>
    <cellStyle name="Normal 42 6 3" xfId="4426" xr:uid="{00000000-0005-0000-0000-0000F8490000}"/>
    <cellStyle name="Normal 42 6 3 2" xfId="8450" xr:uid="{00000000-0005-0000-0000-0000F9490000}"/>
    <cellStyle name="Normal 42 6 3 2 2" xfId="17626" xr:uid="{00000000-0005-0000-0000-0000FA490000}"/>
    <cellStyle name="Normal 42 6 3 2 2 2" xfId="34200" xr:uid="{00000000-0005-0000-0000-0000FB490000}"/>
    <cellStyle name="Normal 42 6 3 2 3" xfId="26153" xr:uid="{00000000-0005-0000-0000-0000FC490000}"/>
    <cellStyle name="Normal 42 6 3 3" xfId="13794" xr:uid="{00000000-0005-0000-0000-0000FD490000}"/>
    <cellStyle name="Normal 42 6 3 3 2" xfId="30338" xr:uid="{00000000-0005-0000-0000-0000FE490000}"/>
    <cellStyle name="Normal 42 6 3 4" xfId="22295" xr:uid="{00000000-0005-0000-0000-0000FF490000}"/>
    <cellStyle name="Normal 42 6 4" xfId="8451" xr:uid="{00000000-0005-0000-0000-0000004A0000}"/>
    <cellStyle name="Normal 42 6 4 2" xfId="17627" xr:uid="{00000000-0005-0000-0000-0000014A0000}"/>
    <cellStyle name="Normal 42 6 4 2 2" xfId="34201" xr:uid="{00000000-0005-0000-0000-0000024A0000}"/>
    <cellStyle name="Normal 42 6 4 3" xfId="26154" xr:uid="{00000000-0005-0000-0000-0000034A0000}"/>
    <cellStyle name="Normal 42 6 5" xfId="13791" xr:uid="{00000000-0005-0000-0000-0000044A0000}"/>
    <cellStyle name="Normal 42 6 5 2" xfId="30335" xr:uid="{00000000-0005-0000-0000-0000054A0000}"/>
    <cellStyle name="Normal 42 6 6" xfId="22292" xr:uid="{00000000-0005-0000-0000-0000064A0000}"/>
    <cellStyle name="Normal 42 7" xfId="4427" xr:uid="{00000000-0005-0000-0000-0000074A0000}"/>
    <cellStyle name="Normal 42 7 2" xfId="4428" xr:uid="{00000000-0005-0000-0000-0000084A0000}"/>
    <cellStyle name="Normal 42 7 2 2" xfId="8452" xr:uid="{00000000-0005-0000-0000-0000094A0000}"/>
    <cellStyle name="Normal 42 7 2 2 2" xfId="17628" xr:uid="{00000000-0005-0000-0000-00000A4A0000}"/>
    <cellStyle name="Normal 42 7 2 2 2 2" xfId="34202" xr:uid="{00000000-0005-0000-0000-00000B4A0000}"/>
    <cellStyle name="Normal 42 7 2 2 3" xfId="26155" xr:uid="{00000000-0005-0000-0000-00000C4A0000}"/>
    <cellStyle name="Normal 42 7 2 3" xfId="13796" xr:uid="{00000000-0005-0000-0000-00000D4A0000}"/>
    <cellStyle name="Normal 42 7 2 3 2" xfId="30340" xr:uid="{00000000-0005-0000-0000-00000E4A0000}"/>
    <cellStyle name="Normal 42 7 2 4" xfId="22297" xr:uid="{00000000-0005-0000-0000-00000F4A0000}"/>
    <cellStyle name="Normal 42 7 3" xfId="8453" xr:uid="{00000000-0005-0000-0000-0000104A0000}"/>
    <cellStyle name="Normal 42 7 3 2" xfId="17629" xr:uid="{00000000-0005-0000-0000-0000114A0000}"/>
    <cellStyle name="Normal 42 7 3 2 2" xfId="34203" xr:uid="{00000000-0005-0000-0000-0000124A0000}"/>
    <cellStyle name="Normal 42 7 3 3" xfId="26156" xr:uid="{00000000-0005-0000-0000-0000134A0000}"/>
    <cellStyle name="Normal 42 7 4" xfId="13795" xr:uid="{00000000-0005-0000-0000-0000144A0000}"/>
    <cellStyle name="Normal 42 7 4 2" xfId="30339" xr:uid="{00000000-0005-0000-0000-0000154A0000}"/>
    <cellStyle name="Normal 42 7 5" xfId="22296" xr:uid="{00000000-0005-0000-0000-0000164A0000}"/>
    <cellStyle name="Normal 42 8" xfId="4429" xr:uid="{00000000-0005-0000-0000-0000174A0000}"/>
    <cellStyle name="Normal 42 8 2" xfId="8454" xr:uid="{00000000-0005-0000-0000-0000184A0000}"/>
    <cellStyle name="Normal 42 8 2 2" xfId="17630" xr:uid="{00000000-0005-0000-0000-0000194A0000}"/>
    <cellStyle name="Normal 42 8 2 2 2" xfId="34204" xr:uid="{00000000-0005-0000-0000-00001A4A0000}"/>
    <cellStyle name="Normal 42 8 2 3" xfId="26157" xr:uid="{00000000-0005-0000-0000-00001B4A0000}"/>
    <cellStyle name="Normal 42 8 3" xfId="13797" xr:uid="{00000000-0005-0000-0000-00001C4A0000}"/>
    <cellStyle name="Normal 42 8 3 2" xfId="30341" xr:uid="{00000000-0005-0000-0000-00001D4A0000}"/>
    <cellStyle name="Normal 42 8 4" xfId="22298" xr:uid="{00000000-0005-0000-0000-00001E4A0000}"/>
    <cellStyle name="Normal 42 9" xfId="8455" xr:uid="{00000000-0005-0000-0000-00001F4A0000}"/>
    <cellStyle name="Normal 42 9 2" xfId="17631" xr:uid="{00000000-0005-0000-0000-0000204A0000}"/>
    <cellStyle name="Normal 42 9 2 2" xfId="34205" xr:uid="{00000000-0005-0000-0000-0000214A0000}"/>
    <cellStyle name="Normal 42 9 3" xfId="26158" xr:uid="{00000000-0005-0000-0000-0000224A0000}"/>
    <cellStyle name="Normal 43" xfId="4430" xr:uid="{00000000-0005-0000-0000-0000234A0000}"/>
    <cellStyle name="Normal 43 10" xfId="13798" xr:uid="{00000000-0005-0000-0000-0000244A0000}"/>
    <cellStyle name="Normal 43 10 2" xfId="30342" xr:uid="{00000000-0005-0000-0000-0000254A0000}"/>
    <cellStyle name="Normal 43 11" xfId="22299" xr:uid="{00000000-0005-0000-0000-0000264A0000}"/>
    <cellStyle name="Normal 43 2" xfId="4431" xr:uid="{00000000-0005-0000-0000-0000274A0000}"/>
    <cellStyle name="Normal 43 2 2" xfId="4432" xr:uid="{00000000-0005-0000-0000-0000284A0000}"/>
    <cellStyle name="Normal 43 2 3" xfId="13799" xr:uid="{00000000-0005-0000-0000-0000294A0000}"/>
    <cellStyle name="Normal 43 2 3 2" xfId="30343" xr:uid="{00000000-0005-0000-0000-00002A4A0000}"/>
    <cellStyle name="Normal 43 2 4" xfId="22300" xr:uid="{00000000-0005-0000-0000-00002B4A0000}"/>
    <cellStyle name="Normal 43 3" xfId="4433" xr:uid="{00000000-0005-0000-0000-00002C4A0000}"/>
    <cellStyle name="Normal 43 3 2" xfId="4434" xr:uid="{00000000-0005-0000-0000-00002D4A0000}"/>
    <cellStyle name="Normal 43 3 2 2" xfId="4435" xr:uid="{00000000-0005-0000-0000-00002E4A0000}"/>
    <cellStyle name="Normal 43 3 2 2 2" xfId="4436" xr:uid="{00000000-0005-0000-0000-00002F4A0000}"/>
    <cellStyle name="Normal 43 3 2 2 2 2" xfId="8456" xr:uid="{00000000-0005-0000-0000-0000304A0000}"/>
    <cellStyle name="Normal 43 3 2 2 2 2 2" xfId="17632" xr:uid="{00000000-0005-0000-0000-0000314A0000}"/>
    <cellStyle name="Normal 43 3 2 2 2 2 2 2" xfId="34206" xr:uid="{00000000-0005-0000-0000-0000324A0000}"/>
    <cellStyle name="Normal 43 3 2 2 2 2 3" xfId="26159" xr:uid="{00000000-0005-0000-0000-0000334A0000}"/>
    <cellStyle name="Normal 43 3 2 2 2 3" xfId="13802" xr:uid="{00000000-0005-0000-0000-0000344A0000}"/>
    <cellStyle name="Normal 43 3 2 2 2 3 2" xfId="30346" xr:uid="{00000000-0005-0000-0000-0000354A0000}"/>
    <cellStyle name="Normal 43 3 2 2 2 4" xfId="22303" xr:uid="{00000000-0005-0000-0000-0000364A0000}"/>
    <cellStyle name="Normal 43 3 2 2 3" xfId="8457" xr:uid="{00000000-0005-0000-0000-0000374A0000}"/>
    <cellStyle name="Normal 43 3 2 2 3 2" xfId="17633" xr:uid="{00000000-0005-0000-0000-0000384A0000}"/>
    <cellStyle name="Normal 43 3 2 2 3 2 2" xfId="34207" xr:uid="{00000000-0005-0000-0000-0000394A0000}"/>
    <cellStyle name="Normal 43 3 2 2 3 3" xfId="26160" xr:uid="{00000000-0005-0000-0000-00003A4A0000}"/>
    <cellStyle name="Normal 43 3 2 2 4" xfId="13801" xr:uid="{00000000-0005-0000-0000-00003B4A0000}"/>
    <cellStyle name="Normal 43 3 2 2 4 2" xfId="30345" xr:uid="{00000000-0005-0000-0000-00003C4A0000}"/>
    <cellStyle name="Normal 43 3 2 2 5" xfId="22302" xr:uid="{00000000-0005-0000-0000-00003D4A0000}"/>
    <cellStyle name="Normal 43 3 2 3" xfId="4437" xr:uid="{00000000-0005-0000-0000-00003E4A0000}"/>
    <cellStyle name="Normal 43 3 2 3 2" xfId="8458" xr:uid="{00000000-0005-0000-0000-00003F4A0000}"/>
    <cellStyle name="Normal 43 3 2 3 2 2" xfId="17634" xr:uid="{00000000-0005-0000-0000-0000404A0000}"/>
    <cellStyle name="Normal 43 3 2 3 2 2 2" xfId="34208" xr:uid="{00000000-0005-0000-0000-0000414A0000}"/>
    <cellStyle name="Normal 43 3 2 3 2 3" xfId="26161" xr:uid="{00000000-0005-0000-0000-0000424A0000}"/>
    <cellStyle name="Normal 43 3 2 3 3" xfId="13803" xr:uid="{00000000-0005-0000-0000-0000434A0000}"/>
    <cellStyle name="Normal 43 3 2 3 3 2" xfId="30347" xr:uid="{00000000-0005-0000-0000-0000444A0000}"/>
    <cellStyle name="Normal 43 3 2 3 4" xfId="22304" xr:uid="{00000000-0005-0000-0000-0000454A0000}"/>
    <cellStyle name="Normal 43 3 2 4" xfId="8459" xr:uid="{00000000-0005-0000-0000-0000464A0000}"/>
    <cellStyle name="Normal 43 3 2 4 2" xfId="17635" xr:uid="{00000000-0005-0000-0000-0000474A0000}"/>
    <cellStyle name="Normal 43 3 2 4 2 2" xfId="34209" xr:uid="{00000000-0005-0000-0000-0000484A0000}"/>
    <cellStyle name="Normal 43 3 2 4 3" xfId="26162" xr:uid="{00000000-0005-0000-0000-0000494A0000}"/>
    <cellStyle name="Normal 43 3 2 5" xfId="13800" xr:uid="{00000000-0005-0000-0000-00004A4A0000}"/>
    <cellStyle name="Normal 43 3 2 5 2" xfId="30344" xr:uid="{00000000-0005-0000-0000-00004B4A0000}"/>
    <cellStyle name="Normal 43 3 2 6" xfId="22301" xr:uid="{00000000-0005-0000-0000-00004C4A0000}"/>
    <cellStyle name="Normal 43 3 3" xfId="4438" xr:uid="{00000000-0005-0000-0000-00004D4A0000}"/>
    <cellStyle name="Normal 43 3 3 2" xfId="4439" xr:uid="{00000000-0005-0000-0000-00004E4A0000}"/>
    <cellStyle name="Normal 43 3 3 2 2" xfId="8460" xr:uid="{00000000-0005-0000-0000-00004F4A0000}"/>
    <cellStyle name="Normal 43 3 3 2 2 2" xfId="17636" xr:uid="{00000000-0005-0000-0000-0000504A0000}"/>
    <cellStyle name="Normal 43 3 3 2 2 2 2" xfId="34210" xr:uid="{00000000-0005-0000-0000-0000514A0000}"/>
    <cellStyle name="Normal 43 3 3 2 2 3" xfId="26163" xr:uid="{00000000-0005-0000-0000-0000524A0000}"/>
    <cellStyle name="Normal 43 3 3 2 3" xfId="13805" xr:uid="{00000000-0005-0000-0000-0000534A0000}"/>
    <cellStyle name="Normal 43 3 3 2 3 2" xfId="30349" xr:uid="{00000000-0005-0000-0000-0000544A0000}"/>
    <cellStyle name="Normal 43 3 3 2 4" xfId="22306" xr:uid="{00000000-0005-0000-0000-0000554A0000}"/>
    <cellStyle name="Normal 43 3 3 3" xfId="8461" xr:uid="{00000000-0005-0000-0000-0000564A0000}"/>
    <cellStyle name="Normal 43 3 3 3 2" xfId="17637" xr:uid="{00000000-0005-0000-0000-0000574A0000}"/>
    <cellStyle name="Normal 43 3 3 3 2 2" xfId="34211" xr:uid="{00000000-0005-0000-0000-0000584A0000}"/>
    <cellStyle name="Normal 43 3 3 3 3" xfId="26164" xr:uid="{00000000-0005-0000-0000-0000594A0000}"/>
    <cellStyle name="Normal 43 3 3 4" xfId="13804" xr:uid="{00000000-0005-0000-0000-00005A4A0000}"/>
    <cellStyle name="Normal 43 3 3 4 2" xfId="30348" xr:uid="{00000000-0005-0000-0000-00005B4A0000}"/>
    <cellStyle name="Normal 43 3 3 5" xfId="22305" xr:uid="{00000000-0005-0000-0000-00005C4A0000}"/>
    <cellStyle name="Normal 43 3 4" xfId="4440" xr:uid="{00000000-0005-0000-0000-00005D4A0000}"/>
    <cellStyle name="Normal 43 3 4 2" xfId="8462" xr:uid="{00000000-0005-0000-0000-00005E4A0000}"/>
    <cellStyle name="Normal 43 3 4 2 2" xfId="17638" xr:uid="{00000000-0005-0000-0000-00005F4A0000}"/>
    <cellStyle name="Normal 43 3 4 2 2 2" xfId="34212" xr:uid="{00000000-0005-0000-0000-0000604A0000}"/>
    <cellStyle name="Normal 43 3 4 2 3" xfId="26165" xr:uid="{00000000-0005-0000-0000-0000614A0000}"/>
    <cellStyle name="Normal 43 3 4 3" xfId="13806" xr:uid="{00000000-0005-0000-0000-0000624A0000}"/>
    <cellStyle name="Normal 43 3 4 3 2" xfId="30350" xr:uid="{00000000-0005-0000-0000-0000634A0000}"/>
    <cellStyle name="Normal 43 3 4 4" xfId="22307" xr:uid="{00000000-0005-0000-0000-0000644A0000}"/>
    <cellStyle name="Normal 43 3 5" xfId="4441" xr:uid="{00000000-0005-0000-0000-0000654A0000}"/>
    <cellStyle name="Normal 43 3 5 2" xfId="13807" xr:uid="{00000000-0005-0000-0000-0000664A0000}"/>
    <cellStyle name="Normal 43 3 5 2 2" xfId="30351" xr:uid="{00000000-0005-0000-0000-0000674A0000}"/>
    <cellStyle name="Normal 43 3 5 3" xfId="22308" xr:uid="{00000000-0005-0000-0000-0000684A0000}"/>
    <cellStyle name="Normal 43 4" xfId="4442" xr:uid="{00000000-0005-0000-0000-0000694A0000}"/>
    <cellStyle name="Normal 43 4 2" xfId="4443" xr:uid="{00000000-0005-0000-0000-00006A4A0000}"/>
    <cellStyle name="Normal 43 4 2 2" xfId="4444" xr:uid="{00000000-0005-0000-0000-00006B4A0000}"/>
    <cellStyle name="Normal 43 4 2 2 2" xfId="4445" xr:uid="{00000000-0005-0000-0000-00006C4A0000}"/>
    <cellStyle name="Normal 43 4 2 2 2 2" xfId="8463" xr:uid="{00000000-0005-0000-0000-00006D4A0000}"/>
    <cellStyle name="Normal 43 4 2 2 2 2 2" xfId="17639" xr:uid="{00000000-0005-0000-0000-00006E4A0000}"/>
    <cellStyle name="Normal 43 4 2 2 2 2 2 2" xfId="34213" xr:uid="{00000000-0005-0000-0000-00006F4A0000}"/>
    <cellStyle name="Normal 43 4 2 2 2 2 3" xfId="26166" xr:uid="{00000000-0005-0000-0000-0000704A0000}"/>
    <cellStyle name="Normal 43 4 2 2 2 3" xfId="13811" xr:uid="{00000000-0005-0000-0000-0000714A0000}"/>
    <cellStyle name="Normal 43 4 2 2 2 3 2" xfId="30355" xr:uid="{00000000-0005-0000-0000-0000724A0000}"/>
    <cellStyle name="Normal 43 4 2 2 2 4" xfId="22312" xr:uid="{00000000-0005-0000-0000-0000734A0000}"/>
    <cellStyle name="Normal 43 4 2 2 3" xfId="8464" xr:uid="{00000000-0005-0000-0000-0000744A0000}"/>
    <cellStyle name="Normal 43 4 2 2 3 2" xfId="17640" xr:uid="{00000000-0005-0000-0000-0000754A0000}"/>
    <cellStyle name="Normal 43 4 2 2 3 2 2" xfId="34214" xr:uid="{00000000-0005-0000-0000-0000764A0000}"/>
    <cellStyle name="Normal 43 4 2 2 3 3" xfId="26167" xr:uid="{00000000-0005-0000-0000-0000774A0000}"/>
    <cellStyle name="Normal 43 4 2 2 4" xfId="13810" xr:uid="{00000000-0005-0000-0000-0000784A0000}"/>
    <cellStyle name="Normal 43 4 2 2 4 2" xfId="30354" xr:uid="{00000000-0005-0000-0000-0000794A0000}"/>
    <cellStyle name="Normal 43 4 2 2 5" xfId="22311" xr:uid="{00000000-0005-0000-0000-00007A4A0000}"/>
    <cellStyle name="Normal 43 4 2 3" xfId="4446" xr:uid="{00000000-0005-0000-0000-00007B4A0000}"/>
    <cellStyle name="Normal 43 4 2 3 2" xfId="8465" xr:uid="{00000000-0005-0000-0000-00007C4A0000}"/>
    <cellStyle name="Normal 43 4 2 3 2 2" xfId="17641" xr:uid="{00000000-0005-0000-0000-00007D4A0000}"/>
    <cellStyle name="Normal 43 4 2 3 2 2 2" xfId="34215" xr:uid="{00000000-0005-0000-0000-00007E4A0000}"/>
    <cellStyle name="Normal 43 4 2 3 2 3" xfId="26168" xr:uid="{00000000-0005-0000-0000-00007F4A0000}"/>
    <cellStyle name="Normal 43 4 2 3 3" xfId="13812" xr:uid="{00000000-0005-0000-0000-0000804A0000}"/>
    <cellStyle name="Normal 43 4 2 3 3 2" xfId="30356" xr:uid="{00000000-0005-0000-0000-0000814A0000}"/>
    <cellStyle name="Normal 43 4 2 3 4" xfId="22313" xr:uid="{00000000-0005-0000-0000-0000824A0000}"/>
    <cellStyle name="Normal 43 4 2 4" xfId="8466" xr:uid="{00000000-0005-0000-0000-0000834A0000}"/>
    <cellStyle name="Normal 43 4 2 4 2" xfId="17642" xr:uid="{00000000-0005-0000-0000-0000844A0000}"/>
    <cellStyle name="Normal 43 4 2 4 2 2" xfId="34216" xr:uid="{00000000-0005-0000-0000-0000854A0000}"/>
    <cellStyle name="Normal 43 4 2 4 3" xfId="26169" xr:uid="{00000000-0005-0000-0000-0000864A0000}"/>
    <cellStyle name="Normal 43 4 2 5" xfId="13809" xr:uid="{00000000-0005-0000-0000-0000874A0000}"/>
    <cellStyle name="Normal 43 4 2 5 2" xfId="30353" xr:uid="{00000000-0005-0000-0000-0000884A0000}"/>
    <cellStyle name="Normal 43 4 2 6" xfId="22310" xr:uid="{00000000-0005-0000-0000-0000894A0000}"/>
    <cellStyle name="Normal 43 4 3" xfId="4447" xr:uid="{00000000-0005-0000-0000-00008A4A0000}"/>
    <cellStyle name="Normal 43 4 3 2" xfId="4448" xr:uid="{00000000-0005-0000-0000-00008B4A0000}"/>
    <cellStyle name="Normal 43 4 3 2 2" xfId="8467" xr:uid="{00000000-0005-0000-0000-00008C4A0000}"/>
    <cellStyle name="Normal 43 4 3 2 2 2" xfId="17643" xr:uid="{00000000-0005-0000-0000-00008D4A0000}"/>
    <cellStyle name="Normal 43 4 3 2 2 2 2" xfId="34217" xr:uid="{00000000-0005-0000-0000-00008E4A0000}"/>
    <cellStyle name="Normal 43 4 3 2 2 3" xfId="26170" xr:uid="{00000000-0005-0000-0000-00008F4A0000}"/>
    <cellStyle name="Normal 43 4 3 2 3" xfId="13814" xr:uid="{00000000-0005-0000-0000-0000904A0000}"/>
    <cellStyle name="Normal 43 4 3 2 3 2" xfId="30358" xr:uid="{00000000-0005-0000-0000-0000914A0000}"/>
    <cellStyle name="Normal 43 4 3 2 4" xfId="22315" xr:uid="{00000000-0005-0000-0000-0000924A0000}"/>
    <cellStyle name="Normal 43 4 3 3" xfId="8468" xr:uid="{00000000-0005-0000-0000-0000934A0000}"/>
    <cellStyle name="Normal 43 4 3 3 2" xfId="17644" xr:uid="{00000000-0005-0000-0000-0000944A0000}"/>
    <cellStyle name="Normal 43 4 3 3 2 2" xfId="34218" xr:uid="{00000000-0005-0000-0000-0000954A0000}"/>
    <cellStyle name="Normal 43 4 3 3 3" xfId="26171" xr:uid="{00000000-0005-0000-0000-0000964A0000}"/>
    <cellStyle name="Normal 43 4 3 4" xfId="13813" xr:uid="{00000000-0005-0000-0000-0000974A0000}"/>
    <cellStyle name="Normal 43 4 3 4 2" xfId="30357" xr:uid="{00000000-0005-0000-0000-0000984A0000}"/>
    <cellStyle name="Normal 43 4 3 5" xfId="22314" xr:uid="{00000000-0005-0000-0000-0000994A0000}"/>
    <cellStyle name="Normal 43 4 4" xfId="4449" xr:uid="{00000000-0005-0000-0000-00009A4A0000}"/>
    <cellStyle name="Normal 43 4 4 2" xfId="8469" xr:uid="{00000000-0005-0000-0000-00009B4A0000}"/>
    <cellStyle name="Normal 43 4 4 2 2" xfId="17645" xr:uid="{00000000-0005-0000-0000-00009C4A0000}"/>
    <cellStyle name="Normal 43 4 4 2 2 2" xfId="34219" xr:uid="{00000000-0005-0000-0000-00009D4A0000}"/>
    <cellStyle name="Normal 43 4 4 2 3" xfId="26172" xr:uid="{00000000-0005-0000-0000-00009E4A0000}"/>
    <cellStyle name="Normal 43 4 4 3" xfId="13815" xr:uid="{00000000-0005-0000-0000-00009F4A0000}"/>
    <cellStyle name="Normal 43 4 4 3 2" xfId="30359" xr:uid="{00000000-0005-0000-0000-0000A04A0000}"/>
    <cellStyle name="Normal 43 4 4 4" xfId="22316" xr:uid="{00000000-0005-0000-0000-0000A14A0000}"/>
    <cellStyle name="Normal 43 4 5" xfId="8470" xr:uid="{00000000-0005-0000-0000-0000A24A0000}"/>
    <cellStyle name="Normal 43 4 5 2" xfId="17646" xr:uid="{00000000-0005-0000-0000-0000A34A0000}"/>
    <cellStyle name="Normal 43 4 5 2 2" xfId="34220" xr:uid="{00000000-0005-0000-0000-0000A44A0000}"/>
    <cellStyle name="Normal 43 4 5 3" xfId="26173" xr:uid="{00000000-0005-0000-0000-0000A54A0000}"/>
    <cellStyle name="Normal 43 4 6" xfId="13808" xr:uid="{00000000-0005-0000-0000-0000A64A0000}"/>
    <cellStyle name="Normal 43 4 6 2" xfId="30352" xr:uid="{00000000-0005-0000-0000-0000A74A0000}"/>
    <cellStyle name="Normal 43 4 7" xfId="22309" xr:uid="{00000000-0005-0000-0000-0000A84A0000}"/>
    <cellStyle name="Normal 43 5" xfId="4450" xr:uid="{00000000-0005-0000-0000-0000A94A0000}"/>
    <cellStyle name="Normal 43 5 2" xfId="4451" xr:uid="{00000000-0005-0000-0000-0000AA4A0000}"/>
    <cellStyle name="Normal 43 5 2 2" xfId="4452" xr:uid="{00000000-0005-0000-0000-0000AB4A0000}"/>
    <cellStyle name="Normal 43 5 2 2 2" xfId="4453" xr:uid="{00000000-0005-0000-0000-0000AC4A0000}"/>
    <cellStyle name="Normal 43 5 2 2 2 2" xfId="8471" xr:uid="{00000000-0005-0000-0000-0000AD4A0000}"/>
    <cellStyle name="Normal 43 5 2 2 2 2 2" xfId="17647" xr:uid="{00000000-0005-0000-0000-0000AE4A0000}"/>
    <cellStyle name="Normal 43 5 2 2 2 2 2 2" xfId="34221" xr:uid="{00000000-0005-0000-0000-0000AF4A0000}"/>
    <cellStyle name="Normal 43 5 2 2 2 2 3" xfId="26174" xr:uid="{00000000-0005-0000-0000-0000B04A0000}"/>
    <cellStyle name="Normal 43 5 2 2 2 3" xfId="13819" xr:uid="{00000000-0005-0000-0000-0000B14A0000}"/>
    <cellStyle name="Normal 43 5 2 2 2 3 2" xfId="30363" xr:uid="{00000000-0005-0000-0000-0000B24A0000}"/>
    <cellStyle name="Normal 43 5 2 2 2 4" xfId="22320" xr:uid="{00000000-0005-0000-0000-0000B34A0000}"/>
    <cellStyle name="Normal 43 5 2 2 3" xfId="8472" xr:uid="{00000000-0005-0000-0000-0000B44A0000}"/>
    <cellStyle name="Normal 43 5 2 2 3 2" xfId="17648" xr:uid="{00000000-0005-0000-0000-0000B54A0000}"/>
    <cellStyle name="Normal 43 5 2 2 3 2 2" xfId="34222" xr:uid="{00000000-0005-0000-0000-0000B64A0000}"/>
    <cellStyle name="Normal 43 5 2 2 3 3" xfId="26175" xr:uid="{00000000-0005-0000-0000-0000B74A0000}"/>
    <cellStyle name="Normal 43 5 2 2 4" xfId="13818" xr:uid="{00000000-0005-0000-0000-0000B84A0000}"/>
    <cellStyle name="Normal 43 5 2 2 4 2" xfId="30362" xr:uid="{00000000-0005-0000-0000-0000B94A0000}"/>
    <cellStyle name="Normal 43 5 2 2 5" xfId="22319" xr:uid="{00000000-0005-0000-0000-0000BA4A0000}"/>
    <cellStyle name="Normal 43 5 2 3" xfId="4454" xr:uid="{00000000-0005-0000-0000-0000BB4A0000}"/>
    <cellStyle name="Normal 43 5 2 3 2" xfId="8473" xr:uid="{00000000-0005-0000-0000-0000BC4A0000}"/>
    <cellStyle name="Normal 43 5 2 3 2 2" xfId="17649" xr:uid="{00000000-0005-0000-0000-0000BD4A0000}"/>
    <cellStyle name="Normal 43 5 2 3 2 2 2" xfId="34223" xr:uid="{00000000-0005-0000-0000-0000BE4A0000}"/>
    <cellStyle name="Normal 43 5 2 3 2 3" xfId="26176" xr:uid="{00000000-0005-0000-0000-0000BF4A0000}"/>
    <cellStyle name="Normal 43 5 2 3 3" xfId="13820" xr:uid="{00000000-0005-0000-0000-0000C04A0000}"/>
    <cellStyle name="Normal 43 5 2 3 3 2" xfId="30364" xr:uid="{00000000-0005-0000-0000-0000C14A0000}"/>
    <cellStyle name="Normal 43 5 2 3 4" xfId="22321" xr:uid="{00000000-0005-0000-0000-0000C24A0000}"/>
    <cellStyle name="Normal 43 5 2 4" xfId="8474" xr:uid="{00000000-0005-0000-0000-0000C34A0000}"/>
    <cellStyle name="Normal 43 5 2 4 2" xfId="17650" xr:uid="{00000000-0005-0000-0000-0000C44A0000}"/>
    <cellStyle name="Normal 43 5 2 4 2 2" xfId="34224" xr:uid="{00000000-0005-0000-0000-0000C54A0000}"/>
    <cellStyle name="Normal 43 5 2 4 3" xfId="26177" xr:uid="{00000000-0005-0000-0000-0000C64A0000}"/>
    <cellStyle name="Normal 43 5 2 5" xfId="13817" xr:uid="{00000000-0005-0000-0000-0000C74A0000}"/>
    <cellStyle name="Normal 43 5 2 5 2" xfId="30361" xr:uid="{00000000-0005-0000-0000-0000C84A0000}"/>
    <cellStyle name="Normal 43 5 2 6" xfId="22318" xr:uid="{00000000-0005-0000-0000-0000C94A0000}"/>
    <cellStyle name="Normal 43 5 3" xfId="4455" xr:uid="{00000000-0005-0000-0000-0000CA4A0000}"/>
    <cellStyle name="Normal 43 5 3 2" xfId="4456" xr:uid="{00000000-0005-0000-0000-0000CB4A0000}"/>
    <cellStyle name="Normal 43 5 3 2 2" xfId="8475" xr:uid="{00000000-0005-0000-0000-0000CC4A0000}"/>
    <cellStyle name="Normal 43 5 3 2 2 2" xfId="17651" xr:uid="{00000000-0005-0000-0000-0000CD4A0000}"/>
    <cellStyle name="Normal 43 5 3 2 2 2 2" xfId="34225" xr:uid="{00000000-0005-0000-0000-0000CE4A0000}"/>
    <cellStyle name="Normal 43 5 3 2 2 3" xfId="26178" xr:uid="{00000000-0005-0000-0000-0000CF4A0000}"/>
    <cellStyle name="Normal 43 5 3 2 3" xfId="13822" xr:uid="{00000000-0005-0000-0000-0000D04A0000}"/>
    <cellStyle name="Normal 43 5 3 2 3 2" xfId="30366" xr:uid="{00000000-0005-0000-0000-0000D14A0000}"/>
    <cellStyle name="Normal 43 5 3 2 4" xfId="22323" xr:uid="{00000000-0005-0000-0000-0000D24A0000}"/>
    <cellStyle name="Normal 43 5 3 3" xfId="8476" xr:uid="{00000000-0005-0000-0000-0000D34A0000}"/>
    <cellStyle name="Normal 43 5 3 3 2" xfId="17652" xr:uid="{00000000-0005-0000-0000-0000D44A0000}"/>
    <cellStyle name="Normal 43 5 3 3 2 2" xfId="34226" xr:uid="{00000000-0005-0000-0000-0000D54A0000}"/>
    <cellStyle name="Normal 43 5 3 3 3" xfId="26179" xr:uid="{00000000-0005-0000-0000-0000D64A0000}"/>
    <cellStyle name="Normal 43 5 3 4" xfId="13821" xr:uid="{00000000-0005-0000-0000-0000D74A0000}"/>
    <cellStyle name="Normal 43 5 3 4 2" xfId="30365" xr:uid="{00000000-0005-0000-0000-0000D84A0000}"/>
    <cellStyle name="Normal 43 5 3 5" xfId="22322" xr:uid="{00000000-0005-0000-0000-0000D94A0000}"/>
    <cellStyle name="Normal 43 5 4" xfId="4457" xr:uid="{00000000-0005-0000-0000-0000DA4A0000}"/>
    <cellStyle name="Normal 43 5 4 2" xfId="8477" xr:uid="{00000000-0005-0000-0000-0000DB4A0000}"/>
    <cellStyle name="Normal 43 5 4 2 2" xfId="17653" xr:uid="{00000000-0005-0000-0000-0000DC4A0000}"/>
    <cellStyle name="Normal 43 5 4 2 2 2" xfId="34227" xr:uid="{00000000-0005-0000-0000-0000DD4A0000}"/>
    <cellStyle name="Normal 43 5 4 2 3" xfId="26180" xr:uid="{00000000-0005-0000-0000-0000DE4A0000}"/>
    <cellStyle name="Normal 43 5 4 3" xfId="13823" xr:uid="{00000000-0005-0000-0000-0000DF4A0000}"/>
    <cellStyle name="Normal 43 5 4 3 2" xfId="30367" xr:uid="{00000000-0005-0000-0000-0000E04A0000}"/>
    <cellStyle name="Normal 43 5 4 4" xfId="22324" xr:uid="{00000000-0005-0000-0000-0000E14A0000}"/>
    <cellStyle name="Normal 43 5 5" xfId="8478" xr:uid="{00000000-0005-0000-0000-0000E24A0000}"/>
    <cellStyle name="Normal 43 5 5 2" xfId="17654" xr:uid="{00000000-0005-0000-0000-0000E34A0000}"/>
    <cellStyle name="Normal 43 5 5 2 2" xfId="34228" xr:uid="{00000000-0005-0000-0000-0000E44A0000}"/>
    <cellStyle name="Normal 43 5 5 3" xfId="26181" xr:uid="{00000000-0005-0000-0000-0000E54A0000}"/>
    <cellStyle name="Normal 43 5 6" xfId="13816" xr:uid="{00000000-0005-0000-0000-0000E64A0000}"/>
    <cellStyle name="Normal 43 5 6 2" xfId="30360" xr:uid="{00000000-0005-0000-0000-0000E74A0000}"/>
    <cellStyle name="Normal 43 5 7" xfId="22317" xr:uid="{00000000-0005-0000-0000-0000E84A0000}"/>
    <cellStyle name="Normal 43 6" xfId="4458" xr:uid="{00000000-0005-0000-0000-0000E94A0000}"/>
    <cellStyle name="Normal 43 6 2" xfId="4459" xr:uid="{00000000-0005-0000-0000-0000EA4A0000}"/>
    <cellStyle name="Normal 43 6 2 2" xfId="4460" xr:uid="{00000000-0005-0000-0000-0000EB4A0000}"/>
    <cellStyle name="Normal 43 6 2 2 2" xfId="8479" xr:uid="{00000000-0005-0000-0000-0000EC4A0000}"/>
    <cellStyle name="Normal 43 6 2 2 2 2" xfId="17655" xr:uid="{00000000-0005-0000-0000-0000ED4A0000}"/>
    <cellStyle name="Normal 43 6 2 2 2 2 2" xfId="34229" xr:uid="{00000000-0005-0000-0000-0000EE4A0000}"/>
    <cellStyle name="Normal 43 6 2 2 2 3" xfId="26182" xr:uid="{00000000-0005-0000-0000-0000EF4A0000}"/>
    <cellStyle name="Normal 43 6 2 2 3" xfId="13826" xr:uid="{00000000-0005-0000-0000-0000F04A0000}"/>
    <cellStyle name="Normal 43 6 2 2 3 2" xfId="30370" xr:uid="{00000000-0005-0000-0000-0000F14A0000}"/>
    <cellStyle name="Normal 43 6 2 2 4" xfId="22327" xr:uid="{00000000-0005-0000-0000-0000F24A0000}"/>
    <cellStyle name="Normal 43 6 2 3" xfId="8480" xr:uid="{00000000-0005-0000-0000-0000F34A0000}"/>
    <cellStyle name="Normal 43 6 2 3 2" xfId="17656" xr:uid="{00000000-0005-0000-0000-0000F44A0000}"/>
    <cellStyle name="Normal 43 6 2 3 2 2" xfId="34230" xr:uid="{00000000-0005-0000-0000-0000F54A0000}"/>
    <cellStyle name="Normal 43 6 2 3 3" xfId="26183" xr:uid="{00000000-0005-0000-0000-0000F64A0000}"/>
    <cellStyle name="Normal 43 6 2 4" xfId="13825" xr:uid="{00000000-0005-0000-0000-0000F74A0000}"/>
    <cellStyle name="Normal 43 6 2 4 2" xfId="30369" xr:uid="{00000000-0005-0000-0000-0000F84A0000}"/>
    <cellStyle name="Normal 43 6 2 5" xfId="22326" xr:uid="{00000000-0005-0000-0000-0000F94A0000}"/>
    <cellStyle name="Normal 43 6 3" xfId="4461" xr:uid="{00000000-0005-0000-0000-0000FA4A0000}"/>
    <cellStyle name="Normal 43 6 3 2" xfId="8481" xr:uid="{00000000-0005-0000-0000-0000FB4A0000}"/>
    <cellStyle name="Normal 43 6 3 2 2" xfId="17657" xr:uid="{00000000-0005-0000-0000-0000FC4A0000}"/>
    <cellStyle name="Normal 43 6 3 2 2 2" xfId="34231" xr:uid="{00000000-0005-0000-0000-0000FD4A0000}"/>
    <cellStyle name="Normal 43 6 3 2 3" xfId="26184" xr:uid="{00000000-0005-0000-0000-0000FE4A0000}"/>
    <cellStyle name="Normal 43 6 3 3" xfId="13827" xr:uid="{00000000-0005-0000-0000-0000FF4A0000}"/>
    <cellStyle name="Normal 43 6 3 3 2" xfId="30371" xr:uid="{00000000-0005-0000-0000-0000004B0000}"/>
    <cellStyle name="Normal 43 6 3 4" xfId="22328" xr:uid="{00000000-0005-0000-0000-0000014B0000}"/>
    <cellStyle name="Normal 43 6 4" xfId="8482" xr:uid="{00000000-0005-0000-0000-0000024B0000}"/>
    <cellStyle name="Normal 43 6 4 2" xfId="17658" xr:uid="{00000000-0005-0000-0000-0000034B0000}"/>
    <cellStyle name="Normal 43 6 4 2 2" xfId="34232" xr:uid="{00000000-0005-0000-0000-0000044B0000}"/>
    <cellStyle name="Normal 43 6 4 3" xfId="26185" xr:uid="{00000000-0005-0000-0000-0000054B0000}"/>
    <cellStyle name="Normal 43 6 5" xfId="13824" xr:uid="{00000000-0005-0000-0000-0000064B0000}"/>
    <cellStyle name="Normal 43 6 5 2" xfId="30368" xr:uid="{00000000-0005-0000-0000-0000074B0000}"/>
    <cellStyle name="Normal 43 6 6" xfId="22325" xr:uid="{00000000-0005-0000-0000-0000084B0000}"/>
    <cellStyle name="Normal 43 7" xfId="4462" xr:uid="{00000000-0005-0000-0000-0000094B0000}"/>
    <cellStyle name="Normal 43 7 2" xfId="4463" xr:uid="{00000000-0005-0000-0000-00000A4B0000}"/>
    <cellStyle name="Normal 43 7 2 2" xfId="8483" xr:uid="{00000000-0005-0000-0000-00000B4B0000}"/>
    <cellStyle name="Normal 43 7 2 2 2" xfId="17659" xr:uid="{00000000-0005-0000-0000-00000C4B0000}"/>
    <cellStyle name="Normal 43 7 2 2 2 2" xfId="34233" xr:uid="{00000000-0005-0000-0000-00000D4B0000}"/>
    <cellStyle name="Normal 43 7 2 2 3" xfId="26186" xr:uid="{00000000-0005-0000-0000-00000E4B0000}"/>
    <cellStyle name="Normal 43 7 2 3" xfId="13829" xr:uid="{00000000-0005-0000-0000-00000F4B0000}"/>
    <cellStyle name="Normal 43 7 2 3 2" xfId="30373" xr:uid="{00000000-0005-0000-0000-0000104B0000}"/>
    <cellStyle name="Normal 43 7 2 4" xfId="22330" xr:uid="{00000000-0005-0000-0000-0000114B0000}"/>
    <cellStyle name="Normal 43 7 3" xfId="8484" xr:uid="{00000000-0005-0000-0000-0000124B0000}"/>
    <cellStyle name="Normal 43 7 3 2" xfId="17660" xr:uid="{00000000-0005-0000-0000-0000134B0000}"/>
    <cellStyle name="Normal 43 7 3 2 2" xfId="34234" xr:uid="{00000000-0005-0000-0000-0000144B0000}"/>
    <cellStyle name="Normal 43 7 3 3" xfId="26187" xr:uid="{00000000-0005-0000-0000-0000154B0000}"/>
    <cellStyle name="Normal 43 7 4" xfId="13828" xr:uid="{00000000-0005-0000-0000-0000164B0000}"/>
    <cellStyle name="Normal 43 7 4 2" xfId="30372" xr:uid="{00000000-0005-0000-0000-0000174B0000}"/>
    <cellStyle name="Normal 43 7 5" xfId="22329" xr:uid="{00000000-0005-0000-0000-0000184B0000}"/>
    <cellStyle name="Normal 43 8" xfId="4464" xr:uid="{00000000-0005-0000-0000-0000194B0000}"/>
    <cellStyle name="Normal 43 8 2" xfId="8485" xr:uid="{00000000-0005-0000-0000-00001A4B0000}"/>
    <cellStyle name="Normal 43 8 2 2" xfId="17661" xr:uid="{00000000-0005-0000-0000-00001B4B0000}"/>
    <cellStyle name="Normal 43 8 2 2 2" xfId="34235" xr:uid="{00000000-0005-0000-0000-00001C4B0000}"/>
    <cellStyle name="Normal 43 8 2 3" xfId="26188" xr:uid="{00000000-0005-0000-0000-00001D4B0000}"/>
    <cellStyle name="Normal 43 8 3" xfId="13830" xr:uid="{00000000-0005-0000-0000-00001E4B0000}"/>
    <cellStyle name="Normal 43 8 3 2" xfId="30374" xr:uid="{00000000-0005-0000-0000-00001F4B0000}"/>
    <cellStyle name="Normal 43 8 4" xfId="22331" xr:uid="{00000000-0005-0000-0000-0000204B0000}"/>
    <cellStyle name="Normal 43 9" xfId="8486" xr:uid="{00000000-0005-0000-0000-0000214B0000}"/>
    <cellStyle name="Normal 43 9 2" xfId="17662" xr:uid="{00000000-0005-0000-0000-0000224B0000}"/>
    <cellStyle name="Normal 43 9 2 2" xfId="34236" xr:uid="{00000000-0005-0000-0000-0000234B0000}"/>
    <cellStyle name="Normal 43 9 3" xfId="26189" xr:uid="{00000000-0005-0000-0000-0000244B0000}"/>
    <cellStyle name="Normal 44" xfId="4465" xr:uid="{00000000-0005-0000-0000-0000254B0000}"/>
    <cellStyle name="Normal 44 10" xfId="13831" xr:uid="{00000000-0005-0000-0000-0000264B0000}"/>
    <cellStyle name="Normal 44 10 2" xfId="30375" xr:uid="{00000000-0005-0000-0000-0000274B0000}"/>
    <cellStyle name="Normal 44 11" xfId="22332" xr:uid="{00000000-0005-0000-0000-0000284B0000}"/>
    <cellStyle name="Normal 44 2" xfId="4466" xr:uid="{00000000-0005-0000-0000-0000294B0000}"/>
    <cellStyle name="Normal 44 2 2" xfId="4467" xr:uid="{00000000-0005-0000-0000-00002A4B0000}"/>
    <cellStyle name="Normal 44 2 3" xfId="13832" xr:uid="{00000000-0005-0000-0000-00002B4B0000}"/>
    <cellStyle name="Normal 44 2 3 2" xfId="30376" xr:uid="{00000000-0005-0000-0000-00002C4B0000}"/>
    <cellStyle name="Normal 44 2 4" xfId="22333" xr:uid="{00000000-0005-0000-0000-00002D4B0000}"/>
    <cellStyle name="Normal 44 3" xfId="4468" xr:uid="{00000000-0005-0000-0000-00002E4B0000}"/>
    <cellStyle name="Normal 44 3 2" xfId="4469" xr:uid="{00000000-0005-0000-0000-00002F4B0000}"/>
    <cellStyle name="Normal 44 3 2 2" xfId="4470" xr:uid="{00000000-0005-0000-0000-0000304B0000}"/>
    <cellStyle name="Normal 44 3 2 2 2" xfId="4471" xr:uid="{00000000-0005-0000-0000-0000314B0000}"/>
    <cellStyle name="Normal 44 3 2 2 2 2" xfId="8487" xr:uid="{00000000-0005-0000-0000-0000324B0000}"/>
    <cellStyle name="Normal 44 3 2 2 2 2 2" xfId="17663" xr:uid="{00000000-0005-0000-0000-0000334B0000}"/>
    <cellStyle name="Normal 44 3 2 2 2 2 2 2" xfId="34237" xr:uid="{00000000-0005-0000-0000-0000344B0000}"/>
    <cellStyle name="Normal 44 3 2 2 2 2 3" xfId="26190" xr:uid="{00000000-0005-0000-0000-0000354B0000}"/>
    <cellStyle name="Normal 44 3 2 2 2 3" xfId="13835" xr:uid="{00000000-0005-0000-0000-0000364B0000}"/>
    <cellStyle name="Normal 44 3 2 2 2 3 2" xfId="30379" xr:uid="{00000000-0005-0000-0000-0000374B0000}"/>
    <cellStyle name="Normal 44 3 2 2 2 4" xfId="22336" xr:uid="{00000000-0005-0000-0000-0000384B0000}"/>
    <cellStyle name="Normal 44 3 2 2 3" xfId="8488" xr:uid="{00000000-0005-0000-0000-0000394B0000}"/>
    <cellStyle name="Normal 44 3 2 2 3 2" xfId="17664" xr:uid="{00000000-0005-0000-0000-00003A4B0000}"/>
    <cellStyle name="Normal 44 3 2 2 3 2 2" xfId="34238" xr:uid="{00000000-0005-0000-0000-00003B4B0000}"/>
    <cellStyle name="Normal 44 3 2 2 3 3" xfId="26191" xr:uid="{00000000-0005-0000-0000-00003C4B0000}"/>
    <cellStyle name="Normal 44 3 2 2 4" xfId="13834" xr:uid="{00000000-0005-0000-0000-00003D4B0000}"/>
    <cellStyle name="Normal 44 3 2 2 4 2" xfId="30378" xr:uid="{00000000-0005-0000-0000-00003E4B0000}"/>
    <cellStyle name="Normal 44 3 2 2 5" xfId="22335" xr:uid="{00000000-0005-0000-0000-00003F4B0000}"/>
    <cellStyle name="Normal 44 3 2 3" xfId="4472" xr:uid="{00000000-0005-0000-0000-0000404B0000}"/>
    <cellStyle name="Normal 44 3 2 3 2" xfId="8489" xr:uid="{00000000-0005-0000-0000-0000414B0000}"/>
    <cellStyle name="Normal 44 3 2 3 2 2" xfId="17665" xr:uid="{00000000-0005-0000-0000-0000424B0000}"/>
    <cellStyle name="Normal 44 3 2 3 2 2 2" xfId="34239" xr:uid="{00000000-0005-0000-0000-0000434B0000}"/>
    <cellStyle name="Normal 44 3 2 3 2 3" xfId="26192" xr:uid="{00000000-0005-0000-0000-0000444B0000}"/>
    <cellStyle name="Normal 44 3 2 3 3" xfId="13836" xr:uid="{00000000-0005-0000-0000-0000454B0000}"/>
    <cellStyle name="Normal 44 3 2 3 3 2" xfId="30380" xr:uid="{00000000-0005-0000-0000-0000464B0000}"/>
    <cellStyle name="Normal 44 3 2 3 4" xfId="22337" xr:uid="{00000000-0005-0000-0000-0000474B0000}"/>
    <cellStyle name="Normal 44 3 2 4" xfId="8490" xr:uid="{00000000-0005-0000-0000-0000484B0000}"/>
    <cellStyle name="Normal 44 3 2 4 2" xfId="17666" xr:uid="{00000000-0005-0000-0000-0000494B0000}"/>
    <cellStyle name="Normal 44 3 2 4 2 2" xfId="34240" xr:uid="{00000000-0005-0000-0000-00004A4B0000}"/>
    <cellStyle name="Normal 44 3 2 4 3" xfId="26193" xr:uid="{00000000-0005-0000-0000-00004B4B0000}"/>
    <cellStyle name="Normal 44 3 2 5" xfId="13833" xr:uid="{00000000-0005-0000-0000-00004C4B0000}"/>
    <cellStyle name="Normal 44 3 2 5 2" xfId="30377" xr:uid="{00000000-0005-0000-0000-00004D4B0000}"/>
    <cellStyle name="Normal 44 3 2 6" xfId="22334" xr:uid="{00000000-0005-0000-0000-00004E4B0000}"/>
    <cellStyle name="Normal 44 3 3" xfId="4473" xr:uid="{00000000-0005-0000-0000-00004F4B0000}"/>
    <cellStyle name="Normal 44 3 3 2" xfId="4474" xr:uid="{00000000-0005-0000-0000-0000504B0000}"/>
    <cellStyle name="Normal 44 3 3 2 2" xfId="8491" xr:uid="{00000000-0005-0000-0000-0000514B0000}"/>
    <cellStyle name="Normal 44 3 3 2 2 2" xfId="17667" xr:uid="{00000000-0005-0000-0000-0000524B0000}"/>
    <cellStyle name="Normal 44 3 3 2 2 2 2" xfId="34241" xr:uid="{00000000-0005-0000-0000-0000534B0000}"/>
    <cellStyle name="Normal 44 3 3 2 2 3" xfId="26194" xr:uid="{00000000-0005-0000-0000-0000544B0000}"/>
    <cellStyle name="Normal 44 3 3 2 3" xfId="13838" xr:uid="{00000000-0005-0000-0000-0000554B0000}"/>
    <cellStyle name="Normal 44 3 3 2 3 2" xfId="30382" xr:uid="{00000000-0005-0000-0000-0000564B0000}"/>
    <cellStyle name="Normal 44 3 3 2 4" xfId="22339" xr:uid="{00000000-0005-0000-0000-0000574B0000}"/>
    <cellStyle name="Normal 44 3 3 3" xfId="8492" xr:uid="{00000000-0005-0000-0000-0000584B0000}"/>
    <cellStyle name="Normal 44 3 3 3 2" xfId="17668" xr:uid="{00000000-0005-0000-0000-0000594B0000}"/>
    <cellStyle name="Normal 44 3 3 3 2 2" xfId="34242" xr:uid="{00000000-0005-0000-0000-00005A4B0000}"/>
    <cellStyle name="Normal 44 3 3 3 3" xfId="26195" xr:uid="{00000000-0005-0000-0000-00005B4B0000}"/>
    <cellStyle name="Normal 44 3 3 4" xfId="13837" xr:uid="{00000000-0005-0000-0000-00005C4B0000}"/>
    <cellStyle name="Normal 44 3 3 4 2" xfId="30381" xr:uid="{00000000-0005-0000-0000-00005D4B0000}"/>
    <cellStyle name="Normal 44 3 3 5" xfId="22338" xr:uid="{00000000-0005-0000-0000-00005E4B0000}"/>
    <cellStyle name="Normal 44 3 4" xfId="4475" xr:uid="{00000000-0005-0000-0000-00005F4B0000}"/>
    <cellStyle name="Normal 44 3 4 2" xfId="8493" xr:uid="{00000000-0005-0000-0000-0000604B0000}"/>
    <cellStyle name="Normal 44 3 4 2 2" xfId="17669" xr:uid="{00000000-0005-0000-0000-0000614B0000}"/>
    <cellStyle name="Normal 44 3 4 2 2 2" xfId="34243" xr:uid="{00000000-0005-0000-0000-0000624B0000}"/>
    <cellStyle name="Normal 44 3 4 2 3" xfId="26196" xr:uid="{00000000-0005-0000-0000-0000634B0000}"/>
    <cellStyle name="Normal 44 3 4 3" xfId="13839" xr:uid="{00000000-0005-0000-0000-0000644B0000}"/>
    <cellStyle name="Normal 44 3 4 3 2" xfId="30383" xr:uid="{00000000-0005-0000-0000-0000654B0000}"/>
    <cellStyle name="Normal 44 3 4 4" xfId="22340" xr:uid="{00000000-0005-0000-0000-0000664B0000}"/>
    <cellStyle name="Normal 44 3 5" xfId="4476" xr:uid="{00000000-0005-0000-0000-0000674B0000}"/>
    <cellStyle name="Normal 44 3 5 2" xfId="13840" xr:uid="{00000000-0005-0000-0000-0000684B0000}"/>
    <cellStyle name="Normal 44 3 5 2 2" xfId="30384" xr:uid="{00000000-0005-0000-0000-0000694B0000}"/>
    <cellStyle name="Normal 44 3 5 3" xfId="22341" xr:uid="{00000000-0005-0000-0000-00006A4B0000}"/>
    <cellStyle name="Normal 44 4" xfId="4477" xr:uid="{00000000-0005-0000-0000-00006B4B0000}"/>
    <cellStyle name="Normal 44 4 2" xfId="4478" xr:uid="{00000000-0005-0000-0000-00006C4B0000}"/>
    <cellStyle name="Normal 44 4 2 2" xfId="4479" xr:uid="{00000000-0005-0000-0000-00006D4B0000}"/>
    <cellStyle name="Normal 44 4 2 2 2" xfId="4480" xr:uid="{00000000-0005-0000-0000-00006E4B0000}"/>
    <cellStyle name="Normal 44 4 2 2 2 2" xfId="8494" xr:uid="{00000000-0005-0000-0000-00006F4B0000}"/>
    <cellStyle name="Normal 44 4 2 2 2 2 2" xfId="17670" xr:uid="{00000000-0005-0000-0000-0000704B0000}"/>
    <cellStyle name="Normal 44 4 2 2 2 2 2 2" xfId="34244" xr:uid="{00000000-0005-0000-0000-0000714B0000}"/>
    <cellStyle name="Normal 44 4 2 2 2 2 3" xfId="26197" xr:uid="{00000000-0005-0000-0000-0000724B0000}"/>
    <cellStyle name="Normal 44 4 2 2 2 3" xfId="13844" xr:uid="{00000000-0005-0000-0000-0000734B0000}"/>
    <cellStyle name="Normal 44 4 2 2 2 3 2" xfId="30388" xr:uid="{00000000-0005-0000-0000-0000744B0000}"/>
    <cellStyle name="Normal 44 4 2 2 2 4" xfId="22345" xr:uid="{00000000-0005-0000-0000-0000754B0000}"/>
    <cellStyle name="Normal 44 4 2 2 3" xfId="8495" xr:uid="{00000000-0005-0000-0000-0000764B0000}"/>
    <cellStyle name="Normal 44 4 2 2 3 2" xfId="17671" xr:uid="{00000000-0005-0000-0000-0000774B0000}"/>
    <cellStyle name="Normal 44 4 2 2 3 2 2" xfId="34245" xr:uid="{00000000-0005-0000-0000-0000784B0000}"/>
    <cellStyle name="Normal 44 4 2 2 3 3" xfId="26198" xr:uid="{00000000-0005-0000-0000-0000794B0000}"/>
    <cellStyle name="Normal 44 4 2 2 4" xfId="13843" xr:uid="{00000000-0005-0000-0000-00007A4B0000}"/>
    <cellStyle name="Normal 44 4 2 2 4 2" xfId="30387" xr:uid="{00000000-0005-0000-0000-00007B4B0000}"/>
    <cellStyle name="Normal 44 4 2 2 5" xfId="22344" xr:uid="{00000000-0005-0000-0000-00007C4B0000}"/>
    <cellStyle name="Normal 44 4 2 3" xfId="4481" xr:uid="{00000000-0005-0000-0000-00007D4B0000}"/>
    <cellStyle name="Normal 44 4 2 3 2" xfId="8496" xr:uid="{00000000-0005-0000-0000-00007E4B0000}"/>
    <cellStyle name="Normal 44 4 2 3 2 2" xfId="17672" xr:uid="{00000000-0005-0000-0000-00007F4B0000}"/>
    <cellStyle name="Normal 44 4 2 3 2 2 2" xfId="34246" xr:uid="{00000000-0005-0000-0000-0000804B0000}"/>
    <cellStyle name="Normal 44 4 2 3 2 3" xfId="26199" xr:uid="{00000000-0005-0000-0000-0000814B0000}"/>
    <cellStyle name="Normal 44 4 2 3 3" xfId="13845" xr:uid="{00000000-0005-0000-0000-0000824B0000}"/>
    <cellStyle name="Normal 44 4 2 3 3 2" xfId="30389" xr:uid="{00000000-0005-0000-0000-0000834B0000}"/>
    <cellStyle name="Normal 44 4 2 3 4" xfId="22346" xr:uid="{00000000-0005-0000-0000-0000844B0000}"/>
    <cellStyle name="Normal 44 4 2 4" xfId="8497" xr:uid="{00000000-0005-0000-0000-0000854B0000}"/>
    <cellStyle name="Normal 44 4 2 4 2" xfId="17673" xr:uid="{00000000-0005-0000-0000-0000864B0000}"/>
    <cellStyle name="Normal 44 4 2 4 2 2" xfId="34247" xr:uid="{00000000-0005-0000-0000-0000874B0000}"/>
    <cellStyle name="Normal 44 4 2 4 3" xfId="26200" xr:uid="{00000000-0005-0000-0000-0000884B0000}"/>
    <cellStyle name="Normal 44 4 2 5" xfId="13842" xr:uid="{00000000-0005-0000-0000-0000894B0000}"/>
    <cellStyle name="Normal 44 4 2 5 2" xfId="30386" xr:uid="{00000000-0005-0000-0000-00008A4B0000}"/>
    <cellStyle name="Normal 44 4 2 6" xfId="22343" xr:uid="{00000000-0005-0000-0000-00008B4B0000}"/>
    <cellStyle name="Normal 44 4 3" xfId="4482" xr:uid="{00000000-0005-0000-0000-00008C4B0000}"/>
    <cellStyle name="Normal 44 4 3 2" xfId="4483" xr:uid="{00000000-0005-0000-0000-00008D4B0000}"/>
    <cellStyle name="Normal 44 4 3 2 2" xfId="8498" xr:uid="{00000000-0005-0000-0000-00008E4B0000}"/>
    <cellStyle name="Normal 44 4 3 2 2 2" xfId="17674" xr:uid="{00000000-0005-0000-0000-00008F4B0000}"/>
    <cellStyle name="Normal 44 4 3 2 2 2 2" xfId="34248" xr:uid="{00000000-0005-0000-0000-0000904B0000}"/>
    <cellStyle name="Normal 44 4 3 2 2 3" xfId="26201" xr:uid="{00000000-0005-0000-0000-0000914B0000}"/>
    <cellStyle name="Normal 44 4 3 2 3" xfId="13847" xr:uid="{00000000-0005-0000-0000-0000924B0000}"/>
    <cellStyle name="Normal 44 4 3 2 3 2" xfId="30391" xr:uid="{00000000-0005-0000-0000-0000934B0000}"/>
    <cellStyle name="Normal 44 4 3 2 4" xfId="22348" xr:uid="{00000000-0005-0000-0000-0000944B0000}"/>
    <cellStyle name="Normal 44 4 3 3" xfId="8499" xr:uid="{00000000-0005-0000-0000-0000954B0000}"/>
    <cellStyle name="Normal 44 4 3 3 2" xfId="17675" xr:uid="{00000000-0005-0000-0000-0000964B0000}"/>
    <cellStyle name="Normal 44 4 3 3 2 2" xfId="34249" xr:uid="{00000000-0005-0000-0000-0000974B0000}"/>
    <cellStyle name="Normal 44 4 3 3 3" xfId="26202" xr:uid="{00000000-0005-0000-0000-0000984B0000}"/>
    <cellStyle name="Normal 44 4 3 4" xfId="13846" xr:uid="{00000000-0005-0000-0000-0000994B0000}"/>
    <cellStyle name="Normal 44 4 3 4 2" xfId="30390" xr:uid="{00000000-0005-0000-0000-00009A4B0000}"/>
    <cellStyle name="Normal 44 4 3 5" xfId="22347" xr:uid="{00000000-0005-0000-0000-00009B4B0000}"/>
    <cellStyle name="Normal 44 4 4" xfId="4484" xr:uid="{00000000-0005-0000-0000-00009C4B0000}"/>
    <cellStyle name="Normal 44 4 4 2" xfId="8500" xr:uid="{00000000-0005-0000-0000-00009D4B0000}"/>
    <cellStyle name="Normal 44 4 4 2 2" xfId="17676" xr:uid="{00000000-0005-0000-0000-00009E4B0000}"/>
    <cellStyle name="Normal 44 4 4 2 2 2" xfId="34250" xr:uid="{00000000-0005-0000-0000-00009F4B0000}"/>
    <cellStyle name="Normal 44 4 4 2 3" xfId="26203" xr:uid="{00000000-0005-0000-0000-0000A04B0000}"/>
    <cellStyle name="Normal 44 4 4 3" xfId="13848" xr:uid="{00000000-0005-0000-0000-0000A14B0000}"/>
    <cellStyle name="Normal 44 4 4 3 2" xfId="30392" xr:uid="{00000000-0005-0000-0000-0000A24B0000}"/>
    <cellStyle name="Normal 44 4 4 4" xfId="22349" xr:uid="{00000000-0005-0000-0000-0000A34B0000}"/>
    <cellStyle name="Normal 44 4 5" xfId="8501" xr:uid="{00000000-0005-0000-0000-0000A44B0000}"/>
    <cellStyle name="Normal 44 4 5 2" xfId="17677" xr:uid="{00000000-0005-0000-0000-0000A54B0000}"/>
    <cellStyle name="Normal 44 4 5 2 2" xfId="34251" xr:uid="{00000000-0005-0000-0000-0000A64B0000}"/>
    <cellStyle name="Normal 44 4 5 3" xfId="26204" xr:uid="{00000000-0005-0000-0000-0000A74B0000}"/>
    <cellStyle name="Normal 44 4 6" xfId="13841" xr:uid="{00000000-0005-0000-0000-0000A84B0000}"/>
    <cellStyle name="Normal 44 4 6 2" xfId="30385" xr:uid="{00000000-0005-0000-0000-0000A94B0000}"/>
    <cellStyle name="Normal 44 4 7" xfId="22342" xr:uid="{00000000-0005-0000-0000-0000AA4B0000}"/>
    <cellStyle name="Normal 44 5" xfId="4485" xr:uid="{00000000-0005-0000-0000-0000AB4B0000}"/>
    <cellStyle name="Normal 44 5 2" xfId="4486" xr:uid="{00000000-0005-0000-0000-0000AC4B0000}"/>
    <cellStyle name="Normal 44 5 2 2" xfId="4487" xr:uid="{00000000-0005-0000-0000-0000AD4B0000}"/>
    <cellStyle name="Normal 44 5 2 2 2" xfId="4488" xr:uid="{00000000-0005-0000-0000-0000AE4B0000}"/>
    <cellStyle name="Normal 44 5 2 2 2 2" xfId="8502" xr:uid="{00000000-0005-0000-0000-0000AF4B0000}"/>
    <cellStyle name="Normal 44 5 2 2 2 2 2" xfId="17678" xr:uid="{00000000-0005-0000-0000-0000B04B0000}"/>
    <cellStyle name="Normal 44 5 2 2 2 2 2 2" xfId="34252" xr:uid="{00000000-0005-0000-0000-0000B14B0000}"/>
    <cellStyle name="Normal 44 5 2 2 2 2 3" xfId="26205" xr:uid="{00000000-0005-0000-0000-0000B24B0000}"/>
    <cellStyle name="Normal 44 5 2 2 2 3" xfId="13852" xr:uid="{00000000-0005-0000-0000-0000B34B0000}"/>
    <cellStyle name="Normal 44 5 2 2 2 3 2" xfId="30396" xr:uid="{00000000-0005-0000-0000-0000B44B0000}"/>
    <cellStyle name="Normal 44 5 2 2 2 4" xfId="22353" xr:uid="{00000000-0005-0000-0000-0000B54B0000}"/>
    <cellStyle name="Normal 44 5 2 2 3" xfId="8503" xr:uid="{00000000-0005-0000-0000-0000B64B0000}"/>
    <cellStyle name="Normal 44 5 2 2 3 2" xfId="17679" xr:uid="{00000000-0005-0000-0000-0000B74B0000}"/>
    <cellStyle name="Normal 44 5 2 2 3 2 2" xfId="34253" xr:uid="{00000000-0005-0000-0000-0000B84B0000}"/>
    <cellStyle name="Normal 44 5 2 2 3 3" xfId="26206" xr:uid="{00000000-0005-0000-0000-0000B94B0000}"/>
    <cellStyle name="Normal 44 5 2 2 4" xfId="13851" xr:uid="{00000000-0005-0000-0000-0000BA4B0000}"/>
    <cellStyle name="Normal 44 5 2 2 4 2" xfId="30395" xr:uid="{00000000-0005-0000-0000-0000BB4B0000}"/>
    <cellStyle name="Normal 44 5 2 2 5" xfId="22352" xr:uid="{00000000-0005-0000-0000-0000BC4B0000}"/>
    <cellStyle name="Normal 44 5 2 3" xfId="4489" xr:uid="{00000000-0005-0000-0000-0000BD4B0000}"/>
    <cellStyle name="Normal 44 5 2 3 2" xfId="8504" xr:uid="{00000000-0005-0000-0000-0000BE4B0000}"/>
    <cellStyle name="Normal 44 5 2 3 2 2" xfId="17680" xr:uid="{00000000-0005-0000-0000-0000BF4B0000}"/>
    <cellStyle name="Normal 44 5 2 3 2 2 2" xfId="34254" xr:uid="{00000000-0005-0000-0000-0000C04B0000}"/>
    <cellStyle name="Normal 44 5 2 3 2 3" xfId="26207" xr:uid="{00000000-0005-0000-0000-0000C14B0000}"/>
    <cellStyle name="Normal 44 5 2 3 3" xfId="13853" xr:uid="{00000000-0005-0000-0000-0000C24B0000}"/>
    <cellStyle name="Normal 44 5 2 3 3 2" xfId="30397" xr:uid="{00000000-0005-0000-0000-0000C34B0000}"/>
    <cellStyle name="Normal 44 5 2 3 4" xfId="22354" xr:uid="{00000000-0005-0000-0000-0000C44B0000}"/>
    <cellStyle name="Normal 44 5 2 4" xfId="8505" xr:uid="{00000000-0005-0000-0000-0000C54B0000}"/>
    <cellStyle name="Normal 44 5 2 4 2" xfId="17681" xr:uid="{00000000-0005-0000-0000-0000C64B0000}"/>
    <cellStyle name="Normal 44 5 2 4 2 2" xfId="34255" xr:uid="{00000000-0005-0000-0000-0000C74B0000}"/>
    <cellStyle name="Normal 44 5 2 4 3" xfId="26208" xr:uid="{00000000-0005-0000-0000-0000C84B0000}"/>
    <cellStyle name="Normal 44 5 2 5" xfId="13850" xr:uid="{00000000-0005-0000-0000-0000C94B0000}"/>
    <cellStyle name="Normal 44 5 2 5 2" xfId="30394" xr:uid="{00000000-0005-0000-0000-0000CA4B0000}"/>
    <cellStyle name="Normal 44 5 2 6" xfId="22351" xr:uid="{00000000-0005-0000-0000-0000CB4B0000}"/>
    <cellStyle name="Normal 44 5 3" xfId="4490" xr:uid="{00000000-0005-0000-0000-0000CC4B0000}"/>
    <cellStyle name="Normal 44 5 3 2" xfId="4491" xr:uid="{00000000-0005-0000-0000-0000CD4B0000}"/>
    <cellStyle name="Normal 44 5 3 2 2" xfId="8506" xr:uid="{00000000-0005-0000-0000-0000CE4B0000}"/>
    <cellStyle name="Normal 44 5 3 2 2 2" xfId="17682" xr:uid="{00000000-0005-0000-0000-0000CF4B0000}"/>
    <cellStyle name="Normal 44 5 3 2 2 2 2" xfId="34256" xr:uid="{00000000-0005-0000-0000-0000D04B0000}"/>
    <cellStyle name="Normal 44 5 3 2 2 3" xfId="26209" xr:uid="{00000000-0005-0000-0000-0000D14B0000}"/>
    <cellStyle name="Normal 44 5 3 2 3" xfId="13855" xr:uid="{00000000-0005-0000-0000-0000D24B0000}"/>
    <cellStyle name="Normal 44 5 3 2 3 2" xfId="30399" xr:uid="{00000000-0005-0000-0000-0000D34B0000}"/>
    <cellStyle name="Normal 44 5 3 2 4" xfId="22356" xr:uid="{00000000-0005-0000-0000-0000D44B0000}"/>
    <cellStyle name="Normal 44 5 3 3" xfId="8507" xr:uid="{00000000-0005-0000-0000-0000D54B0000}"/>
    <cellStyle name="Normal 44 5 3 3 2" xfId="17683" xr:uid="{00000000-0005-0000-0000-0000D64B0000}"/>
    <cellStyle name="Normal 44 5 3 3 2 2" xfId="34257" xr:uid="{00000000-0005-0000-0000-0000D74B0000}"/>
    <cellStyle name="Normal 44 5 3 3 3" xfId="26210" xr:uid="{00000000-0005-0000-0000-0000D84B0000}"/>
    <cellStyle name="Normal 44 5 3 4" xfId="13854" xr:uid="{00000000-0005-0000-0000-0000D94B0000}"/>
    <cellStyle name="Normal 44 5 3 4 2" xfId="30398" xr:uid="{00000000-0005-0000-0000-0000DA4B0000}"/>
    <cellStyle name="Normal 44 5 3 5" xfId="22355" xr:uid="{00000000-0005-0000-0000-0000DB4B0000}"/>
    <cellStyle name="Normal 44 5 4" xfId="4492" xr:uid="{00000000-0005-0000-0000-0000DC4B0000}"/>
    <cellStyle name="Normal 44 5 4 2" xfId="8508" xr:uid="{00000000-0005-0000-0000-0000DD4B0000}"/>
    <cellStyle name="Normal 44 5 4 2 2" xfId="17684" xr:uid="{00000000-0005-0000-0000-0000DE4B0000}"/>
    <cellStyle name="Normal 44 5 4 2 2 2" xfId="34258" xr:uid="{00000000-0005-0000-0000-0000DF4B0000}"/>
    <cellStyle name="Normal 44 5 4 2 3" xfId="26211" xr:uid="{00000000-0005-0000-0000-0000E04B0000}"/>
    <cellStyle name="Normal 44 5 4 3" xfId="13856" xr:uid="{00000000-0005-0000-0000-0000E14B0000}"/>
    <cellStyle name="Normal 44 5 4 3 2" xfId="30400" xr:uid="{00000000-0005-0000-0000-0000E24B0000}"/>
    <cellStyle name="Normal 44 5 4 4" xfId="22357" xr:uid="{00000000-0005-0000-0000-0000E34B0000}"/>
    <cellStyle name="Normal 44 5 5" xfId="8509" xr:uid="{00000000-0005-0000-0000-0000E44B0000}"/>
    <cellStyle name="Normal 44 5 5 2" xfId="17685" xr:uid="{00000000-0005-0000-0000-0000E54B0000}"/>
    <cellStyle name="Normal 44 5 5 2 2" xfId="34259" xr:uid="{00000000-0005-0000-0000-0000E64B0000}"/>
    <cellStyle name="Normal 44 5 5 3" xfId="26212" xr:uid="{00000000-0005-0000-0000-0000E74B0000}"/>
    <cellStyle name="Normal 44 5 6" xfId="13849" xr:uid="{00000000-0005-0000-0000-0000E84B0000}"/>
    <cellStyle name="Normal 44 5 6 2" xfId="30393" xr:uid="{00000000-0005-0000-0000-0000E94B0000}"/>
    <cellStyle name="Normal 44 5 7" xfId="22350" xr:uid="{00000000-0005-0000-0000-0000EA4B0000}"/>
    <cellStyle name="Normal 44 6" xfId="4493" xr:uid="{00000000-0005-0000-0000-0000EB4B0000}"/>
    <cellStyle name="Normal 44 6 2" xfId="4494" xr:uid="{00000000-0005-0000-0000-0000EC4B0000}"/>
    <cellStyle name="Normal 44 6 2 2" xfId="4495" xr:uid="{00000000-0005-0000-0000-0000ED4B0000}"/>
    <cellStyle name="Normal 44 6 2 2 2" xfId="8510" xr:uid="{00000000-0005-0000-0000-0000EE4B0000}"/>
    <cellStyle name="Normal 44 6 2 2 2 2" xfId="17686" xr:uid="{00000000-0005-0000-0000-0000EF4B0000}"/>
    <cellStyle name="Normal 44 6 2 2 2 2 2" xfId="34260" xr:uid="{00000000-0005-0000-0000-0000F04B0000}"/>
    <cellStyle name="Normal 44 6 2 2 2 3" xfId="26213" xr:uid="{00000000-0005-0000-0000-0000F14B0000}"/>
    <cellStyle name="Normal 44 6 2 2 3" xfId="13859" xr:uid="{00000000-0005-0000-0000-0000F24B0000}"/>
    <cellStyle name="Normal 44 6 2 2 3 2" xfId="30403" xr:uid="{00000000-0005-0000-0000-0000F34B0000}"/>
    <cellStyle name="Normal 44 6 2 2 4" xfId="22360" xr:uid="{00000000-0005-0000-0000-0000F44B0000}"/>
    <cellStyle name="Normal 44 6 2 3" xfId="8511" xr:uid="{00000000-0005-0000-0000-0000F54B0000}"/>
    <cellStyle name="Normal 44 6 2 3 2" xfId="17687" xr:uid="{00000000-0005-0000-0000-0000F64B0000}"/>
    <cellStyle name="Normal 44 6 2 3 2 2" xfId="34261" xr:uid="{00000000-0005-0000-0000-0000F74B0000}"/>
    <cellStyle name="Normal 44 6 2 3 3" xfId="26214" xr:uid="{00000000-0005-0000-0000-0000F84B0000}"/>
    <cellStyle name="Normal 44 6 2 4" xfId="13858" xr:uid="{00000000-0005-0000-0000-0000F94B0000}"/>
    <cellStyle name="Normal 44 6 2 4 2" xfId="30402" xr:uid="{00000000-0005-0000-0000-0000FA4B0000}"/>
    <cellStyle name="Normal 44 6 2 5" xfId="22359" xr:uid="{00000000-0005-0000-0000-0000FB4B0000}"/>
    <cellStyle name="Normal 44 6 3" xfId="4496" xr:uid="{00000000-0005-0000-0000-0000FC4B0000}"/>
    <cellStyle name="Normal 44 6 3 2" xfId="8512" xr:uid="{00000000-0005-0000-0000-0000FD4B0000}"/>
    <cellStyle name="Normal 44 6 3 2 2" xfId="17688" xr:uid="{00000000-0005-0000-0000-0000FE4B0000}"/>
    <cellStyle name="Normal 44 6 3 2 2 2" xfId="34262" xr:uid="{00000000-0005-0000-0000-0000FF4B0000}"/>
    <cellStyle name="Normal 44 6 3 2 3" xfId="26215" xr:uid="{00000000-0005-0000-0000-0000004C0000}"/>
    <cellStyle name="Normal 44 6 3 3" xfId="13860" xr:uid="{00000000-0005-0000-0000-0000014C0000}"/>
    <cellStyle name="Normal 44 6 3 3 2" xfId="30404" xr:uid="{00000000-0005-0000-0000-0000024C0000}"/>
    <cellStyle name="Normal 44 6 3 4" xfId="22361" xr:uid="{00000000-0005-0000-0000-0000034C0000}"/>
    <cellStyle name="Normal 44 6 4" xfId="8513" xr:uid="{00000000-0005-0000-0000-0000044C0000}"/>
    <cellStyle name="Normal 44 6 4 2" xfId="17689" xr:uid="{00000000-0005-0000-0000-0000054C0000}"/>
    <cellStyle name="Normal 44 6 4 2 2" xfId="34263" xr:uid="{00000000-0005-0000-0000-0000064C0000}"/>
    <cellStyle name="Normal 44 6 4 3" xfId="26216" xr:uid="{00000000-0005-0000-0000-0000074C0000}"/>
    <cellStyle name="Normal 44 6 5" xfId="13857" xr:uid="{00000000-0005-0000-0000-0000084C0000}"/>
    <cellStyle name="Normal 44 6 5 2" xfId="30401" xr:uid="{00000000-0005-0000-0000-0000094C0000}"/>
    <cellStyle name="Normal 44 6 6" xfId="22358" xr:uid="{00000000-0005-0000-0000-00000A4C0000}"/>
    <cellStyle name="Normal 44 7" xfId="4497" xr:uid="{00000000-0005-0000-0000-00000B4C0000}"/>
    <cellStyle name="Normal 44 7 2" xfId="4498" xr:uid="{00000000-0005-0000-0000-00000C4C0000}"/>
    <cellStyle name="Normal 44 7 2 2" xfId="8514" xr:uid="{00000000-0005-0000-0000-00000D4C0000}"/>
    <cellStyle name="Normal 44 7 2 2 2" xfId="17690" xr:uid="{00000000-0005-0000-0000-00000E4C0000}"/>
    <cellStyle name="Normal 44 7 2 2 2 2" xfId="34264" xr:uid="{00000000-0005-0000-0000-00000F4C0000}"/>
    <cellStyle name="Normal 44 7 2 2 3" xfId="26217" xr:uid="{00000000-0005-0000-0000-0000104C0000}"/>
    <cellStyle name="Normal 44 7 2 3" xfId="13862" xr:uid="{00000000-0005-0000-0000-0000114C0000}"/>
    <cellStyle name="Normal 44 7 2 3 2" xfId="30406" xr:uid="{00000000-0005-0000-0000-0000124C0000}"/>
    <cellStyle name="Normal 44 7 2 4" xfId="22363" xr:uid="{00000000-0005-0000-0000-0000134C0000}"/>
    <cellStyle name="Normal 44 7 3" xfId="8515" xr:uid="{00000000-0005-0000-0000-0000144C0000}"/>
    <cellStyle name="Normal 44 7 3 2" xfId="17691" xr:uid="{00000000-0005-0000-0000-0000154C0000}"/>
    <cellStyle name="Normal 44 7 3 2 2" xfId="34265" xr:uid="{00000000-0005-0000-0000-0000164C0000}"/>
    <cellStyle name="Normal 44 7 3 3" xfId="26218" xr:uid="{00000000-0005-0000-0000-0000174C0000}"/>
    <cellStyle name="Normal 44 7 4" xfId="13861" xr:uid="{00000000-0005-0000-0000-0000184C0000}"/>
    <cellStyle name="Normal 44 7 4 2" xfId="30405" xr:uid="{00000000-0005-0000-0000-0000194C0000}"/>
    <cellStyle name="Normal 44 7 5" xfId="22362" xr:uid="{00000000-0005-0000-0000-00001A4C0000}"/>
    <cellStyle name="Normal 44 8" xfId="4499" xr:uid="{00000000-0005-0000-0000-00001B4C0000}"/>
    <cellStyle name="Normal 44 8 2" xfId="8516" xr:uid="{00000000-0005-0000-0000-00001C4C0000}"/>
    <cellStyle name="Normal 44 8 2 2" xfId="17692" xr:uid="{00000000-0005-0000-0000-00001D4C0000}"/>
    <cellStyle name="Normal 44 8 2 2 2" xfId="34266" xr:uid="{00000000-0005-0000-0000-00001E4C0000}"/>
    <cellStyle name="Normal 44 8 2 3" xfId="26219" xr:uid="{00000000-0005-0000-0000-00001F4C0000}"/>
    <cellStyle name="Normal 44 8 3" xfId="13863" xr:uid="{00000000-0005-0000-0000-0000204C0000}"/>
    <cellStyle name="Normal 44 8 3 2" xfId="30407" xr:uid="{00000000-0005-0000-0000-0000214C0000}"/>
    <cellStyle name="Normal 44 8 4" xfId="22364" xr:uid="{00000000-0005-0000-0000-0000224C0000}"/>
    <cellStyle name="Normal 44 9" xfId="8517" xr:uid="{00000000-0005-0000-0000-0000234C0000}"/>
    <cellStyle name="Normal 44 9 2" xfId="17693" xr:uid="{00000000-0005-0000-0000-0000244C0000}"/>
    <cellStyle name="Normal 44 9 2 2" xfId="34267" xr:uid="{00000000-0005-0000-0000-0000254C0000}"/>
    <cellStyle name="Normal 44 9 3" xfId="26220" xr:uid="{00000000-0005-0000-0000-0000264C0000}"/>
    <cellStyle name="Normal 45" xfId="4500" xr:uid="{00000000-0005-0000-0000-0000274C0000}"/>
    <cellStyle name="Normal 45 10" xfId="13864" xr:uid="{00000000-0005-0000-0000-0000284C0000}"/>
    <cellStyle name="Normal 45 10 2" xfId="30408" xr:uid="{00000000-0005-0000-0000-0000294C0000}"/>
    <cellStyle name="Normal 45 11" xfId="22365" xr:uid="{00000000-0005-0000-0000-00002A4C0000}"/>
    <cellStyle name="Normal 45 2" xfId="4501" xr:uid="{00000000-0005-0000-0000-00002B4C0000}"/>
    <cellStyle name="Normal 45 2 2" xfId="4502" xr:uid="{00000000-0005-0000-0000-00002C4C0000}"/>
    <cellStyle name="Normal 45 2 3" xfId="13865" xr:uid="{00000000-0005-0000-0000-00002D4C0000}"/>
    <cellStyle name="Normal 45 2 3 2" xfId="30409" xr:uid="{00000000-0005-0000-0000-00002E4C0000}"/>
    <cellStyle name="Normal 45 2 4" xfId="22366" xr:uid="{00000000-0005-0000-0000-00002F4C0000}"/>
    <cellStyle name="Normal 45 3" xfId="4503" xr:uid="{00000000-0005-0000-0000-0000304C0000}"/>
    <cellStyle name="Normal 45 3 2" xfId="4504" xr:uid="{00000000-0005-0000-0000-0000314C0000}"/>
    <cellStyle name="Normal 45 3 2 2" xfId="4505" xr:uid="{00000000-0005-0000-0000-0000324C0000}"/>
    <cellStyle name="Normal 45 3 2 2 2" xfId="4506" xr:uid="{00000000-0005-0000-0000-0000334C0000}"/>
    <cellStyle name="Normal 45 3 2 2 2 2" xfId="8518" xr:uid="{00000000-0005-0000-0000-0000344C0000}"/>
    <cellStyle name="Normal 45 3 2 2 2 2 2" xfId="17694" xr:uid="{00000000-0005-0000-0000-0000354C0000}"/>
    <cellStyle name="Normal 45 3 2 2 2 2 2 2" xfId="34268" xr:uid="{00000000-0005-0000-0000-0000364C0000}"/>
    <cellStyle name="Normal 45 3 2 2 2 2 3" xfId="26221" xr:uid="{00000000-0005-0000-0000-0000374C0000}"/>
    <cellStyle name="Normal 45 3 2 2 2 3" xfId="13868" xr:uid="{00000000-0005-0000-0000-0000384C0000}"/>
    <cellStyle name="Normal 45 3 2 2 2 3 2" xfId="30412" xr:uid="{00000000-0005-0000-0000-0000394C0000}"/>
    <cellStyle name="Normal 45 3 2 2 2 4" xfId="22369" xr:uid="{00000000-0005-0000-0000-00003A4C0000}"/>
    <cellStyle name="Normal 45 3 2 2 3" xfId="8519" xr:uid="{00000000-0005-0000-0000-00003B4C0000}"/>
    <cellStyle name="Normal 45 3 2 2 3 2" xfId="17695" xr:uid="{00000000-0005-0000-0000-00003C4C0000}"/>
    <cellStyle name="Normal 45 3 2 2 3 2 2" xfId="34269" xr:uid="{00000000-0005-0000-0000-00003D4C0000}"/>
    <cellStyle name="Normal 45 3 2 2 3 3" xfId="26222" xr:uid="{00000000-0005-0000-0000-00003E4C0000}"/>
    <cellStyle name="Normal 45 3 2 2 4" xfId="13867" xr:uid="{00000000-0005-0000-0000-00003F4C0000}"/>
    <cellStyle name="Normal 45 3 2 2 4 2" xfId="30411" xr:uid="{00000000-0005-0000-0000-0000404C0000}"/>
    <cellStyle name="Normal 45 3 2 2 5" xfId="22368" xr:uid="{00000000-0005-0000-0000-0000414C0000}"/>
    <cellStyle name="Normal 45 3 2 3" xfId="4507" xr:uid="{00000000-0005-0000-0000-0000424C0000}"/>
    <cellStyle name="Normal 45 3 2 3 2" xfId="8520" xr:uid="{00000000-0005-0000-0000-0000434C0000}"/>
    <cellStyle name="Normal 45 3 2 3 2 2" xfId="17696" xr:uid="{00000000-0005-0000-0000-0000444C0000}"/>
    <cellStyle name="Normal 45 3 2 3 2 2 2" xfId="34270" xr:uid="{00000000-0005-0000-0000-0000454C0000}"/>
    <cellStyle name="Normal 45 3 2 3 2 3" xfId="26223" xr:uid="{00000000-0005-0000-0000-0000464C0000}"/>
    <cellStyle name="Normal 45 3 2 3 3" xfId="13869" xr:uid="{00000000-0005-0000-0000-0000474C0000}"/>
    <cellStyle name="Normal 45 3 2 3 3 2" xfId="30413" xr:uid="{00000000-0005-0000-0000-0000484C0000}"/>
    <cellStyle name="Normal 45 3 2 3 4" xfId="22370" xr:uid="{00000000-0005-0000-0000-0000494C0000}"/>
    <cellStyle name="Normal 45 3 2 4" xfId="8521" xr:uid="{00000000-0005-0000-0000-00004A4C0000}"/>
    <cellStyle name="Normal 45 3 2 4 2" xfId="17697" xr:uid="{00000000-0005-0000-0000-00004B4C0000}"/>
    <cellStyle name="Normal 45 3 2 4 2 2" xfId="34271" xr:uid="{00000000-0005-0000-0000-00004C4C0000}"/>
    <cellStyle name="Normal 45 3 2 4 3" xfId="26224" xr:uid="{00000000-0005-0000-0000-00004D4C0000}"/>
    <cellStyle name="Normal 45 3 2 5" xfId="13866" xr:uid="{00000000-0005-0000-0000-00004E4C0000}"/>
    <cellStyle name="Normal 45 3 2 5 2" xfId="30410" xr:uid="{00000000-0005-0000-0000-00004F4C0000}"/>
    <cellStyle name="Normal 45 3 2 6" xfId="22367" xr:uid="{00000000-0005-0000-0000-0000504C0000}"/>
    <cellStyle name="Normal 45 3 3" xfId="4508" xr:uid="{00000000-0005-0000-0000-0000514C0000}"/>
    <cellStyle name="Normal 45 3 3 2" xfId="4509" xr:uid="{00000000-0005-0000-0000-0000524C0000}"/>
    <cellStyle name="Normal 45 3 3 2 2" xfId="8522" xr:uid="{00000000-0005-0000-0000-0000534C0000}"/>
    <cellStyle name="Normal 45 3 3 2 2 2" xfId="17698" xr:uid="{00000000-0005-0000-0000-0000544C0000}"/>
    <cellStyle name="Normal 45 3 3 2 2 2 2" xfId="34272" xr:uid="{00000000-0005-0000-0000-0000554C0000}"/>
    <cellStyle name="Normal 45 3 3 2 2 3" xfId="26225" xr:uid="{00000000-0005-0000-0000-0000564C0000}"/>
    <cellStyle name="Normal 45 3 3 2 3" xfId="13871" xr:uid="{00000000-0005-0000-0000-0000574C0000}"/>
    <cellStyle name="Normal 45 3 3 2 3 2" xfId="30415" xr:uid="{00000000-0005-0000-0000-0000584C0000}"/>
    <cellStyle name="Normal 45 3 3 2 4" xfId="22372" xr:uid="{00000000-0005-0000-0000-0000594C0000}"/>
    <cellStyle name="Normal 45 3 3 3" xfId="8523" xr:uid="{00000000-0005-0000-0000-00005A4C0000}"/>
    <cellStyle name="Normal 45 3 3 3 2" xfId="17699" xr:uid="{00000000-0005-0000-0000-00005B4C0000}"/>
    <cellStyle name="Normal 45 3 3 3 2 2" xfId="34273" xr:uid="{00000000-0005-0000-0000-00005C4C0000}"/>
    <cellStyle name="Normal 45 3 3 3 3" xfId="26226" xr:uid="{00000000-0005-0000-0000-00005D4C0000}"/>
    <cellStyle name="Normal 45 3 3 4" xfId="13870" xr:uid="{00000000-0005-0000-0000-00005E4C0000}"/>
    <cellStyle name="Normal 45 3 3 4 2" xfId="30414" xr:uid="{00000000-0005-0000-0000-00005F4C0000}"/>
    <cellStyle name="Normal 45 3 3 5" xfId="22371" xr:uid="{00000000-0005-0000-0000-0000604C0000}"/>
    <cellStyle name="Normal 45 3 4" xfId="4510" xr:uid="{00000000-0005-0000-0000-0000614C0000}"/>
    <cellStyle name="Normal 45 3 4 2" xfId="8524" xr:uid="{00000000-0005-0000-0000-0000624C0000}"/>
    <cellStyle name="Normal 45 3 4 2 2" xfId="17700" xr:uid="{00000000-0005-0000-0000-0000634C0000}"/>
    <cellStyle name="Normal 45 3 4 2 2 2" xfId="34274" xr:uid="{00000000-0005-0000-0000-0000644C0000}"/>
    <cellStyle name="Normal 45 3 4 2 3" xfId="26227" xr:uid="{00000000-0005-0000-0000-0000654C0000}"/>
    <cellStyle name="Normal 45 3 4 3" xfId="13872" xr:uid="{00000000-0005-0000-0000-0000664C0000}"/>
    <cellStyle name="Normal 45 3 4 3 2" xfId="30416" xr:uid="{00000000-0005-0000-0000-0000674C0000}"/>
    <cellStyle name="Normal 45 3 4 4" xfId="22373" xr:uid="{00000000-0005-0000-0000-0000684C0000}"/>
    <cellStyle name="Normal 45 3 5" xfId="4511" xr:uid="{00000000-0005-0000-0000-0000694C0000}"/>
    <cellStyle name="Normal 45 3 5 2" xfId="13873" xr:uid="{00000000-0005-0000-0000-00006A4C0000}"/>
    <cellStyle name="Normal 45 3 5 2 2" xfId="30417" xr:uid="{00000000-0005-0000-0000-00006B4C0000}"/>
    <cellStyle name="Normal 45 3 5 3" xfId="22374" xr:uid="{00000000-0005-0000-0000-00006C4C0000}"/>
    <cellStyle name="Normal 45 4" xfId="4512" xr:uid="{00000000-0005-0000-0000-00006D4C0000}"/>
    <cellStyle name="Normal 45 4 2" xfId="4513" xr:uid="{00000000-0005-0000-0000-00006E4C0000}"/>
    <cellStyle name="Normal 45 4 2 2" xfId="4514" xr:uid="{00000000-0005-0000-0000-00006F4C0000}"/>
    <cellStyle name="Normal 45 4 2 2 2" xfId="4515" xr:uid="{00000000-0005-0000-0000-0000704C0000}"/>
    <cellStyle name="Normal 45 4 2 2 2 2" xfId="8525" xr:uid="{00000000-0005-0000-0000-0000714C0000}"/>
    <cellStyle name="Normal 45 4 2 2 2 2 2" xfId="17701" xr:uid="{00000000-0005-0000-0000-0000724C0000}"/>
    <cellStyle name="Normal 45 4 2 2 2 2 2 2" xfId="34275" xr:uid="{00000000-0005-0000-0000-0000734C0000}"/>
    <cellStyle name="Normal 45 4 2 2 2 2 3" xfId="26228" xr:uid="{00000000-0005-0000-0000-0000744C0000}"/>
    <cellStyle name="Normal 45 4 2 2 2 3" xfId="13877" xr:uid="{00000000-0005-0000-0000-0000754C0000}"/>
    <cellStyle name="Normal 45 4 2 2 2 3 2" xfId="30421" xr:uid="{00000000-0005-0000-0000-0000764C0000}"/>
    <cellStyle name="Normal 45 4 2 2 2 4" xfId="22378" xr:uid="{00000000-0005-0000-0000-0000774C0000}"/>
    <cellStyle name="Normal 45 4 2 2 3" xfId="8526" xr:uid="{00000000-0005-0000-0000-0000784C0000}"/>
    <cellStyle name="Normal 45 4 2 2 3 2" xfId="17702" xr:uid="{00000000-0005-0000-0000-0000794C0000}"/>
    <cellStyle name="Normal 45 4 2 2 3 2 2" xfId="34276" xr:uid="{00000000-0005-0000-0000-00007A4C0000}"/>
    <cellStyle name="Normal 45 4 2 2 3 3" xfId="26229" xr:uid="{00000000-0005-0000-0000-00007B4C0000}"/>
    <cellStyle name="Normal 45 4 2 2 4" xfId="13876" xr:uid="{00000000-0005-0000-0000-00007C4C0000}"/>
    <cellStyle name="Normal 45 4 2 2 4 2" xfId="30420" xr:uid="{00000000-0005-0000-0000-00007D4C0000}"/>
    <cellStyle name="Normal 45 4 2 2 5" xfId="22377" xr:uid="{00000000-0005-0000-0000-00007E4C0000}"/>
    <cellStyle name="Normal 45 4 2 3" xfId="4516" xr:uid="{00000000-0005-0000-0000-00007F4C0000}"/>
    <cellStyle name="Normal 45 4 2 3 2" xfId="8527" xr:uid="{00000000-0005-0000-0000-0000804C0000}"/>
    <cellStyle name="Normal 45 4 2 3 2 2" xfId="17703" xr:uid="{00000000-0005-0000-0000-0000814C0000}"/>
    <cellStyle name="Normal 45 4 2 3 2 2 2" xfId="34277" xr:uid="{00000000-0005-0000-0000-0000824C0000}"/>
    <cellStyle name="Normal 45 4 2 3 2 3" xfId="26230" xr:uid="{00000000-0005-0000-0000-0000834C0000}"/>
    <cellStyle name="Normal 45 4 2 3 3" xfId="13878" xr:uid="{00000000-0005-0000-0000-0000844C0000}"/>
    <cellStyle name="Normal 45 4 2 3 3 2" xfId="30422" xr:uid="{00000000-0005-0000-0000-0000854C0000}"/>
    <cellStyle name="Normal 45 4 2 3 4" xfId="22379" xr:uid="{00000000-0005-0000-0000-0000864C0000}"/>
    <cellStyle name="Normal 45 4 2 4" xfId="8528" xr:uid="{00000000-0005-0000-0000-0000874C0000}"/>
    <cellStyle name="Normal 45 4 2 4 2" xfId="17704" xr:uid="{00000000-0005-0000-0000-0000884C0000}"/>
    <cellStyle name="Normal 45 4 2 4 2 2" xfId="34278" xr:uid="{00000000-0005-0000-0000-0000894C0000}"/>
    <cellStyle name="Normal 45 4 2 4 3" xfId="26231" xr:uid="{00000000-0005-0000-0000-00008A4C0000}"/>
    <cellStyle name="Normal 45 4 2 5" xfId="13875" xr:uid="{00000000-0005-0000-0000-00008B4C0000}"/>
    <cellStyle name="Normal 45 4 2 5 2" xfId="30419" xr:uid="{00000000-0005-0000-0000-00008C4C0000}"/>
    <cellStyle name="Normal 45 4 2 6" xfId="22376" xr:uid="{00000000-0005-0000-0000-00008D4C0000}"/>
    <cellStyle name="Normal 45 4 3" xfId="4517" xr:uid="{00000000-0005-0000-0000-00008E4C0000}"/>
    <cellStyle name="Normal 45 4 3 2" xfId="4518" xr:uid="{00000000-0005-0000-0000-00008F4C0000}"/>
    <cellStyle name="Normal 45 4 3 2 2" xfId="8529" xr:uid="{00000000-0005-0000-0000-0000904C0000}"/>
    <cellStyle name="Normal 45 4 3 2 2 2" xfId="17705" xr:uid="{00000000-0005-0000-0000-0000914C0000}"/>
    <cellStyle name="Normal 45 4 3 2 2 2 2" xfId="34279" xr:uid="{00000000-0005-0000-0000-0000924C0000}"/>
    <cellStyle name="Normal 45 4 3 2 2 3" xfId="26232" xr:uid="{00000000-0005-0000-0000-0000934C0000}"/>
    <cellStyle name="Normal 45 4 3 2 3" xfId="13880" xr:uid="{00000000-0005-0000-0000-0000944C0000}"/>
    <cellStyle name="Normal 45 4 3 2 3 2" xfId="30424" xr:uid="{00000000-0005-0000-0000-0000954C0000}"/>
    <cellStyle name="Normal 45 4 3 2 4" xfId="22381" xr:uid="{00000000-0005-0000-0000-0000964C0000}"/>
    <cellStyle name="Normal 45 4 3 3" xfId="8530" xr:uid="{00000000-0005-0000-0000-0000974C0000}"/>
    <cellStyle name="Normal 45 4 3 3 2" xfId="17706" xr:uid="{00000000-0005-0000-0000-0000984C0000}"/>
    <cellStyle name="Normal 45 4 3 3 2 2" xfId="34280" xr:uid="{00000000-0005-0000-0000-0000994C0000}"/>
    <cellStyle name="Normal 45 4 3 3 3" xfId="26233" xr:uid="{00000000-0005-0000-0000-00009A4C0000}"/>
    <cellStyle name="Normal 45 4 3 4" xfId="13879" xr:uid="{00000000-0005-0000-0000-00009B4C0000}"/>
    <cellStyle name="Normal 45 4 3 4 2" xfId="30423" xr:uid="{00000000-0005-0000-0000-00009C4C0000}"/>
    <cellStyle name="Normal 45 4 3 5" xfId="22380" xr:uid="{00000000-0005-0000-0000-00009D4C0000}"/>
    <cellStyle name="Normal 45 4 4" xfId="4519" xr:uid="{00000000-0005-0000-0000-00009E4C0000}"/>
    <cellStyle name="Normal 45 4 4 2" xfId="8531" xr:uid="{00000000-0005-0000-0000-00009F4C0000}"/>
    <cellStyle name="Normal 45 4 4 2 2" xfId="17707" xr:uid="{00000000-0005-0000-0000-0000A04C0000}"/>
    <cellStyle name="Normal 45 4 4 2 2 2" xfId="34281" xr:uid="{00000000-0005-0000-0000-0000A14C0000}"/>
    <cellStyle name="Normal 45 4 4 2 3" xfId="26234" xr:uid="{00000000-0005-0000-0000-0000A24C0000}"/>
    <cellStyle name="Normal 45 4 4 3" xfId="13881" xr:uid="{00000000-0005-0000-0000-0000A34C0000}"/>
    <cellStyle name="Normal 45 4 4 3 2" xfId="30425" xr:uid="{00000000-0005-0000-0000-0000A44C0000}"/>
    <cellStyle name="Normal 45 4 4 4" xfId="22382" xr:uid="{00000000-0005-0000-0000-0000A54C0000}"/>
    <cellStyle name="Normal 45 4 5" xfId="8532" xr:uid="{00000000-0005-0000-0000-0000A64C0000}"/>
    <cellStyle name="Normal 45 4 5 2" xfId="17708" xr:uid="{00000000-0005-0000-0000-0000A74C0000}"/>
    <cellStyle name="Normal 45 4 5 2 2" xfId="34282" xr:uid="{00000000-0005-0000-0000-0000A84C0000}"/>
    <cellStyle name="Normal 45 4 5 3" xfId="26235" xr:uid="{00000000-0005-0000-0000-0000A94C0000}"/>
    <cellStyle name="Normal 45 4 6" xfId="13874" xr:uid="{00000000-0005-0000-0000-0000AA4C0000}"/>
    <cellStyle name="Normal 45 4 6 2" xfId="30418" xr:uid="{00000000-0005-0000-0000-0000AB4C0000}"/>
    <cellStyle name="Normal 45 4 7" xfId="22375" xr:uid="{00000000-0005-0000-0000-0000AC4C0000}"/>
    <cellStyle name="Normal 45 5" xfId="4520" xr:uid="{00000000-0005-0000-0000-0000AD4C0000}"/>
    <cellStyle name="Normal 45 5 2" xfId="4521" xr:uid="{00000000-0005-0000-0000-0000AE4C0000}"/>
    <cellStyle name="Normal 45 5 2 2" xfId="4522" xr:uid="{00000000-0005-0000-0000-0000AF4C0000}"/>
    <cellStyle name="Normal 45 5 2 2 2" xfId="4523" xr:uid="{00000000-0005-0000-0000-0000B04C0000}"/>
    <cellStyle name="Normal 45 5 2 2 2 2" xfId="8533" xr:uid="{00000000-0005-0000-0000-0000B14C0000}"/>
    <cellStyle name="Normal 45 5 2 2 2 2 2" xfId="17709" xr:uid="{00000000-0005-0000-0000-0000B24C0000}"/>
    <cellStyle name="Normal 45 5 2 2 2 2 2 2" xfId="34283" xr:uid="{00000000-0005-0000-0000-0000B34C0000}"/>
    <cellStyle name="Normal 45 5 2 2 2 2 3" xfId="26236" xr:uid="{00000000-0005-0000-0000-0000B44C0000}"/>
    <cellStyle name="Normal 45 5 2 2 2 3" xfId="13885" xr:uid="{00000000-0005-0000-0000-0000B54C0000}"/>
    <cellStyle name="Normal 45 5 2 2 2 3 2" xfId="30429" xr:uid="{00000000-0005-0000-0000-0000B64C0000}"/>
    <cellStyle name="Normal 45 5 2 2 2 4" xfId="22386" xr:uid="{00000000-0005-0000-0000-0000B74C0000}"/>
    <cellStyle name="Normal 45 5 2 2 3" xfId="8534" xr:uid="{00000000-0005-0000-0000-0000B84C0000}"/>
    <cellStyle name="Normal 45 5 2 2 3 2" xfId="17710" xr:uid="{00000000-0005-0000-0000-0000B94C0000}"/>
    <cellStyle name="Normal 45 5 2 2 3 2 2" xfId="34284" xr:uid="{00000000-0005-0000-0000-0000BA4C0000}"/>
    <cellStyle name="Normal 45 5 2 2 3 3" xfId="26237" xr:uid="{00000000-0005-0000-0000-0000BB4C0000}"/>
    <cellStyle name="Normal 45 5 2 2 4" xfId="13884" xr:uid="{00000000-0005-0000-0000-0000BC4C0000}"/>
    <cellStyle name="Normal 45 5 2 2 4 2" xfId="30428" xr:uid="{00000000-0005-0000-0000-0000BD4C0000}"/>
    <cellStyle name="Normal 45 5 2 2 5" xfId="22385" xr:uid="{00000000-0005-0000-0000-0000BE4C0000}"/>
    <cellStyle name="Normal 45 5 2 3" xfId="4524" xr:uid="{00000000-0005-0000-0000-0000BF4C0000}"/>
    <cellStyle name="Normal 45 5 2 3 2" xfId="8535" xr:uid="{00000000-0005-0000-0000-0000C04C0000}"/>
    <cellStyle name="Normal 45 5 2 3 2 2" xfId="17711" xr:uid="{00000000-0005-0000-0000-0000C14C0000}"/>
    <cellStyle name="Normal 45 5 2 3 2 2 2" xfId="34285" xr:uid="{00000000-0005-0000-0000-0000C24C0000}"/>
    <cellStyle name="Normal 45 5 2 3 2 3" xfId="26238" xr:uid="{00000000-0005-0000-0000-0000C34C0000}"/>
    <cellStyle name="Normal 45 5 2 3 3" xfId="13886" xr:uid="{00000000-0005-0000-0000-0000C44C0000}"/>
    <cellStyle name="Normal 45 5 2 3 3 2" xfId="30430" xr:uid="{00000000-0005-0000-0000-0000C54C0000}"/>
    <cellStyle name="Normal 45 5 2 3 4" xfId="22387" xr:uid="{00000000-0005-0000-0000-0000C64C0000}"/>
    <cellStyle name="Normal 45 5 2 4" xfId="8536" xr:uid="{00000000-0005-0000-0000-0000C74C0000}"/>
    <cellStyle name="Normal 45 5 2 4 2" xfId="17712" xr:uid="{00000000-0005-0000-0000-0000C84C0000}"/>
    <cellStyle name="Normal 45 5 2 4 2 2" xfId="34286" xr:uid="{00000000-0005-0000-0000-0000C94C0000}"/>
    <cellStyle name="Normal 45 5 2 4 3" xfId="26239" xr:uid="{00000000-0005-0000-0000-0000CA4C0000}"/>
    <cellStyle name="Normal 45 5 2 5" xfId="13883" xr:uid="{00000000-0005-0000-0000-0000CB4C0000}"/>
    <cellStyle name="Normal 45 5 2 5 2" xfId="30427" xr:uid="{00000000-0005-0000-0000-0000CC4C0000}"/>
    <cellStyle name="Normal 45 5 2 6" xfId="22384" xr:uid="{00000000-0005-0000-0000-0000CD4C0000}"/>
    <cellStyle name="Normal 45 5 3" xfId="4525" xr:uid="{00000000-0005-0000-0000-0000CE4C0000}"/>
    <cellStyle name="Normal 45 5 3 2" xfId="4526" xr:uid="{00000000-0005-0000-0000-0000CF4C0000}"/>
    <cellStyle name="Normal 45 5 3 2 2" xfId="8537" xr:uid="{00000000-0005-0000-0000-0000D04C0000}"/>
    <cellStyle name="Normal 45 5 3 2 2 2" xfId="17713" xr:uid="{00000000-0005-0000-0000-0000D14C0000}"/>
    <cellStyle name="Normal 45 5 3 2 2 2 2" xfId="34287" xr:uid="{00000000-0005-0000-0000-0000D24C0000}"/>
    <cellStyle name="Normal 45 5 3 2 2 3" xfId="26240" xr:uid="{00000000-0005-0000-0000-0000D34C0000}"/>
    <cellStyle name="Normal 45 5 3 2 3" xfId="13888" xr:uid="{00000000-0005-0000-0000-0000D44C0000}"/>
    <cellStyle name="Normal 45 5 3 2 3 2" xfId="30432" xr:uid="{00000000-0005-0000-0000-0000D54C0000}"/>
    <cellStyle name="Normal 45 5 3 2 4" xfId="22389" xr:uid="{00000000-0005-0000-0000-0000D64C0000}"/>
    <cellStyle name="Normal 45 5 3 3" xfId="8538" xr:uid="{00000000-0005-0000-0000-0000D74C0000}"/>
    <cellStyle name="Normal 45 5 3 3 2" xfId="17714" xr:uid="{00000000-0005-0000-0000-0000D84C0000}"/>
    <cellStyle name="Normal 45 5 3 3 2 2" xfId="34288" xr:uid="{00000000-0005-0000-0000-0000D94C0000}"/>
    <cellStyle name="Normal 45 5 3 3 3" xfId="26241" xr:uid="{00000000-0005-0000-0000-0000DA4C0000}"/>
    <cellStyle name="Normal 45 5 3 4" xfId="13887" xr:uid="{00000000-0005-0000-0000-0000DB4C0000}"/>
    <cellStyle name="Normal 45 5 3 4 2" xfId="30431" xr:uid="{00000000-0005-0000-0000-0000DC4C0000}"/>
    <cellStyle name="Normal 45 5 3 5" xfId="22388" xr:uid="{00000000-0005-0000-0000-0000DD4C0000}"/>
    <cellStyle name="Normal 45 5 4" xfId="4527" xr:uid="{00000000-0005-0000-0000-0000DE4C0000}"/>
    <cellStyle name="Normal 45 5 4 2" xfId="8539" xr:uid="{00000000-0005-0000-0000-0000DF4C0000}"/>
    <cellStyle name="Normal 45 5 4 2 2" xfId="17715" xr:uid="{00000000-0005-0000-0000-0000E04C0000}"/>
    <cellStyle name="Normal 45 5 4 2 2 2" xfId="34289" xr:uid="{00000000-0005-0000-0000-0000E14C0000}"/>
    <cellStyle name="Normal 45 5 4 2 3" xfId="26242" xr:uid="{00000000-0005-0000-0000-0000E24C0000}"/>
    <cellStyle name="Normal 45 5 4 3" xfId="13889" xr:uid="{00000000-0005-0000-0000-0000E34C0000}"/>
    <cellStyle name="Normal 45 5 4 3 2" xfId="30433" xr:uid="{00000000-0005-0000-0000-0000E44C0000}"/>
    <cellStyle name="Normal 45 5 4 4" xfId="22390" xr:uid="{00000000-0005-0000-0000-0000E54C0000}"/>
    <cellStyle name="Normal 45 5 5" xfId="8540" xr:uid="{00000000-0005-0000-0000-0000E64C0000}"/>
    <cellStyle name="Normal 45 5 5 2" xfId="17716" xr:uid="{00000000-0005-0000-0000-0000E74C0000}"/>
    <cellStyle name="Normal 45 5 5 2 2" xfId="34290" xr:uid="{00000000-0005-0000-0000-0000E84C0000}"/>
    <cellStyle name="Normal 45 5 5 3" xfId="26243" xr:uid="{00000000-0005-0000-0000-0000E94C0000}"/>
    <cellStyle name="Normal 45 5 6" xfId="13882" xr:uid="{00000000-0005-0000-0000-0000EA4C0000}"/>
    <cellStyle name="Normal 45 5 6 2" xfId="30426" xr:uid="{00000000-0005-0000-0000-0000EB4C0000}"/>
    <cellStyle name="Normal 45 5 7" xfId="22383" xr:uid="{00000000-0005-0000-0000-0000EC4C0000}"/>
    <cellStyle name="Normal 45 6" xfId="4528" xr:uid="{00000000-0005-0000-0000-0000ED4C0000}"/>
    <cellStyle name="Normal 45 6 2" xfId="4529" xr:uid="{00000000-0005-0000-0000-0000EE4C0000}"/>
    <cellStyle name="Normal 45 6 2 2" xfId="4530" xr:uid="{00000000-0005-0000-0000-0000EF4C0000}"/>
    <cellStyle name="Normal 45 6 2 2 2" xfId="8541" xr:uid="{00000000-0005-0000-0000-0000F04C0000}"/>
    <cellStyle name="Normal 45 6 2 2 2 2" xfId="17717" xr:uid="{00000000-0005-0000-0000-0000F14C0000}"/>
    <cellStyle name="Normal 45 6 2 2 2 2 2" xfId="34291" xr:uid="{00000000-0005-0000-0000-0000F24C0000}"/>
    <cellStyle name="Normal 45 6 2 2 2 3" xfId="26244" xr:uid="{00000000-0005-0000-0000-0000F34C0000}"/>
    <cellStyle name="Normal 45 6 2 2 3" xfId="13892" xr:uid="{00000000-0005-0000-0000-0000F44C0000}"/>
    <cellStyle name="Normal 45 6 2 2 3 2" xfId="30436" xr:uid="{00000000-0005-0000-0000-0000F54C0000}"/>
    <cellStyle name="Normal 45 6 2 2 4" xfId="22393" xr:uid="{00000000-0005-0000-0000-0000F64C0000}"/>
    <cellStyle name="Normal 45 6 2 3" xfId="8542" xr:uid="{00000000-0005-0000-0000-0000F74C0000}"/>
    <cellStyle name="Normal 45 6 2 3 2" xfId="17718" xr:uid="{00000000-0005-0000-0000-0000F84C0000}"/>
    <cellStyle name="Normal 45 6 2 3 2 2" xfId="34292" xr:uid="{00000000-0005-0000-0000-0000F94C0000}"/>
    <cellStyle name="Normal 45 6 2 3 3" xfId="26245" xr:uid="{00000000-0005-0000-0000-0000FA4C0000}"/>
    <cellStyle name="Normal 45 6 2 4" xfId="13891" xr:uid="{00000000-0005-0000-0000-0000FB4C0000}"/>
    <cellStyle name="Normal 45 6 2 4 2" xfId="30435" xr:uid="{00000000-0005-0000-0000-0000FC4C0000}"/>
    <cellStyle name="Normal 45 6 2 5" xfId="22392" xr:uid="{00000000-0005-0000-0000-0000FD4C0000}"/>
    <cellStyle name="Normal 45 6 3" xfId="4531" xr:uid="{00000000-0005-0000-0000-0000FE4C0000}"/>
    <cellStyle name="Normal 45 6 3 2" xfId="8543" xr:uid="{00000000-0005-0000-0000-0000FF4C0000}"/>
    <cellStyle name="Normal 45 6 3 2 2" xfId="17719" xr:uid="{00000000-0005-0000-0000-0000004D0000}"/>
    <cellStyle name="Normal 45 6 3 2 2 2" xfId="34293" xr:uid="{00000000-0005-0000-0000-0000014D0000}"/>
    <cellStyle name="Normal 45 6 3 2 3" xfId="26246" xr:uid="{00000000-0005-0000-0000-0000024D0000}"/>
    <cellStyle name="Normal 45 6 3 3" xfId="13893" xr:uid="{00000000-0005-0000-0000-0000034D0000}"/>
    <cellStyle name="Normal 45 6 3 3 2" xfId="30437" xr:uid="{00000000-0005-0000-0000-0000044D0000}"/>
    <cellStyle name="Normal 45 6 3 4" xfId="22394" xr:uid="{00000000-0005-0000-0000-0000054D0000}"/>
    <cellStyle name="Normal 45 6 4" xfId="8544" xr:uid="{00000000-0005-0000-0000-0000064D0000}"/>
    <cellStyle name="Normal 45 6 4 2" xfId="17720" xr:uid="{00000000-0005-0000-0000-0000074D0000}"/>
    <cellStyle name="Normal 45 6 4 2 2" xfId="34294" xr:uid="{00000000-0005-0000-0000-0000084D0000}"/>
    <cellStyle name="Normal 45 6 4 3" xfId="26247" xr:uid="{00000000-0005-0000-0000-0000094D0000}"/>
    <cellStyle name="Normal 45 6 5" xfId="13890" xr:uid="{00000000-0005-0000-0000-00000A4D0000}"/>
    <cellStyle name="Normal 45 6 5 2" xfId="30434" xr:uid="{00000000-0005-0000-0000-00000B4D0000}"/>
    <cellStyle name="Normal 45 6 6" xfId="22391" xr:uid="{00000000-0005-0000-0000-00000C4D0000}"/>
    <cellStyle name="Normal 45 7" xfId="4532" xr:uid="{00000000-0005-0000-0000-00000D4D0000}"/>
    <cellStyle name="Normal 45 7 2" xfId="4533" xr:uid="{00000000-0005-0000-0000-00000E4D0000}"/>
    <cellStyle name="Normal 45 7 2 2" xfId="8545" xr:uid="{00000000-0005-0000-0000-00000F4D0000}"/>
    <cellStyle name="Normal 45 7 2 2 2" xfId="17721" xr:uid="{00000000-0005-0000-0000-0000104D0000}"/>
    <cellStyle name="Normal 45 7 2 2 2 2" xfId="34295" xr:uid="{00000000-0005-0000-0000-0000114D0000}"/>
    <cellStyle name="Normal 45 7 2 2 3" xfId="26248" xr:uid="{00000000-0005-0000-0000-0000124D0000}"/>
    <cellStyle name="Normal 45 7 2 3" xfId="13895" xr:uid="{00000000-0005-0000-0000-0000134D0000}"/>
    <cellStyle name="Normal 45 7 2 3 2" xfId="30439" xr:uid="{00000000-0005-0000-0000-0000144D0000}"/>
    <cellStyle name="Normal 45 7 2 4" xfId="22396" xr:uid="{00000000-0005-0000-0000-0000154D0000}"/>
    <cellStyle name="Normal 45 7 3" xfId="8546" xr:uid="{00000000-0005-0000-0000-0000164D0000}"/>
    <cellStyle name="Normal 45 7 3 2" xfId="17722" xr:uid="{00000000-0005-0000-0000-0000174D0000}"/>
    <cellStyle name="Normal 45 7 3 2 2" xfId="34296" xr:uid="{00000000-0005-0000-0000-0000184D0000}"/>
    <cellStyle name="Normal 45 7 3 3" xfId="26249" xr:uid="{00000000-0005-0000-0000-0000194D0000}"/>
    <cellStyle name="Normal 45 7 4" xfId="13894" xr:uid="{00000000-0005-0000-0000-00001A4D0000}"/>
    <cellStyle name="Normal 45 7 4 2" xfId="30438" xr:uid="{00000000-0005-0000-0000-00001B4D0000}"/>
    <cellStyle name="Normal 45 7 5" xfId="22395" xr:uid="{00000000-0005-0000-0000-00001C4D0000}"/>
    <cellStyle name="Normal 45 8" xfId="4534" xr:uid="{00000000-0005-0000-0000-00001D4D0000}"/>
    <cellStyle name="Normal 45 8 2" xfId="8547" xr:uid="{00000000-0005-0000-0000-00001E4D0000}"/>
    <cellStyle name="Normal 45 8 2 2" xfId="17723" xr:uid="{00000000-0005-0000-0000-00001F4D0000}"/>
    <cellStyle name="Normal 45 8 2 2 2" xfId="34297" xr:uid="{00000000-0005-0000-0000-0000204D0000}"/>
    <cellStyle name="Normal 45 8 2 3" xfId="26250" xr:uid="{00000000-0005-0000-0000-0000214D0000}"/>
    <cellStyle name="Normal 45 8 3" xfId="13896" xr:uid="{00000000-0005-0000-0000-0000224D0000}"/>
    <cellStyle name="Normal 45 8 3 2" xfId="30440" xr:uid="{00000000-0005-0000-0000-0000234D0000}"/>
    <cellStyle name="Normal 45 8 4" xfId="22397" xr:uid="{00000000-0005-0000-0000-0000244D0000}"/>
    <cellStyle name="Normal 45 9" xfId="8548" xr:uid="{00000000-0005-0000-0000-0000254D0000}"/>
    <cellStyle name="Normal 45 9 2" xfId="17724" xr:uid="{00000000-0005-0000-0000-0000264D0000}"/>
    <cellStyle name="Normal 45 9 2 2" xfId="34298" xr:uid="{00000000-0005-0000-0000-0000274D0000}"/>
    <cellStyle name="Normal 45 9 3" xfId="26251" xr:uid="{00000000-0005-0000-0000-0000284D0000}"/>
    <cellStyle name="Normal 46" xfId="4535" xr:uid="{00000000-0005-0000-0000-0000294D0000}"/>
    <cellStyle name="Normal 46 10" xfId="13897" xr:uid="{00000000-0005-0000-0000-00002A4D0000}"/>
    <cellStyle name="Normal 46 10 2" xfId="30441" xr:uid="{00000000-0005-0000-0000-00002B4D0000}"/>
    <cellStyle name="Normal 46 11" xfId="22398" xr:uid="{00000000-0005-0000-0000-00002C4D0000}"/>
    <cellStyle name="Normal 46 2" xfId="4536" xr:uid="{00000000-0005-0000-0000-00002D4D0000}"/>
    <cellStyle name="Normal 46 2 2" xfId="4537" xr:uid="{00000000-0005-0000-0000-00002E4D0000}"/>
    <cellStyle name="Normal 46 2 3" xfId="13898" xr:uid="{00000000-0005-0000-0000-00002F4D0000}"/>
    <cellStyle name="Normal 46 2 3 2" xfId="30442" xr:uid="{00000000-0005-0000-0000-0000304D0000}"/>
    <cellStyle name="Normal 46 2 4" xfId="22399" xr:uid="{00000000-0005-0000-0000-0000314D0000}"/>
    <cellStyle name="Normal 46 3" xfId="4538" xr:uid="{00000000-0005-0000-0000-0000324D0000}"/>
    <cellStyle name="Normal 46 3 2" xfId="4539" xr:uid="{00000000-0005-0000-0000-0000334D0000}"/>
    <cellStyle name="Normal 46 3 2 2" xfId="4540" xr:uid="{00000000-0005-0000-0000-0000344D0000}"/>
    <cellStyle name="Normal 46 3 2 2 2" xfId="4541" xr:uid="{00000000-0005-0000-0000-0000354D0000}"/>
    <cellStyle name="Normal 46 3 2 2 2 2" xfId="8549" xr:uid="{00000000-0005-0000-0000-0000364D0000}"/>
    <cellStyle name="Normal 46 3 2 2 2 2 2" xfId="17725" xr:uid="{00000000-0005-0000-0000-0000374D0000}"/>
    <cellStyle name="Normal 46 3 2 2 2 2 2 2" xfId="34299" xr:uid="{00000000-0005-0000-0000-0000384D0000}"/>
    <cellStyle name="Normal 46 3 2 2 2 2 3" xfId="26252" xr:uid="{00000000-0005-0000-0000-0000394D0000}"/>
    <cellStyle name="Normal 46 3 2 2 2 3" xfId="13901" xr:uid="{00000000-0005-0000-0000-00003A4D0000}"/>
    <cellStyle name="Normal 46 3 2 2 2 3 2" xfId="30445" xr:uid="{00000000-0005-0000-0000-00003B4D0000}"/>
    <cellStyle name="Normal 46 3 2 2 2 4" xfId="22402" xr:uid="{00000000-0005-0000-0000-00003C4D0000}"/>
    <cellStyle name="Normal 46 3 2 2 3" xfId="8550" xr:uid="{00000000-0005-0000-0000-00003D4D0000}"/>
    <cellStyle name="Normal 46 3 2 2 3 2" xfId="17726" xr:uid="{00000000-0005-0000-0000-00003E4D0000}"/>
    <cellStyle name="Normal 46 3 2 2 3 2 2" xfId="34300" xr:uid="{00000000-0005-0000-0000-00003F4D0000}"/>
    <cellStyle name="Normal 46 3 2 2 3 3" xfId="26253" xr:uid="{00000000-0005-0000-0000-0000404D0000}"/>
    <cellStyle name="Normal 46 3 2 2 4" xfId="13900" xr:uid="{00000000-0005-0000-0000-0000414D0000}"/>
    <cellStyle name="Normal 46 3 2 2 4 2" xfId="30444" xr:uid="{00000000-0005-0000-0000-0000424D0000}"/>
    <cellStyle name="Normal 46 3 2 2 5" xfId="22401" xr:uid="{00000000-0005-0000-0000-0000434D0000}"/>
    <cellStyle name="Normal 46 3 2 3" xfId="4542" xr:uid="{00000000-0005-0000-0000-0000444D0000}"/>
    <cellStyle name="Normal 46 3 2 3 2" xfId="8551" xr:uid="{00000000-0005-0000-0000-0000454D0000}"/>
    <cellStyle name="Normal 46 3 2 3 2 2" xfId="17727" xr:uid="{00000000-0005-0000-0000-0000464D0000}"/>
    <cellStyle name="Normal 46 3 2 3 2 2 2" xfId="34301" xr:uid="{00000000-0005-0000-0000-0000474D0000}"/>
    <cellStyle name="Normal 46 3 2 3 2 3" xfId="26254" xr:uid="{00000000-0005-0000-0000-0000484D0000}"/>
    <cellStyle name="Normal 46 3 2 3 3" xfId="13902" xr:uid="{00000000-0005-0000-0000-0000494D0000}"/>
    <cellStyle name="Normal 46 3 2 3 3 2" xfId="30446" xr:uid="{00000000-0005-0000-0000-00004A4D0000}"/>
    <cellStyle name="Normal 46 3 2 3 4" xfId="22403" xr:uid="{00000000-0005-0000-0000-00004B4D0000}"/>
    <cellStyle name="Normal 46 3 2 4" xfId="8552" xr:uid="{00000000-0005-0000-0000-00004C4D0000}"/>
    <cellStyle name="Normal 46 3 2 4 2" xfId="17728" xr:uid="{00000000-0005-0000-0000-00004D4D0000}"/>
    <cellStyle name="Normal 46 3 2 4 2 2" xfId="34302" xr:uid="{00000000-0005-0000-0000-00004E4D0000}"/>
    <cellStyle name="Normal 46 3 2 4 3" xfId="26255" xr:uid="{00000000-0005-0000-0000-00004F4D0000}"/>
    <cellStyle name="Normal 46 3 2 5" xfId="13899" xr:uid="{00000000-0005-0000-0000-0000504D0000}"/>
    <cellStyle name="Normal 46 3 2 5 2" xfId="30443" xr:uid="{00000000-0005-0000-0000-0000514D0000}"/>
    <cellStyle name="Normal 46 3 2 6" xfId="22400" xr:uid="{00000000-0005-0000-0000-0000524D0000}"/>
    <cellStyle name="Normal 46 3 3" xfId="4543" xr:uid="{00000000-0005-0000-0000-0000534D0000}"/>
    <cellStyle name="Normal 46 3 3 2" xfId="4544" xr:uid="{00000000-0005-0000-0000-0000544D0000}"/>
    <cellStyle name="Normal 46 3 3 2 2" xfId="8553" xr:uid="{00000000-0005-0000-0000-0000554D0000}"/>
    <cellStyle name="Normal 46 3 3 2 2 2" xfId="17729" xr:uid="{00000000-0005-0000-0000-0000564D0000}"/>
    <cellStyle name="Normal 46 3 3 2 2 2 2" xfId="34303" xr:uid="{00000000-0005-0000-0000-0000574D0000}"/>
    <cellStyle name="Normal 46 3 3 2 2 3" xfId="26256" xr:uid="{00000000-0005-0000-0000-0000584D0000}"/>
    <cellStyle name="Normal 46 3 3 2 3" xfId="13904" xr:uid="{00000000-0005-0000-0000-0000594D0000}"/>
    <cellStyle name="Normal 46 3 3 2 3 2" xfId="30448" xr:uid="{00000000-0005-0000-0000-00005A4D0000}"/>
    <cellStyle name="Normal 46 3 3 2 4" xfId="22405" xr:uid="{00000000-0005-0000-0000-00005B4D0000}"/>
    <cellStyle name="Normal 46 3 3 3" xfId="8554" xr:uid="{00000000-0005-0000-0000-00005C4D0000}"/>
    <cellStyle name="Normal 46 3 3 3 2" xfId="17730" xr:uid="{00000000-0005-0000-0000-00005D4D0000}"/>
    <cellStyle name="Normal 46 3 3 3 2 2" xfId="34304" xr:uid="{00000000-0005-0000-0000-00005E4D0000}"/>
    <cellStyle name="Normal 46 3 3 3 3" xfId="26257" xr:uid="{00000000-0005-0000-0000-00005F4D0000}"/>
    <cellStyle name="Normal 46 3 3 4" xfId="13903" xr:uid="{00000000-0005-0000-0000-0000604D0000}"/>
    <cellStyle name="Normal 46 3 3 4 2" xfId="30447" xr:uid="{00000000-0005-0000-0000-0000614D0000}"/>
    <cellStyle name="Normal 46 3 3 5" xfId="22404" xr:uid="{00000000-0005-0000-0000-0000624D0000}"/>
    <cellStyle name="Normal 46 3 4" xfId="4545" xr:uid="{00000000-0005-0000-0000-0000634D0000}"/>
    <cellStyle name="Normal 46 3 4 2" xfId="8555" xr:uid="{00000000-0005-0000-0000-0000644D0000}"/>
    <cellStyle name="Normal 46 3 4 2 2" xfId="17731" xr:uid="{00000000-0005-0000-0000-0000654D0000}"/>
    <cellStyle name="Normal 46 3 4 2 2 2" xfId="34305" xr:uid="{00000000-0005-0000-0000-0000664D0000}"/>
    <cellStyle name="Normal 46 3 4 2 3" xfId="26258" xr:uid="{00000000-0005-0000-0000-0000674D0000}"/>
    <cellStyle name="Normal 46 3 4 3" xfId="13905" xr:uid="{00000000-0005-0000-0000-0000684D0000}"/>
    <cellStyle name="Normal 46 3 4 3 2" xfId="30449" xr:uid="{00000000-0005-0000-0000-0000694D0000}"/>
    <cellStyle name="Normal 46 3 4 4" xfId="22406" xr:uid="{00000000-0005-0000-0000-00006A4D0000}"/>
    <cellStyle name="Normal 46 3 5" xfId="4546" xr:uid="{00000000-0005-0000-0000-00006B4D0000}"/>
    <cellStyle name="Normal 46 3 5 2" xfId="13906" xr:uid="{00000000-0005-0000-0000-00006C4D0000}"/>
    <cellStyle name="Normal 46 3 5 2 2" xfId="30450" xr:uid="{00000000-0005-0000-0000-00006D4D0000}"/>
    <cellStyle name="Normal 46 3 5 3" xfId="22407" xr:uid="{00000000-0005-0000-0000-00006E4D0000}"/>
    <cellStyle name="Normal 46 4" xfId="4547" xr:uid="{00000000-0005-0000-0000-00006F4D0000}"/>
    <cellStyle name="Normal 46 4 2" xfId="4548" xr:uid="{00000000-0005-0000-0000-0000704D0000}"/>
    <cellStyle name="Normal 46 4 2 2" xfId="4549" xr:uid="{00000000-0005-0000-0000-0000714D0000}"/>
    <cellStyle name="Normal 46 4 2 2 2" xfId="4550" xr:uid="{00000000-0005-0000-0000-0000724D0000}"/>
    <cellStyle name="Normal 46 4 2 2 2 2" xfId="8556" xr:uid="{00000000-0005-0000-0000-0000734D0000}"/>
    <cellStyle name="Normal 46 4 2 2 2 2 2" xfId="17732" xr:uid="{00000000-0005-0000-0000-0000744D0000}"/>
    <cellStyle name="Normal 46 4 2 2 2 2 2 2" xfId="34306" xr:uid="{00000000-0005-0000-0000-0000754D0000}"/>
    <cellStyle name="Normal 46 4 2 2 2 2 3" xfId="26259" xr:uid="{00000000-0005-0000-0000-0000764D0000}"/>
    <cellStyle name="Normal 46 4 2 2 2 3" xfId="13910" xr:uid="{00000000-0005-0000-0000-0000774D0000}"/>
    <cellStyle name="Normal 46 4 2 2 2 3 2" xfId="30454" xr:uid="{00000000-0005-0000-0000-0000784D0000}"/>
    <cellStyle name="Normal 46 4 2 2 2 4" xfId="22411" xr:uid="{00000000-0005-0000-0000-0000794D0000}"/>
    <cellStyle name="Normal 46 4 2 2 3" xfId="8557" xr:uid="{00000000-0005-0000-0000-00007A4D0000}"/>
    <cellStyle name="Normal 46 4 2 2 3 2" xfId="17733" xr:uid="{00000000-0005-0000-0000-00007B4D0000}"/>
    <cellStyle name="Normal 46 4 2 2 3 2 2" xfId="34307" xr:uid="{00000000-0005-0000-0000-00007C4D0000}"/>
    <cellStyle name="Normal 46 4 2 2 3 3" xfId="26260" xr:uid="{00000000-0005-0000-0000-00007D4D0000}"/>
    <cellStyle name="Normal 46 4 2 2 4" xfId="13909" xr:uid="{00000000-0005-0000-0000-00007E4D0000}"/>
    <cellStyle name="Normal 46 4 2 2 4 2" xfId="30453" xr:uid="{00000000-0005-0000-0000-00007F4D0000}"/>
    <cellStyle name="Normal 46 4 2 2 5" xfId="22410" xr:uid="{00000000-0005-0000-0000-0000804D0000}"/>
    <cellStyle name="Normal 46 4 2 3" xfId="4551" xr:uid="{00000000-0005-0000-0000-0000814D0000}"/>
    <cellStyle name="Normal 46 4 2 3 2" xfId="8558" xr:uid="{00000000-0005-0000-0000-0000824D0000}"/>
    <cellStyle name="Normal 46 4 2 3 2 2" xfId="17734" xr:uid="{00000000-0005-0000-0000-0000834D0000}"/>
    <cellStyle name="Normal 46 4 2 3 2 2 2" xfId="34308" xr:uid="{00000000-0005-0000-0000-0000844D0000}"/>
    <cellStyle name="Normal 46 4 2 3 2 3" xfId="26261" xr:uid="{00000000-0005-0000-0000-0000854D0000}"/>
    <cellStyle name="Normal 46 4 2 3 3" xfId="13911" xr:uid="{00000000-0005-0000-0000-0000864D0000}"/>
    <cellStyle name="Normal 46 4 2 3 3 2" xfId="30455" xr:uid="{00000000-0005-0000-0000-0000874D0000}"/>
    <cellStyle name="Normal 46 4 2 3 4" xfId="22412" xr:uid="{00000000-0005-0000-0000-0000884D0000}"/>
    <cellStyle name="Normal 46 4 2 4" xfId="8559" xr:uid="{00000000-0005-0000-0000-0000894D0000}"/>
    <cellStyle name="Normal 46 4 2 4 2" xfId="17735" xr:uid="{00000000-0005-0000-0000-00008A4D0000}"/>
    <cellStyle name="Normal 46 4 2 4 2 2" xfId="34309" xr:uid="{00000000-0005-0000-0000-00008B4D0000}"/>
    <cellStyle name="Normal 46 4 2 4 3" xfId="26262" xr:uid="{00000000-0005-0000-0000-00008C4D0000}"/>
    <cellStyle name="Normal 46 4 2 5" xfId="13908" xr:uid="{00000000-0005-0000-0000-00008D4D0000}"/>
    <cellStyle name="Normal 46 4 2 5 2" xfId="30452" xr:uid="{00000000-0005-0000-0000-00008E4D0000}"/>
    <cellStyle name="Normal 46 4 2 6" xfId="22409" xr:uid="{00000000-0005-0000-0000-00008F4D0000}"/>
    <cellStyle name="Normal 46 4 3" xfId="4552" xr:uid="{00000000-0005-0000-0000-0000904D0000}"/>
    <cellStyle name="Normal 46 4 3 2" xfId="4553" xr:uid="{00000000-0005-0000-0000-0000914D0000}"/>
    <cellStyle name="Normal 46 4 3 2 2" xfId="8560" xr:uid="{00000000-0005-0000-0000-0000924D0000}"/>
    <cellStyle name="Normal 46 4 3 2 2 2" xfId="17736" xr:uid="{00000000-0005-0000-0000-0000934D0000}"/>
    <cellStyle name="Normal 46 4 3 2 2 2 2" xfId="34310" xr:uid="{00000000-0005-0000-0000-0000944D0000}"/>
    <cellStyle name="Normal 46 4 3 2 2 3" xfId="26263" xr:uid="{00000000-0005-0000-0000-0000954D0000}"/>
    <cellStyle name="Normal 46 4 3 2 3" xfId="13913" xr:uid="{00000000-0005-0000-0000-0000964D0000}"/>
    <cellStyle name="Normal 46 4 3 2 3 2" xfId="30457" xr:uid="{00000000-0005-0000-0000-0000974D0000}"/>
    <cellStyle name="Normal 46 4 3 2 4" xfId="22414" xr:uid="{00000000-0005-0000-0000-0000984D0000}"/>
    <cellStyle name="Normal 46 4 3 3" xfId="8561" xr:uid="{00000000-0005-0000-0000-0000994D0000}"/>
    <cellStyle name="Normal 46 4 3 3 2" xfId="17737" xr:uid="{00000000-0005-0000-0000-00009A4D0000}"/>
    <cellStyle name="Normal 46 4 3 3 2 2" xfId="34311" xr:uid="{00000000-0005-0000-0000-00009B4D0000}"/>
    <cellStyle name="Normal 46 4 3 3 3" xfId="26264" xr:uid="{00000000-0005-0000-0000-00009C4D0000}"/>
    <cellStyle name="Normal 46 4 3 4" xfId="13912" xr:uid="{00000000-0005-0000-0000-00009D4D0000}"/>
    <cellStyle name="Normal 46 4 3 4 2" xfId="30456" xr:uid="{00000000-0005-0000-0000-00009E4D0000}"/>
    <cellStyle name="Normal 46 4 3 5" xfId="22413" xr:uid="{00000000-0005-0000-0000-00009F4D0000}"/>
    <cellStyle name="Normal 46 4 4" xfId="4554" xr:uid="{00000000-0005-0000-0000-0000A04D0000}"/>
    <cellStyle name="Normal 46 4 4 2" xfId="8562" xr:uid="{00000000-0005-0000-0000-0000A14D0000}"/>
    <cellStyle name="Normal 46 4 4 2 2" xfId="17738" xr:uid="{00000000-0005-0000-0000-0000A24D0000}"/>
    <cellStyle name="Normal 46 4 4 2 2 2" xfId="34312" xr:uid="{00000000-0005-0000-0000-0000A34D0000}"/>
    <cellStyle name="Normal 46 4 4 2 3" xfId="26265" xr:uid="{00000000-0005-0000-0000-0000A44D0000}"/>
    <cellStyle name="Normal 46 4 4 3" xfId="13914" xr:uid="{00000000-0005-0000-0000-0000A54D0000}"/>
    <cellStyle name="Normal 46 4 4 3 2" xfId="30458" xr:uid="{00000000-0005-0000-0000-0000A64D0000}"/>
    <cellStyle name="Normal 46 4 4 4" xfId="22415" xr:uid="{00000000-0005-0000-0000-0000A74D0000}"/>
    <cellStyle name="Normal 46 4 5" xfId="8563" xr:uid="{00000000-0005-0000-0000-0000A84D0000}"/>
    <cellStyle name="Normal 46 4 5 2" xfId="17739" xr:uid="{00000000-0005-0000-0000-0000A94D0000}"/>
    <cellStyle name="Normal 46 4 5 2 2" xfId="34313" xr:uid="{00000000-0005-0000-0000-0000AA4D0000}"/>
    <cellStyle name="Normal 46 4 5 3" xfId="26266" xr:uid="{00000000-0005-0000-0000-0000AB4D0000}"/>
    <cellStyle name="Normal 46 4 6" xfId="13907" xr:uid="{00000000-0005-0000-0000-0000AC4D0000}"/>
    <cellStyle name="Normal 46 4 6 2" xfId="30451" xr:uid="{00000000-0005-0000-0000-0000AD4D0000}"/>
    <cellStyle name="Normal 46 4 7" xfId="22408" xr:uid="{00000000-0005-0000-0000-0000AE4D0000}"/>
    <cellStyle name="Normal 46 5" xfId="4555" xr:uid="{00000000-0005-0000-0000-0000AF4D0000}"/>
    <cellStyle name="Normal 46 5 2" xfId="4556" xr:uid="{00000000-0005-0000-0000-0000B04D0000}"/>
    <cellStyle name="Normal 46 5 2 2" xfId="4557" xr:uid="{00000000-0005-0000-0000-0000B14D0000}"/>
    <cellStyle name="Normal 46 5 2 2 2" xfId="4558" xr:uid="{00000000-0005-0000-0000-0000B24D0000}"/>
    <cellStyle name="Normal 46 5 2 2 2 2" xfId="8564" xr:uid="{00000000-0005-0000-0000-0000B34D0000}"/>
    <cellStyle name="Normal 46 5 2 2 2 2 2" xfId="17740" xr:uid="{00000000-0005-0000-0000-0000B44D0000}"/>
    <cellStyle name="Normal 46 5 2 2 2 2 2 2" xfId="34314" xr:uid="{00000000-0005-0000-0000-0000B54D0000}"/>
    <cellStyle name="Normal 46 5 2 2 2 2 3" xfId="26267" xr:uid="{00000000-0005-0000-0000-0000B64D0000}"/>
    <cellStyle name="Normal 46 5 2 2 2 3" xfId="13918" xr:uid="{00000000-0005-0000-0000-0000B74D0000}"/>
    <cellStyle name="Normal 46 5 2 2 2 3 2" xfId="30462" xr:uid="{00000000-0005-0000-0000-0000B84D0000}"/>
    <cellStyle name="Normal 46 5 2 2 2 4" xfId="22419" xr:uid="{00000000-0005-0000-0000-0000B94D0000}"/>
    <cellStyle name="Normal 46 5 2 2 3" xfId="8565" xr:uid="{00000000-0005-0000-0000-0000BA4D0000}"/>
    <cellStyle name="Normal 46 5 2 2 3 2" xfId="17741" xr:uid="{00000000-0005-0000-0000-0000BB4D0000}"/>
    <cellStyle name="Normal 46 5 2 2 3 2 2" xfId="34315" xr:uid="{00000000-0005-0000-0000-0000BC4D0000}"/>
    <cellStyle name="Normal 46 5 2 2 3 3" xfId="26268" xr:uid="{00000000-0005-0000-0000-0000BD4D0000}"/>
    <cellStyle name="Normal 46 5 2 2 4" xfId="13917" xr:uid="{00000000-0005-0000-0000-0000BE4D0000}"/>
    <cellStyle name="Normal 46 5 2 2 4 2" xfId="30461" xr:uid="{00000000-0005-0000-0000-0000BF4D0000}"/>
    <cellStyle name="Normal 46 5 2 2 5" xfId="22418" xr:uid="{00000000-0005-0000-0000-0000C04D0000}"/>
    <cellStyle name="Normal 46 5 2 3" xfId="4559" xr:uid="{00000000-0005-0000-0000-0000C14D0000}"/>
    <cellStyle name="Normal 46 5 2 3 2" xfId="8566" xr:uid="{00000000-0005-0000-0000-0000C24D0000}"/>
    <cellStyle name="Normal 46 5 2 3 2 2" xfId="17742" xr:uid="{00000000-0005-0000-0000-0000C34D0000}"/>
    <cellStyle name="Normal 46 5 2 3 2 2 2" xfId="34316" xr:uid="{00000000-0005-0000-0000-0000C44D0000}"/>
    <cellStyle name="Normal 46 5 2 3 2 3" xfId="26269" xr:uid="{00000000-0005-0000-0000-0000C54D0000}"/>
    <cellStyle name="Normal 46 5 2 3 3" xfId="13919" xr:uid="{00000000-0005-0000-0000-0000C64D0000}"/>
    <cellStyle name="Normal 46 5 2 3 3 2" xfId="30463" xr:uid="{00000000-0005-0000-0000-0000C74D0000}"/>
    <cellStyle name="Normal 46 5 2 3 4" xfId="22420" xr:uid="{00000000-0005-0000-0000-0000C84D0000}"/>
    <cellStyle name="Normal 46 5 2 4" xfId="8567" xr:uid="{00000000-0005-0000-0000-0000C94D0000}"/>
    <cellStyle name="Normal 46 5 2 4 2" xfId="17743" xr:uid="{00000000-0005-0000-0000-0000CA4D0000}"/>
    <cellStyle name="Normal 46 5 2 4 2 2" xfId="34317" xr:uid="{00000000-0005-0000-0000-0000CB4D0000}"/>
    <cellStyle name="Normal 46 5 2 4 3" xfId="26270" xr:uid="{00000000-0005-0000-0000-0000CC4D0000}"/>
    <cellStyle name="Normal 46 5 2 5" xfId="13916" xr:uid="{00000000-0005-0000-0000-0000CD4D0000}"/>
    <cellStyle name="Normal 46 5 2 5 2" xfId="30460" xr:uid="{00000000-0005-0000-0000-0000CE4D0000}"/>
    <cellStyle name="Normal 46 5 2 6" xfId="22417" xr:uid="{00000000-0005-0000-0000-0000CF4D0000}"/>
    <cellStyle name="Normal 46 5 3" xfId="4560" xr:uid="{00000000-0005-0000-0000-0000D04D0000}"/>
    <cellStyle name="Normal 46 5 3 2" xfId="4561" xr:uid="{00000000-0005-0000-0000-0000D14D0000}"/>
    <cellStyle name="Normal 46 5 3 2 2" xfId="8568" xr:uid="{00000000-0005-0000-0000-0000D24D0000}"/>
    <cellStyle name="Normal 46 5 3 2 2 2" xfId="17744" xr:uid="{00000000-0005-0000-0000-0000D34D0000}"/>
    <cellStyle name="Normal 46 5 3 2 2 2 2" xfId="34318" xr:uid="{00000000-0005-0000-0000-0000D44D0000}"/>
    <cellStyle name="Normal 46 5 3 2 2 3" xfId="26271" xr:uid="{00000000-0005-0000-0000-0000D54D0000}"/>
    <cellStyle name="Normal 46 5 3 2 3" xfId="13921" xr:uid="{00000000-0005-0000-0000-0000D64D0000}"/>
    <cellStyle name="Normal 46 5 3 2 3 2" xfId="30465" xr:uid="{00000000-0005-0000-0000-0000D74D0000}"/>
    <cellStyle name="Normal 46 5 3 2 4" xfId="22422" xr:uid="{00000000-0005-0000-0000-0000D84D0000}"/>
    <cellStyle name="Normal 46 5 3 3" xfId="8569" xr:uid="{00000000-0005-0000-0000-0000D94D0000}"/>
    <cellStyle name="Normal 46 5 3 3 2" xfId="17745" xr:uid="{00000000-0005-0000-0000-0000DA4D0000}"/>
    <cellStyle name="Normal 46 5 3 3 2 2" xfId="34319" xr:uid="{00000000-0005-0000-0000-0000DB4D0000}"/>
    <cellStyle name="Normal 46 5 3 3 3" xfId="26272" xr:uid="{00000000-0005-0000-0000-0000DC4D0000}"/>
    <cellStyle name="Normal 46 5 3 4" xfId="13920" xr:uid="{00000000-0005-0000-0000-0000DD4D0000}"/>
    <cellStyle name="Normal 46 5 3 4 2" xfId="30464" xr:uid="{00000000-0005-0000-0000-0000DE4D0000}"/>
    <cellStyle name="Normal 46 5 3 5" xfId="22421" xr:uid="{00000000-0005-0000-0000-0000DF4D0000}"/>
    <cellStyle name="Normal 46 5 4" xfId="4562" xr:uid="{00000000-0005-0000-0000-0000E04D0000}"/>
    <cellStyle name="Normal 46 5 4 2" xfId="8570" xr:uid="{00000000-0005-0000-0000-0000E14D0000}"/>
    <cellStyle name="Normal 46 5 4 2 2" xfId="17746" xr:uid="{00000000-0005-0000-0000-0000E24D0000}"/>
    <cellStyle name="Normal 46 5 4 2 2 2" xfId="34320" xr:uid="{00000000-0005-0000-0000-0000E34D0000}"/>
    <cellStyle name="Normal 46 5 4 2 3" xfId="26273" xr:uid="{00000000-0005-0000-0000-0000E44D0000}"/>
    <cellStyle name="Normal 46 5 4 3" xfId="13922" xr:uid="{00000000-0005-0000-0000-0000E54D0000}"/>
    <cellStyle name="Normal 46 5 4 3 2" xfId="30466" xr:uid="{00000000-0005-0000-0000-0000E64D0000}"/>
    <cellStyle name="Normal 46 5 4 4" xfId="22423" xr:uid="{00000000-0005-0000-0000-0000E74D0000}"/>
    <cellStyle name="Normal 46 5 5" xfId="8571" xr:uid="{00000000-0005-0000-0000-0000E84D0000}"/>
    <cellStyle name="Normal 46 5 5 2" xfId="17747" xr:uid="{00000000-0005-0000-0000-0000E94D0000}"/>
    <cellStyle name="Normal 46 5 5 2 2" xfId="34321" xr:uid="{00000000-0005-0000-0000-0000EA4D0000}"/>
    <cellStyle name="Normal 46 5 5 3" xfId="26274" xr:uid="{00000000-0005-0000-0000-0000EB4D0000}"/>
    <cellStyle name="Normal 46 5 6" xfId="13915" xr:uid="{00000000-0005-0000-0000-0000EC4D0000}"/>
    <cellStyle name="Normal 46 5 6 2" xfId="30459" xr:uid="{00000000-0005-0000-0000-0000ED4D0000}"/>
    <cellStyle name="Normal 46 5 7" xfId="22416" xr:uid="{00000000-0005-0000-0000-0000EE4D0000}"/>
    <cellStyle name="Normal 46 6" xfId="4563" xr:uid="{00000000-0005-0000-0000-0000EF4D0000}"/>
    <cellStyle name="Normal 46 6 2" xfId="4564" xr:uid="{00000000-0005-0000-0000-0000F04D0000}"/>
    <cellStyle name="Normal 46 6 2 2" xfId="4565" xr:uid="{00000000-0005-0000-0000-0000F14D0000}"/>
    <cellStyle name="Normal 46 6 2 2 2" xfId="8572" xr:uid="{00000000-0005-0000-0000-0000F24D0000}"/>
    <cellStyle name="Normal 46 6 2 2 2 2" xfId="17748" xr:uid="{00000000-0005-0000-0000-0000F34D0000}"/>
    <cellStyle name="Normal 46 6 2 2 2 2 2" xfId="34322" xr:uid="{00000000-0005-0000-0000-0000F44D0000}"/>
    <cellStyle name="Normal 46 6 2 2 2 3" xfId="26275" xr:uid="{00000000-0005-0000-0000-0000F54D0000}"/>
    <cellStyle name="Normal 46 6 2 2 3" xfId="13925" xr:uid="{00000000-0005-0000-0000-0000F64D0000}"/>
    <cellStyle name="Normal 46 6 2 2 3 2" xfId="30469" xr:uid="{00000000-0005-0000-0000-0000F74D0000}"/>
    <cellStyle name="Normal 46 6 2 2 4" xfId="22426" xr:uid="{00000000-0005-0000-0000-0000F84D0000}"/>
    <cellStyle name="Normal 46 6 2 3" xfId="8573" xr:uid="{00000000-0005-0000-0000-0000F94D0000}"/>
    <cellStyle name="Normal 46 6 2 3 2" xfId="17749" xr:uid="{00000000-0005-0000-0000-0000FA4D0000}"/>
    <cellStyle name="Normal 46 6 2 3 2 2" xfId="34323" xr:uid="{00000000-0005-0000-0000-0000FB4D0000}"/>
    <cellStyle name="Normal 46 6 2 3 3" xfId="26276" xr:uid="{00000000-0005-0000-0000-0000FC4D0000}"/>
    <cellStyle name="Normal 46 6 2 4" xfId="13924" xr:uid="{00000000-0005-0000-0000-0000FD4D0000}"/>
    <cellStyle name="Normal 46 6 2 4 2" xfId="30468" xr:uid="{00000000-0005-0000-0000-0000FE4D0000}"/>
    <cellStyle name="Normal 46 6 2 5" xfId="22425" xr:uid="{00000000-0005-0000-0000-0000FF4D0000}"/>
    <cellStyle name="Normal 46 6 3" xfId="4566" xr:uid="{00000000-0005-0000-0000-0000004E0000}"/>
    <cellStyle name="Normal 46 6 3 2" xfId="8574" xr:uid="{00000000-0005-0000-0000-0000014E0000}"/>
    <cellStyle name="Normal 46 6 3 2 2" xfId="17750" xr:uid="{00000000-0005-0000-0000-0000024E0000}"/>
    <cellStyle name="Normal 46 6 3 2 2 2" xfId="34324" xr:uid="{00000000-0005-0000-0000-0000034E0000}"/>
    <cellStyle name="Normal 46 6 3 2 3" xfId="26277" xr:uid="{00000000-0005-0000-0000-0000044E0000}"/>
    <cellStyle name="Normal 46 6 3 3" xfId="13926" xr:uid="{00000000-0005-0000-0000-0000054E0000}"/>
    <cellStyle name="Normal 46 6 3 3 2" xfId="30470" xr:uid="{00000000-0005-0000-0000-0000064E0000}"/>
    <cellStyle name="Normal 46 6 3 4" xfId="22427" xr:uid="{00000000-0005-0000-0000-0000074E0000}"/>
    <cellStyle name="Normal 46 6 4" xfId="8575" xr:uid="{00000000-0005-0000-0000-0000084E0000}"/>
    <cellStyle name="Normal 46 6 4 2" xfId="17751" xr:uid="{00000000-0005-0000-0000-0000094E0000}"/>
    <cellStyle name="Normal 46 6 4 2 2" xfId="34325" xr:uid="{00000000-0005-0000-0000-00000A4E0000}"/>
    <cellStyle name="Normal 46 6 4 3" xfId="26278" xr:uid="{00000000-0005-0000-0000-00000B4E0000}"/>
    <cellStyle name="Normal 46 6 5" xfId="13923" xr:uid="{00000000-0005-0000-0000-00000C4E0000}"/>
    <cellStyle name="Normal 46 6 5 2" xfId="30467" xr:uid="{00000000-0005-0000-0000-00000D4E0000}"/>
    <cellStyle name="Normal 46 6 6" xfId="22424" xr:uid="{00000000-0005-0000-0000-00000E4E0000}"/>
    <cellStyle name="Normal 46 7" xfId="4567" xr:uid="{00000000-0005-0000-0000-00000F4E0000}"/>
    <cellStyle name="Normal 46 7 2" xfId="4568" xr:uid="{00000000-0005-0000-0000-0000104E0000}"/>
    <cellStyle name="Normal 46 7 2 2" xfId="8576" xr:uid="{00000000-0005-0000-0000-0000114E0000}"/>
    <cellStyle name="Normal 46 7 2 2 2" xfId="17752" xr:uid="{00000000-0005-0000-0000-0000124E0000}"/>
    <cellStyle name="Normal 46 7 2 2 2 2" xfId="34326" xr:uid="{00000000-0005-0000-0000-0000134E0000}"/>
    <cellStyle name="Normal 46 7 2 2 3" xfId="26279" xr:uid="{00000000-0005-0000-0000-0000144E0000}"/>
    <cellStyle name="Normal 46 7 2 3" xfId="13928" xr:uid="{00000000-0005-0000-0000-0000154E0000}"/>
    <cellStyle name="Normal 46 7 2 3 2" xfId="30472" xr:uid="{00000000-0005-0000-0000-0000164E0000}"/>
    <cellStyle name="Normal 46 7 2 4" xfId="22429" xr:uid="{00000000-0005-0000-0000-0000174E0000}"/>
    <cellStyle name="Normal 46 7 3" xfId="8577" xr:uid="{00000000-0005-0000-0000-0000184E0000}"/>
    <cellStyle name="Normal 46 7 3 2" xfId="17753" xr:uid="{00000000-0005-0000-0000-0000194E0000}"/>
    <cellStyle name="Normal 46 7 3 2 2" xfId="34327" xr:uid="{00000000-0005-0000-0000-00001A4E0000}"/>
    <cellStyle name="Normal 46 7 3 3" xfId="26280" xr:uid="{00000000-0005-0000-0000-00001B4E0000}"/>
    <cellStyle name="Normal 46 7 4" xfId="13927" xr:uid="{00000000-0005-0000-0000-00001C4E0000}"/>
    <cellStyle name="Normal 46 7 4 2" xfId="30471" xr:uid="{00000000-0005-0000-0000-00001D4E0000}"/>
    <cellStyle name="Normal 46 7 5" xfId="22428" xr:uid="{00000000-0005-0000-0000-00001E4E0000}"/>
    <cellStyle name="Normal 46 8" xfId="4569" xr:uid="{00000000-0005-0000-0000-00001F4E0000}"/>
    <cellStyle name="Normal 46 8 2" xfId="8578" xr:uid="{00000000-0005-0000-0000-0000204E0000}"/>
    <cellStyle name="Normal 46 8 2 2" xfId="17754" xr:uid="{00000000-0005-0000-0000-0000214E0000}"/>
    <cellStyle name="Normal 46 8 2 2 2" xfId="34328" xr:uid="{00000000-0005-0000-0000-0000224E0000}"/>
    <cellStyle name="Normal 46 8 2 3" xfId="26281" xr:uid="{00000000-0005-0000-0000-0000234E0000}"/>
    <cellStyle name="Normal 46 8 3" xfId="13929" xr:uid="{00000000-0005-0000-0000-0000244E0000}"/>
    <cellStyle name="Normal 46 8 3 2" xfId="30473" xr:uid="{00000000-0005-0000-0000-0000254E0000}"/>
    <cellStyle name="Normal 46 8 4" xfId="22430" xr:uid="{00000000-0005-0000-0000-0000264E0000}"/>
    <cellStyle name="Normal 46 9" xfId="8579" xr:uid="{00000000-0005-0000-0000-0000274E0000}"/>
    <cellStyle name="Normal 46 9 2" xfId="17755" xr:uid="{00000000-0005-0000-0000-0000284E0000}"/>
    <cellStyle name="Normal 46 9 2 2" xfId="34329" xr:uid="{00000000-0005-0000-0000-0000294E0000}"/>
    <cellStyle name="Normal 46 9 3" xfId="26282" xr:uid="{00000000-0005-0000-0000-00002A4E0000}"/>
    <cellStyle name="Normal 47" xfId="4570" xr:uid="{00000000-0005-0000-0000-00002B4E0000}"/>
    <cellStyle name="Normal 47 10" xfId="13930" xr:uid="{00000000-0005-0000-0000-00002C4E0000}"/>
    <cellStyle name="Normal 47 10 2" xfId="30474" xr:uid="{00000000-0005-0000-0000-00002D4E0000}"/>
    <cellStyle name="Normal 47 11" xfId="22431" xr:uid="{00000000-0005-0000-0000-00002E4E0000}"/>
    <cellStyle name="Normal 47 2" xfId="4571" xr:uid="{00000000-0005-0000-0000-00002F4E0000}"/>
    <cellStyle name="Normal 47 2 2" xfId="4572" xr:uid="{00000000-0005-0000-0000-0000304E0000}"/>
    <cellStyle name="Normal 47 2 3" xfId="13931" xr:uid="{00000000-0005-0000-0000-0000314E0000}"/>
    <cellStyle name="Normal 47 2 3 2" xfId="30475" xr:uid="{00000000-0005-0000-0000-0000324E0000}"/>
    <cellStyle name="Normal 47 2 4" xfId="22432" xr:uid="{00000000-0005-0000-0000-0000334E0000}"/>
    <cellStyle name="Normal 47 3" xfId="4573" xr:uid="{00000000-0005-0000-0000-0000344E0000}"/>
    <cellStyle name="Normal 47 3 2" xfId="4574" xr:uid="{00000000-0005-0000-0000-0000354E0000}"/>
    <cellStyle name="Normal 47 3 2 2" xfId="4575" xr:uid="{00000000-0005-0000-0000-0000364E0000}"/>
    <cellStyle name="Normal 47 3 2 2 2" xfId="4576" xr:uid="{00000000-0005-0000-0000-0000374E0000}"/>
    <cellStyle name="Normal 47 3 2 2 2 2" xfId="8580" xr:uid="{00000000-0005-0000-0000-0000384E0000}"/>
    <cellStyle name="Normal 47 3 2 2 2 2 2" xfId="17756" xr:uid="{00000000-0005-0000-0000-0000394E0000}"/>
    <cellStyle name="Normal 47 3 2 2 2 2 2 2" xfId="34330" xr:uid="{00000000-0005-0000-0000-00003A4E0000}"/>
    <cellStyle name="Normal 47 3 2 2 2 2 3" xfId="26283" xr:uid="{00000000-0005-0000-0000-00003B4E0000}"/>
    <cellStyle name="Normal 47 3 2 2 2 3" xfId="13934" xr:uid="{00000000-0005-0000-0000-00003C4E0000}"/>
    <cellStyle name="Normal 47 3 2 2 2 3 2" xfId="30478" xr:uid="{00000000-0005-0000-0000-00003D4E0000}"/>
    <cellStyle name="Normal 47 3 2 2 2 4" xfId="22435" xr:uid="{00000000-0005-0000-0000-00003E4E0000}"/>
    <cellStyle name="Normal 47 3 2 2 3" xfId="8581" xr:uid="{00000000-0005-0000-0000-00003F4E0000}"/>
    <cellStyle name="Normal 47 3 2 2 3 2" xfId="17757" xr:uid="{00000000-0005-0000-0000-0000404E0000}"/>
    <cellStyle name="Normal 47 3 2 2 3 2 2" xfId="34331" xr:uid="{00000000-0005-0000-0000-0000414E0000}"/>
    <cellStyle name="Normal 47 3 2 2 3 3" xfId="26284" xr:uid="{00000000-0005-0000-0000-0000424E0000}"/>
    <cellStyle name="Normal 47 3 2 2 4" xfId="13933" xr:uid="{00000000-0005-0000-0000-0000434E0000}"/>
    <cellStyle name="Normal 47 3 2 2 4 2" xfId="30477" xr:uid="{00000000-0005-0000-0000-0000444E0000}"/>
    <cellStyle name="Normal 47 3 2 2 5" xfId="22434" xr:uid="{00000000-0005-0000-0000-0000454E0000}"/>
    <cellStyle name="Normal 47 3 2 3" xfId="4577" xr:uid="{00000000-0005-0000-0000-0000464E0000}"/>
    <cellStyle name="Normal 47 3 2 3 2" xfId="8582" xr:uid="{00000000-0005-0000-0000-0000474E0000}"/>
    <cellStyle name="Normal 47 3 2 3 2 2" xfId="17758" xr:uid="{00000000-0005-0000-0000-0000484E0000}"/>
    <cellStyle name="Normal 47 3 2 3 2 2 2" xfId="34332" xr:uid="{00000000-0005-0000-0000-0000494E0000}"/>
    <cellStyle name="Normal 47 3 2 3 2 3" xfId="26285" xr:uid="{00000000-0005-0000-0000-00004A4E0000}"/>
    <cellStyle name="Normal 47 3 2 3 3" xfId="13935" xr:uid="{00000000-0005-0000-0000-00004B4E0000}"/>
    <cellStyle name="Normal 47 3 2 3 3 2" xfId="30479" xr:uid="{00000000-0005-0000-0000-00004C4E0000}"/>
    <cellStyle name="Normal 47 3 2 3 4" xfId="22436" xr:uid="{00000000-0005-0000-0000-00004D4E0000}"/>
    <cellStyle name="Normal 47 3 2 4" xfId="8583" xr:uid="{00000000-0005-0000-0000-00004E4E0000}"/>
    <cellStyle name="Normal 47 3 2 4 2" xfId="17759" xr:uid="{00000000-0005-0000-0000-00004F4E0000}"/>
    <cellStyle name="Normal 47 3 2 4 2 2" xfId="34333" xr:uid="{00000000-0005-0000-0000-0000504E0000}"/>
    <cellStyle name="Normal 47 3 2 4 3" xfId="26286" xr:uid="{00000000-0005-0000-0000-0000514E0000}"/>
    <cellStyle name="Normal 47 3 2 5" xfId="13932" xr:uid="{00000000-0005-0000-0000-0000524E0000}"/>
    <cellStyle name="Normal 47 3 2 5 2" xfId="30476" xr:uid="{00000000-0005-0000-0000-0000534E0000}"/>
    <cellStyle name="Normal 47 3 2 6" xfId="22433" xr:uid="{00000000-0005-0000-0000-0000544E0000}"/>
    <cellStyle name="Normal 47 3 3" xfId="4578" xr:uid="{00000000-0005-0000-0000-0000554E0000}"/>
    <cellStyle name="Normal 47 3 3 2" xfId="4579" xr:uid="{00000000-0005-0000-0000-0000564E0000}"/>
    <cellStyle name="Normal 47 3 3 2 2" xfId="8584" xr:uid="{00000000-0005-0000-0000-0000574E0000}"/>
    <cellStyle name="Normal 47 3 3 2 2 2" xfId="17760" xr:uid="{00000000-0005-0000-0000-0000584E0000}"/>
    <cellStyle name="Normal 47 3 3 2 2 2 2" xfId="34334" xr:uid="{00000000-0005-0000-0000-0000594E0000}"/>
    <cellStyle name="Normal 47 3 3 2 2 3" xfId="26287" xr:uid="{00000000-0005-0000-0000-00005A4E0000}"/>
    <cellStyle name="Normal 47 3 3 2 3" xfId="13937" xr:uid="{00000000-0005-0000-0000-00005B4E0000}"/>
    <cellStyle name="Normal 47 3 3 2 3 2" xfId="30481" xr:uid="{00000000-0005-0000-0000-00005C4E0000}"/>
    <cellStyle name="Normal 47 3 3 2 4" xfId="22438" xr:uid="{00000000-0005-0000-0000-00005D4E0000}"/>
    <cellStyle name="Normal 47 3 3 3" xfId="8585" xr:uid="{00000000-0005-0000-0000-00005E4E0000}"/>
    <cellStyle name="Normal 47 3 3 3 2" xfId="17761" xr:uid="{00000000-0005-0000-0000-00005F4E0000}"/>
    <cellStyle name="Normal 47 3 3 3 2 2" xfId="34335" xr:uid="{00000000-0005-0000-0000-0000604E0000}"/>
    <cellStyle name="Normal 47 3 3 3 3" xfId="26288" xr:uid="{00000000-0005-0000-0000-0000614E0000}"/>
    <cellStyle name="Normal 47 3 3 4" xfId="13936" xr:uid="{00000000-0005-0000-0000-0000624E0000}"/>
    <cellStyle name="Normal 47 3 3 4 2" xfId="30480" xr:uid="{00000000-0005-0000-0000-0000634E0000}"/>
    <cellStyle name="Normal 47 3 3 5" xfId="22437" xr:uid="{00000000-0005-0000-0000-0000644E0000}"/>
    <cellStyle name="Normal 47 3 4" xfId="4580" xr:uid="{00000000-0005-0000-0000-0000654E0000}"/>
    <cellStyle name="Normal 47 3 4 2" xfId="8586" xr:uid="{00000000-0005-0000-0000-0000664E0000}"/>
    <cellStyle name="Normal 47 3 4 2 2" xfId="17762" xr:uid="{00000000-0005-0000-0000-0000674E0000}"/>
    <cellStyle name="Normal 47 3 4 2 2 2" xfId="34336" xr:uid="{00000000-0005-0000-0000-0000684E0000}"/>
    <cellStyle name="Normal 47 3 4 2 3" xfId="26289" xr:uid="{00000000-0005-0000-0000-0000694E0000}"/>
    <cellStyle name="Normal 47 3 4 3" xfId="13938" xr:uid="{00000000-0005-0000-0000-00006A4E0000}"/>
    <cellStyle name="Normal 47 3 4 3 2" xfId="30482" xr:uid="{00000000-0005-0000-0000-00006B4E0000}"/>
    <cellStyle name="Normal 47 3 4 4" xfId="22439" xr:uid="{00000000-0005-0000-0000-00006C4E0000}"/>
    <cellStyle name="Normal 47 3 5" xfId="4581" xr:uid="{00000000-0005-0000-0000-00006D4E0000}"/>
    <cellStyle name="Normal 47 3 5 2" xfId="13939" xr:uid="{00000000-0005-0000-0000-00006E4E0000}"/>
    <cellStyle name="Normal 47 3 5 2 2" xfId="30483" xr:uid="{00000000-0005-0000-0000-00006F4E0000}"/>
    <cellStyle name="Normal 47 3 5 3" xfId="22440" xr:uid="{00000000-0005-0000-0000-0000704E0000}"/>
    <cellStyle name="Normal 47 4" xfId="4582" xr:uid="{00000000-0005-0000-0000-0000714E0000}"/>
    <cellStyle name="Normal 47 4 2" xfId="4583" xr:uid="{00000000-0005-0000-0000-0000724E0000}"/>
    <cellStyle name="Normal 47 4 2 2" xfId="4584" xr:uid="{00000000-0005-0000-0000-0000734E0000}"/>
    <cellStyle name="Normal 47 4 2 2 2" xfId="4585" xr:uid="{00000000-0005-0000-0000-0000744E0000}"/>
    <cellStyle name="Normal 47 4 2 2 2 2" xfId="8587" xr:uid="{00000000-0005-0000-0000-0000754E0000}"/>
    <cellStyle name="Normal 47 4 2 2 2 2 2" xfId="17763" xr:uid="{00000000-0005-0000-0000-0000764E0000}"/>
    <cellStyle name="Normal 47 4 2 2 2 2 2 2" xfId="34337" xr:uid="{00000000-0005-0000-0000-0000774E0000}"/>
    <cellStyle name="Normal 47 4 2 2 2 2 3" xfId="26290" xr:uid="{00000000-0005-0000-0000-0000784E0000}"/>
    <cellStyle name="Normal 47 4 2 2 2 3" xfId="13943" xr:uid="{00000000-0005-0000-0000-0000794E0000}"/>
    <cellStyle name="Normal 47 4 2 2 2 3 2" xfId="30487" xr:uid="{00000000-0005-0000-0000-00007A4E0000}"/>
    <cellStyle name="Normal 47 4 2 2 2 4" xfId="22444" xr:uid="{00000000-0005-0000-0000-00007B4E0000}"/>
    <cellStyle name="Normal 47 4 2 2 3" xfId="8588" xr:uid="{00000000-0005-0000-0000-00007C4E0000}"/>
    <cellStyle name="Normal 47 4 2 2 3 2" xfId="17764" xr:uid="{00000000-0005-0000-0000-00007D4E0000}"/>
    <cellStyle name="Normal 47 4 2 2 3 2 2" xfId="34338" xr:uid="{00000000-0005-0000-0000-00007E4E0000}"/>
    <cellStyle name="Normal 47 4 2 2 3 3" xfId="26291" xr:uid="{00000000-0005-0000-0000-00007F4E0000}"/>
    <cellStyle name="Normal 47 4 2 2 4" xfId="13942" xr:uid="{00000000-0005-0000-0000-0000804E0000}"/>
    <cellStyle name="Normal 47 4 2 2 4 2" xfId="30486" xr:uid="{00000000-0005-0000-0000-0000814E0000}"/>
    <cellStyle name="Normal 47 4 2 2 5" xfId="22443" xr:uid="{00000000-0005-0000-0000-0000824E0000}"/>
    <cellStyle name="Normal 47 4 2 3" xfId="4586" xr:uid="{00000000-0005-0000-0000-0000834E0000}"/>
    <cellStyle name="Normal 47 4 2 3 2" xfId="8589" xr:uid="{00000000-0005-0000-0000-0000844E0000}"/>
    <cellStyle name="Normal 47 4 2 3 2 2" xfId="17765" xr:uid="{00000000-0005-0000-0000-0000854E0000}"/>
    <cellStyle name="Normal 47 4 2 3 2 2 2" xfId="34339" xr:uid="{00000000-0005-0000-0000-0000864E0000}"/>
    <cellStyle name="Normal 47 4 2 3 2 3" xfId="26292" xr:uid="{00000000-0005-0000-0000-0000874E0000}"/>
    <cellStyle name="Normal 47 4 2 3 3" xfId="13944" xr:uid="{00000000-0005-0000-0000-0000884E0000}"/>
    <cellStyle name="Normal 47 4 2 3 3 2" xfId="30488" xr:uid="{00000000-0005-0000-0000-0000894E0000}"/>
    <cellStyle name="Normal 47 4 2 3 4" xfId="22445" xr:uid="{00000000-0005-0000-0000-00008A4E0000}"/>
    <cellStyle name="Normal 47 4 2 4" xfId="8590" xr:uid="{00000000-0005-0000-0000-00008B4E0000}"/>
    <cellStyle name="Normal 47 4 2 4 2" xfId="17766" xr:uid="{00000000-0005-0000-0000-00008C4E0000}"/>
    <cellStyle name="Normal 47 4 2 4 2 2" xfId="34340" xr:uid="{00000000-0005-0000-0000-00008D4E0000}"/>
    <cellStyle name="Normal 47 4 2 4 3" xfId="26293" xr:uid="{00000000-0005-0000-0000-00008E4E0000}"/>
    <cellStyle name="Normal 47 4 2 5" xfId="13941" xr:uid="{00000000-0005-0000-0000-00008F4E0000}"/>
    <cellStyle name="Normal 47 4 2 5 2" xfId="30485" xr:uid="{00000000-0005-0000-0000-0000904E0000}"/>
    <cellStyle name="Normal 47 4 2 6" xfId="22442" xr:uid="{00000000-0005-0000-0000-0000914E0000}"/>
    <cellStyle name="Normal 47 4 3" xfId="4587" xr:uid="{00000000-0005-0000-0000-0000924E0000}"/>
    <cellStyle name="Normal 47 4 3 2" xfId="4588" xr:uid="{00000000-0005-0000-0000-0000934E0000}"/>
    <cellStyle name="Normal 47 4 3 2 2" xfId="8591" xr:uid="{00000000-0005-0000-0000-0000944E0000}"/>
    <cellStyle name="Normal 47 4 3 2 2 2" xfId="17767" xr:uid="{00000000-0005-0000-0000-0000954E0000}"/>
    <cellStyle name="Normal 47 4 3 2 2 2 2" xfId="34341" xr:uid="{00000000-0005-0000-0000-0000964E0000}"/>
    <cellStyle name="Normal 47 4 3 2 2 3" xfId="26294" xr:uid="{00000000-0005-0000-0000-0000974E0000}"/>
    <cellStyle name="Normal 47 4 3 2 3" xfId="13946" xr:uid="{00000000-0005-0000-0000-0000984E0000}"/>
    <cellStyle name="Normal 47 4 3 2 3 2" xfId="30490" xr:uid="{00000000-0005-0000-0000-0000994E0000}"/>
    <cellStyle name="Normal 47 4 3 2 4" xfId="22447" xr:uid="{00000000-0005-0000-0000-00009A4E0000}"/>
    <cellStyle name="Normal 47 4 3 3" xfId="8592" xr:uid="{00000000-0005-0000-0000-00009B4E0000}"/>
    <cellStyle name="Normal 47 4 3 3 2" xfId="17768" xr:uid="{00000000-0005-0000-0000-00009C4E0000}"/>
    <cellStyle name="Normal 47 4 3 3 2 2" xfId="34342" xr:uid="{00000000-0005-0000-0000-00009D4E0000}"/>
    <cellStyle name="Normal 47 4 3 3 3" xfId="26295" xr:uid="{00000000-0005-0000-0000-00009E4E0000}"/>
    <cellStyle name="Normal 47 4 3 4" xfId="13945" xr:uid="{00000000-0005-0000-0000-00009F4E0000}"/>
    <cellStyle name="Normal 47 4 3 4 2" xfId="30489" xr:uid="{00000000-0005-0000-0000-0000A04E0000}"/>
    <cellStyle name="Normal 47 4 3 5" xfId="22446" xr:uid="{00000000-0005-0000-0000-0000A14E0000}"/>
    <cellStyle name="Normal 47 4 4" xfId="4589" xr:uid="{00000000-0005-0000-0000-0000A24E0000}"/>
    <cellStyle name="Normal 47 4 4 2" xfId="8593" xr:uid="{00000000-0005-0000-0000-0000A34E0000}"/>
    <cellStyle name="Normal 47 4 4 2 2" xfId="17769" xr:uid="{00000000-0005-0000-0000-0000A44E0000}"/>
    <cellStyle name="Normal 47 4 4 2 2 2" xfId="34343" xr:uid="{00000000-0005-0000-0000-0000A54E0000}"/>
    <cellStyle name="Normal 47 4 4 2 3" xfId="26296" xr:uid="{00000000-0005-0000-0000-0000A64E0000}"/>
    <cellStyle name="Normal 47 4 4 3" xfId="13947" xr:uid="{00000000-0005-0000-0000-0000A74E0000}"/>
    <cellStyle name="Normal 47 4 4 3 2" xfId="30491" xr:uid="{00000000-0005-0000-0000-0000A84E0000}"/>
    <cellStyle name="Normal 47 4 4 4" xfId="22448" xr:uid="{00000000-0005-0000-0000-0000A94E0000}"/>
    <cellStyle name="Normal 47 4 5" xfId="8594" xr:uid="{00000000-0005-0000-0000-0000AA4E0000}"/>
    <cellStyle name="Normal 47 4 5 2" xfId="17770" xr:uid="{00000000-0005-0000-0000-0000AB4E0000}"/>
    <cellStyle name="Normal 47 4 5 2 2" xfId="34344" xr:uid="{00000000-0005-0000-0000-0000AC4E0000}"/>
    <cellStyle name="Normal 47 4 5 3" xfId="26297" xr:uid="{00000000-0005-0000-0000-0000AD4E0000}"/>
    <cellStyle name="Normal 47 4 6" xfId="13940" xr:uid="{00000000-0005-0000-0000-0000AE4E0000}"/>
    <cellStyle name="Normal 47 4 6 2" xfId="30484" xr:uid="{00000000-0005-0000-0000-0000AF4E0000}"/>
    <cellStyle name="Normal 47 4 7" xfId="22441" xr:uid="{00000000-0005-0000-0000-0000B04E0000}"/>
    <cellStyle name="Normal 47 5" xfId="4590" xr:uid="{00000000-0005-0000-0000-0000B14E0000}"/>
    <cellStyle name="Normal 47 5 2" xfId="4591" xr:uid="{00000000-0005-0000-0000-0000B24E0000}"/>
    <cellStyle name="Normal 47 5 2 2" xfId="4592" xr:uid="{00000000-0005-0000-0000-0000B34E0000}"/>
    <cellStyle name="Normal 47 5 2 2 2" xfId="4593" xr:uid="{00000000-0005-0000-0000-0000B44E0000}"/>
    <cellStyle name="Normal 47 5 2 2 2 2" xfId="8595" xr:uid="{00000000-0005-0000-0000-0000B54E0000}"/>
    <cellStyle name="Normal 47 5 2 2 2 2 2" xfId="17771" xr:uid="{00000000-0005-0000-0000-0000B64E0000}"/>
    <cellStyle name="Normal 47 5 2 2 2 2 2 2" xfId="34345" xr:uid="{00000000-0005-0000-0000-0000B74E0000}"/>
    <cellStyle name="Normal 47 5 2 2 2 2 3" xfId="26298" xr:uid="{00000000-0005-0000-0000-0000B84E0000}"/>
    <cellStyle name="Normal 47 5 2 2 2 3" xfId="13951" xr:uid="{00000000-0005-0000-0000-0000B94E0000}"/>
    <cellStyle name="Normal 47 5 2 2 2 3 2" xfId="30495" xr:uid="{00000000-0005-0000-0000-0000BA4E0000}"/>
    <cellStyle name="Normal 47 5 2 2 2 4" xfId="22452" xr:uid="{00000000-0005-0000-0000-0000BB4E0000}"/>
    <cellStyle name="Normal 47 5 2 2 3" xfId="8596" xr:uid="{00000000-0005-0000-0000-0000BC4E0000}"/>
    <cellStyle name="Normal 47 5 2 2 3 2" xfId="17772" xr:uid="{00000000-0005-0000-0000-0000BD4E0000}"/>
    <cellStyle name="Normal 47 5 2 2 3 2 2" xfId="34346" xr:uid="{00000000-0005-0000-0000-0000BE4E0000}"/>
    <cellStyle name="Normal 47 5 2 2 3 3" xfId="26299" xr:uid="{00000000-0005-0000-0000-0000BF4E0000}"/>
    <cellStyle name="Normal 47 5 2 2 4" xfId="13950" xr:uid="{00000000-0005-0000-0000-0000C04E0000}"/>
    <cellStyle name="Normal 47 5 2 2 4 2" xfId="30494" xr:uid="{00000000-0005-0000-0000-0000C14E0000}"/>
    <cellStyle name="Normal 47 5 2 2 5" xfId="22451" xr:uid="{00000000-0005-0000-0000-0000C24E0000}"/>
    <cellStyle name="Normal 47 5 2 3" xfId="4594" xr:uid="{00000000-0005-0000-0000-0000C34E0000}"/>
    <cellStyle name="Normal 47 5 2 3 2" xfId="8597" xr:uid="{00000000-0005-0000-0000-0000C44E0000}"/>
    <cellStyle name="Normal 47 5 2 3 2 2" xfId="17773" xr:uid="{00000000-0005-0000-0000-0000C54E0000}"/>
    <cellStyle name="Normal 47 5 2 3 2 2 2" xfId="34347" xr:uid="{00000000-0005-0000-0000-0000C64E0000}"/>
    <cellStyle name="Normal 47 5 2 3 2 3" xfId="26300" xr:uid="{00000000-0005-0000-0000-0000C74E0000}"/>
    <cellStyle name="Normal 47 5 2 3 3" xfId="13952" xr:uid="{00000000-0005-0000-0000-0000C84E0000}"/>
    <cellStyle name="Normal 47 5 2 3 3 2" xfId="30496" xr:uid="{00000000-0005-0000-0000-0000C94E0000}"/>
    <cellStyle name="Normal 47 5 2 3 4" xfId="22453" xr:uid="{00000000-0005-0000-0000-0000CA4E0000}"/>
    <cellStyle name="Normal 47 5 2 4" xfId="8598" xr:uid="{00000000-0005-0000-0000-0000CB4E0000}"/>
    <cellStyle name="Normal 47 5 2 4 2" xfId="17774" xr:uid="{00000000-0005-0000-0000-0000CC4E0000}"/>
    <cellStyle name="Normal 47 5 2 4 2 2" xfId="34348" xr:uid="{00000000-0005-0000-0000-0000CD4E0000}"/>
    <cellStyle name="Normal 47 5 2 4 3" xfId="26301" xr:uid="{00000000-0005-0000-0000-0000CE4E0000}"/>
    <cellStyle name="Normal 47 5 2 5" xfId="13949" xr:uid="{00000000-0005-0000-0000-0000CF4E0000}"/>
    <cellStyle name="Normal 47 5 2 5 2" xfId="30493" xr:uid="{00000000-0005-0000-0000-0000D04E0000}"/>
    <cellStyle name="Normal 47 5 2 6" xfId="22450" xr:uid="{00000000-0005-0000-0000-0000D14E0000}"/>
    <cellStyle name="Normal 47 5 3" xfId="4595" xr:uid="{00000000-0005-0000-0000-0000D24E0000}"/>
    <cellStyle name="Normal 47 5 3 2" xfId="4596" xr:uid="{00000000-0005-0000-0000-0000D34E0000}"/>
    <cellStyle name="Normal 47 5 3 2 2" xfId="8599" xr:uid="{00000000-0005-0000-0000-0000D44E0000}"/>
    <cellStyle name="Normal 47 5 3 2 2 2" xfId="17775" xr:uid="{00000000-0005-0000-0000-0000D54E0000}"/>
    <cellStyle name="Normal 47 5 3 2 2 2 2" xfId="34349" xr:uid="{00000000-0005-0000-0000-0000D64E0000}"/>
    <cellStyle name="Normal 47 5 3 2 2 3" xfId="26302" xr:uid="{00000000-0005-0000-0000-0000D74E0000}"/>
    <cellStyle name="Normal 47 5 3 2 3" xfId="13954" xr:uid="{00000000-0005-0000-0000-0000D84E0000}"/>
    <cellStyle name="Normal 47 5 3 2 3 2" xfId="30498" xr:uid="{00000000-0005-0000-0000-0000D94E0000}"/>
    <cellStyle name="Normal 47 5 3 2 4" xfId="22455" xr:uid="{00000000-0005-0000-0000-0000DA4E0000}"/>
    <cellStyle name="Normal 47 5 3 3" xfId="8600" xr:uid="{00000000-0005-0000-0000-0000DB4E0000}"/>
    <cellStyle name="Normal 47 5 3 3 2" xfId="17776" xr:uid="{00000000-0005-0000-0000-0000DC4E0000}"/>
    <cellStyle name="Normal 47 5 3 3 2 2" xfId="34350" xr:uid="{00000000-0005-0000-0000-0000DD4E0000}"/>
    <cellStyle name="Normal 47 5 3 3 3" xfId="26303" xr:uid="{00000000-0005-0000-0000-0000DE4E0000}"/>
    <cellStyle name="Normal 47 5 3 4" xfId="13953" xr:uid="{00000000-0005-0000-0000-0000DF4E0000}"/>
    <cellStyle name="Normal 47 5 3 4 2" xfId="30497" xr:uid="{00000000-0005-0000-0000-0000E04E0000}"/>
    <cellStyle name="Normal 47 5 3 5" xfId="22454" xr:uid="{00000000-0005-0000-0000-0000E14E0000}"/>
    <cellStyle name="Normal 47 5 4" xfId="4597" xr:uid="{00000000-0005-0000-0000-0000E24E0000}"/>
    <cellStyle name="Normal 47 5 4 2" xfId="8601" xr:uid="{00000000-0005-0000-0000-0000E34E0000}"/>
    <cellStyle name="Normal 47 5 4 2 2" xfId="17777" xr:uid="{00000000-0005-0000-0000-0000E44E0000}"/>
    <cellStyle name="Normal 47 5 4 2 2 2" xfId="34351" xr:uid="{00000000-0005-0000-0000-0000E54E0000}"/>
    <cellStyle name="Normal 47 5 4 2 3" xfId="26304" xr:uid="{00000000-0005-0000-0000-0000E64E0000}"/>
    <cellStyle name="Normal 47 5 4 3" xfId="13955" xr:uid="{00000000-0005-0000-0000-0000E74E0000}"/>
    <cellStyle name="Normal 47 5 4 3 2" xfId="30499" xr:uid="{00000000-0005-0000-0000-0000E84E0000}"/>
    <cellStyle name="Normal 47 5 4 4" xfId="22456" xr:uid="{00000000-0005-0000-0000-0000E94E0000}"/>
    <cellStyle name="Normal 47 5 5" xfId="8602" xr:uid="{00000000-0005-0000-0000-0000EA4E0000}"/>
    <cellStyle name="Normal 47 5 5 2" xfId="17778" xr:uid="{00000000-0005-0000-0000-0000EB4E0000}"/>
    <cellStyle name="Normal 47 5 5 2 2" xfId="34352" xr:uid="{00000000-0005-0000-0000-0000EC4E0000}"/>
    <cellStyle name="Normal 47 5 5 3" xfId="26305" xr:uid="{00000000-0005-0000-0000-0000ED4E0000}"/>
    <cellStyle name="Normal 47 5 6" xfId="13948" xr:uid="{00000000-0005-0000-0000-0000EE4E0000}"/>
    <cellStyle name="Normal 47 5 6 2" xfId="30492" xr:uid="{00000000-0005-0000-0000-0000EF4E0000}"/>
    <cellStyle name="Normal 47 5 7" xfId="22449" xr:uid="{00000000-0005-0000-0000-0000F04E0000}"/>
    <cellStyle name="Normal 47 6" xfId="4598" xr:uid="{00000000-0005-0000-0000-0000F14E0000}"/>
    <cellStyle name="Normal 47 6 2" xfId="4599" xr:uid="{00000000-0005-0000-0000-0000F24E0000}"/>
    <cellStyle name="Normal 47 6 2 2" xfId="4600" xr:uid="{00000000-0005-0000-0000-0000F34E0000}"/>
    <cellStyle name="Normal 47 6 2 2 2" xfId="8603" xr:uid="{00000000-0005-0000-0000-0000F44E0000}"/>
    <cellStyle name="Normal 47 6 2 2 2 2" xfId="17779" xr:uid="{00000000-0005-0000-0000-0000F54E0000}"/>
    <cellStyle name="Normal 47 6 2 2 2 2 2" xfId="34353" xr:uid="{00000000-0005-0000-0000-0000F64E0000}"/>
    <cellStyle name="Normal 47 6 2 2 2 3" xfId="26306" xr:uid="{00000000-0005-0000-0000-0000F74E0000}"/>
    <cellStyle name="Normal 47 6 2 2 3" xfId="13958" xr:uid="{00000000-0005-0000-0000-0000F84E0000}"/>
    <cellStyle name="Normal 47 6 2 2 3 2" xfId="30502" xr:uid="{00000000-0005-0000-0000-0000F94E0000}"/>
    <cellStyle name="Normal 47 6 2 2 4" xfId="22459" xr:uid="{00000000-0005-0000-0000-0000FA4E0000}"/>
    <cellStyle name="Normal 47 6 2 3" xfId="8604" xr:uid="{00000000-0005-0000-0000-0000FB4E0000}"/>
    <cellStyle name="Normal 47 6 2 3 2" xfId="17780" xr:uid="{00000000-0005-0000-0000-0000FC4E0000}"/>
    <cellStyle name="Normal 47 6 2 3 2 2" xfId="34354" xr:uid="{00000000-0005-0000-0000-0000FD4E0000}"/>
    <cellStyle name="Normal 47 6 2 3 3" xfId="26307" xr:uid="{00000000-0005-0000-0000-0000FE4E0000}"/>
    <cellStyle name="Normal 47 6 2 4" xfId="13957" xr:uid="{00000000-0005-0000-0000-0000FF4E0000}"/>
    <cellStyle name="Normal 47 6 2 4 2" xfId="30501" xr:uid="{00000000-0005-0000-0000-0000004F0000}"/>
    <cellStyle name="Normal 47 6 2 5" xfId="22458" xr:uid="{00000000-0005-0000-0000-0000014F0000}"/>
    <cellStyle name="Normal 47 6 3" xfId="4601" xr:uid="{00000000-0005-0000-0000-0000024F0000}"/>
    <cellStyle name="Normal 47 6 3 2" xfId="8605" xr:uid="{00000000-0005-0000-0000-0000034F0000}"/>
    <cellStyle name="Normal 47 6 3 2 2" xfId="17781" xr:uid="{00000000-0005-0000-0000-0000044F0000}"/>
    <cellStyle name="Normal 47 6 3 2 2 2" xfId="34355" xr:uid="{00000000-0005-0000-0000-0000054F0000}"/>
    <cellStyle name="Normal 47 6 3 2 3" xfId="26308" xr:uid="{00000000-0005-0000-0000-0000064F0000}"/>
    <cellStyle name="Normal 47 6 3 3" xfId="13959" xr:uid="{00000000-0005-0000-0000-0000074F0000}"/>
    <cellStyle name="Normal 47 6 3 3 2" xfId="30503" xr:uid="{00000000-0005-0000-0000-0000084F0000}"/>
    <cellStyle name="Normal 47 6 3 4" xfId="22460" xr:uid="{00000000-0005-0000-0000-0000094F0000}"/>
    <cellStyle name="Normal 47 6 4" xfId="8606" xr:uid="{00000000-0005-0000-0000-00000A4F0000}"/>
    <cellStyle name="Normal 47 6 4 2" xfId="17782" xr:uid="{00000000-0005-0000-0000-00000B4F0000}"/>
    <cellStyle name="Normal 47 6 4 2 2" xfId="34356" xr:uid="{00000000-0005-0000-0000-00000C4F0000}"/>
    <cellStyle name="Normal 47 6 4 3" xfId="26309" xr:uid="{00000000-0005-0000-0000-00000D4F0000}"/>
    <cellStyle name="Normal 47 6 5" xfId="13956" xr:uid="{00000000-0005-0000-0000-00000E4F0000}"/>
    <cellStyle name="Normal 47 6 5 2" xfId="30500" xr:uid="{00000000-0005-0000-0000-00000F4F0000}"/>
    <cellStyle name="Normal 47 6 6" xfId="22457" xr:uid="{00000000-0005-0000-0000-0000104F0000}"/>
    <cellStyle name="Normal 47 7" xfId="4602" xr:uid="{00000000-0005-0000-0000-0000114F0000}"/>
    <cellStyle name="Normal 47 7 2" xfId="4603" xr:uid="{00000000-0005-0000-0000-0000124F0000}"/>
    <cellStyle name="Normal 47 7 2 2" xfId="8607" xr:uid="{00000000-0005-0000-0000-0000134F0000}"/>
    <cellStyle name="Normal 47 7 2 2 2" xfId="17783" xr:uid="{00000000-0005-0000-0000-0000144F0000}"/>
    <cellStyle name="Normal 47 7 2 2 2 2" xfId="34357" xr:uid="{00000000-0005-0000-0000-0000154F0000}"/>
    <cellStyle name="Normal 47 7 2 2 3" xfId="26310" xr:uid="{00000000-0005-0000-0000-0000164F0000}"/>
    <cellStyle name="Normal 47 7 2 3" xfId="13961" xr:uid="{00000000-0005-0000-0000-0000174F0000}"/>
    <cellStyle name="Normal 47 7 2 3 2" xfId="30505" xr:uid="{00000000-0005-0000-0000-0000184F0000}"/>
    <cellStyle name="Normal 47 7 2 4" xfId="22462" xr:uid="{00000000-0005-0000-0000-0000194F0000}"/>
    <cellStyle name="Normal 47 7 3" xfId="8608" xr:uid="{00000000-0005-0000-0000-00001A4F0000}"/>
    <cellStyle name="Normal 47 7 3 2" xfId="17784" xr:uid="{00000000-0005-0000-0000-00001B4F0000}"/>
    <cellStyle name="Normal 47 7 3 2 2" xfId="34358" xr:uid="{00000000-0005-0000-0000-00001C4F0000}"/>
    <cellStyle name="Normal 47 7 3 3" xfId="26311" xr:uid="{00000000-0005-0000-0000-00001D4F0000}"/>
    <cellStyle name="Normal 47 7 4" xfId="13960" xr:uid="{00000000-0005-0000-0000-00001E4F0000}"/>
    <cellStyle name="Normal 47 7 4 2" xfId="30504" xr:uid="{00000000-0005-0000-0000-00001F4F0000}"/>
    <cellStyle name="Normal 47 7 5" xfId="22461" xr:uid="{00000000-0005-0000-0000-0000204F0000}"/>
    <cellStyle name="Normal 47 8" xfId="4604" xr:uid="{00000000-0005-0000-0000-0000214F0000}"/>
    <cellStyle name="Normal 47 8 2" xfId="8609" xr:uid="{00000000-0005-0000-0000-0000224F0000}"/>
    <cellStyle name="Normal 47 8 2 2" xfId="17785" xr:uid="{00000000-0005-0000-0000-0000234F0000}"/>
    <cellStyle name="Normal 47 8 2 2 2" xfId="34359" xr:uid="{00000000-0005-0000-0000-0000244F0000}"/>
    <cellStyle name="Normal 47 8 2 3" xfId="26312" xr:uid="{00000000-0005-0000-0000-0000254F0000}"/>
    <cellStyle name="Normal 47 8 3" xfId="13962" xr:uid="{00000000-0005-0000-0000-0000264F0000}"/>
    <cellStyle name="Normal 47 8 3 2" xfId="30506" xr:uid="{00000000-0005-0000-0000-0000274F0000}"/>
    <cellStyle name="Normal 47 8 4" xfId="22463" xr:uid="{00000000-0005-0000-0000-0000284F0000}"/>
    <cellStyle name="Normal 47 9" xfId="8610" xr:uid="{00000000-0005-0000-0000-0000294F0000}"/>
    <cellStyle name="Normal 47 9 2" xfId="17786" xr:uid="{00000000-0005-0000-0000-00002A4F0000}"/>
    <cellStyle name="Normal 47 9 2 2" xfId="34360" xr:uid="{00000000-0005-0000-0000-00002B4F0000}"/>
    <cellStyle name="Normal 47 9 3" xfId="26313" xr:uid="{00000000-0005-0000-0000-00002C4F0000}"/>
    <cellStyle name="Normal 48" xfId="4605" xr:uid="{00000000-0005-0000-0000-00002D4F0000}"/>
    <cellStyle name="Normal 48 10" xfId="13963" xr:uid="{00000000-0005-0000-0000-00002E4F0000}"/>
    <cellStyle name="Normal 48 10 2" xfId="30507" xr:uid="{00000000-0005-0000-0000-00002F4F0000}"/>
    <cellStyle name="Normal 48 11" xfId="22464" xr:uid="{00000000-0005-0000-0000-0000304F0000}"/>
    <cellStyle name="Normal 48 2" xfId="4606" xr:uid="{00000000-0005-0000-0000-0000314F0000}"/>
    <cellStyle name="Normal 48 2 2" xfId="4607" xr:uid="{00000000-0005-0000-0000-0000324F0000}"/>
    <cellStyle name="Normal 48 2 3" xfId="13964" xr:uid="{00000000-0005-0000-0000-0000334F0000}"/>
    <cellStyle name="Normal 48 2 3 2" xfId="30508" xr:uid="{00000000-0005-0000-0000-0000344F0000}"/>
    <cellStyle name="Normal 48 2 4" xfId="22465" xr:uid="{00000000-0005-0000-0000-0000354F0000}"/>
    <cellStyle name="Normal 48 3" xfId="4608" xr:uid="{00000000-0005-0000-0000-0000364F0000}"/>
    <cellStyle name="Normal 48 3 2" xfId="4609" xr:uid="{00000000-0005-0000-0000-0000374F0000}"/>
    <cellStyle name="Normal 48 3 2 2" xfId="4610" xr:uid="{00000000-0005-0000-0000-0000384F0000}"/>
    <cellStyle name="Normal 48 3 2 2 2" xfId="4611" xr:uid="{00000000-0005-0000-0000-0000394F0000}"/>
    <cellStyle name="Normal 48 3 2 2 2 2" xfId="8611" xr:uid="{00000000-0005-0000-0000-00003A4F0000}"/>
    <cellStyle name="Normal 48 3 2 2 2 2 2" xfId="17787" xr:uid="{00000000-0005-0000-0000-00003B4F0000}"/>
    <cellStyle name="Normal 48 3 2 2 2 2 2 2" xfId="34361" xr:uid="{00000000-0005-0000-0000-00003C4F0000}"/>
    <cellStyle name="Normal 48 3 2 2 2 2 3" xfId="26314" xr:uid="{00000000-0005-0000-0000-00003D4F0000}"/>
    <cellStyle name="Normal 48 3 2 2 2 3" xfId="13967" xr:uid="{00000000-0005-0000-0000-00003E4F0000}"/>
    <cellStyle name="Normal 48 3 2 2 2 3 2" xfId="30511" xr:uid="{00000000-0005-0000-0000-00003F4F0000}"/>
    <cellStyle name="Normal 48 3 2 2 2 4" xfId="22468" xr:uid="{00000000-0005-0000-0000-0000404F0000}"/>
    <cellStyle name="Normal 48 3 2 2 3" xfId="8612" xr:uid="{00000000-0005-0000-0000-0000414F0000}"/>
    <cellStyle name="Normal 48 3 2 2 3 2" xfId="17788" xr:uid="{00000000-0005-0000-0000-0000424F0000}"/>
    <cellStyle name="Normal 48 3 2 2 3 2 2" xfId="34362" xr:uid="{00000000-0005-0000-0000-0000434F0000}"/>
    <cellStyle name="Normal 48 3 2 2 3 3" xfId="26315" xr:uid="{00000000-0005-0000-0000-0000444F0000}"/>
    <cellStyle name="Normal 48 3 2 2 4" xfId="13966" xr:uid="{00000000-0005-0000-0000-0000454F0000}"/>
    <cellStyle name="Normal 48 3 2 2 4 2" xfId="30510" xr:uid="{00000000-0005-0000-0000-0000464F0000}"/>
    <cellStyle name="Normal 48 3 2 2 5" xfId="22467" xr:uid="{00000000-0005-0000-0000-0000474F0000}"/>
    <cellStyle name="Normal 48 3 2 3" xfId="4612" xr:uid="{00000000-0005-0000-0000-0000484F0000}"/>
    <cellStyle name="Normal 48 3 2 3 2" xfId="8613" xr:uid="{00000000-0005-0000-0000-0000494F0000}"/>
    <cellStyle name="Normal 48 3 2 3 2 2" xfId="17789" xr:uid="{00000000-0005-0000-0000-00004A4F0000}"/>
    <cellStyle name="Normal 48 3 2 3 2 2 2" xfId="34363" xr:uid="{00000000-0005-0000-0000-00004B4F0000}"/>
    <cellStyle name="Normal 48 3 2 3 2 3" xfId="26316" xr:uid="{00000000-0005-0000-0000-00004C4F0000}"/>
    <cellStyle name="Normal 48 3 2 3 3" xfId="13968" xr:uid="{00000000-0005-0000-0000-00004D4F0000}"/>
    <cellStyle name="Normal 48 3 2 3 3 2" xfId="30512" xr:uid="{00000000-0005-0000-0000-00004E4F0000}"/>
    <cellStyle name="Normal 48 3 2 3 4" xfId="22469" xr:uid="{00000000-0005-0000-0000-00004F4F0000}"/>
    <cellStyle name="Normal 48 3 2 4" xfId="8614" xr:uid="{00000000-0005-0000-0000-0000504F0000}"/>
    <cellStyle name="Normal 48 3 2 4 2" xfId="17790" xr:uid="{00000000-0005-0000-0000-0000514F0000}"/>
    <cellStyle name="Normal 48 3 2 4 2 2" xfId="34364" xr:uid="{00000000-0005-0000-0000-0000524F0000}"/>
    <cellStyle name="Normal 48 3 2 4 3" xfId="26317" xr:uid="{00000000-0005-0000-0000-0000534F0000}"/>
    <cellStyle name="Normal 48 3 2 5" xfId="13965" xr:uid="{00000000-0005-0000-0000-0000544F0000}"/>
    <cellStyle name="Normal 48 3 2 5 2" xfId="30509" xr:uid="{00000000-0005-0000-0000-0000554F0000}"/>
    <cellStyle name="Normal 48 3 2 6" xfId="22466" xr:uid="{00000000-0005-0000-0000-0000564F0000}"/>
    <cellStyle name="Normal 48 3 3" xfId="4613" xr:uid="{00000000-0005-0000-0000-0000574F0000}"/>
    <cellStyle name="Normal 48 3 3 2" xfId="4614" xr:uid="{00000000-0005-0000-0000-0000584F0000}"/>
    <cellStyle name="Normal 48 3 3 2 2" xfId="8615" xr:uid="{00000000-0005-0000-0000-0000594F0000}"/>
    <cellStyle name="Normal 48 3 3 2 2 2" xfId="17791" xr:uid="{00000000-0005-0000-0000-00005A4F0000}"/>
    <cellStyle name="Normal 48 3 3 2 2 2 2" xfId="34365" xr:uid="{00000000-0005-0000-0000-00005B4F0000}"/>
    <cellStyle name="Normal 48 3 3 2 2 3" xfId="26318" xr:uid="{00000000-0005-0000-0000-00005C4F0000}"/>
    <cellStyle name="Normal 48 3 3 2 3" xfId="13970" xr:uid="{00000000-0005-0000-0000-00005D4F0000}"/>
    <cellStyle name="Normal 48 3 3 2 3 2" xfId="30514" xr:uid="{00000000-0005-0000-0000-00005E4F0000}"/>
    <cellStyle name="Normal 48 3 3 2 4" xfId="22471" xr:uid="{00000000-0005-0000-0000-00005F4F0000}"/>
    <cellStyle name="Normal 48 3 3 3" xfId="8616" xr:uid="{00000000-0005-0000-0000-0000604F0000}"/>
    <cellStyle name="Normal 48 3 3 3 2" xfId="17792" xr:uid="{00000000-0005-0000-0000-0000614F0000}"/>
    <cellStyle name="Normal 48 3 3 3 2 2" xfId="34366" xr:uid="{00000000-0005-0000-0000-0000624F0000}"/>
    <cellStyle name="Normal 48 3 3 3 3" xfId="26319" xr:uid="{00000000-0005-0000-0000-0000634F0000}"/>
    <cellStyle name="Normal 48 3 3 4" xfId="13969" xr:uid="{00000000-0005-0000-0000-0000644F0000}"/>
    <cellStyle name="Normal 48 3 3 4 2" xfId="30513" xr:uid="{00000000-0005-0000-0000-0000654F0000}"/>
    <cellStyle name="Normal 48 3 3 5" xfId="22470" xr:uid="{00000000-0005-0000-0000-0000664F0000}"/>
    <cellStyle name="Normal 48 3 4" xfId="4615" xr:uid="{00000000-0005-0000-0000-0000674F0000}"/>
    <cellStyle name="Normal 48 3 4 2" xfId="8617" xr:uid="{00000000-0005-0000-0000-0000684F0000}"/>
    <cellStyle name="Normal 48 3 4 2 2" xfId="17793" xr:uid="{00000000-0005-0000-0000-0000694F0000}"/>
    <cellStyle name="Normal 48 3 4 2 2 2" xfId="34367" xr:uid="{00000000-0005-0000-0000-00006A4F0000}"/>
    <cellStyle name="Normal 48 3 4 2 3" xfId="26320" xr:uid="{00000000-0005-0000-0000-00006B4F0000}"/>
    <cellStyle name="Normal 48 3 4 3" xfId="13971" xr:uid="{00000000-0005-0000-0000-00006C4F0000}"/>
    <cellStyle name="Normal 48 3 4 3 2" xfId="30515" xr:uid="{00000000-0005-0000-0000-00006D4F0000}"/>
    <cellStyle name="Normal 48 3 4 4" xfId="22472" xr:uid="{00000000-0005-0000-0000-00006E4F0000}"/>
    <cellStyle name="Normal 48 3 5" xfId="4616" xr:uid="{00000000-0005-0000-0000-00006F4F0000}"/>
    <cellStyle name="Normal 48 3 5 2" xfId="13972" xr:uid="{00000000-0005-0000-0000-0000704F0000}"/>
    <cellStyle name="Normal 48 3 5 2 2" xfId="30516" xr:uid="{00000000-0005-0000-0000-0000714F0000}"/>
    <cellStyle name="Normal 48 3 5 3" xfId="22473" xr:uid="{00000000-0005-0000-0000-0000724F0000}"/>
    <cellStyle name="Normal 48 4" xfId="4617" xr:uid="{00000000-0005-0000-0000-0000734F0000}"/>
    <cellStyle name="Normal 48 4 2" xfId="4618" xr:uid="{00000000-0005-0000-0000-0000744F0000}"/>
    <cellStyle name="Normal 48 4 2 2" xfId="4619" xr:uid="{00000000-0005-0000-0000-0000754F0000}"/>
    <cellStyle name="Normal 48 4 2 2 2" xfId="4620" xr:uid="{00000000-0005-0000-0000-0000764F0000}"/>
    <cellStyle name="Normal 48 4 2 2 2 2" xfId="8618" xr:uid="{00000000-0005-0000-0000-0000774F0000}"/>
    <cellStyle name="Normal 48 4 2 2 2 2 2" xfId="17794" xr:uid="{00000000-0005-0000-0000-0000784F0000}"/>
    <cellStyle name="Normal 48 4 2 2 2 2 2 2" xfId="34368" xr:uid="{00000000-0005-0000-0000-0000794F0000}"/>
    <cellStyle name="Normal 48 4 2 2 2 2 3" xfId="26321" xr:uid="{00000000-0005-0000-0000-00007A4F0000}"/>
    <cellStyle name="Normal 48 4 2 2 2 3" xfId="13976" xr:uid="{00000000-0005-0000-0000-00007B4F0000}"/>
    <cellStyle name="Normal 48 4 2 2 2 3 2" xfId="30520" xr:uid="{00000000-0005-0000-0000-00007C4F0000}"/>
    <cellStyle name="Normal 48 4 2 2 2 4" xfId="22477" xr:uid="{00000000-0005-0000-0000-00007D4F0000}"/>
    <cellStyle name="Normal 48 4 2 2 3" xfId="8619" xr:uid="{00000000-0005-0000-0000-00007E4F0000}"/>
    <cellStyle name="Normal 48 4 2 2 3 2" xfId="17795" xr:uid="{00000000-0005-0000-0000-00007F4F0000}"/>
    <cellStyle name="Normal 48 4 2 2 3 2 2" xfId="34369" xr:uid="{00000000-0005-0000-0000-0000804F0000}"/>
    <cellStyle name="Normal 48 4 2 2 3 3" xfId="26322" xr:uid="{00000000-0005-0000-0000-0000814F0000}"/>
    <cellStyle name="Normal 48 4 2 2 4" xfId="13975" xr:uid="{00000000-0005-0000-0000-0000824F0000}"/>
    <cellStyle name="Normal 48 4 2 2 4 2" xfId="30519" xr:uid="{00000000-0005-0000-0000-0000834F0000}"/>
    <cellStyle name="Normal 48 4 2 2 5" xfId="22476" xr:uid="{00000000-0005-0000-0000-0000844F0000}"/>
    <cellStyle name="Normal 48 4 2 3" xfId="4621" xr:uid="{00000000-0005-0000-0000-0000854F0000}"/>
    <cellStyle name="Normal 48 4 2 3 2" xfId="8620" xr:uid="{00000000-0005-0000-0000-0000864F0000}"/>
    <cellStyle name="Normal 48 4 2 3 2 2" xfId="17796" xr:uid="{00000000-0005-0000-0000-0000874F0000}"/>
    <cellStyle name="Normal 48 4 2 3 2 2 2" xfId="34370" xr:uid="{00000000-0005-0000-0000-0000884F0000}"/>
    <cellStyle name="Normal 48 4 2 3 2 3" xfId="26323" xr:uid="{00000000-0005-0000-0000-0000894F0000}"/>
    <cellStyle name="Normal 48 4 2 3 3" xfId="13977" xr:uid="{00000000-0005-0000-0000-00008A4F0000}"/>
    <cellStyle name="Normal 48 4 2 3 3 2" xfId="30521" xr:uid="{00000000-0005-0000-0000-00008B4F0000}"/>
    <cellStyle name="Normal 48 4 2 3 4" xfId="22478" xr:uid="{00000000-0005-0000-0000-00008C4F0000}"/>
    <cellStyle name="Normal 48 4 2 4" xfId="8621" xr:uid="{00000000-0005-0000-0000-00008D4F0000}"/>
    <cellStyle name="Normal 48 4 2 4 2" xfId="17797" xr:uid="{00000000-0005-0000-0000-00008E4F0000}"/>
    <cellStyle name="Normal 48 4 2 4 2 2" xfId="34371" xr:uid="{00000000-0005-0000-0000-00008F4F0000}"/>
    <cellStyle name="Normal 48 4 2 4 3" xfId="26324" xr:uid="{00000000-0005-0000-0000-0000904F0000}"/>
    <cellStyle name="Normal 48 4 2 5" xfId="13974" xr:uid="{00000000-0005-0000-0000-0000914F0000}"/>
    <cellStyle name="Normal 48 4 2 5 2" xfId="30518" xr:uid="{00000000-0005-0000-0000-0000924F0000}"/>
    <cellStyle name="Normal 48 4 2 6" xfId="22475" xr:uid="{00000000-0005-0000-0000-0000934F0000}"/>
    <cellStyle name="Normal 48 4 3" xfId="4622" xr:uid="{00000000-0005-0000-0000-0000944F0000}"/>
    <cellStyle name="Normal 48 4 3 2" xfId="4623" xr:uid="{00000000-0005-0000-0000-0000954F0000}"/>
    <cellStyle name="Normal 48 4 3 2 2" xfId="8622" xr:uid="{00000000-0005-0000-0000-0000964F0000}"/>
    <cellStyle name="Normal 48 4 3 2 2 2" xfId="17798" xr:uid="{00000000-0005-0000-0000-0000974F0000}"/>
    <cellStyle name="Normal 48 4 3 2 2 2 2" xfId="34372" xr:uid="{00000000-0005-0000-0000-0000984F0000}"/>
    <cellStyle name="Normal 48 4 3 2 2 3" xfId="26325" xr:uid="{00000000-0005-0000-0000-0000994F0000}"/>
    <cellStyle name="Normal 48 4 3 2 3" xfId="13979" xr:uid="{00000000-0005-0000-0000-00009A4F0000}"/>
    <cellStyle name="Normal 48 4 3 2 3 2" xfId="30523" xr:uid="{00000000-0005-0000-0000-00009B4F0000}"/>
    <cellStyle name="Normal 48 4 3 2 4" xfId="22480" xr:uid="{00000000-0005-0000-0000-00009C4F0000}"/>
    <cellStyle name="Normal 48 4 3 3" xfId="8623" xr:uid="{00000000-0005-0000-0000-00009D4F0000}"/>
    <cellStyle name="Normal 48 4 3 3 2" xfId="17799" xr:uid="{00000000-0005-0000-0000-00009E4F0000}"/>
    <cellStyle name="Normal 48 4 3 3 2 2" xfId="34373" xr:uid="{00000000-0005-0000-0000-00009F4F0000}"/>
    <cellStyle name="Normal 48 4 3 3 3" xfId="26326" xr:uid="{00000000-0005-0000-0000-0000A04F0000}"/>
    <cellStyle name="Normal 48 4 3 4" xfId="13978" xr:uid="{00000000-0005-0000-0000-0000A14F0000}"/>
    <cellStyle name="Normal 48 4 3 4 2" xfId="30522" xr:uid="{00000000-0005-0000-0000-0000A24F0000}"/>
    <cellStyle name="Normal 48 4 3 5" xfId="22479" xr:uid="{00000000-0005-0000-0000-0000A34F0000}"/>
    <cellStyle name="Normal 48 4 4" xfId="4624" xr:uid="{00000000-0005-0000-0000-0000A44F0000}"/>
    <cellStyle name="Normal 48 4 4 2" xfId="8624" xr:uid="{00000000-0005-0000-0000-0000A54F0000}"/>
    <cellStyle name="Normal 48 4 4 2 2" xfId="17800" xr:uid="{00000000-0005-0000-0000-0000A64F0000}"/>
    <cellStyle name="Normal 48 4 4 2 2 2" xfId="34374" xr:uid="{00000000-0005-0000-0000-0000A74F0000}"/>
    <cellStyle name="Normal 48 4 4 2 3" xfId="26327" xr:uid="{00000000-0005-0000-0000-0000A84F0000}"/>
    <cellStyle name="Normal 48 4 4 3" xfId="13980" xr:uid="{00000000-0005-0000-0000-0000A94F0000}"/>
    <cellStyle name="Normal 48 4 4 3 2" xfId="30524" xr:uid="{00000000-0005-0000-0000-0000AA4F0000}"/>
    <cellStyle name="Normal 48 4 4 4" xfId="22481" xr:uid="{00000000-0005-0000-0000-0000AB4F0000}"/>
    <cellStyle name="Normal 48 4 5" xfId="8625" xr:uid="{00000000-0005-0000-0000-0000AC4F0000}"/>
    <cellStyle name="Normal 48 4 5 2" xfId="17801" xr:uid="{00000000-0005-0000-0000-0000AD4F0000}"/>
    <cellStyle name="Normal 48 4 5 2 2" xfId="34375" xr:uid="{00000000-0005-0000-0000-0000AE4F0000}"/>
    <cellStyle name="Normal 48 4 5 3" xfId="26328" xr:uid="{00000000-0005-0000-0000-0000AF4F0000}"/>
    <cellStyle name="Normal 48 4 6" xfId="13973" xr:uid="{00000000-0005-0000-0000-0000B04F0000}"/>
    <cellStyle name="Normal 48 4 6 2" xfId="30517" xr:uid="{00000000-0005-0000-0000-0000B14F0000}"/>
    <cellStyle name="Normal 48 4 7" xfId="22474" xr:uid="{00000000-0005-0000-0000-0000B24F0000}"/>
    <cellStyle name="Normal 48 5" xfId="4625" xr:uid="{00000000-0005-0000-0000-0000B34F0000}"/>
    <cellStyle name="Normal 48 5 2" xfId="4626" xr:uid="{00000000-0005-0000-0000-0000B44F0000}"/>
    <cellStyle name="Normal 48 5 2 2" xfId="4627" xr:uid="{00000000-0005-0000-0000-0000B54F0000}"/>
    <cellStyle name="Normal 48 5 2 2 2" xfId="4628" xr:uid="{00000000-0005-0000-0000-0000B64F0000}"/>
    <cellStyle name="Normal 48 5 2 2 2 2" xfId="8626" xr:uid="{00000000-0005-0000-0000-0000B74F0000}"/>
    <cellStyle name="Normal 48 5 2 2 2 2 2" xfId="17802" xr:uid="{00000000-0005-0000-0000-0000B84F0000}"/>
    <cellStyle name="Normal 48 5 2 2 2 2 2 2" xfId="34376" xr:uid="{00000000-0005-0000-0000-0000B94F0000}"/>
    <cellStyle name="Normal 48 5 2 2 2 2 3" xfId="26329" xr:uid="{00000000-0005-0000-0000-0000BA4F0000}"/>
    <cellStyle name="Normal 48 5 2 2 2 3" xfId="13984" xr:uid="{00000000-0005-0000-0000-0000BB4F0000}"/>
    <cellStyle name="Normal 48 5 2 2 2 3 2" xfId="30528" xr:uid="{00000000-0005-0000-0000-0000BC4F0000}"/>
    <cellStyle name="Normal 48 5 2 2 2 4" xfId="22485" xr:uid="{00000000-0005-0000-0000-0000BD4F0000}"/>
    <cellStyle name="Normal 48 5 2 2 3" xfId="8627" xr:uid="{00000000-0005-0000-0000-0000BE4F0000}"/>
    <cellStyle name="Normal 48 5 2 2 3 2" xfId="17803" xr:uid="{00000000-0005-0000-0000-0000BF4F0000}"/>
    <cellStyle name="Normal 48 5 2 2 3 2 2" xfId="34377" xr:uid="{00000000-0005-0000-0000-0000C04F0000}"/>
    <cellStyle name="Normal 48 5 2 2 3 3" xfId="26330" xr:uid="{00000000-0005-0000-0000-0000C14F0000}"/>
    <cellStyle name="Normal 48 5 2 2 4" xfId="13983" xr:uid="{00000000-0005-0000-0000-0000C24F0000}"/>
    <cellStyle name="Normal 48 5 2 2 4 2" xfId="30527" xr:uid="{00000000-0005-0000-0000-0000C34F0000}"/>
    <cellStyle name="Normal 48 5 2 2 5" xfId="22484" xr:uid="{00000000-0005-0000-0000-0000C44F0000}"/>
    <cellStyle name="Normal 48 5 2 3" xfId="4629" xr:uid="{00000000-0005-0000-0000-0000C54F0000}"/>
    <cellStyle name="Normal 48 5 2 3 2" xfId="8628" xr:uid="{00000000-0005-0000-0000-0000C64F0000}"/>
    <cellStyle name="Normal 48 5 2 3 2 2" xfId="17804" xr:uid="{00000000-0005-0000-0000-0000C74F0000}"/>
    <cellStyle name="Normal 48 5 2 3 2 2 2" xfId="34378" xr:uid="{00000000-0005-0000-0000-0000C84F0000}"/>
    <cellStyle name="Normal 48 5 2 3 2 3" xfId="26331" xr:uid="{00000000-0005-0000-0000-0000C94F0000}"/>
    <cellStyle name="Normal 48 5 2 3 3" xfId="13985" xr:uid="{00000000-0005-0000-0000-0000CA4F0000}"/>
    <cellStyle name="Normal 48 5 2 3 3 2" xfId="30529" xr:uid="{00000000-0005-0000-0000-0000CB4F0000}"/>
    <cellStyle name="Normal 48 5 2 3 4" xfId="22486" xr:uid="{00000000-0005-0000-0000-0000CC4F0000}"/>
    <cellStyle name="Normal 48 5 2 4" xfId="8629" xr:uid="{00000000-0005-0000-0000-0000CD4F0000}"/>
    <cellStyle name="Normal 48 5 2 4 2" xfId="17805" xr:uid="{00000000-0005-0000-0000-0000CE4F0000}"/>
    <cellStyle name="Normal 48 5 2 4 2 2" xfId="34379" xr:uid="{00000000-0005-0000-0000-0000CF4F0000}"/>
    <cellStyle name="Normal 48 5 2 4 3" xfId="26332" xr:uid="{00000000-0005-0000-0000-0000D04F0000}"/>
    <cellStyle name="Normal 48 5 2 5" xfId="13982" xr:uid="{00000000-0005-0000-0000-0000D14F0000}"/>
    <cellStyle name="Normal 48 5 2 5 2" xfId="30526" xr:uid="{00000000-0005-0000-0000-0000D24F0000}"/>
    <cellStyle name="Normal 48 5 2 6" xfId="22483" xr:uid="{00000000-0005-0000-0000-0000D34F0000}"/>
    <cellStyle name="Normal 48 5 3" xfId="4630" xr:uid="{00000000-0005-0000-0000-0000D44F0000}"/>
    <cellStyle name="Normal 48 5 3 2" xfId="4631" xr:uid="{00000000-0005-0000-0000-0000D54F0000}"/>
    <cellStyle name="Normal 48 5 3 2 2" xfId="8630" xr:uid="{00000000-0005-0000-0000-0000D64F0000}"/>
    <cellStyle name="Normal 48 5 3 2 2 2" xfId="17806" xr:uid="{00000000-0005-0000-0000-0000D74F0000}"/>
    <cellStyle name="Normal 48 5 3 2 2 2 2" xfId="34380" xr:uid="{00000000-0005-0000-0000-0000D84F0000}"/>
    <cellStyle name="Normal 48 5 3 2 2 3" xfId="26333" xr:uid="{00000000-0005-0000-0000-0000D94F0000}"/>
    <cellStyle name="Normal 48 5 3 2 3" xfId="13987" xr:uid="{00000000-0005-0000-0000-0000DA4F0000}"/>
    <cellStyle name="Normal 48 5 3 2 3 2" xfId="30531" xr:uid="{00000000-0005-0000-0000-0000DB4F0000}"/>
    <cellStyle name="Normal 48 5 3 2 4" xfId="22488" xr:uid="{00000000-0005-0000-0000-0000DC4F0000}"/>
    <cellStyle name="Normal 48 5 3 3" xfId="8631" xr:uid="{00000000-0005-0000-0000-0000DD4F0000}"/>
    <cellStyle name="Normal 48 5 3 3 2" xfId="17807" xr:uid="{00000000-0005-0000-0000-0000DE4F0000}"/>
    <cellStyle name="Normal 48 5 3 3 2 2" xfId="34381" xr:uid="{00000000-0005-0000-0000-0000DF4F0000}"/>
    <cellStyle name="Normal 48 5 3 3 3" xfId="26334" xr:uid="{00000000-0005-0000-0000-0000E04F0000}"/>
    <cellStyle name="Normal 48 5 3 4" xfId="13986" xr:uid="{00000000-0005-0000-0000-0000E14F0000}"/>
    <cellStyle name="Normal 48 5 3 4 2" xfId="30530" xr:uid="{00000000-0005-0000-0000-0000E24F0000}"/>
    <cellStyle name="Normal 48 5 3 5" xfId="22487" xr:uid="{00000000-0005-0000-0000-0000E34F0000}"/>
    <cellStyle name="Normal 48 5 4" xfId="4632" xr:uid="{00000000-0005-0000-0000-0000E44F0000}"/>
    <cellStyle name="Normal 48 5 4 2" xfId="8632" xr:uid="{00000000-0005-0000-0000-0000E54F0000}"/>
    <cellStyle name="Normal 48 5 4 2 2" xfId="17808" xr:uid="{00000000-0005-0000-0000-0000E64F0000}"/>
    <cellStyle name="Normal 48 5 4 2 2 2" xfId="34382" xr:uid="{00000000-0005-0000-0000-0000E74F0000}"/>
    <cellStyle name="Normal 48 5 4 2 3" xfId="26335" xr:uid="{00000000-0005-0000-0000-0000E84F0000}"/>
    <cellStyle name="Normal 48 5 4 3" xfId="13988" xr:uid="{00000000-0005-0000-0000-0000E94F0000}"/>
    <cellStyle name="Normal 48 5 4 3 2" xfId="30532" xr:uid="{00000000-0005-0000-0000-0000EA4F0000}"/>
    <cellStyle name="Normal 48 5 4 4" xfId="22489" xr:uid="{00000000-0005-0000-0000-0000EB4F0000}"/>
    <cellStyle name="Normal 48 5 5" xfId="8633" xr:uid="{00000000-0005-0000-0000-0000EC4F0000}"/>
    <cellStyle name="Normal 48 5 5 2" xfId="17809" xr:uid="{00000000-0005-0000-0000-0000ED4F0000}"/>
    <cellStyle name="Normal 48 5 5 2 2" xfId="34383" xr:uid="{00000000-0005-0000-0000-0000EE4F0000}"/>
    <cellStyle name="Normal 48 5 5 3" xfId="26336" xr:uid="{00000000-0005-0000-0000-0000EF4F0000}"/>
    <cellStyle name="Normal 48 5 6" xfId="13981" xr:uid="{00000000-0005-0000-0000-0000F04F0000}"/>
    <cellStyle name="Normal 48 5 6 2" xfId="30525" xr:uid="{00000000-0005-0000-0000-0000F14F0000}"/>
    <cellStyle name="Normal 48 5 7" xfId="22482" xr:uid="{00000000-0005-0000-0000-0000F24F0000}"/>
    <cellStyle name="Normal 48 6" xfId="4633" xr:uid="{00000000-0005-0000-0000-0000F34F0000}"/>
    <cellStyle name="Normal 48 6 2" xfId="4634" xr:uid="{00000000-0005-0000-0000-0000F44F0000}"/>
    <cellStyle name="Normal 48 6 2 2" xfId="4635" xr:uid="{00000000-0005-0000-0000-0000F54F0000}"/>
    <cellStyle name="Normal 48 6 2 2 2" xfId="8634" xr:uid="{00000000-0005-0000-0000-0000F64F0000}"/>
    <cellStyle name="Normal 48 6 2 2 2 2" xfId="17810" xr:uid="{00000000-0005-0000-0000-0000F74F0000}"/>
    <cellStyle name="Normal 48 6 2 2 2 2 2" xfId="34384" xr:uid="{00000000-0005-0000-0000-0000F84F0000}"/>
    <cellStyle name="Normal 48 6 2 2 2 3" xfId="26337" xr:uid="{00000000-0005-0000-0000-0000F94F0000}"/>
    <cellStyle name="Normal 48 6 2 2 3" xfId="13991" xr:uid="{00000000-0005-0000-0000-0000FA4F0000}"/>
    <cellStyle name="Normal 48 6 2 2 3 2" xfId="30535" xr:uid="{00000000-0005-0000-0000-0000FB4F0000}"/>
    <cellStyle name="Normal 48 6 2 2 4" xfId="22492" xr:uid="{00000000-0005-0000-0000-0000FC4F0000}"/>
    <cellStyle name="Normal 48 6 2 3" xfId="8635" xr:uid="{00000000-0005-0000-0000-0000FD4F0000}"/>
    <cellStyle name="Normal 48 6 2 3 2" xfId="17811" xr:uid="{00000000-0005-0000-0000-0000FE4F0000}"/>
    <cellStyle name="Normal 48 6 2 3 2 2" xfId="34385" xr:uid="{00000000-0005-0000-0000-0000FF4F0000}"/>
    <cellStyle name="Normal 48 6 2 3 3" xfId="26338" xr:uid="{00000000-0005-0000-0000-000000500000}"/>
    <cellStyle name="Normal 48 6 2 4" xfId="13990" xr:uid="{00000000-0005-0000-0000-000001500000}"/>
    <cellStyle name="Normal 48 6 2 4 2" xfId="30534" xr:uid="{00000000-0005-0000-0000-000002500000}"/>
    <cellStyle name="Normal 48 6 2 5" xfId="22491" xr:uid="{00000000-0005-0000-0000-000003500000}"/>
    <cellStyle name="Normal 48 6 3" xfId="4636" xr:uid="{00000000-0005-0000-0000-000004500000}"/>
    <cellStyle name="Normal 48 6 3 2" xfId="8636" xr:uid="{00000000-0005-0000-0000-000005500000}"/>
    <cellStyle name="Normal 48 6 3 2 2" xfId="17812" xr:uid="{00000000-0005-0000-0000-000006500000}"/>
    <cellStyle name="Normal 48 6 3 2 2 2" xfId="34386" xr:uid="{00000000-0005-0000-0000-000007500000}"/>
    <cellStyle name="Normal 48 6 3 2 3" xfId="26339" xr:uid="{00000000-0005-0000-0000-000008500000}"/>
    <cellStyle name="Normal 48 6 3 3" xfId="13992" xr:uid="{00000000-0005-0000-0000-000009500000}"/>
    <cellStyle name="Normal 48 6 3 3 2" xfId="30536" xr:uid="{00000000-0005-0000-0000-00000A500000}"/>
    <cellStyle name="Normal 48 6 3 4" xfId="22493" xr:uid="{00000000-0005-0000-0000-00000B500000}"/>
    <cellStyle name="Normal 48 6 4" xfId="8637" xr:uid="{00000000-0005-0000-0000-00000C500000}"/>
    <cellStyle name="Normal 48 6 4 2" xfId="17813" xr:uid="{00000000-0005-0000-0000-00000D500000}"/>
    <cellStyle name="Normal 48 6 4 2 2" xfId="34387" xr:uid="{00000000-0005-0000-0000-00000E500000}"/>
    <cellStyle name="Normal 48 6 4 3" xfId="26340" xr:uid="{00000000-0005-0000-0000-00000F500000}"/>
    <cellStyle name="Normal 48 6 5" xfId="13989" xr:uid="{00000000-0005-0000-0000-000010500000}"/>
    <cellStyle name="Normal 48 6 5 2" xfId="30533" xr:uid="{00000000-0005-0000-0000-000011500000}"/>
    <cellStyle name="Normal 48 6 6" xfId="22490" xr:uid="{00000000-0005-0000-0000-000012500000}"/>
    <cellStyle name="Normal 48 7" xfId="4637" xr:uid="{00000000-0005-0000-0000-000013500000}"/>
    <cellStyle name="Normal 48 7 2" xfId="4638" xr:uid="{00000000-0005-0000-0000-000014500000}"/>
    <cellStyle name="Normal 48 7 2 2" xfId="8638" xr:uid="{00000000-0005-0000-0000-000015500000}"/>
    <cellStyle name="Normal 48 7 2 2 2" xfId="17814" xr:uid="{00000000-0005-0000-0000-000016500000}"/>
    <cellStyle name="Normal 48 7 2 2 2 2" xfId="34388" xr:uid="{00000000-0005-0000-0000-000017500000}"/>
    <cellStyle name="Normal 48 7 2 2 3" xfId="26341" xr:uid="{00000000-0005-0000-0000-000018500000}"/>
    <cellStyle name="Normal 48 7 2 3" xfId="13994" xr:uid="{00000000-0005-0000-0000-000019500000}"/>
    <cellStyle name="Normal 48 7 2 3 2" xfId="30538" xr:uid="{00000000-0005-0000-0000-00001A500000}"/>
    <cellStyle name="Normal 48 7 2 4" xfId="22495" xr:uid="{00000000-0005-0000-0000-00001B500000}"/>
    <cellStyle name="Normal 48 7 3" xfId="8639" xr:uid="{00000000-0005-0000-0000-00001C500000}"/>
    <cellStyle name="Normal 48 7 3 2" xfId="17815" xr:uid="{00000000-0005-0000-0000-00001D500000}"/>
    <cellStyle name="Normal 48 7 3 2 2" xfId="34389" xr:uid="{00000000-0005-0000-0000-00001E500000}"/>
    <cellStyle name="Normal 48 7 3 3" xfId="26342" xr:uid="{00000000-0005-0000-0000-00001F500000}"/>
    <cellStyle name="Normal 48 7 4" xfId="13993" xr:uid="{00000000-0005-0000-0000-000020500000}"/>
    <cellStyle name="Normal 48 7 4 2" xfId="30537" xr:uid="{00000000-0005-0000-0000-000021500000}"/>
    <cellStyle name="Normal 48 7 5" xfId="22494" xr:uid="{00000000-0005-0000-0000-000022500000}"/>
    <cellStyle name="Normal 48 8" xfId="4639" xr:uid="{00000000-0005-0000-0000-000023500000}"/>
    <cellStyle name="Normal 48 8 2" xfId="8640" xr:uid="{00000000-0005-0000-0000-000024500000}"/>
    <cellStyle name="Normal 48 8 2 2" xfId="17816" xr:uid="{00000000-0005-0000-0000-000025500000}"/>
    <cellStyle name="Normal 48 8 2 2 2" xfId="34390" xr:uid="{00000000-0005-0000-0000-000026500000}"/>
    <cellStyle name="Normal 48 8 2 3" xfId="26343" xr:uid="{00000000-0005-0000-0000-000027500000}"/>
    <cellStyle name="Normal 48 8 3" xfId="13995" xr:uid="{00000000-0005-0000-0000-000028500000}"/>
    <cellStyle name="Normal 48 8 3 2" xfId="30539" xr:uid="{00000000-0005-0000-0000-000029500000}"/>
    <cellStyle name="Normal 48 8 4" xfId="22496" xr:uid="{00000000-0005-0000-0000-00002A500000}"/>
    <cellStyle name="Normal 48 9" xfId="8641" xr:uid="{00000000-0005-0000-0000-00002B500000}"/>
    <cellStyle name="Normal 48 9 2" xfId="17817" xr:uid="{00000000-0005-0000-0000-00002C500000}"/>
    <cellStyle name="Normal 48 9 2 2" xfId="34391" xr:uid="{00000000-0005-0000-0000-00002D500000}"/>
    <cellStyle name="Normal 48 9 3" xfId="26344" xr:uid="{00000000-0005-0000-0000-00002E500000}"/>
    <cellStyle name="Normal 49" xfId="4640" xr:uid="{00000000-0005-0000-0000-00002F500000}"/>
    <cellStyle name="Normal 49 10" xfId="13996" xr:uid="{00000000-0005-0000-0000-000030500000}"/>
    <cellStyle name="Normal 49 10 2" xfId="30540" xr:uid="{00000000-0005-0000-0000-000031500000}"/>
    <cellStyle name="Normal 49 11" xfId="22497" xr:uid="{00000000-0005-0000-0000-000032500000}"/>
    <cellStyle name="Normal 49 2" xfId="4641" xr:uid="{00000000-0005-0000-0000-000033500000}"/>
    <cellStyle name="Normal 49 2 2" xfId="4642" xr:uid="{00000000-0005-0000-0000-000034500000}"/>
    <cellStyle name="Normal 49 2 3" xfId="13997" xr:uid="{00000000-0005-0000-0000-000035500000}"/>
    <cellStyle name="Normal 49 2 3 2" xfId="30541" xr:uid="{00000000-0005-0000-0000-000036500000}"/>
    <cellStyle name="Normal 49 2 4" xfId="22498" xr:uid="{00000000-0005-0000-0000-000037500000}"/>
    <cellStyle name="Normal 49 3" xfId="4643" xr:uid="{00000000-0005-0000-0000-000038500000}"/>
    <cellStyle name="Normal 49 3 2" xfId="4644" xr:uid="{00000000-0005-0000-0000-000039500000}"/>
    <cellStyle name="Normal 49 3 2 2" xfId="4645" xr:uid="{00000000-0005-0000-0000-00003A500000}"/>
    <cellStyle name="Normal 49 3 2 2 2" xfId="4646" xr:uid="{00000000-0005-0000-0000-00003B500000}"/>
    <cellStyle name="Normal 49 3 2 2 2 2" xfId="8642" xr:uid="{00000000-0005-0000-0000-00003C500000}"/>
    <cellStyle name="Normal 49 3 2 2 2 2 2" xfId="17818" xr:uid="{00000000-0005-0000-0000-00003D500000}"/>
    <cellStyle name="Normal 49 3 2 2 2 2 2 2" xfId="34392" xr:uid="{00000000-0005-0000-0000-00003E500000}"/>
    <cellStyle name="Normal 49 3 2 2 2 2 3" xfId="26345" xr:uid="{00000000-0005-0000-0000-00003F500000}"/>
    <cellStyle name="Normal 49 3 2 2 2 3" xfId="14000" xr:uid="{00000000-0005-0000-0000-000040500000}"/>
    <cellStyle name="Normal 49 3 2 2 2 3 2" xfId="30544" xr:uid="{00000000-0005-0000-0000-000041500000}"/>
    <cellStyle name="Normal 49 3 2 2 2 4" xfId="22501" xr:uid="{00000000-0005-0000-0000-000042500000}"/>
    <cellStyle name="Normal 49 3 2 2 3" xfId="8643" xr:uid="{00000000-0005-0000-0000-000043500000}"/>
    <cellStyle name="Normal 49 3 2 2 3 2" xfId="17819" xr:uid="{00000000-0005-0000-0000-000044500000}"/>
    <cellStyle name="Normal 49 3 2 2 3 2 2" xfId="34393" xr:uid="{00000000-0005-0000-0000-000045500000}"/>
    <cellStyle name="Normal 49 3 2 2 3 3" xfId="26346" xr:uid="{00000000-0005-0000-0000-000046500000}"/>
    <cellStyle name="Normal 49 3 2 2 4" xfId="13999" xr:uid="{00000000-0005-0000-0000-000047500000}"/>
    <cellStyle name="Normal 49 3 2 2 4 2" xfId="30543" xr:uid="{00000000-0005-0000-0000-000048500000}"/>
    <cellStyle name="Normal 49 3 2 2 5" xfId="22500" xr:uid="{00000000-0005-0000-0000-000049500000}"/>
    <cellStyle name="Normal 49 3 2 3" xfId="4647" xr:uid="{00000000-0005-0000-0000-00004A500000}"/>
    <cellStyle name="Normal 49 3 2 3 2" xfId="8644" xr:uid="{00000000-0005-0000-0000-00004B500000}"/>
    <cellStyle name="Normal 49 3 2 3 2 2" xfId="17820" xr:uid="{00000000-0005-0000-0000-00004C500000}"/>
    <cellStyle name="Normal 49 3 2 3 2 2 2" xfId="34394" xr:uid="{00000000-0005-0000-0000-00004D500000}"/>
    <cellStyle name="Normal 49 3 2 3 2 3" xfId="26347" xr:uid="{00000000-0005-0000-0000-00004E500000}"/>
    <cellStyle name="Normal 49 3 2 3 3" xfId="14001" xr:uid="{00000000-0005-0000-0000-00004F500000}"/>
    <cellStyle name="Normal 49 3 2 3 3 2" xfId="30545" xr:uid="{00000000-0005-0000-0000-000050500000}"/>
    <cellStyle name="Normal 49 3 2 3 4" xfId="22502" xr:uid="{00000000-0005-0000-0000-000051500000}"/>
    <cellStyle name="Normal 49 3 2 4" xfId="8645" xr:uid="{00000000-0005-0000-0000-000052500000}"/>
    <cellStyle name="Normal 49 3 2 4 2" xfId="17821" xr:uid="{00000000-0005-0000-0000-000053500000}"/>
    <cellStyle name="Normal 49 3 2 4 2 2" xfId="34395" xr:uid="{00000000-0005-0000-0000-000054500000}"/>
    <cellStyle name="Normal 49 3 2 4 3" xfId="26348" xr:uid="{00000000-0005-0000-0000-000055500000}"/>
    <cellStyle name="Normal 49 3 2 5" xfId="13998" xr:uid="{00000000-0005-0000-0000-000056500000}"/>
    <cellStyle name="Normal 49 3 2 5 2" xfId="30542" xr:uid="{00000000-0005-0000-0000-000057500000}"/>
    <cellStyle name="Normal 49 3 2 6" xfId="22499" xr:uid="{00000000-0005-0000-0000-000058500000}"/>
    <cellStyle name="Normal 49 3 3" xfId="4648" xr:uid="{00000000-0005-0000-0000-000059500000}"/>
    <cellStyle name="Normal 49 3 3 2" xfId="4649" xr:uid="{00000000-0005-0000-0000-00005A500000}"/>
    <cellStyle name="Normal 49 3 3 2 2" xfId="8646" xr:uid="{00000000-0005-0000-0000-00005B500000}"/>
    <cellStyle name="Normal 49 3 3 2 2 2" xfId="17822" xr:uid="{00000000-0005-0000-0000-00005C500000}"/>
    <cellStyle name="Normal 49 3 3 2 2 2 2" xfId="34396" xr:uid="{00000000-0005-0000-0000-00005D500000}"/>
    <cellStyle name="Normal 49 3 3 2 2 3" xfId="26349" xr:uid="{00000000-0005-0000-0000-00005E500000}"/>
    <cellStyle name="Normal 49 3 3 2 3" xfId="14003" xr:uid="{00000000-0005-0000-0000-00005F500000}"/>
    <cellStyle name="Normal 49 3 3 2 3 2" xfId="30547" xr:uid="{00000000-0005-0000-0000-000060500000}"/>
    <cellStyle name="Normal 49 3 3 2 4" xfId="22504" xr:uid="{00000000-0005-0000-0000-000061500000}"/>
    <cellStyle name="Normal 49 3 3 3" xfId="8647" xr:uid="{00000000-0005-0000-0000-000062500000}"/>
    <cellStyle name="Normal 49 3 3 3 2" xfId="17823" xr:uid="{00000000-0005-0000-0000-000063500000}"/>
    <cellStyle name="Normal 49 3 3 3 2 2" xfId="34397" xr:uid="{00000000-0005-0000-0000-000064500000}"/>
    <cellStyle name="Normal 49 3 3 3 3" xfId="26350" xr:uid="{00000000-0005-0000-0000-000065500000}"/>
    <cellStyle name="Normal 49 3 3 4" xfId="14002" xr:uid="{00000000-0005-0000-0000-000066500000}"/>
    <cellStyle name="Normal 49 3 3 4 2" xfId="30546" xr:uid="{00000000-0005-0000-0000-000067500000}"/>
    <cellStyle name="Normal 49 3 3 5" xfId="22503" xr:uid="{00000000-0005-0000-0000-000068500000}"/>
    <cellStyle name="Normal 49 3 4" xfId="4650" xr:uid="{00000000-0005-0000-0000-000069500000}"/>
    <cellStyle name="Normal 49 3 4 2" xfId="8648" xr:uid="{00000000-0005-0000-0000-00006A500000}"/>
    <cellStyle name="Normal 49 3 4 2 2" xfId="17824" xr:uid="{00000000-0005-0000-0000-00006B500000}"/>
    <cellStyle name="Normal 49 3 4 2 2 2" xfId="34398" xr:uid="{00000000-0005-0000-0000-00006C500000}"/>
    <cellStyle name="Normal 49 3 4 2 3" xfId="26351" xr:uid="{00000000-0005-0000-0000-00006D500000}"/>
    <cellStyle name="Normal 49 3 4 3" xfId="14004" xr:uid="{00000000-0005-0000-0000-00006E500000}"/>
    <cellStyle name="Normal 49 3 4 3 2" xfId="30548" xr:uid="{00000000-0005-0000-0000-00006F500000}"/>
    <cellStyle name="Normal 49 3 4 4" xfId="22505" xr:uid="{00000000-0005-0000-0000-000070500000}"/>
    <cellStyle name="Normal 49 3 5" xfId="4651" xr:uid="{00000000-0005-0000-0000-000071500000}"/>
    <cellStyle name="Normal 49 3 5 2" xfId="14005" xr:uid="{00000000-0005-0000-0000-000072500000}"/>
    <cellStyle name="Normal 49 3 5 2 2" xfId="30549" xr:uid="{00000000-0005-0000-0000-000073500000}"/>
    <cellStyle name="Normal 49 3 5 3" xfId="22506" xr:uid="{00000000-0005-0000-0000-000074500000}"/>
    <cellStyle name="Normal 49 4" xfId="4652" xr:uid="{00000000-0005-0000-0000-000075500000}"/>
    <cellStyle name="Normal 49 4 2" xfId="4653" xr:uid="{00000000-0005-0000-0000-000076500000}"/>
    <cellStyle name="Normal 49 4 2 2" xfId="4654" xr:uid="{00000000-0005-0000-0000-000077500000}"/>
    <cellStyle name="Normal 49 4 2 2 2" xfId="4655" xr:uid="{00000000-0005-0000-0000-000078500000}"/>
    <cellStyle name="Normal 49 4 2 2 2 2" xfId="8649" xr:uid="{00000000-0005-0000-0000-000079500000}"/>
    <cellStyle name="Normal 49 4 2 2 2 2 2" xfId="17825" xr:uid="{00000000-0005-0000-0000-00007A500000}"/>
    <cellStyle name="Normal 49 4 2 2 2 2 2 2" xfId="34399" xr:uid="{00000000-0005-0000-0000-00007B500000}"/>
    <cellStyle name="Normal 49 4 2 2 2 2 3" xfId="26352" xr:uid="{00000000-0005-0000-0000-00007C500000}"/>
    <cellStyle name="Normal 49 4 2 2 2 3" xfId="14009" xr:uid="{00000000-0005-0000-0000-00007D500000}"/>
    <cellStyle name="Normal 49 4 2 2 2 3 2" xfId="30553" xr:uid="{00000000-0005-0000-0000-00007E500000}"/>
    <cellStyle name="Normal 49 4 2 2 2 4" xfId="22510" xr:uid="{00000000-0005-0000-0000-00007F500000}"/>
    <cellStyle name="Normal 49 4 2 2 3" xfId="8650" xr:uid="{00000000-0005-0000-0000-000080500000}"/>
    <cellStyle name="Normal 49 4 2 2 3 2" xfId="17826" xr:uid="{00000000-0005-0000-0000-000081500000}"/>
    <cellStyle name="Normal 49 4 2 2 3 2 2" xfId="34400" xr:uid="{00000000-0005-0000-0000-000082500000}"/>
    <cellStyle name="Normal 49 4 2 2 3 3" xfId="26353" xr:uid="{00000000-0005-0000-0000-000083500000}"/>
    <cellStyle name="Normal 49 4 2 2 4" xfId="14008" xr:uid="{00000000-0005-0000-0000-000084500000}"/>
    <cellStyle name="Normal 49 4 2 2 4 2" xfId="30552" xr:uid="{00000000-0005-0000-0000-000085500000}"/>
    <cellStyle name="Normal 49 4 2 2 5" xfId="22509" xr:uid="{00000000-0005-0000-0000-000086500000}"/>
    <cellStyle name="Normal 49 4 2 3" xfId="4656" xr:uid="{00000000-0005-0000-0000-000087500000}"/>
    <cellStyle name="Normal 49 4 2 3 2" xfId="8651" xr:uid="{00000000-0005-0000-0000-000088500000}"/>
    <cellStyle name="Normal 49 4 2 3 2 2" xfId="17827" xr:uid="{00000000-0005-0000-0000-000089500000}"/>
    <cellStyle name="Normal 49 4 2 3 2 2 2" xfId="34401" xr:uid="{00000000-0005-0000-0000-00008A500000}"/>
    <cellStyle name="Normal 49 4 2 3 2 3" xfId="26354" xr:uid="{00000000-0005-0000-0000-00008B500000}"/>
    <cellStyle name="Normal 49 4 2 3 3" xfId="14010" xr:uid="{00000000-0005-0000-0000-00008C500000}"/>
    <cellStyle name="Normal 49 4 2 3 3 2" xfId="30554" xr:uid="{00000000-0005-0000-0000-00008D500000}"/>
    <cellStyle name="Normal 49 4 2 3 4" xfId="22511" xr:uid="{00000000-0005-0000-0000-00008E500000}"/>
    <cellStyle name="Normal 49 4 2 4" xfId="8652" xr:uid="{00000000-0005-0000-0000-00008F500000}"/>
    <cellStyle name="Normal 49 4 2 4 2" xfId="17828" xr:uid="{00000000-0005-0000-0000-000090500000}"/>
    <cellStyle name="Normal 49 4 2 4 2 2" xfId="34402" xr:uid="{00000000-0005-0000-0000-000091500000}"/>
    <cellStyle name="Normal 49 4 2 4 3" xfId="26355" xr:uid="{00000000-0005-0000-0000-000092500000}"/>
    <cellStyle name="Normal 49 4 2 5" xfId="14007" xr:uid="{00000000-0005-0000-0000-000093500000}"/>
    <cellStyle name="Normal 49 4 2 5 2" xfId="30551" xr:uid="{00000000-0005-0000-0000-000094500000}"/>
    <cellStyle name="Normal 49 4 2 6" xfId="22508" xr:uid="{00000000-0005-0000-0000-000095500000}"/>
    <cellStyle name="Normal 49 4 3" xfId="4657" xr:uid="{00000000-0005-0000-0000-000096500000}"/>
    <cellStyle name="Normal 49 4 3 2" xfId="4658" xr:uid="{00000000-0005-0000-0000-000097500000}"/>
    <cellStyle name="Normal 49 4 3 2 2" xfId="8653" xr:uid="{00000000-0005-0000-0000-000098500000}"/>
    <cellStyle name="Normal 49 4 3 2 2 2" xfId="17829" xr:uid="{00000000-0005-0000-0000-000099500000}"/>
    <cellStyle name="Normal 49 4 3 2 2 2 2" xfId="34403" xr:uid="{00000000-0005-0000-0000-00009A500000}"/>
    <cellStyle name="Normal 49 4 3 2 2 3" xfId="26356" xr:uid="{00000000-0005-0000-0000-00009B500000}"/>
    <cellStyle name="Normal 49 4 3 2 3" xfId="14012" xr:uid="{00000000-0005-0000-0000-00009C500000}"/>
    <cellStyle name="Normal 49 4 3 2 3 2" xfId="30556" xr:uid="{00000000-0005-0000-0000-00009D500000}"/>
    <cellStyle name="Normal 49 4 3 2 4" xfId="22513" xr:uid="{00000000-0005-0000-0000-00009E500000}"/>
    <cellStyle name="Normal 49 4 3 3" xfId="8654" xr:uid="{00000000-0005-0000-0000-00009F500000}"/>
    <cellStyle name="Normal 49 4 3 3 2" xfId="17830" xr:uid="{00000000-0005-0000-0000-0000A0500000}"/>
    <cellStyle name="Normal 49 4 3 3 2 2" xfId="34404" xr:uid="{00000000-0005-0000-0000-0000A1500000}"/>
    <cellStyle name="Normal 49 4 3 3 3" xfId="26357" xr:uid="{00000000-0005-0000-0000-0000A2500000}"/>
    <cellStyle name="Normal 49 4 3 4" xfId="14011" xr:uid="{00000000-0005-0000-0000-0000A3500000}"/>
    <cellStyle name="Normal 49 4 3 4 2" xfId="30555" xr:uid="{00000000-0005-0000-0000-0000A4500000}"/>
    <cellStyle name="Normal 49 4 3 5" xfId="22512" xr:uid="{00000000-0005-0000-0000-0000A5500000}"/>
    <cellStyle name="Normal 49 4 4" xfId="4659" xr:uid="{00000000-0005-0000-0000-0000A6500000}"/>
    <cellStyle name="Normal 49 4 4 2" xfId="8655" xr:uid="{00000000-0005-0000-0000-0000A7500000}"/>
    <cellStyle name="Normal 49 4 4 2 2" xfId="17831" xr:uid="{00000000-0005-0000-0000-0000A8500000}"/>
    <cellStyle name="Normal 49 4 4 2 2 2" xfId="34405" xr:uid="{00000000-0005-0000-0000-0000A9500000}"/>
    <cellStyle name="Normal 49 4 4 2 3" xfId="26358" xr:uid="{00000000-0005-0000-0000-0000AA500000}"/>
    <cellStyle name="Normal 49 4 4 3" xfId="14013" xr:uid="{00000000-0005-0000-0000-0000AB500000}"/>
    <cellStyle name="Normal 49 4 4 3 2" xfId="30557" xr:uid="{00000000-0005-0000-0000-0000AC500000}"/>
    <cellStyle name="Normal 49 4 4 4" xfId="22514" xr:uid="{00000000-0005-0000-0000-0000AD500000}"/>
    <cellStyle name="Normal 49 4 5" xfId="8656" xr:uid="{00000000-0005-0000-0000-0000AE500000}"/>
    <cellStyle name="Normal 49 4 5 2" xfId="17832" xr:uid="{00000000-0005-0000-0000-0000AF500000}"/>
    <cellStyle name="Normal 49 4 5 2 2" xfId="34406" xr:uid="{00000000-0005-0000-0000-0000B0500000}"/>
    <cellStyle name="Normal 49 4 5 3" xfId="26359" xr:uid="{00000000-0005-0000-0000-0000B1500000}"/>
    <cellStyle name="Normal 49 4 6" xfId="14006" xr:uid="{00000000-0005-0000-0000-0000B2500000}"/>
    <cellStyle name="Normal 49 4 6 2" xfId="30550" xr:uid="{00000000-0005-0000-0000-0000B3500000}"/>
    <cellStyle name="Normal 49 4 7" xfId="22507" xr:uid="{00000000-0005-0000-0000-0000B4500000}"/>
    <cellStyle name="Normal 49 5" xfId="4660" xr:uid="{00000000-0005-0000-0000-0000B5500000}"/>
    <cellStyle name="Normal 49 5 2" xfId="4661" xr:uid="{00000000-0005-0000-0000-0000B6500000}"/>
    <cellStyle name="Normal 49 5 2 2" xfId="4662" xr:uid="{00000000-0005-0000-0000-0000B7500000}"/>
    <cellStyle name="Normal 49 5 2 2 2" xfId="4663" xr:uid="{00000000-0005-0000-0000-0000B8500000}"/>
    <cellStyle name="Normal 49 5 2 2 2 2" xfId="8657" xr:uid="{00000000-0005-0000-0000-0000B9500000}"/>
    <cellStyle name="Normal 49 5 2 2 2 2 2" xfId="17833" xr:uid="{00000000-0005-0000-0000-0000BA500000}"/>
    <cellStyle name="Normal 49 5 2 2 2 2 2 2" xfId="34407" xr:uid="{00000000-0005-0000-0000-0000BB500000}"/>
    <cellStyle name="Normal 49 5 2 2 2 2 3" xfId="26360" xr:uid="{00000000-0005-0000-0000-0000BC500000}"/>
    <cellStyle name="Normal 49 5 2 2 2 3" xfId="14017" xr:uid="{00000000-0005-0000-0000-0000BD500000}"/>
    <cellStyle name="Normal 49 5 2 2 2 3 2" xfId="30561" xr:uid="{00000000-0005-0000-0000-0000BE500000}"/>
    <cellStyle name="Normal 49 5 2 2 2 4" xfId="22518" xr:uid="{00000000-0005-0000-0000-0000BF500000}"/>
    <cellStyle name="Normal 49 5 2 2 3" xfId="8658" xr:uid="{00000000-0005-0000-0000-0000C0500000}"/>
    <cellStyle name="Normal 49 5 2 2 3 2" xfId="17834" xr:uid="{00000000-0005-0000-0000-0000C1500000}"/>
    <cellStyle name="Normal 49 5 2 2 3 2 2" xfId="34408" xr:uid="{00000000-0005-0000-0000-0000C2500000}"/>
    <cellStyle name="Normal 49 5 2 2 3 3" xfId="26361" xr:uid="{00000000-0005-0000-0000-0000C3500000}"/>
    <cellStyle name="Normal 49 5 2 2 4" xfId="14016" xr:uid="{00000000-0005-0000-0000-0000C4500000}"/>
    <cellStyle name="Normal 49 5 2 2 4 2" xfId="30560" xr:uid="{00000000-0005-0000-0000-0000C5500000}"/>
    <cellStyle name="Normal 49 5 2 2 5" xfId="22517" xr:uid="{00000000-0005-0000-0000-0000C6500000}"/>
    <cellStyle name="Normal 49 5 2 3" xfId="4664" xr:uid="{00000000-0005-0000-0000-0000C7500000}"/>
    <cellStyle name="Normal 49 5 2 3 2" xfId="8659" xr:uid="{00000000-0005-0000-0000-0000C8500000}"/>
    <cellStyle name="Normal 49 5 2 3 2 2" xfId="17835" xr:uid="{00000000-0005-0000-0000-0000C9500000}"/>
    <cellStyle name="Normal 49 5 2 3 2 2 2" xfId="34409" xr:uid="{00000000-0005-0000-0000-0000CA500000}"/>
    <cellStyle name="Normal 49 5 2 3 2 3" xfId="26362" xr:uid="{00000000-0005-0000-0000-0000CB500000}"/>
    <cellStyle name="Normal 49 5 2 3 3" xfId="14018" xr:uid="{00000000-0005-0000-0000-0000CC500000}"/>
    <cellStyle name="Normal 49 5 2 3 3 2" xfId="30562" xr:uid="{00000000-0005-0000-0000-0000CD500000}"/>
    <cellStyle name="Normal 49 5 2 3 4" xfId="22519" xr:uid="{00000000-0005-0000-0000-0000CE500000}"/>
    <cellStyle name="Normal 49 5 2 4" xfId="8660" xr:uid="{00000000-0005-0000-0000-0000CF500000}"/>
    <cellStyle name="Normal 49 5 2 4 2" xfId="17836" xr:uid="{00000000-0005-0000-0000-0000D0500000}"/>
    <cellStyle name="Normal 49 5 2 4 2 2" xfId="34410" xr:uid="{00000000-0005-0000-0000-0000D1500000}"/>
    <cellStyle name="Normal 49 5 2 4 3" xfId="26363" xr:uid="{00000000-0005-0000-0000-0000D2500000}"/>
    <cellStyle name="Normal 49 5 2 5" xfId="14015" xr:uid="{00000000-0005-0000-0000-0000D3500000}"/>
    <cellStyle name="Normal 49 5 2 5 2" xfId="30559" xr:uid="{00000000-0005-0000-0000-0000D4500000}"/>
    <cellStyle name="Normal 49 5 2 6" xfId="22516" xr:uid="{00000000-0005-0000-0000-0000D5500000}"/>
    <cellStyle name="Normal 49 5 3" xfId="4665" xr:uid="{00000000-0005-0000-0000-0000D6500000}"/>
    <cellStyle name="Normal 49 5 3 2" xfId="4666" xr:uid="{00000000-0005-0000-0000-0000D7500000}"/>
    <cellStyle name="Normal 49 5 3 2 2" xfId="8661" xr:uid="{00000000-0005-0000-0000-0000D8500000}"/>
    <cellStyle name="Normal 49 5 3 2 2 2" xfId="17837" xr:uid="{00000000-0005-0000-0000-0000D9500000}"/>
    <cellStyle name="Normal 49 5 3 2 2 2 2" xfId="34411" xr:uid="{00000000-0005-0000-0000-0000DA500000}"/>
    <cellStyle name="Normal 49 5 3 2 2 3" xfId="26364" xr:uid="{00000000-0005-0000-0000-0000DB500000}"/>
    <cellStyle name="Normal 49 5 3 2 3" xfId="14020" xr:uid="{00000000-0005-0000-0000-0000DC500000}"/>
    <cellStyle name="Normal 49 5 3 2 3 2" xfId="30564" xr:uid="{00000000-0005-0000-0000-0000DD500000}"/>
    <cellStyle name="Normal 49 5 3 2 4" xfId="22521" xr:uid="{00000000-0005-0000-0000-0000DE500000}"/>
    <cellStyle name="Normal 49 5 3 3" xfId="8662" xr:uid="{00000000-0005-0000-0000-0000DF500000}"/>
    <cellStyle name="Normal 49 5 3 3 2" xfId="17838" xr:uid="{00000000-0005-0000-0000-0000E0500000}"/>
    <cellStyle name="Normal 49 5 3 3 2 2" xfId="34412" xr:uid="{00000000-0005-0000-0000-0000E1500000}"/>
    <cellStyle name="Normal 49 5 3 3 3" xfId="26365" xr:uid="{00000000-0005-0000-0000-0000E2500000}"/>
    <cellStyle name="Normal 49 5 3 4" xfId="14019" xr:uid="{00000000-0005-0000-0000-0000E3500000}"/>
    <cellStyle name="Normal 49 5 3 4 2" xfId="30563" xr:uid="{00000000-0005-0000-0000-0000E4500000}"/>
    <cellStyle name="Normal 49 5 3 5" xfId="22520" xr:uid="{00000000-0005-0000-0000-0000E5500000}"/>
    <cellStyle name="Normal 49 5 4" xfId="4667" xr:uid="{00000000-0005-0000-0000-0000E6500000}"/>
    <cellStyle name="Normal 49 5 4 2" xfId="8663" xr:uid="{00000000-0005-0000-0000-0000E7500000}"/>
    <cellStyle name="Normal 49 5 4 2 2" xfId="17839" xr:uid="{00000000-0005-0000-0000-0000E8500000}"/>
    <cellStyle name="Normal 49 5 4 2 2 2" xfId="34413" xr:uid="{00000000-0005-0000-0000-0000E9500000}"/>
    <cellStyle name="Normal 49 5 4 2 3" xfId="26366" xr:uid="{00000000-0005-0000-0000-0000EA500000}"/>
    <cellStyle name="Normal 49 5 4 3" xfId="14021" xr:uid="{00000000-0005-0000-0000-0000EB500000}"/>
    <cellStyle name="Normal 49 5 4 3 2" xfId="30565" xr:uid="{00000000-0005-0000-0000-0000EC500000}"/>
    <cellStyle name="Normal 49 5 4 4" xfId="22522" xr:uid="{00000000-0005-0000-0000-0000ED500000}"/>
    <cellStyle name="Normal 49 5 5" xfId="8664" xr:uid="{00000000-0005-0000-0000-0000EE500000}"/>
    <cellStyle name="Normal 49 5 5 2" xfId="17840" xr:uid="{00000000-0005-0000-0000-0000EF500000}"/>
    <cellStyle name="Normal 49 5 5 2 2" xfId="34414" xr:uid="{00000000-0005-0000-0000-0000F0500000}"/>
    <cellStyle name="Normal 49 5 5 3" xfId="26367" xr:uid="{00000000-0005-0000-0000-0000F1500000}"/>
    <cellStyle name="Normal 49 5 6" xfId="14014" xr:uid="{00000000-0005-0000-0000-0000F2500000}"/>
    <cellStyle name="Normal 49 5 6 2" xfId="30558" xr:uid="{00000000-0005-0000-0000-0000F3500000}"/>
    <cellStyle name="Normal 49 5 7" xfId="22515" xr:uid="{00000000-0005-0000-0000-0000F4500000}"/>
    <cellStyle name="Normal 49 6" xfId="4668" xr:uid="{00000000-0005-0000-0000-0000F5500000}"/>
    <cellStyle name="Normal 49 6 2" xfId="4669" xr:uid="{00000000-0005-0000-0000-0000F6500000}"/>
    <cellStyle name="Normal 49 6 2 2" xfId="4670" xr:uid="{00000000-0005-0000-0000-0000F7500000}"/>
    <cellStyle name="Normal 49 6 2 2 2" xfId="8665" xr:uid="{00000000-0005-0000-0000-0000F8500000}"/>
    <cellStyle name="Normal 49 6 2 2 2 2" xfId="17841" xr:uid="{00000000-0005-0000-0000-0000F9500000}"/>
    <cellStyle name="Normal 49 6 2 2 2 2 2" xfId="34415" xr:uid="{00000000-0005-0000-0000-0000FA500000}"/>
    <cellStyle name="Normal 49 6 2 2 2 3" xfId="26368" xr:uid="{00000000-0005-0000-0000-0000FB500000}"/>
    <cellStyle name="Normal 49 6 2 2 3" xfId="14024" xr:uid="{00000000-0005-0000-0000-0000FC500000}"/>
    <cellStyle name="Normal 49 6 2 2 3 2" xfId="30568" xr:uid="{00000000-0005-0000-0000-0000FD500000}"/>
    <cellStyle name="Normal 49 6 2 2 4" xfId="22525" xr:uid="{00000000-0005-0000-0000-0000FE500000}"/>
    <cellStyle name="Normal 49 6 2 3" xfId="8666" xr:uid="{00000000-0005-0000-0000-0000FF500000}"/>
    <cellStyle name="Normal 49 6 2 3 2" xfId="17842" xr:uid="{00000000-0005-0000-0000-000000510000}"/>
    <cellStyle name="Normal 49 6 2 3 2 2" xfId="34416" xr:uid="{00000000-0005-0000-0000-000001510000}"/>
    <cellStyle name="Normal 49 6 2 3 3" xfId="26369" xr:uid="{00000000-0005-0000-0000-000002510000}"/>
    <cellStyle name="Normal 49 6 2 4" xfId="14023" xr:uid="{00000000-0005-0000-0000-000003510000}"/>
    <cellStyle name="Normal 49 6 2 4 2" xfId="30567" xr:uid="{00000000-0005-0000-0000-000004510000}"/>
    <cellStyle name="Normal 49 6 2 5" xfId="22524" xr:uid="{00000000-0005-0000-0000-000005510000}"/>
    <cellStyle name="Normal 49 6 3" xfId="4671" xr:uid="{00000000-0005-0000-0000-000006510000}"/>
    <cellStyle name="Normal 49 6 3 2" xfId="8667" xr:uid="{00000000-0005-0000-0000-000007510000}"/>
    <cellStyle name="Normal 49 6 3 2 2" xfId="17843" xr:uid="{00000000-0005-0000-0000-000008510000}"/>
    <cellStyle name="Normal 49 6 3 2 2 2" xfId="34417" xr:uid="{00000000-0005-0000-0000-000009510000}"/>
    <cellStyle name="Normal 49 6 3 2 3" xfId="26370" xr:uid="{00000000-0005-0000-0000-00000A510000}"/>
    <cellStyle name="Normal 49 6 3 3" xfId="14025" xr:uid="{00000000-0005-0000-0000-00000B510000}"/>
    <cellStyle name="Normal 49 6 3 3 2" xfId="30569" xr:uid="{00000000-0005-0000-0000-00000C510000}"/>
    <cellStyle name="Normal 49 6 3 4" xfId="22526" xr:uid="{00000000-0005-0000-0000-00000D510000}"/>
    <cellStyle name="Normal 49 6 4" xfId="8668" xr:uid="{00000000-0005-0000-0000-00000E510000}"/>
    <cellStyle name="Normal 49 6 4 2" xfId="17844" xr:uid="{00000000-0005-0000-0000-00000F510000}"/>
    <cellStyle name="Normal 49 6 4 2 2" xfId="34418" xr:uid="{00000000-0005-0000-0000-000010510000}"/>
    <cellStyle name="Normal 49 6 4 3" xfId="26371" xr:uid="{00000000-0005-0000-0000-000011510000}"/>
    <cellStyle name="Normal 49 6 5" xfId="14022" xr:uid="{00000000-0005-0000-0000-000012510000}"/>
    <cellStyle name="Normal 49 6 5 2" xfId="30566" xr:uid="{00000000-0005-0000-0000-000013510000}"/>
    <cellStyle name="Normal 49 6 6" xfId="22523" xr:uid="{00000000-0005-0000-0000-000014510000}"/>
    <cellStyle name="Normal 49 7" xfId="4672" xr:uid="{00000000-0005-0000-0000-000015510000}"/>
    <cellStyle name="Normal 49 7 2" xfId="4673" xr:uid="{00000000-0005-0000-0000-000016510000}"/>
    <cellStyle name="Normal 49 7 2 2" xfId="8669" xr:uid="{00000000-0005-0000-0000-000017510000}"/>
    <cellStyle name="Normal 49 7 2 2 2" xfId="17845" xr:uid="{00000000-0005-0000-0000-000018510000}"/>
    <cellStyle name="Normal 49 7 2 2 2 2" xfId="34419" xr:uid="{00000000-0005-0000-0000-000019510000}"/>
    <cellStyle name="Normal 49 7 2 2 3" xfId="26372" xr:uid="{00000000-0005-0000-0000-00001A510000}"/>
    <cellStyle name="Normal 49 7 2 3" xfId="14027" xr:uid="{00000000-0005-0000-0000-00001B510000}"/>
    <cellStyle name="Normal 49 7 2 3 2" xfId="30571" xr:uid="{00000000-0005-0000-0000-00001C510000}"/>
    <cellStyle name="Normal 49 7 2 4" xfId="22528" xr:uid="{00000000-0005-0000-0000-00001D510000}"/>
    <cellStyle name="Normal 49 7 3" xfId="8670" xr:uid="{00000000-0005-0000-0000-00001E510000}"/>
    <cellStyle name="Normal 49 7 3 2" xfId="17846" xr:uid="{00000000-0005-0000-0000-00001F510000}"/>
    <cellStyle name="Normal 49 7 3 2 2" xfId="34420" xr:uid="{00000000-0005-0000-0000-000020510000}"/>
    <cellStyle name="Normal 49 7 3 3" xfId="26373" xr:uid="{00000000-0005-0000-0000-000021510000}"/>
    <cellStyle name="Normal 49 7 4" xfId="14026" xr:uid="{00000000-0005-0000-0000-000022510000}"/>
    <cellStyle name="Normal 49 7 4 2" xfId="30570" xr:uid="{00000000-0005-0000-0000-000023510000}"/>
    <cellStyle name="Normal 49 7 5" xfId="22527" xr:uid="{00000000-0005-0000-0000-000024510000}"/>
    <cellStyle name="Normal 49 8" xfId="4674" xr:uid="{00000000-0005-0000-0000-000025510000}"/>
    <cellStyle name="Normal 49 8 2" xfId="8671" xr:uid="{00000000-0005-0000-0000-000026510000}"/>
    <cellStyle name="Normal 49 8 2 2" xfId="17847" xr:uid="{00000000-0005-0000-0000-000027510000}"/>
    <cellStyle name="Normal 49 8 2 2 2" xfId="34421" xr:uid="{00000000-0005-0000-0000-000028510000}"/>
    <cellStyle name="Normal 49 8 2 3" xfId="26374" xr:uid="{00000000-0005-0000-0000-000029510000}"/>
    <cellStyle name="Normal 49 8 3" xfId="14028" xr:uid="{00000000-0005-0000-0000-00002A510000}"/>
    <cellStyle name="Normal 49 8 3 2" xfId="30572" xr:uid="{00000000-0005-0000-0000-00002B510000}"/>
    <cellStyle name="Normal 49 8 4" xfId="22529" xr:uid="{00000000-0005-0000-0000-00002C510000}"/>
    <cellStyle name="Normal 49 9" xfId="8672" xr:uid="{00000000-0005-0000-0000-00002D510000}"/>
    <cellStyle name="Normal 49 9 2" xfId="17848" xr:uid="{00000000-0005-0000-0000-00002E510000}"/>
    <cellStyle name="Normal 49 9 2 2" xfId="34422" xr:uid="{00000000-0005-0000-0000-00002F510000}"/>
    <cellStyle name="Normal 49 9 3" xfId="26375" xr:uid="{00000000-0005-0000-0000-000030510000}"/>
    <cellStyle name="Normal 5" xfId="29" xr:uid="{00000000-0005-0000-0000-000031510000}"/>
    <cellStyle name="Normal 5 10" xfId="8674" xr:uid="{00000000-0005-0000-0000-000032510000}"/>
    <cellStyle name="Normal 5 10 2" xfId="17849" xr:uid="{00000000-0005-0000-0000-000033510000}"/>
    <cellStyle name="Normal 5 10 2 2" xfId="34423" xr:uid="{00000000-0005-0000-0000-000034510000}"/>
    <cellStyle name="Normal 5 10 3" xfId="26376" xr:uid="{00000000-0005-0000-0000-000035510000}"/>
    <cellStyle name="Normal 5 11" xfId="8673" xr:uid="{00000000-0005-0000-0000-000036510000}"/>
    <cellStyle name="Normal 5 12" xfId="6614" xr:uid="{00000000-0005-0000-0000-000037510000}"/>
    <cellStyle name="Normal 5 13" xfId="10902" xr:uid="{00000000-0005-0000-0000-000038510000}"/>
    <cellStyle name="Normal 5 13 2" xfId="30573" xr:uid="{00000000-0005-0000-0000-000039510000}"/>
    <cellStyle name="Normal 5 14" xfId="22530" xr:uid="{00000000-0005-0000-0000-00003A510000}"/>
    <cellStyle name="Normal 5 2" xfId="278" xr:uid="{00000000-0005-0000-0000-00003B510000}"/>
    <cellStyle name="Normal 5 2 2" xfId="279" xr:uid="{00000000-0005-0000-0000-00003C510000}"/>
    <cellStyle name="Normal 5 2 2 2" xfId="4676" xr:uid="{00000000-0005-0000-0000-00003D510000}"/>
    <cellStyle name="Normal 5 2 3" xfId="4675" xr:uid="{00000000-0005-0000-0000-00003E510000}"/>
    <cellStyle name="Normal 5 2 3 2" xfId="30574" xr:uid="{00000000-0005-0000-0000-00003F510000}"/>
    <cellStyle name="Normal 5 2 4" xfId="22531" xr:uid="{00000000-0005-0000-0000-000040510000}"/>
    <cellStyle name="Normal 5 3" xfId="280" xr:uid="{00000000-0005-0000-0000-000041510000}"/>
    <cellStyle name="Normal 5 3 2" xfId="4678" xr:uid="{00000000-0005-0000-0000-000042510000}"/>
    <cellStyle name="Normal 5 3 2 2" xfId="4679" xr:uid="{00000000-0005-0000-0000-000043510000}"/>
    <cellStyle name="Normal 5 3 2 2 2" xfId="4680" xr:uid="{00000000-0005-0000-0000-000044510000}"/>
    <cellStyle name="Normal 5 3 2 2 2 2" xfId="8675" xr:uid="{00000000-0005-0000-0000-000045510000}"/>
    <cellStyle name="Normal 5 3 2 2 2 2 2" xfId="17850" xr:uid="{00000000-0005-0000-0000-000046510000}"/>
    <cellStyle name="Normal 5 3 2 2 2 2 2 2" xfId="34424" xr:uid="{00000000-0005-0000-0000-000047510000}"/>
    <cellStyle name="Normal 5 3 2 2 2 2 3" xfId="26377" xr:uid="{00000000-0005-0000-0000-000048510000}"/>
    <cellStyle name="Normal 5 3 2 2 2 3" xfId="14031" xr:uid="{00000000-0005-0000-0000-000049510000}"/>
    <cellStyle name="Normal 5 3 2 2 2 3 2" xfId="30577" xr:uid="{00000000-0005-0000-0000-00004A510000}"/>
    <cellStyle name="Normal 5 3 2 2 2 4" xfId="22534" xr:uid="{00000000-0005-0000-0000-00004B510000}"/>
    <cellStyle name="Normal 5 3 2 2 3" xfId="8676" xr:uid="{00000000-0005-0000-0000-00004C510000}"/>
    <cellStyle name="Normal 5 3 2 2 3 2" xfId="17851" xr:uid="{00000000-0005-0000-0000-00004D510000}"/>
    <cellStyle name="Normal 5 3 2 2 3 2 2" xfId="34425" xr:uid="{00000000-0005-0000-0000-00004E510000}"/>
    <cellStyle name="Normal 5 3 2 2 3 3" xfId="26378" xr:uid="{00000000-0005-0000-0000-00004F510000}"/>
    <cellStyle name="Normal 5 3 2 2 4" xfId="14030" xr:uid="{00000000-0005-0000-0000-000050510000}"/>
    <cellStyle name="Normal 5 3 2 2 4 2" xfId="30576" xr:uid="{00000000-0005-0000-0000-000051510000}"/>
    <cellStyle name="Normal 5 3 2 2 5" xfId="22533" xr:uid="{00000000-0005-0000-0000-000052510000}"/>
    <cellStyle name="Normal 5 3 2 3" xfId="4681" xr:uid="{00000000-0005-0000-0000-000053510000}"/>
    <cellStyle name="Normal 5 3 2 3 2" xfId="8677" xr:uid="{00000000-0005-0000-0000-000054510000}"/>
    <cellStyle name="Normal 5 3 2 3 2 2" xfId="17852" xr:uid="{00000000-0005-0000-0000-000055510000}"/>
    <cellStyle name="Normal 5 3 2 3 2 2 2" xfId="34426" xr:uid="{00000000-0005-0000-0000-000056510000}"/>
    <cellStyle name="Normal 5 3 2 3 2 3" xfId="26379" xr:uid="{00000000-0005-0000-0000-000057510000}"/>
    <cellStyle name="Normal 5 3 2 3 3" xfId="14032" xr:uid="{00000000-0005-0000-0000-000058510000}"/>
    <cellStyle name="Normal 5 3 2 3 3 2" xfId="30578" xr:uid="{00000000-0005-0000-0000-000059510000}"/>
    <cellStyle name="Normal 5 3 2 3 4" xfId="22535" xr:uid="{00000000-0005-0000-0000-00005A510000}"/>
    <cellStyle name="Normal 5 3 2 4" xfId="8678" xr:uid="{00000000-0005-0000-0000-00005B510000}"/>
    <cellStyle name="Normal 5 3 2 4 2" xfId="17853" xr:uid="{00000000-0005-0000-0000-00005C510000}"/>
    <cellStyle name="Normal 5 3 2 4 2 2" xfId="34427" xr:uid="{00000000-0005-0000-0000-00005D510000}"/>
    <cellStyle name="Normal 5 3 2 4 3" xfId="26380" xr:uid="{00000000-0005-0000-0000-00005E510000}"/>
    <cellStyle name="Normal 5 3 2 5" xfId="14029" xr:uid="{00000000-0005-0000-0000-00005F510000}"/>
    <cellStyle name="Normal 5 3 2 5 2" xfId="30575" xr:uid="{00000000-0005-0000-0000-000060510000}"/>
    <cellStyle name="Normal 5 3 2 6" xfId="22532" xr:uid="{00000000-0005-0000-0000-000061510000}"/>
    <cellStyle name="Normal 5 3 3" xfId="4682" xr:uid="{00000000-0005-0000-0000-000062510000}"/>
    <cellStyle name="Normal 5 3 3 2" xfId="4683" xr:uid="{00000000-0005-0000-0000-000063510000}"/>
    <cellStyle name="Normal 5 3 3 2 2" xfId="8679" xr:uid="{00000000-0005-0000-0000-000064510000}"/>
    <cellStyle name="Normal 5 3 3 2 2 2" xfId="17854" xr:uid="{00000000-0005-0000-0000-000065510000}"/>
    <cellStyle name="Normal 5 3 3 2 2 2 2" xfId="34428" xr:uid="{00000000-0005-0000-0000-000066510000}"/>
    <cellStyle name="Normal 5 3 3 2 2 3" xfId="26381" xr:uid="{00000000-0005-0000-0000-000067510000}"/>
    <cellStyle name="Normal 5 3 3 2 3" xfId="14034" xr:uid="{00000000-0005-0000-0000-000068510000}"/>
    <cellStyle name="Normal 5 3 3 2 3 2" xfId="30580" xr:uid="{00000000-0005-0000-0000-000069510000}"/>
    <cellStyle name="Normal 5 3 3 2 4" xfId="22537" xr:uid="{00000000-0005-0000-0000-00006A510000}"/>
    <cellStyle name="Normal 5 3 3 3" xfId="8680" xr:uid="{00000000-0005-0000-0000-00006B510000}"/>
    <cellStyle name="Normal 5 3 3 3 2" xfId="17855" xr:uid="{00000000-0005-0000-0000-00006C510000}"/>
    <cellStyle name="Normal 5 3 3 3 2 2" xfId="34429" xr:uid="{00000000-0005-0000-0000-00006D510000}"/>
    <cellStyle name="Normal 5 3 3 3 3" xfId="26382" xr:uid="{00000000-0005-0000-0000-00006E510000}"/>
    <cellStyle name="Normal 5 3 3 4" xfId="14033" xr:uid="{00000000-0005-0000-0000-00006F510000}"/>
    <cellStyle name="Normal 5 3 3 4 2" xfId="30579" xr:uid="{00000000-0005-0000-0000-000070510000}"/>
    <cellStyle name="Normal 5 3 3 5" xfId="22536" xr:uid="{00000000-0005-0000-0000-000071510000}"/>
    <cellStyle name="Normal 5 3 4" xfId="4684" xr:uid="{00000000-0005-0000-0000-000072510000}"/>
    <cellStyle name="Normal 5 3 4 2" xfId="8681" xr:uid="{00000000-0005-0000-0000-000073510000}"/>
    <cellStyle name="Normal 5 3 4 2 2" xfId="17856" xr:uid="{00000000-0005-0000-0000-000074510000}"/>
    <cellStyle name="Normal 5 3 4 2 2 2" xfId="34430" xr:uid="{00000000-0005-0000-0000-000075510000}"/>
    <cellStyle name="Normal 5 3 4 2 3" xfId="26383" xr:uid="{00000000-0005-0000-0000-000076510000}"/>
    <cellStyle name="Normal 5 3 4 3" xfId="14035" xr:uid="{00000000-0005-0000-0000-000077510000}"/>
    <cellStyle name="Normal 5 3 4 3 2" xfId="30581" xr:uid="{00000000-0005-0000-0000-000078510000}"/>
    <cellStyle name="Normal 5 3 4 4" xfId="22538" xr:uid="{00000000-0005-0000-0000-000079510000}"/>
    <cellStyle name="Normal 5 3 5" xfId="4685" xr:uid="{00000000-0005-0000-0000-00007A510000}"/>
    <cellStyle name="Normal 5 3 5 2" xfId="14036" xr:uid="{00000000-0005-0000-0000-00007B510000}"/>
    <cellStyle name="Normal 5 3 5 2 2" xfId="30582" xr:uid="{00000000-0005-0000-0000-00007C510000}"/>
    <cellStyle name="Normal 5 3 5 3" xfId="22539" xr:uid="{00000000-0005-0000-0000-00007D510000}"/>
    <cellStyle name="Normal 5 3 6" xfId="4677" xr:uid="{00000000-0005-0000-0000-00007E510000}"/>
    <cellStyle name="Normal 5 4" xfId="1576" xr:uid="{00000000-0005-0000-0000-00007F510000}"/>
    <cellStyle name="Normal 5 4 2" xfId="4686" xr:uid="{00000000-0005-0000-0000-000080510000}"/>
    <cellStyle name="Normal 5 4 2 2" xfId="4687" xr:uid="{00000000-0005-0000-0000-000081510000}"/>
    <cellStyle name="Normal 5 4 2 2 2" xfId="4688" xr:uid="{00000000-0005-0000-0000-000082510000}"/>
    <cellStyle name="Normal 5 4 2 2 2 2" xfId="8682" xr:uid="{00000000-0005-0000-0000-000083510000}"/>
    <cellStyle name="Normal 5 4 2 2 2 2 2" xfId="17857" xr:uid="{00000000-0005-0000-0000-000084510000}"/>
    <cellStyle name="Normal 5 4 2 2 2 2 2 2" xfId="34431" xr:uid="{00000000-0005-0000-0000-000085510000}"/>
    <cellStyle name="Normal 5 4 2 2 2 2 3" xfId="26384" xr:uid="{00000000-0005-0000-0000-000086510000}"/>
    <cellStyle name="Normal 5 4 2 2 2 3" xfId="14040" xr:uid="{00000000-0005-0000-0000-000087510000}"/>
    <cellStyle name="Normal 5 4 2 2 2 3 2" xfId="30586" xr:uid="{00000000-0005-0000-0000-000088510000}"/>
    <cellStyle name="Normal 5 4 2 2 2 4" xfId="22543" xr:uid="{00000000-0005-0000-0000-000089510000}"/>
    <cellStyle name="Normal 5 4 2 2 3" xfId="8683" xr:uid="{00000000-0005-0000-0000-00008A510000}"/>
    <cellStyle name="Normal 5 4 2 2 3 2" xfId="17858" xr:uid="{00000000-0005-0000-0000-00008B510000}"/>
    <cellStyle name="Normal 5 4 2 2 3 2 2" xfId="34432" xr:uid="{00000000-0005-0000-0000-00008C510000}"/>
    <cellStyle name="Normal 5 4 2 2 3 3" xfId="26385" xr:uid="{00000000-0005-0000-0000-00008D510000}"/>
    <cellStyle name="Normal 5 4 2 2 4" xfId="14039" xr:uid="{00000000-0005-0000-0000-00008E510000}"/>
    <cellStyle name="Normal 5 4 2 2 4 2" xfId="30585" xr:uid="{00000000-0005-0000-0000-00008F510000}"/>
    <cellStyle name="Normal 5 4 2 2 5" xfId="22542" xr:uid="{00000000-0005-0000-0000-000090510000}"/>
    <cellStyle name="Normal 5 4 2 3" xfId="4689" xr:uid="{00000000-0005-0000-0000-000091510000}"/>
    <cellStyle name="Normal 5 4 2 3 2" xfId="8684" xr:uid="{00000000-0005-0000-0000-000092510000}"/>
    <cellStyle name="Normal 5 4 2 3 2 2" xfId="17859" xr:uid="{00000000-0005-0000-0000-000093510000}"/>
    <cellStyle name="Normal 5 4 2 3 2 2 2" xfId="34433" xr:uid="{00000000-0005-0000-0000-000094510000}"/>
    <cellStyle name="Normal 5 4 2 3 2 3" xfId="26386" xr:uid="{00000000-0005-0000-0000-000095510000}"/>
    <cellStyle name="Normal 5 4 2 3 3" xfId="14041" xr:uid="{00000000-0005-0000-0000-000096510000}"/>
    <cellStyle name="Normal 5 4 2 3 3 2" xfId="30587" xr:uid="{00000000-0005-0000-0000-000097510000}"/>
    <cellStyle name="Normal 5 4 2 3 4" xfId="22544" xr:uid="{00000000-0005-0000-0000-000098510000}"/>
    <cellStyle name="Normal 5 4 2 4" xfId="8685" xr:uid="{00000000-0005-0000-0000-000099510000}"/>
    <cellStyle name="Normal 5 4 2 4 2" xfId="17860" xr:uid="{00000000-0005-0000-0000-00009A510000}"/>
    <cellStyle name="Normal 5 4 2 4 2 2" xfId="34434" xr:uid="{00000000-0005-0000-0000-00009B510000}"/>
    <cellStyle name="Normal 5 4 2 4 3" xfId="26387" xr:uid="{00000000-0005-0000-0000-00009C510000}"/>
    <cellStyle name="Normal 5 4 2 5" xfId="14038" xr:uid="{00000000-0005-0000-0000-00009D510000}"/>
    <cellStyle name="Normal 5 4 2 5 2" xfId="30584" xr:uid="{00000000-0005-0000-0000-00009E510000}"/>
    <cellStyle name="Normal 5 4 2 6" xfId="22541" xr:uid="{00000000-0005-0000-0000-00009F510000}"/>
    <cellStyle name="Normal 5 4 3" xfId="4690" xr:uid="{00000000-0005-0000-0000-0000A0510000}"/>
    <cellStyle name="Normal 5 4 3 2" xfId="4691" xr:uid="{00000000-0005-0000-0000-0000A1510000}"/>
    <cellStyle name="Normal 5 4 3 2 2" xfId="8686" xr:uid="{00000000-0005-0000-0000-0000A2510000}"/>
    <cellStyle name="Normal 5 4 3 2 2 2" xfId="17861" xr:uid="{00000000-0005-0000-0000-0000A3510000}"/>
    <cellStyle name="Normal 5 4 3 2 2 2 2" xfId="34435" xr:uid="{00000000-0005-0000-0000-0000A4510000}"/>
    <cellStyle name="Normal 5 4 3 2 2 3" xfId="26388" xr:uid="{00000000-0005-0000-0000-0000A5510000}"/>
    <cellStyle name="Normal 5 4 3 2 3" xfId="14043" xr:uid="{00000000-0005-0000-0000-0000A6510000}"/>
    <cellStyle name="Normal 5 4 3 2 3 2" xfId="30589" xr:uid="{00000000-0005-0000-0000-0000A7510000}"/>
    <cellStyle name="Normal 5 4 3 2 4" xfId="22546" xr:uid="{00000000-0005-0000-0000-0000A8510000}"/>
    <cellStyle name="Normal 5 4 3 3" xfId="8687" xr:uid="{00000000-0005-0000-0000-0000A9510000}"/>
    <cellStyle name="Normal 5 4 3 3 2" xfId="17862" xr:uid="{00000000-0005-0000-0000-0000AA510000}"/>
    <cellStyle name="Normal 5 4 3 3 2 2" xfId="34436" xr:uid="{00000000-0005-0000-0000-0000AB510000}"/>
    <cellStyle name="Normal 5 4 3 3 3" xfId="26389" xr:uid="{00000000-0005-0000-0000-0000AC510000}"/>
    <cellStyle name="Normal 5 4 3 4" xfId="14042" xr:uid="{00000000-0005-0000-0000-0000AD510000}"/>
    <cellStyle name="Normal 5 4 3 4 2" xfId="30588" xr:uid="{00000000-0005-0000-0000-0000AE510000}"/>
    <cellStyle name="Normal 5 4 3 5" xfId="22545" xr:uid="{00000000-0005-0000-0000-0000AF510000}"/>
    <cellStyle name="Normal 5 4 4" xfId="4692" xr:uid="{00000000-0005-0000-0000-0000B0510000}"/>
    <cellStyle name="Normal 5 4 4 2" xfId="8688" xr:uid="{00000000-0005-0000-0000-0000B1510000}"/>
    <cellStyle name="Normal 5 4 4 2 2" xfId="17863" xr:uid="{00000000-0005-0000-0000-0000B2510000}"/>
    <cellStyle name="Normal 5 4 4 2 2 2" xfId="34437" xr:uid="{00000000-0005-0000-0000-0000B3510000}"/>
    <cellStyle name="Normal 5 4 4 2 3" xfId="26390" xr:uid="{00000000-0005-0000-0000-0000B4510000}"/>
    <cellStyle name="Normal 5 4 4 3" xfId="14044" xr:uid="{00000000-0005-0000-0000-0000B5510000}"/>
    <cellStyle name="Normal 5 4 4 3 2" xfId="30590" xr:uid="{00000000-0005-0000-0000-0000B6510000}"/>
    <cellStyle name="Normal 5 4 4 4" xfId="22547" xr:uid="{00000000-0005-0000-0000-0000B7510000}"/>
    <cellStyle name="Normal 5 4 5" xfId="8689" xr:uid="{00000000-0005-0000-0000-0000B8510000}"/>
    <cellStyle name="Normal 5 4 5 2" xfId="17864" xr:uid="{00000000-0005-0000-0000-0000B9510000}"/>
    <cellStyle name="Normal 5 4 5 2 2" xfId="34438" xr:uid="{00000000-0005-0000-0000-0000BA510000}"/>
    <cellStyle name="Normal 5 4 5 3" xfId="26391" xr:uid="{00000000-0005-0000-0000-0000BB510000}"/>
    <cellStyle name="Normal 5 4 6" xfId="14037" xr:uid="{00000000-0005-0000-0000-0000BC510000}"/>
    <cellStyle name="Normal 5 4 6 2" xfId="30583" xr:uid="{00000000-0005-0000-0000-0000BD510000}"/>
    <cellStyle name="Normal 5 4 7" xfId="22540" xr:uid="{00000000-0005-0000-0000-0000BE510000}"/>
    <cellStyle name="Normal 5 5" xfId="4693" xr:uid="{00000000-0005-0000-0000-0000BF510000}"/>
    <cellStyle name="Normal 5 5 2" xfId="4694" xr:uid="{00000000-0005-0000-0000-0000C0510000}"/>
    <cellStyle name="Normal 5 5 2 2" xfId="4695" xr:uid="{00000000-0005-0000-0000-0000C1510000}"/>
    <cellStyle name="Normal 5 5 2 2 2" xfId="4696" xr:uid="{00000000-0005-0000-0000-0000C2510000}"/>
    <cellStyle name="Normal 5 5 2 2 2 2" xfId="8690" xr:uid="{00000000-0005-0000-0000-0000C3510000}"/>
    <cellStyle name="Normal 5 5 2 2 2 2 2" xfId="17865" xr:uid="{00000000-0005-0000-0000-0000C4510000}"/>
    <cellStyle name="Normal 5 5 2 2 2 2 2 2" xfId="34439" xr:uid="{00000000-0005-0000-0000-0000C5510000}"/>
    <cellStyle name="Normal 5 5 2 2 2 2 3" xfId="26392" xr:uid="{00000000-0005-0000-0000-0000C6510000}"/>
    <cellStyle name="Normal 5 5 2 2 2 3" xfId="14048" xr:uid="{00000000-0005-0000-0000-0000C7510000}"/>
    <cellStyle name="Normal 5 5 2 2 2 3 2" xfId="30594" xr:uid="{00000000-0005-0000-0000-0000C8510000}"/>
    <cellStyle name="Normal 5 5 2 2 2 4" xfId="22551" xr:uid="{00000000-0005-0000-0000-0000C9510000}"/>
    <cellStyle name="Normal 5 5 2 2 3" xfId="8691" xr:uid="{00000000-0005-0000-0000-0000CA510000}"/>
    <cellStyle name="Normal 5 5 2 2 3 2" xfId="17866" xr:uid="{00000000-0005-0000-0000-0000CB510000}"/>
    <cellStyle name="Normal 5 5 2 2 3 2 2" xfId="34440" xr:uid="{00000000-0005-0000-0000-0000CC510000}"/>
    <cellStyle name="Normal 5 5 2 2 3 3" xfId="26393" xr:uid="{00000000-0005-0000-0000-0000CD510000}"/>
    <cellStyle name="Normal 5 5 2 2 4" xfId="14047" xr:uid="{00000000-0005-0000-0000-0000CE510000}"/>
    <cellStyle name="Normal 5 5 2 2 4 2" xfId="30593" xr:uid="{00000000-0005-0000-0000-0000CF510000}"/>
    <cellStyle name="Normal 5 5 2 2 5" xfId="22550" xr:uid="{00000000-0005-0000-0000-0000D0510000}"/>
    <cellStyle name="Normal 5 5 2 3" xfId="4697" xr:uid="{00000000-0005-0000-0000-0000D1510000}"/>
    <cellStyle name="Normal 5 5 2 3 2" xfId="8692" xr:uid="{00000000-0005-0000-0000-0000D2510000}"/>
    <cellStyle name="Normal 5 5 2 3 2 2" xfId="17867" xr:uid="{00000000-0005-0000-0000-0000D3510000}"/>
    <cellStyle name="Normal 5 5 2 3 2 2 2" xfId="34441" xr:uid="{00000000-0005-0000-0000-0000D4510000}"/>
    <cellStyle name="Normal 5 5 2 3 2 3" xfId="26394" xr:uid="{00000000-0005-0000-0000-0000D5510000}"/>
    <cellStyle name="Normal 5 5 2 3 3" xfId="14049" xr:uid="{00000000-0005-0000-0000-0000D6510000}"/>
    <cellStyle name="Normal 5 5 2 3 3 2" xfId="30595" xr:uid="{00000000-0005-0000-0000-0000D7510000}"/>
    <cellStyle name="Normal 5 5 2 3 4" xfId="22552" xr:uid="{00000000-0005-0000-0000-0000D8510000}"/>
    <cellStyle name="Normal 5 5 2 4" xfId="8693" xr:uid="{00000000-0005-0000-0000-0000D9510000}"/>
    <cellStyle name="Normal 5 5 2 4 2" xfId="17868" xr:uid="{00000000-0005-0000-0000-0000DA510000}"/>
    <cellStyle name="Normal 5 5 2 4 2 2" xfId="34442" xr:uid="{00000000-0005-0000-0000-0000DB510000}"/>
    <cellStyle name="Normal 5 5 2 4 3" xfId="26395" xr:uid="{00000000-0005-0000-0000-0000DC510000}"/>
    <cellStyle name="Normal 5 5 2 5" xfId="14046" xr:uid="{00000000-0005-0000-0000-0000DD510000}"/>
    <cellStyle name="Normal 5 5 2 5 2" xfId="30592" xr:uid="{00000000-0005-0000-0000-0000DE510000}"/>
    <cellStyle name="Normal 5 5 2 6" xfId="22549" xr:uid="{00000000-0005-0000-0000-0000DF510000}"/>
    <cellStyle name="Normal 5 5 3" xfId="4698" xr:uid="{00000000-0005-0000-0000-0000E0510000}"/>
    <cellStyle name="Normal 5 5 3 2" xfId="4699" xr:uid="{00000000-0005-0000-0000-0000E1510000}"/>
    <cellStyle name="Normal 5 5 3 2 2" xfId="8694" xr:uid="{00000000-0005-0000-0000-0000E2510000}"/>
    <cellStyle name="Normal 5 5 3 2 2 2" xfId="17869" xr:uid="{00000000-0005-0000-0000-0000E3510000}"/>
    <cellStyle name="Normal 5 5 3 2 2 2 2" xfId="34443" xr:uid="{00000000-0005-0000-0000-0000E4510000}"/>
    <cellStyle name="Normal 5 5 3 2 2 3" xfId="26396" xr:uid="{00000000-0005-0000-0000-0000E5510000}"/>
    <cellStyle name="Normal 5 5 3 2 3" xfId="14051" xr:uid="{00000000-0005-0000-0000-0000E6510000}"/>
    <cellStyle name="Normal 5 5 3 2 3 2" xfId="30597" xr:uid="{00000000-0005-0000-0000-0000E7510000}"/>
    <cellStyle name="Normal 5 5 3 2 4" xfId="22554" xr:uid="{00000000-0005-0000-0000-0000E8510000}"/>
    <cellStyle name="Normal 5 5 3 3" xfId="8695" xr:uid="{00000000-0005-0000-0000-0000E9510000}"/>
    <cellStyle name="Normal 5 5 3 3 2" xfId="17870" xr:uid="{00000000-0005-0000-0000-0000EA510000}"/>
    <cellStyle name="Normal 5 5 3 3 2 2" xfId="34444" xr:uid="{00000000-0005-0000-0000-0000EB510000}"/>
    <cellStyle name="Normal 5 5 3 3 3" xfId="26397" xr:uid="{00000000-0005-0000-0000-0000EC510000}"/>
    <cellStyle name="Normal 5 5 3 4" xfId="14050" xr:uid="{00000000-0005-0000-0000-0000ED510000}"/>
    <cellStyle name="Normal 5 5 3 4 2" xfId="30596" xr:uid="{00000000-0005-0000-0000-0000EE510000}"/>
    <cellStyle name="Normal 5 5 3 5" xfId="22553" xr:uid="{00000000-0005-0000-0000-0000EF510000}"/>
    <cellStyle name="Normal 5 5 4" xfId="4700" xr:uid="{00000000-0005-0000-0000-0000F0510000}"/>
    <cellStyle name="Normal 5 5 4 2" xfId="8696" xr:uid="{00000000-0005-0000-0000-0000F1510000}"/>
    <cellStyle name="Normal 5 5 4 2 2" xfId="17871" xr:uid="{00000000-0005-0000-0000-0000F2510000}"/>
    <cellStyle name="Normal 5 5 4 2 2 2" xfId="34445" xr:uid="{00000000-0005-0000-0000-0000F3510000}"/>
    <cellStyle name="Normal 5 5 4 2 3" xfId="26398" xr:uid="{00000000-0005-0000-0000-0000F4510000}"/>
    <cellStyle name="Normal 5 5 4 3" xfId="14052" xr:uid="{00000000-0005-0000-0000-0000F5510000}"/>
    <cellStyle name="Normal 5 5 4 3 2" xfId="30598" xr:uid="{00000000-0005-0000-0000-0000F6510000}"/>
    <cellStyle name="Normal 5 5 4 4" xfId="22555" xr:uid="{00000000-0005-0000-0000-0000F7510000}"/>
    <cellStyle name="Normal 5 5 5" xfId="8697" xr:uid="{00000000-0005-0000-0000-0000F8510000}"/>
    <cellStyle name="Normal 5 5 5 2" xfId="17872" xr:uid="{00000000-0005-0000-0000-0000F9510000}"/>
    <cellStyle name="Normal 5 5 5 2 2" xfId="34446" xr:uid="{00000000-0005-0000-0000-0000FA510000}"/>
    <cellStyle name="Normal 5 5 5 3" xfId="26399" xr:uid="{00000000-0005-0000-0000-0000FB510000}"/>
    <cellStyle name="Normal 5 5 6" xfId="14045" xr:uid="{00000000-0005-0000-0000-0000FC510000}"/>
    <cellStyle name="Normal 5 5 6 2" xfId="30591" xr:uid="{00000000-0005-0000-0000-0000FD510000}"/>
    <cellStyle name="Normal 5 5 7" xfId="22548" xr:uid="{00000000-0005-0000-0000-0000FE510000}"/>
    <cellStyle name="Normal 5 6" xfId="4701" xr:uid="{00000000-0005-0000-0000-0000FF510000}"/>
    <cellStyle name="Normal 5 6 2" xfId="4702" xr:uid="{00000000-0005-0000-0000-000000520000}"/>
    <cellStyle name="Normal 5 6 2 2" xfId="4703" xr:uid="{00000000-0005-0000-0000-000001520000}"/>
    <cellStyle name="Normal 5 6 2 2 2" xfId="8698" xr:uid="{00000000-0005-0000-0000-000002520000}"/>
    <cellStyle name="Normal 5 6 2 2 2 2" xfId="17873" xr:uid="{00000000-0005-0000-0000-000003520000}"/>
    <cellStyle name="Normal 5 6 2 2 2 2 2" xfId="34447" xr:uid="{00000000-0005-0000-0000-000004520000}"/>
    <cellStyle name="Normal 5 6 2 2 2 3" xfId="26400" xr:uid="{00000000-0005-0000-0000-000005520000}"/>
    <cellStyle name="Normal 5 6 2 2 3" xfId="14055" xr:uid="{00000000-0005-0000-0000-000006520000}"/>
    <cellStyle name="Normal 5 6 2 2 3 2" xfId="30601" xr:uid="{00000000-0005-0000-0000-000007520000}"/>
    <cellStyle name="Normal 5 6 2 2 4" xfId="22558" xr:uid="{00000000-0005-0000-0000-000008520000}"/>
    <cellStyle name="Normal 5 6 2 3" xfId="8699" xr:uid="{00000000-0005-0000-0000-000009520000}"/>
    <cellStyle name="Normal 5 6 2 3 2" xfId="17874" xr:uid="{00000000-0005-0000-0000-00000A520000}"/>
    <cellStyle name="Normal 5 6 2 3 2 2" xfId="34448" xr:uid="{00000000-0005-0000-0000-00000B520000}"/>
    <cellStyle name="Normal 5 6 2 3 3" xfId="26401" xr:uid="{00000000-0005-0000-0000-00000C520000}"/>
    <cellStyle name="Normal 5 6 2 4" xfId="14054" xr:uid="{00000000-0005-0000-0000-00000D520000}"/>
    <cellStyle name="Normal 5 6 2 4 2" xfId="30600" xr:uid="{00000000-0005-0000-0000-00000E520000}"/>
    <cellStyle name="Normal 5 6 2 5" xfId="22557" xr:uid="{00000000-0005-0000-0000-00000F520000}"/>
    <cellStyle name="Normal 5 6 3" xfId="4704" xr:uid="{00000000-0005-0000-0000-000010520000}"/>
    <cellStyle name="Normal 5 6 3 2" xfId="8700" xr:uid="{00000000-0005-0000-0000-000011520000}"/>
    <cellStyle name="Normal 5 6 3 2 2" xfId="17875" xr:uid="{00000000-0005-0000-0000-000012520000}"/>
    <cellStyle name="Normal 5 6 3 2 2 2" xfId="34449" xr:uid="{00000000-0005-0000-0000-000013520000}"/>
    <cellStyle name="Normal 5 6 3 2 3" xfId="26402" xr:uid="{00000000-0005-0000-0000-000014520000}"/>
    <cellStyle name="Normal 5 6 3 3" xfId="14056" xr:uid="{00000000-0005-0000-0000-000015520000}"/>
    <cellStyle name="Normal 5 6 3 3 2" xfId="30602" xr:uid="{00000000-0005-0000-0000-000016520000}"/>
    <cellStyle name="Normal 5 6 3 4" xfId="22559" xr:uid="{00000000-0005-0000-0000-000017520000}"/>
    <cellStyle name="Normal 5 6 4" xfId="8701" xr:uid="{00000000-0005-0000-0000-000018520000}"/>
    <cellStyle name="Normal 5 6 4 2" xfId="17876" xr:uid="{00000000-0005-0000-0000-000019520000}"/>
    <cellStyle name="Normal 5 6 4 2 2" xfId="34450" xr:uid="{00000000-0005-0000-0000-00001A520000}"/>
    <cellStyle name="Normal 5 6 4 3" xfId="26403" xr:uid="{00000000-0005-0000-0000-00001B520000}"/>
    <cellStyle name="Normal 5 6 5" xfId="14053" xr:uid="{00000000-0005-0000-0000-00001C520000}"/>
    <cellStyle name="Normal 5 6 5 2" xfId="30599" xr:uid="{00000000-0005-0000-0000-00001D520000}"/>
    <cellStyle name="Normal 5 6 6" xfId="22556" xr:uid="{00000000-0005-0000-0000-00001E520000}"/>
    <cellStyle name="Normal 5 7" xfId="4705" xr:uid="{00000000-0005-0000-0000-00001F520000}"/>
    <cellStyle name="Normal 5 7 2" xfId="4706" xr:uid="{00000000-0005-0000-0000-000020520000}"/>
    <cellStyle name="Normal 5 7 2 2" xfId="8702" xr:uid="{00000000-0005-0000-0000-000021520000}"/>
    <cellStyle name="Normal 5 7 2 2 2" xfId="17877" xr:uid="{00000000-0005-0000-0000-000022520000}"/>
    <cellStyle name="Normal 5 7 2 2 2 2" xfId="34451" xr:uid="{00000000-0005-0000-0000-000023520000}"/>
    <cellStyle name="Normal 5 7 2 2 3" xfId="26404" xr:uid="{00000000-0005-0000-0000-000024520000}"/>
    <cellStyle name="Normal 5 7 2 3" xfId="14058" xr:uid="{00000000-0005-0000-0000-000025520000}"/>
    <cellStyle name="Normal 5 7 2 3 2" xfId="30604" xr:uid="{00000000-0005-0000-0000-000026520000}"/>
    <cellStyle name="Normal 5 7 2 4" xfId="22561" xr:uid="{00000000-0005-0000-0000-000027520000}"/>
    <cellStyle name="Normal 5 7 3" xfId="8703" xr:uid="{00000000-0005-0000-0000-000028520000}"/>
    <cellStyle name="Normal 5 7 3 2" xfId="17878" xr:uid="{00000000-0005-0000-0000-000029520000}"/>
    <cellStyle name="Normal 5 7 3 2 2" xfId="34452" xr:uid="{00000000-0005-0000-0000-00002A520000}"/>
    <cellStyle name="Normal 5 7 3 3" xfId="26405" xr:uid="{00000000-0005-0000-0000-00002B520000}"/>
    <cellStyle name="Normal 5 7 4" xfId="14057" xr:uid="{00000000-0005-0000-0000-00002C520000}"/>
    <cellStyle name="Normal 5 7 4 2" xfId="30603" xr:uid="{00000000-0005-0000-0000-00002D520000}"/>
    <cellStyle name="Normal 5 7 5" xfId="22560" xr:uid="{00000000-0005-0000-0000-00002E520000}"/>
    <cellStyle name="Normal 5 8" xfId="4707" xr:uid="{00000000-0005-0000-0000-00002F520000}"/>
    <cellStyle name="Normal 5 8 2" xfId="8704" xr:uid="{00000000-0005-0000-0000-000030520000}"/>
    <cellStyle name="Normal 5 8 2 2" xfId="17879" xr:uid="{00000000-0005-0000-0000-000031520000}"/>
    <cellStyle name="Normal 5 8 2 2 2" xfId="34453" xr:uid="{00000000-0005-0000-0000-000032520000}"/>
    <cellStyle name="Normal 5 8 2 3" xfId="26406" xr:uid="{00000000-0005-0000-0000-000033520000}"/>
    <cellStyle name="Normal 5 8 3" xfId="14059" xr:uid="{00000000-0005-0000-0000-000034520000}"/>
    <cellStyle name="Normal 5 8 3 2" xfId="30605" xr:uid="{00000000-0005-0000-0000-000035520000}"/>
    <cellStyle name="Normal 5 8 4" xfId="22562" xr:uid="{00000000-0005-0000-0000-000036520000}"/>
    <cellStyle name="Normal 5 9" xfId="8705" xr:uid="{00000000-0005-0000-0000-000037520000}"/>
    <cellStyle name="Normal 5 9 2" xfId="17880" xr:uid="{00000000-0005-0000-0000-000038520000}"/>
    <cellStyle name="Normal 5 9 2 2" xfId="34454" xr:uid="{00000000-0005-0000-0000-000039520000}"/>
    <cellStyle name="Normal 5 9 3" xfId="26407" xr:uid="{00000000-0005-0000-0000-00003A520000}"/>
    <cellStyle name="Normal 50" xfId="4708" xr:uid="{00000000-0005-0000-0000-00003B520000}"/>
    <cellStyle name="Normal 50 10" xfId="14060" xr:uid="{00000000-0005-0000-0000-00003C520000}"/>
    <cellStyle name="Normal 50 10 2" xfId="30606" xr:uid="{00000000-0005-0000-0000-00003D520000}"/>
    <cellStyle name="Normal 50 11" xfId="22563" xr:uid="{00000000-0005-0000-0000-00003E520000}"/>
    <cellStyle name="Normal 50 2" xfId="4709" xr:uid="{00000000-0005-0000-0000-00003F520000}"/>
    <cellStyle name="Normal 50 2 2" xfId="4710" xr:uid="{00000000-0005-0000-0000-000040520000}"/>
    <cellStyle name="Normal 50 2 3" xfId="14061" xr:uid="{00000000-0005-0000-0000-000041520000}"/>
    <cellStyle name="Normal 50 2 3 2" xfId="30607" xr:uid="{00000000-0005-0000-0000-000042520000}"/>
    <cellStyle name="Normal 50 2 4" xfId="22564" xr:uid="{00000000-0005-0000-0000-000043520000}"/>
    <cellStyle name="Normal 50 3" xfId="4711" xr:uid="{00000000-0005-0000-0000-000044520000}"/>
    <cellStyle name="Normal 50 3 2" xfId="4712" xr:uid="{00000000-0005-0000-0000-000045520000}"/>
    <cellStyle name="Normal 50 3 2 2" xfId="4713" xr:uid="{00000000-0005-0000-0000-000046520000}"/>
    <cellStyle name="Normal 50 3 2 2 2" xfId="4714" xr:uid="{00000000-0005-0000-0000-000047520000}"/>
    <cellStyle name="Normal 50 3 2 2 2 2" xfId="8706" xr:uid="{00000000-0005-0000-0000-000048520000}"/>
    <cellStyle name="Normal 50 3 2 2 2 2 2" xfId="17881" xr:uid="{00000000-0005-0000-0000-000049520000}"/>
    <cellStyle name="Normal 50 3 2 2 2 2 2 2" xfId="34455" xr:uid="{00000000-0005-0000-0000-00004A520000}"/>
    <cellStyle name="Normal 50 3 2 2 2 2 3" xfId="26408" xr:uid="{00000000-0005-0000-0000-00004B520000}"/>
    <cellStyle name="Normal 50 3 2 2 2 3" xfId="14064" xr:uid="{00000000-0005-0000-0000-00004C520000}"/>
    <cellStyle name="Normal 50 3 2 2 2 3 2" xfId="30610" xr:uid="{00000000-0005-0000-0000-00004D520000}"/>
    <cellStyle name="Normal 50 3 2 2 2 4" xfId="22567" xr:uid="{00000000-0005-0000-0000-00004E520000}"/>
    <cellStyle name="Normal 50 3 2 2 3" xfId="8707" xr:uid="{00000000-0005-0000-0000-00004F520000}"/>
    <cellStyle name="Normal 50 3 2 2 3 2" xfId="17882" xr:uid="{00000000-0005-0000-0000-000050520000}"/>
    <cellStyle name="Normal 50 3 2 2 3 2 2" xfId="34456" xr:uid="{00000000-0005-0000-0000-000051520000}"/>
    <cellStyle name="Normal 50 3 2 2 3 3" xfId="26409" xr:uid="{00000000-0005-0000-0000-000052520000}"/>
    <cellStyle name="Normal 50 3 2 2 4" xfId="14063" xr:uid="{00000000-0005-0000-0000-000053520000}"/>
    <cellStyle name="Normal 50 3 2 2 4 2" xfId="30609" xr:uid="{00000000-0005-0000-0000-000054520000}"/>
    <cellStyle name="Normal 50 3 2 2 5" xfId="22566" xr:uid="{00000000-0005-0000-0000-000055520000}"/>
    <cellStyle name="Normal 50 3 2 3" xfId="4715" xr:uid="{00000000-0005-0000-0000-000056520000}"/>
    <cellStyle name="Normal 50 3 2 3 2" xfId="8708" xr:uid="{00000000-0005-0000-0000-000057520000}"/>
    <cellStyle name="Normal 50 3 2 3 2 2" xfId="17883" xr:uid="{00000000-0005-0000-0000-000058520000}"/>
    <cellStyle name="Normal 50 3 2 3 2 2 2" xfId="34457" xr:uid="{00000000-0005-0000-0000-000059520000}"/>
    <cellStyle name="Normal 50 3 2 3 2 3" xfId="26410" xr:uid="{00000000-0005-0000-0000-00005A520000}"/>
    <cellStyle name="Normal 50 3 2 3 3" xfId="14065" xr:uid="{00000000-0005-0000-0000-00005B520000}"/>
    <cellStyle name="Normal 50 3 2 3 3 2" xfId="30611" xr:uid="{00000000-0005-0000-0000-00005C520000}"/>
    <cellStyle name="Normal 50 3 2 3 4" xfId="22568" xr:uid="{00000000-0005-0000-0000-00005D520000}"/>
    <cellStyle name="Normal 50 3 2 4" xfId="8709" xr:uid="{00000000-0005-0000-0000-00005E520000}"/>
    <cellStyle name="Normal 50 3 2 4 2" xfId="17884" xr:uid="{00000000-0005-0000-0000-00005F520000}"/>
    <cellStyle name="Normal 50 3 2 4 2 2" xfId="34458" xr:uid="{00000000-0005-0000-0000-000060520000}"/>
    <cellStyle name="Normal 50 3 2 4 3" xfId="26411" xr:uid="{00000000-0005-0000-0000-000061520000}"/>
    <cellStyle name="Normal 50 3 2 5" xfId="14062" xr:uid="{00000000-0005-0000-0000-000062520000}"/>
    <cellStyle name="Normal 50 3 2 5 2" xfId="30608" xr:uid="{00000000-0005-0000-0000-000063520000}"/>
    <cellStyle name="Normal 50 3 2 6" xfId="22565" xr:uid="{00000000-0005-0000-0000-000064520000}"/>
    <cellStyle name="Normal 50 3 3" xfId="4716" xr:uid="{00000000-0005-0000-0000-000065520000}"/>
    <cellStyle name="Normal 50 3 3 2" xfId="4717" xr:uid="{00000000-0005-0000-0000-000066520000}"/>
    <cellStyle name="Normal 50 3 3 2 2" xfId="8710" xr:uid="{00000000-0005-0000-0000-000067520000}"/>
    <cellStyle name="Normal 50 3 3 2 2 2" xfId="17885" xr:uid="{00000000-0005-0000-0000-000068520000}"/>
    <cellStyle name="Normal 50 3 3 2 2 2 2" xfId="34459" xr:uid="{00000000-0005-0000-0000-000069520000}"/>
    <cellStyle name="Normal 50 3 3 2 2 3" xfId="26412" xr:uid="{00000000-0005-0000-0000-00006A520000}"/>
    <cellStyle name="Normal 50 3 3 2 3" xfId="14067" xr:uid="{00000000-0005-0000-0000-00006B520000}"/>
    <cellStyle name="Normal 50 3 3 2 3 2" xfId="30613" xr:uid="{00000000-0005-0000-0000-00006C520000}"/>
    <cellStyle name="Normal 50 3 3 2 4" xfId="22570" xr:uid="{00000000-0005-0000-0000-00006D520000}"/>
    <cellStyle name="Normal 50 3 3 3" xfId="8711" xr:uid="{00000000-0005-0000-0000-00006E520000}"/>
    <cellStyle name="Normal 50 3 3 3 2" xfId="17886" xr:uid="{00000000-0005-0000-0000-00006F520000}"/>
    <cellStyle name="Normal 50 3 3 3 2 2" xfId="34460" xr:uid="{00000000-0005-0000-0000-000070520000}"/>
    <cellStyle name="Normal 50 3 3 3 3" xfId="26413" xr:uid="{00000000-0005-0000-0000-000071520000}"/>
    <cellStyle name="Normal 50 3 3 4" xfId="14066" xr:uid="{00000000-0005-0000-0000-000072520000}"/>
    <cellStyle name="Normal 50 3 3 4 2" xfId="30612" xr:uid="{00000000-0005-0000-0000-000073520000}"/>
    <cellStyle name="Normal 50 3 3 5" xfId="22569" xr:uid="{00000000-0005-0000-0000-000074520000}"/>
    <cellStyle name="Normal 50 3 4" xfId="4718" xr:uid="{00000000-0005-0000-0000-000075520000}"/>
    <cellStyle name="Normal 50 3 4 2" xfId="8712" xr:uid="{00000000-0005-0000-0000-000076520000}"/>
    <cellStyle name="Normal 50 3 4 2 2" xfId="17887" xr:uid="{00000000-0005-0000-0000-000077520000}"/>
    <cellStyle name="Normal 50 3 4 2 2 2" xfId="34461" xr:uid="{00000000-0005-0000-0000-000078520000}"/>
    <cellStyle name="Normal 50 3 4 2 3" xfId="26414" xr:uid="{00000000-0005-0000-0000-000079520000}"/>
    <cellStyle name="Normal 50 3 4 3" xfId="14068" xr:uid="{00000000-0005-0000-0000-00007A520000}"/>
    <cellStyle name="Normal 50 3 4 3 2" xfId="30614" xr:uid="{00000000-0005-0000-0000-00007B520000}"/>
    <cellStyle name="Normal 50 3 4 4" xfId="22571" xr:uid="{00000000-0005-0000-0000-00007C520000}"/>
    <cellStyle name="Normal 50 3 5" xfId="4719" xr:uid="{00000000-0005-0000-0000-00007D520000}"/>
    <cellStyle name="Normal 50 3 5 2" xfId="14069" xr:uid="{00000000-0005-0000-0000-00007E520000}"/>
    <cellStyle name="Normal 50 3 5 2 2" xfId="30615" xr:uid="{00000000-0005-0000-0000-00007F520000}"/>
    <cellStyle name="Normal 50 3 5 3" xfId="22572" xr:uid="{00000000-0005-0000-0000-000080520000}"/>
    <cellStyle name="Normal 50 4" xfId="4720" xr:uid="{00000000-0005-0000-0000-000081520000}"/>
    <cellStyle name="Normal 50 4 2" xfId="4721" xr:uid="{00000000-0005-0000-0000-000082520000}"/>
    <cellStyle name="Normal 50 4 2 2" xfId="4722" xr:uid="{00000000-0005-0000-0000-000083520000}"/>
    <cellStyle name="Normal 50 4 2 2 2" xfId="4723" xr:uid="{00000000-0005-0000-0000-000084520000}"/>
    <cellStyle name="Normal 50 4 2 2 2 2" xfId="8713" xr:uid="{00000000-0005-0000-0000-000085520000}"/>
    <cellStyle name="Normal 50 4 2 2 2 2 2" xfId="17888" xr:uid="{00000000-0005-0000-0000-000086520000}"/>
    <cellStyle name="Normal 50 4 2 2 2 2 2 2" xfId="34462" xr:uid="{00000000-0005-0000-0000-000087520000}"/>
    <cellStyle name="Normal 50 4 2 2 2 2 3" xfId="26415" xr:uid="{00000000-0005-0000-0000-000088520000}"/>
    <cellStyle name="Normal 50 4 2 2 2 3" xfId="14073" xr:uid="{00000000-0005-0000-0000-000089520000}"/>
    <cellStyle name="Normal 50 4 2 2 2 3 2" xfId="30619" xr:uid="{00000000-0005-0000-0000-00008A520000}"/>
    <cellStyle name="Normal 50 4 2 2 2 4" xfId="22576" xr:uid="{00000000-0005-0000-0000-00008B520000}"/>
    <cellStyle name="Normal 50 4 2 2 3" xfId="8714" xr:uid="{00000000-0005-0000-0000-00008C520000}"/>
    <cellStyle name="Normal 50 4 2 2 3 2" xfId="17889" xr:uid="{00000000-0005-0000-0000-00008D520000}"/>
    <cellStyle name="Normal 50 4 2 2 3 2 2" xfId="34463" xr:uid="{00000000-0005-0000-0000-00008E520000}"/>
    <cellStyle name="Normal 50 4 2 2 3 3" xfId="26416" xr:uid="{00000000-0005-0000-0000-00008F520000}"/>
    <cellStyle name="Normal 50 4 2 2 4" xfId="14072" xr:uid="{00000000-0005-0000-0000-000090520000}"/>
    <cellStyle name="Normal 50 4 2 2 4 2" xfId="30618" xr:uid="{00000000-0005-0000-0000-000091520000}"/>
    <cellStyle name="Normal 50 4 2 2 5" xfId="22575" xr:uid="{00000000-0005-0000-0000-000092520000}"/>
    <cellStyle name="Normal 50 4 2 3" xfId="4724" xr:uid="{00000000-0005-0000-0000-000093520000}"/>
    <cellStyle name="Normal 50 4 2 3 2" xfId="8715" xr:uid="{00000000-0005-0000-0000-000094520000}"/>
    <cellStyle name="Normal 50 4 2 3 2 2" xfId="17890" xr:uid="{00000000-0005-0000-0000-000095520000}"/>
    <cellStyle name="Normal 50 4 2 3 2 2 2" xfId="34464" xr:uid="{00000000-0005-0000-0000-000096520000}"/>
    <cellStyle name="Normal 50 4 2 3 2 3" xfId="26417" xr:uid="{00000000-0005-0000-0000-000097520000}"/>
    <cellStyle name="Normal 50 4 2 3 3" xfId="14074" xr:uid="{00000000-0005-0000-0000-000098520000}"/>
    <cellStyle name="Normal 50 4 2 3 3 2" xfId="30620" xr:uid="{00000000-0005-0000-0000-000099520000}"/>
    <cellStyle name="Normal 50 4 2 3 4" xfId="22577" xr:uid="{00000000-0005-0000-0000-00009A520000}"/>
    <cellStyle name="Normal 50 4 2 4" xfId="8716" xr:uid="{00000000-0005-0000-0000-00009B520000}"/>
    <cellStyle name="Normal 50 4 2 4 2" xfId="17891" xr:uid="{00000000-0005-0000-0000-00009C520000}"/>
    <cellStyle name="Normal 50 4 2 4 2 2" xfId="34465" xr:uid="{00000000-0005-0000-0000-00009D520000}"/>
    <cellStyle name="Normal 50 4 2 4 3" xfId="26418" xr:uid="{00000000-0005-0000-0000-00009E520000}"/>
    <cellStyle name="Normal 50 4 2 5" xfId="14071" xr:uid="{00000000-0005-0000-0000-00009F520000}"/>
    <cellStyle name="Normal 50 4 2 5 2" xfId="30617" xr:uid="{00000000-0005-0000-0000-0000A0520000}"/>
    <cellStyle name="Normal 50 4 2 6" xfId="22574" xr:uid="{00000000-0005-0000-0000-0000A1520000}"/>
    <cellStyle name="Normal 50 4 3" xfId="4725" xr:uid="{00000000-0005-0000-0000-0000A2520000}"/>
    <cellStyle name="Normal 50 4 3 2" xfId="4726" xr:uid="{00000000-0005-0000-0000-0000A3520000}"/>
    <cellStyle name="Normal 50 4 3 2 2" xfId="8717" xr:uid="{00000000-0005-0000-0000-0000A4520000}"/>
    <cellStyle name="Normal 50 4 3 2 2 2" xfId="17892" xr:uid="{00000000-0005-0000-0000-0000A5520000}"/>
    <cellStyle name="Normal 50 4 3 2 2 2 2" xfId="34466" xr:uid="{00000000-0005-0000-0000-0000A6520000}"/>
    <cellStyle name="Normal 50 4 3 2 2 3" xfId="26419" xr:uid="{00000000-0005-0000-0000-0000A7520000}"/>
    <cellStyle name="Normal 50 4 3 2 3" xfId="14076" xr:uid="{00000000-0005-0000-0000-0000A8520000}"/>
    <cellStyle name="Normal 50 4 3 2 3 2" xfId="30622" xr:uid="{00000000-0005-0000-0000-0000A9520000}"/>
    <cellStyle name="Normal 50 4 3 2 4" xfId="22579" xr:uid="{00000000-0005-0000-0000-0000AA520000}"/>
    <cellStyle name="Normal 50 4 3 3" xfId="8718" xr:uid="{00000000-0005-0000-0000-0000AB520000}"/>
    <cellStyle name="Normal 50 4 3 3 2" xfId="17893" xr:uid="{00000000-0005-0000-0000-0000AC520000}"/>
    <cellStyle name="Normal 50 4 3 3 2 2" xfId="34467" xr:uid="{00000000-0005-0000-0000-0000AD520000}"/>
    <cellStyle name="Normal 50 4 3 3 3" xfId="26420" xr:uid="{00000000-0005-0000-0000-0000AE520000}"/>
    <cellStyle name="Normal 50 4 3 4" xfId="14075" xr:uid="{00000000-0005-0000-0000-0000AF520000}"/>
    <cellStyle name="Normal 50 4 3 4 2" xfId="30621" xr:uid="{00000000-0005-0000-0000-0000B0520000}"/>
    <cellStyle name="Normal 50 4 3 5" xfId="22578" xr:uid="{00000000-0005-0000-0000-0000B1520000}"/>
    <cellStyle name="Normal 50 4 4" xfId="4727" xr:uid="{00000000-0005-0000-0000-0000B2520000}"/>
    <cellStyle name="Normal 50 4 4 2" xfId="8719" xr:uid="{00000000-0005-0000-0000-0000B3520000}"/>
    <cellStyle name="Normal 50 4 4 2 2" xfId="17894" xr:uid="{00000000-0005-0000-0000-0000B4520000}"/>
    <cellStyle name="Normal 50 4 4 2 2 2" xfId="34468" xr:uid="{00000000-0005-0000-0000-0000B5520000}"/>
    <cellStyle name="Normal 50 4 4 2 3" xfId="26421" xr:uid="{00000000-0005-0000-0000-0000B6520000}"/>
    <cellStyle name="Normal 50 4 4 3" xfId="14077" xr:uid="{00000000-0005-0000-0000-0000B7520000}"/>
    <cellStyle name="Normal 50 4 4 3 2" xfId="30623" xr:uid="{00000000-0005-0000-0000-0000B8520000}"/>
    <cellStyle name="Normal 50 4 4 4" xfId="22580" xr:uid="{00000000-0005-0000-0000-0000B9520000}"/>
    <cellStyle name="Normal 50 4 5" xfId="8720" xr:uid="{00000000-0005-0000-0000-0000BA520000}"/>
    <cellStyle name="Normal 50 4 5 2" xfId="17895" xr:uid="{00000000-0005-0000-0000-0000BB520000}"/>
    <cellStyle name="Normal 50 4 5 2 2" xfId="34469" xr:uid="{00000000-0005-0000-0000-0000BC520000}"/>
    <cellStyle name="Normal 50 4 5 3" xfId="26422" xr:uid="{00000000-0005-0000-0000-0000BD520000}"/>
    <cellStyle name="Normal 50 4 6" xfId="14070" xr:uid="{00000000-0005-0000-0000-0000BE520000}"/>
    <cellStyle name="Normal 50 4 6 2" xfId="30616" xr:uid="{00000000-0005-0000-0000-0000BF520000}"/>
    <cellStyle name="Normal 50 4 7" xfId="22573" xr:uid="{00000000-0005-0000-0000-0000C0520000}"/>
    <cellStyle name="Normal 50 5" xfId="4728" xr:uid="{00000000-0005-0000-0000-0000C1520000}"/>
    <cellStyle name="Normal 50 5 2" xfId="4729" xr:uid="{00000000-0005-0000-0000-0000C2520000}"/>
    <cellStyle name="Normal 50 5 2 2" xfId="4730" xr:uid="{00000000-0005-0000-0000-0000C3520000}"/>
    <cellStyle name="Normal 50 5 2 2 2" xfId="4731" xr:uid="{00000000-0005-0000-0000-0000C4520000}"/>
    <cellStyle name="Normal 50 5 2 2 2 2" xfId="8721" xr:uid="{00000000-0005-0000-0000-0000C5520000}"/>
    <cellStyle name="Normal 50 5 2 2 2 2 2" xfId="17896" xr:uid="{00000000-0005-0000-0000-0000C6520000}"/>
    <cellStyle name="Normal 50 5 2 2 2 2 2 2" xfId="34470" xr:uid="{00000000-0005-0000-0000-0000C7520000}"/>
    <cellStyle name="Normal 50 5 2 2 2 2 3" xfId="26423" xr:uid="{00000000-0005-0000-0000-0000C8520000}"/>
    <cellStyle name="Normal 50 5 2 2 2 3" xfId="14081" xr:uid="{00000000-0005-0000-0000-0000C9520000}"/>
    <cellStyle name="Normal 50 5 2 2 2 3 2" xfId="30627" xr:uid="{00000000-0005-0000-0000-0000CA520000}"/>
    <cellStyle name="Normal 50 5 2 2 2 4" xfId="22584" xr:uid="{00000000-0005-0000-0000-0000CB520000}"/>
    <cellStyle name="Normal 50 5 2 2 3" xfId="8722" xr:uid="{00000000-0005-0000-0000-0000CC520000}"/>
    <cellStyle name="Normal 50 5 2 2 3 2" xfId="17897" xr:uid="{00000000-0005-0000-0000-0000CD520000}"/>
    <cellStyle name="Normal 50 5 2 2 3 2 2" xfId="34471" xr:uid="{00000000-0005-0000-0000-0000CE520000}"/>
    <cellStyle name="Normal 50 5 2 2 3 3" xfId="26424" xr:uid="{00000000-0005-0000-0000-0000CF520000}"/>
    <cellStyle name="Normal 50 5 2 2 4" xfId="14080" xr:uid="{00000000-0005-0000-0000-0000D0520000}"/>
    <cellStyle name="Normal 50 5 2 2 4 2" xfId="30626" xr:uid="{00000000-0005-0000-0000-0000D1520000}"/>
    <cellStyle name="Normal 50 5 2 2 5" xfId="22583" xr:uid="{00000000-0005-0000-0000-0000D2520000}"/>
    <cellStyle name="Normal 50 5 2 3" xfId="4732" xr:uid="{00000000-0005-0000-0000-0000D3520000}"/>
    <cellStyle name="Normal 50 5 2 3 2" xfId="8723" xr:uid="{00000000-0005-0000-0000-0000D4520000}"/>
    <cellStyle name="Normal 50 5 2 3 2 2" xfId="17898" xr:uid="{00000000-0005-0000-0000-0000D5520000}"/>
    <cellStyle name="Normal 50 5 2 3 2 2 2" xfId="34472" xr:uid="{00000000-0005-0000-0000-0000D6520000}"/>
    <cellStyle name="Normal 50 5 2 3 2 3" xfId="26425" xr:uid="{00000000-0005-0000-0000-0000D7520000}"/>
    <cellStyle name="Normal 50 5 2 3 3" xfId="14082" xr:uid="{00000000-0005-0000-0000-0000D8520000}"/>
    <cellStyle name="Normal 50 5 2 3 3 2" xfId="30628" xr:uid="{00000000-0005-0000-0000-0000D9520000}"/>
    <cellStyle name="Normal 50 5 2 3 4" xfId="22585" xr:uid="{00000000-0005-0000-0000-0000DA520000}"/>
    <cellStyle name="Normal 50 5 2 4" xfId="8724" xr:uid="{00000000-0005-0000-0000-0000DB520000}"/>
    <cellStyle name="Normal 50 5 2 4 2" xfId="17899" xr:uid="{00000000-0005-0000-0000-0000DC520000}"/>
    <cellStyle name="Normal 50 5 2 4 2 2" xfId="34473" xr:uid="{00000000-0005-0000-0000-0000DD520000}"/>
    <cellStyle name="Normal 50 5 2 4 3" xfId="26426" xr:uid="{00000000-0005-0000-0000-0000DE520000}"/>
    <cellStyle name="Normal 50 5 2 5" xfId="14079" xr:uid="{00000000-0005-0000-0000-0000DF520000}"/>
    <cellStyle name="Normal 50 5 2 5 2" xfId="30625" xr:uid="{00000000-0005-0000-0000-0000E0520000}"/>
    <cellStyle name="Normal 50 5 2 6" xfId="22582" xr:uid="{00000000-0005-0000-0000-0000E1520000}"/>
    <cellStyle name="Normal 50 5 3" xfId="4733" xr:uid="{00000000-0005-0000-0000-0000E2520000}"/>
    <cellStyle name="Normal 50 5 3 2" xfId="4734" xr:uid="{00000000-0005-0000-0000-0000E3520000}"/>
    <cellStyle name="Normal 50 5 3 2 2" xfId="8725" xr:uid="{00000000-0005-0000-0000-0000E4520000}"/>
    <cellStyle name="Normal 50 5 3 2 2 2" xfId="17900" xr:uid="{00000000-0005-0000-0000-0000E5520000}"/>
    <cellStyle name="Normal 50 5 3 2 2 2 2" xfId="34474" xr:uid="{00000000-0005-0000-0000-0000E6520000}"/>
    <cellStyle name="Normal 50 5 3 2 2 3" xfId="26427" xr:uid="{00000000-0005-0000-0000-0000E7520000}"/>
    <cellStyle name="Normal 50 5 3 2 3" xfId="14084" xr:uid="{00000000-0005-0000-0000-0000E8520000}"/>
    <cellStyle name="Normal 50 5 3 2 3 2" xfId="30630" xr:uid="{00000000-0005-0000-0000-0000E9520000}"/>
    <cellStyle name="Normal 50 5 3 2 4" xfId="22587" xr:uid="{00000000-0005-0000-0000-0000EA520000}"/>
    <cellStyle name="Normal 50 5 3 3" xfId="8726" xr:uid="{00000000-0005-0000-0000-0000EB520000}"/>
    <cellStyle name="Normal 50 5 3 3 2" xfId="17901" xr:uid="{00000000-0005-0000-0000-0000EC520000}"/>
    <cellStyle name="Normal 50 5 3 3 2 2" xfId="34475" xr:uid="{00000000-0005-0000-0000-0000ED520000}"/>
    <cellStyle name="Normal 50 5 3 3 3" xfId="26428" xr:uid="{00000000-0005-0000-0000-0000EE520000}"/>
    <cellStyle name="Normal 50 5 3 4" xfId="14083" xr:uid="{00000000-0005-0000-0000-0000EF520000}"/>
    <cellStyle name="Normal 50 5 3 4 2" xfId="30629" xr:uid="{00000000-0005-0000-0000-0000F0520000}"/>
    <cellStyle name="Normal 50 5 3 5" xfId="22586" xr:uid="{00000000-0005-0000-0000-0000F1520000}"/>
    <cellStyle name="Normal 50 5 4" xfId="4735" xr:uid="{00000000-0005-0000-0000-0000F2520000}"/>
    <cellStyle name="Normal 50 5 4 2" xfId="8727" xr:uid="{00000000-0005-0000-0000-0000F3520000}"/>
    <cellStyle name="Normal 50 5 4 2 2" xfId="17902" xr:uid="{00000000-0005-0000-0000-0000F4520000}"/>
    <cellStyle name="Normal 50 5 4 2 2 2" xfId="34476" xr:uid="{00000000-0005-0000-0000-0000F5520000}"/>
    <cellStyle name="Normal 50 5 4 2 3" xfId="26429" xr:uid="{00000000-0005-0000-0000-0000F6520000}"/>
    <cellStyle name="Normal 50 5 4 3" xfId="14085" xr:uid="{00000000-0005-0000-0000-0000F7520000}"/>
    <cellStyle name="Normal 50 5 4 3 2" xfId="30631" xr:uid="{00000000-0005-0000-0000-0000F8520000}"/>
    <cellStyle name="Normal 50 5 4 4" xfId="22588" xr:uid="{00000000-0005-0000-0000-0000F9520000}"/>
    <cellStyle name="Normal 50 5 5" xfId="8728" xr:uid="{00000000-0005-0000-0000-0000FA520000}"/>
    <cellStyle name="Normal 50 5 5 2" xfId="17903" xr:uid="{00000000-0005-0000-0000-0000FB520000}"/>
    <cellStyle name="Normal 50 5 5 2 2" xfId="34477" xr:uid="{00000000-0005-0000-0000-0000FC520000}"/>
    <cellStyle name="Normal 50 5 5 3" xfId="26430" xr:uid="{00000000-0005-0000-0000-0000FD520000}"/>
    <cellStyle name="Normal 50 5 6" xfId="14078" xr:uid="{00000000-0005-0000-0000-0000FE520000}"/>
    <cellStyle name="Normal 50 5 6 2" xfId="30624" xr:uid="{00000000-0005-0000-0000-0000FF520000}"/>
    <cellStyle name="Normal 50 5 7" xfId="22581" xr:uid="{00000000-0005-0000-0000-000000530000}"/>
    <cellStyle name="Normal 50 6" xfId="4736" xr:uid="{00000000-0005-0000-0000-000001530000}"/>
    <cellStyle name="Normal 50 6 2" xfId="4737" xr:uid="{00000000-0005-0000-0000-000002530000}"/>
    <cellStyle name="Normal 50 6 2 2" xfId="4738" xr:uid="{00000000-0005-0000-0000-000003530000}"/>
    <cellStyle name="Normal 50 6 2 2 2" xfId="8729" xr:uid="{00000000-0005-0000-0000-000004530000}"/>
    <cellStyle name="Normal 50 6 2 2 2 2" xfId="17904" xr:uid="{00000000-0005-0000-0000-000005530000}"/>
    <cellStyle name="Normal 50 6 2 2 2 2 2" xfId="34478" xr:uid="{00000000-0005-0000-0000-000006530000}"/>
    <cellStyle name="Normal 50 6 2 2 2 3" xfId="26431" xr:uid="{00000000-0005-0000-0000-000007530000}"/>
    <cellStyle name="Normal 50 6 2 2 3" xfId="14088" xr:uid="{00000000-0005-0000-0000-000008530000}"/>
    <cellStyle name="Normal 50 6 2 2 3 2" xfId="30634" xr:uid="{00000000-0005-0000-0000-000009530000}"/>
    <cellStyle name="Normal 50 6 2 2 4" xfId="22591" xr:uid="{00000000-0005-0000-0000-00000A530000}"/>
    <cellStyle name="Normal 50 6 2 3" xfId="8730" xr:uid="{00000000-0005-0000-0000-00000B530000}"/>
    <cellStyle name="Normal 50 6 2 3 2" xfId="17905" xr:uid="{00000000-0005-0000-0000-00000C530000}"/>
    <cellStyle name="Normal 50 6 2 3 2 2" xfId="34479" xr:uid="{00000000-0005-0000-0000-00000D530000}"/>
    <cellStyle name="Normal 50 6 2 3 3" xfId="26432" xr:uid="{00000000-0005-0000-0000-00000E530000}"/>
    <cellStyle name="Normal 50 6 2 4" xfId="14087" xr:uid="{00000000-0005-0000-0000-00000F530000}"/>
    <cellStyle name="Normal 50 6 2 4 2" xfId="30633" xr:uid="{00000000-0005-0000-0000-000010530000}"/>
    <cellStyle name="Normal 50 6 2 5" xfId="22590" xr:uid="{00000000-0005-0000-0000-000011530000}"/>
    <cellStyle name="Normal 50 6 3" xfId="4739" xr:uid="{00000000-0005-0000-0000-000012530000}"/>
    <cellStyle name="Normal 50 6 3 2" xfId="8731" xr:uid="{00000000-0005-0000-0000-000013530000}"/>
    <cellStyle name="Normal 50 6 3 2 2" xfId="17906" xr:uid="{00000000-0005-0000-0000-000014530000}"/>
    <cellStyle name="Normal 50 6 3 2 2 2" xfId="34480" xr:uid="{00000000-0005-0000-0000-000015530000}"/>
    <cellStyle name="Normal 50 6 3 2 3" xfId="26433" xr:uid="{00000000-0005-0000-0000-000016530000}"/>
    <cellStyle name="Normal 50 6 3 3" xfId="14089" xr:uid="{00000000-0005-0000-0000-000017530000}"/>
    <cellStyle name="Normal 50 6 3 3 2" xfId="30635" xr:uid="{00000000-0005-0000-0000-000018530000}"/>
    <cellStyle name="Normal 50 6 3 4" xfId="22592" xr:uid="{00000000-0005-0000-0000-000019530000}"/>
    <cellStyle name="Normal 50 6 4" xfId="8732" xr:uid="{00000000-0005-0000-0000-00001A530000}"/>
    <cellStyle name="Normal 50 6 4 2" xfId="17907" xr:uid="{00000000-0005-0000-0000-00001B530000}"/>
    <cellStyle name="Normal 50 6 4 2 2" xfId="34481" xr:uid="{00000000-0005-0000-0000-00001C530000}"/>
    <cellStyle name="Normal 50 6 4 3" xfId="26434" xr:uid="{00000000-0005-0000-0000-00001D530000}"/>
    <cellStyle name="Normal 50 6 5" xfId="14086" xr:uid="{00000000-0005-0000-0000-00001E530000}"/>
    <cellStyle name="Normal 50 6 5 2" xfId="30632" xr:uid="{00000000-0005-0000-0000-00001F530000}"/>
    <cellStyle name="Normal 50 6 6" xfId="22589" xr:uid="{00000000-0005-0000-0000-000020530000}"/>
    <cellStyle name="Normal 50 7" xfId="4740" xr:uid="{00000000-0005-0000-0000-000021530000}"/>
    <cellStyle name="Normal 50 7 2" xfId="4741" xr:uid="{00000000-0005-0000-0000-000022530000}"/>
    <cellStyle name="Normal 50 7 2 2" xfId="8733" xr:uid="{00000000-0005-0000-0000-000023530000}"/>
    <cellStyle name="Normal 50 7 2 2 2" xfId="17908" xr:uid="{00000000-0005-0000-0000-000024530000}"/>
    <cellStyle name="Normal 50 7 2 2 2 2" xfId="34482" xr:uid="{00000000-0005-0000-0000-000025530000}"/>
    <cellStyle name="Normal 50 7 2 2 3" xfId="26435" xr:uid="{00000000-0005-0000-0000-000026530000}"/>
    <cellStyle name="Normal 50 7 2 3" xfId="14091" xr:uid="{00000000-0005-0000-0000-000027530000}"/>
    <cellStyle name="Normal 50 7 2 3 2" xfId="30637" xr:uid="{00000000-0005-0000-0000-000028530000}"/>
    <cellStyle name="Normal 50 7 2 4" xfId="22594" xr:uid="{00000000-0005-0000-0000-000029530000}"/>
    <cellStyle name="Normal 50 7 3" xfId="8734" xr:uid="{00000000-0005-0000-0000-00002A530000}"/>
    <cellStyle name="Normal 50 7 3 2" xfId="17909" xr:uid="{00000000-0005-0000-0000-00002B530000}"/>
    <cellStyle name="Normal 50 7 3 2 2" xfId="34483" xr:uid="{00000000-0005-0000-0000-00002C530000}"/>
    <cellStyle name="Normal 50 7 3 3" xfId="26436" xr:uid="{00000000-0005-0000-0000-00002D530000}"/>
    <cellStyle name="Normal 50 7 4" xfId="14090" xr:uid="{00000000-0005-0000-0000-00002E530000}"/>
    <cellStyle name="Normal 50 7 4 2" xfId="30636" xr:uid="{00000000-0005-0000-0000-00002F530000}"/>
    <cellStyle name="Normal 50 7 5" xfId="22593" xr:uid="{00000000-0005-0000-0000-000030530000}"/>
    <cellStyle name="Normal 50 8" xfId="4742" xr:uid="{00000000-0005-0000-0000-000031530000}"/>
    <cellStyle name="Normal 50 8 2" xfId="8735" xr:uid="{00000000-0005-0000-0000-000032530000}"/>
    <cellStyle name="Normal 50 8 2 2" xfId="17910" xr:uid="{00000000-0005-0000-0000-000033530000}"/>
    <cellStyle name="Normal 50 8 2 2 2" xfId="34484" xr:uid="{00000000-0005-0000-0000-000034530000}"/>
    <cellStyle name="Normal 50 8 2 3" xfId="26437" xr:uid="{00000000-0005-0000-0000-000035530000}"/>
    <cellStyle name="Normal 50 8 3" xfId="14092" xr:uid="{00000000-0005-0000-0000-000036530000}"/>
    <cellStyle name="Normal 50 8 3 2" xfId="30638" xr:uid="{00000000-0005-0000-0000-000037530000}"/>
    <cellStyle name="Normal 50 8 4" xfId="22595" xr:uid="{00000000-0005-0000-0000-000038530000}"/>
    <cellStyle name="Normal 50 9" xfId="8736" xr:uid="{00000000-0005-0000-0000-000039530000}"/>
    <cellStyle name="Normal 50 9 2" xfId="17911" xr:uid="{00000000-0005-0000-0000-00003A530000}"/>
    <cellStyle name="Normal 50 9 2 2" xfId="34485" xr:uid="{00000000-0005-0000-0000-00003B530000}"/>
    <cellStyle name="Normal 50 9 3" xfId="26438" xr:uid="{00000000-0005-0000-0000-00003C530000}"/>
    <cellStyle name="Normal 51" xfId="4743" xr:uid="{00000000-0005-0000-0000-00003D530000}"/>
    <cellStyle name="Normal 51 10" xfId="14093" xr:uid="{00000000-0005-0000-0000-00003E530000}"/>
    <cellStyle name="Normal 51 10 2" xfId="30639" xr:uid="{00000000-0005-0000-0000-00003F530000}"/>
    <cellStyle name="Normal 51 11" xfId="22596" xr:uid="{00000000-0005-0000-0000-000040530000}"/>
    <cellStyle name="Normal 51 2" xfId="4744" xr:uid="{00000000-0005-0000-0000-000041530000}"/>
    <cellStyle name="Normal 51 2 2" xfId="4745" xr:uid="{00000000-0005-0000-0000-000042530000}"/>
    <cellStyle name="Normal 51 2 3" xfId="14094" xr:uid="{00000000-0005-0000-0000-000043530000}"/>
    <cellStyle name="Normal 51 2 3 2" xfId="30640" xr:uid="{00000000-0005-0000-0000-000044530000}"/>
    <cellStyle name="Normal 51 2 4" xfId="22597" xr:uid="{00000000-0005-0000-0000-000045530000}"/>
    <cellStyle name="Normal 51 3" xfId="4746" xr:uid="{00000000-0005-0000-0000-000046530000}"/>
    <cellStyle name="Normal 51 3 2" xfId="4747" xr:uid="{00000000-0005-0000-0000-000047530000}"/>
    <cellStyle name="Normal 51 3 2 2" xfId="4748" xr:uid="{00000000-0005-0000-0000-000048530000}"/>
    <cellStyle name="Normal 51 3 2 2 2" xfId="4749" xr:uid="{00000000-0005-0000-0000-000049530000}"/>
    <cellStyle name="Normal 51 3 2 2 2 2" xfId="8737" xr:uid="{00000000-0005-0000-0000-00004A530000}"/>
    <cellStyle name="Normal 51 3 2 2 2 2 2" xfId="17912" xr:uid="{00000000-0005-0000-0000-00004B530000}"/>
    <cellStyle name="Normal 51 3 2 2 2 2 2 2" xfId="34486" xr:uid="{00000000-0005-0000-0000-00004C530000}"/>
    <cellStyle name="Normal 51 3 2 2 2 2 3" xfId="26439" xr:uid="{00000000-0005-0000-0000-00004D530000}"/>
    <cellStyle name="Normal 51 3 2 2 2 3" xfId="14097" xr:uid="{00000000-0005-0000-0000-00004E530000}"/>
    <cellStyle name="Normal 51 3 2 2 2 3 2" xfId="30643" xr:uid="{00000000-0005-0000-0000-00004F530000}"/>
    <cellStyle name="Normal 51 3 2 2 2 4" xfId="22600" xr:uid="{00000000-0005-0000-0000-000050530000}"/>
    <cellStyle name="Normal 51 3 2 2 3" xfId="8738" xr:uid="{00000000-0005-0000-0000-000051530000}"/>
    <cellStyle name="Normal 51 3 2 2 3 2" xfId="17913" xr:uid="{00000000-0005-0000-0000-000052530000}"/>
    <cellStyle name="Normal 51 3 2 2 3 2 2" xfId="34487" xr:uid="{00000000-0005-0000-0000-000053530000}"/>
    <cellStyle name="Normal 51 3 2 2 3 3" xfId="26440" xr:uid="{00000000-0005-0000-0000-000054530000}"/>
    <cellStyle name="Normal 51 3 2 2 4" xfId="14096" xr:uid="{00000000-0005-0000-0000-000055530000}"/>
    <cellStyle name="Normal 51 3 2 2 4 2" xfId="30642" xr:uid="{00000000-0005-0000-0000-000056530000}"/>
    <cellStyle name="Normal 51 3 2 2 5" xfId="22599" xr:uid="{00000000-0005-0000-0000-000057530000}"/>
    <cellStyle name="Normal 51 3 2 3" xfId="4750" xr:uid="{00000000-0005-0000-0000-000058530000}"/>
    <cellStyle name="Normal 51 3 2 3 2" xfId="8739" xr:uid="{00000000-0005-0000-0000-000059530000}"/>
    <cellStyle name="Normal 51 3 2 3 2 2" xfId="17914" xr:uid="{00000000-0005-0000-0000-00005A530000}"/>
    <cellStyle name="Normal 51 3 2 3 2 2 2" xfId="34488" xr:uid="{00000000-0005-0000-0000-00005B530000}"/>
    <cellStyle name="Normal 51 3 2 3 2 3" xfId="26441" xr:uid="{00000000-0005-0000-0000-00005C530000}"/>
    <cellStyle name="Normal 51 3 2 3 3" xfId="14098" xr:uid="{00000000-0005-0000-0000-00005D530000}"/>
    <cellStyle name="Normal 51 3 2 3 3 2" xfId="30644" xr:uid="{00000000-0005-0000-0000-00005E530000}"/>
    <cellStyle name="Normal 51 3 2 3 4" xfId="22601" xr:uid="{00000000-0005-0000-0000-00005F530000}"/>
    <cellStyle name="Normal 51 3 2 4" xfId="8740" xr:uid="{00000000-0005-0000-0000-000060530000}"/>
    <cellStyle name="Normal 51 3 2 4 2" xfId="17915" xr:uid="{00000000-0005-0000-0000-000061530000}"/>
    <cellStyle name="Normal 51 3 2 4 2 2" xfId="34489" xr:uid="{00000000-0005-0000-0000-000062530000}"/>
    <cellStyle name="Normal 51 3 2 4 3" xfId="26442" xr:uid="{00000000-0005-0000-0000-000063530000}"/>
    <cellStyle name="Normal 51 3 2 5" xfId="14095" xr:uid="{00000000-0005-0000-0000-000064530000}"/>
    <cellStyle name="Normal 51 3 2 5 2" xfId="30641" xr:uid="{00000000-0005-0000-0000-000065530000}"/>
    <cellStyle name="Normal 51 3 2 6" xfId="22598" xr:uid="{00000000-0005-0000-0000-000066530000}"/>
    <cellStyle name="Normal 51 3 3" xfId="4751" xr:uid="{00000000-0005-0000-0000-000067530000}"/>
    <cellStyle name="Normal 51 3 3 2" xfId="4752" xr:uid="{00000000-0005-0000-0000-000068530000}"/>
    <cellStyle name="Normal 51 3 3 2 2" xfId="8741" xr:uid="{00000000-0005-0000-0000-000069530000}"/>
    <cellStyle name="Normal 51 3 3 2 2 2" xfId="17916" xr:uid="{00000000-0005-0000-0000-00006A530000}"/>
    <cellStyle name="Normal 51 3 3 2 2 2 2" xfId="34490" xr:uid="{00000000-0005-0000-0000-00006B530000}"/>
    <cellStyle name="Normal 51 3 3 2 2 3" xfId="26443" xr:uid="{00000000-0005-0000-0000-00006C530000}"/>
    <cellStyle name="Normal 51 3 3 2 3" xfId="14100" xr:uid="{00000000-0005-0000-0000-00006D530000}"/>
    <cellStyle name="Normal 51 3 3 2 3 2" xfId="30646" xr:uid="{00000000-0005-0000-0000-00006E530000}"/>
    <cellStyle name="Normal 51 3 3 2 4" xfId="22603" xr:uid="{00000000-0005-0000-0000-00006F530000}"/>
    <cellStyle name="Normal 51 3 3 3" xfId="8742" xr:uid="{00000000-0005-0000-0000-000070530000}"/>
    <cellStyle name="Normal 51 3 3 3 2" xfId="17917" xr:uid="{00000000-0005-0000-0000-000071530000}"/>
    <cellStyle name="Normal 51 3 3 3 2 2" xfId="34491" xr:uid="{00000000-0005-0000-0000-000072530000}"/>
    <cellStyle name="Normal 51 3 3 3 3" xfId="26444" xr:uid="{00000000-0005-0000-0000-000073530000}"/>
    <cellStyle name="Normal 51 3 3 4" xfId="14099" xr:uid="{00000000-0005-0000-0000-000074530000}"/>
    <cellStyle name="Normal 51 3 3 4 2" xfId="30645" xr:uid="{00000000-0005-0000-0000-000075530000}"/>
    <cellStyle name="Normal 51 3 3 5" xfId="22602" xr:uid="{00000000-0005-0000-0000-000076530000}"/>
    <cellStyle name="Normal 51 3 4" xfId="4753" xr:uid="{00000000-0005-0000-0000-000077530000}"/>
    <cellStyle name="Normal 51 3 4 2" xfId="8743" xr:uid="{00000000-0005-0000-0000-000078530000}"/>
    <cellStyle name="Normal 51 3 4 2 2" xfId="17918" xr:uid="{00000000-0005-0000-0000-000079530000}"/>
    <cellStyle name="Normal 51 3 4 2 2 2" xfId="34492" xr:uid="{00000000-0005-0000-0000-00007A530000}"/>
    <cellStyle name="Normal 51 3 4 2 3" xfId="26445" xr:uid="{00000000-0005-0000-0000-00007B530000}"/>
    <cellStyle name="Normal 51 3 4 3" xfId="14101" xr:uid="{00000000-0005-0000-0000-00007C530000}"/>
    <cellStyle name="Normal 51 3 4 3 2" xfId="30647" xr:uid="{00000000-0005-0000-0000-00007D530000}"/>
    <cellStyle name="Normal 51 3 4 4" xfId="22604" xr:uid="{00000000-0005-0000-0000-00007E530000}"/>
    <cellStyle name="Normal 51 3 5" xfId="4754" xr:uid="{00000000-0005-0000-0000-00007F530000}"/>
    <cellStyle name="Normal 51 3 5 2" xfId="14102" xr:uid="{00000000-0005-0000-0000-000080530000}"/>
    <cellStyle name="Normal 51 3 5 2 2" xfId="30648" xr:uid="{00000000-0005-0000-0000-000081530000}"/>
    <cellStyle name="Normal 51 3 5 3" xfId="22605" xr:uid="{00000000-0005-0000-0000-000082530000}"/>
    <cellStyle name="Normal 51 4" xfId="4755" xr:uid="{00000000-0005-0000-0000-000083530000}"/>
    <cellStyle name="Normal 51 4 2" xfId="4756" xr:uid="{00000000-0005-0000-0000-000084530000}"/>
    <cellStyle name="Normal 51 4 2 2" xfId="4757" xr:uid="{00000000-0005-0000-0000-000085530000}"/>
    <cellStyle name="Normal 51 4 2 2 2" xfId="4758" xr:uid="{00000000-0005-0000-0000-000086530000}"/>
    <cellStyle name="Normal 51 4 2 2 2 2" xfId="8744" xr:uid="{00000000-0005-0000-0000-000087530000}"/>
    <cellStyle name="Normal 51 4 2 2 2 2 2" xfId="17919" xr:uid="{00000000-0005-0000-0000-000088530000}"/>
    <cellStyle name="Normal 51 4 2 2 2 2 2 2" xfId="34493" xr:uid="{00000000-0005-0000-0000-000089530000}"/>
    <cellStyle name="Normal 51 4 2 2 2 2 3" xfId="26446" xr:uid="{00000000-0005-0000-0000-00008A530000}"/>
    <cellStyle name="Normal 51 4 2 2 2 3" xfId="14106" xr:uid="{00000000-0005-0000-0000-00008B530000}"/>
    <cellStyle name="Normal 51 4 2 2 2 3 2" xfId="30652" xr:uid="{00000000-0005-0000-0000-00008C530000}"/>
    <cellStyle name="Normal 51 4 2 2 2 4" xfId="22609" xr:uid="{00000000-0005-0000-0000-00008D530000}"/>
    <cellStyle name="Normal 51 4 2 2 3" xfId="8745" xr:uid="{00000000-0005-0000-0000-00008E530000}"/>
    <cellStyle name="Normal 51 4 2 2 3 2" xfId="17920" xr:uid="{00000000-0005-0000-0000-00008F530000}"/>
    <cellStyle name="Normal 51 4 2 2 3 2 2" xfId="34494" xr:uid="{00000000-0005-0000-0000-000090530000}"/>
    <cellStyle name="Normal 51 4 2 2 3 3" xfId="26447" xr:uid="{00000000-0005-0000-0000-000091530000}"/>
    <cellStyle name="Normal 51 4 2 2 4" xfId="14105" xr:uid="{00000000-0005-0000-0000-000092530000}"/>
    <cellStyle name="Normal 51 4 2 2 4 2" xfId="30651" xr:uid="{00000000-0005-0000-0000-000093530000}"/>
    <cellStyle name="Normal 51 4 2 2 5" xfId="22608" xr:uid="{00000000-0005-0000-0000-000094530000}"/>
    <cellStyle name="Normal 51 4 2 3" xfId="4759" xr:uid="{00000000-0005-0000-0000-000095530000}"/>
    <cellStyle name="Normal 51 4 2 3 2" xfId="8746" xr:uid="{00000000-0005-0000-0000-000096530000}"/>
    <cellStyle name="Normal 51 4 2 3 2 2" xfId="17921" xr:uid="{00000000-0005-0000-0000-000097530000}"/>
    <cellStyle name="Normal 51 4 2 3 2 2 2" xfId="34495" xr:uid="{00000000-0005-0000-0000-000098530000}"/>
    <cellStyle name="Normal 51 4 2 3 2 3" xfId="26448" xr:uid="{00000000-0005-0000-0000-000099530000}"/>
    <cellStyle name="Normal 51 4 2 3 3" xfId="14107" xr:uid="{00000000-0005-0000-0000-00009A530000}"/>
    <cellStyle name="Normal 51 4 2 3 3 2" xfId="30653" xr:uid="{00000000-0005-0000-0000-00009B530000}"/>
    <cellStyle name="Normal 51 4 2 3 4" xfId="22610" xr:uid="{00000000-0005-0000-0000-00009C530000}"/>
    <cellStyle name="Normal 51 4 2 4" xfId="8747" xr:uid="{00000000-0005-0000-0000-00009D530000}"/>
    <cellStyle name="Normal 51 4 2 4 2" xfId="17922" xr:uid="{00000000-0005-0000-0000-00009E530000}"/>
    <cellStyle name="Normal 51 4 2 4 2 2" xfId="34496" xr:uid="{00000000-0005-0000-0000-00009F530000}"/>
    <cellStyle name="Normal 51 4 2 4 3" xfId="26449" xr:uid="{00000000-0005-0000-0000-0000A0530000}"/>
    <cellStyle name="Normal 51 4 2 5" xfId="14104" xr:uid="{00000000-0005-0000-0000-0000A1530000}"/>
    <cellStyle name="Normal 51 4 2 5 2" xfId="30650" xr:uid="{00000000-0005-0000-0000-0000A2530000}"/>
    <cellStyle name="Normal 51 4 2 6" xfId="22607" xr:uid="{00000000-0005-0000-0000-0000A3530000}"/>
    <cellStyle name="Normal 51 4 3" xfId="4760" xr:uid="{00000000-0005-0000-0000-0000A4530000}"/>
    <cellStyle name="Normal 51 4 3 2" xfId="4761" xr:uid="{00000000-0005-0000-0000-0000A5530000}"/>
    <cellStyle name="Normal 51 4 3 2 2" xfId="8748" xr:uid="{00000000-0005-0000-0000-0000A6530000}"/>
    <cellStyle name="Normal 51 4 3 2 2 2" xfId="17923" xr:uid="{00000000-0005-0000-0000-0000A7530000}"/>
    <cellStyle name="Normal 51 4 3 2 2 2 2" xfId="34497" xr:uid="{00000000-0005-0000-0000-0000A8530000}"/>
    <cellStyle name="Normal 51 4 3 2 2 3" xfId="26450" xr:uid="{00000000-0005-0000-0000-0000A9530000}"/>
    <cellStyle name="Normal 51 4 3 2 3" xfId="14109" xr:uid="{00000000-0005-0000-0000-0000AA530000}"/>
    <cellStyle name="Normal 51 4 3 2 3 2" xfId="30655" xr:uid="{00000000-0005-0000-0000-0000AB530000}"/>
    <cellStyle name="Normal 51 4 3 2 4" xfId="22612" xr:uid="{00000000-0005-0000-0000-0000AC530000}"/>
    <cellStyle name="Normal 51 4 3 3" xfId="8749" xr:uid="{00000000-0005-0000-0000-0000AD530000}"/>
    <cellStyle name="Normal 51 4 3 3 2" xfId="17924" xr:uid="{00000000-0005-0000-0000-0000AE530000}"/>
    <cellStyle name="Normal 51 4 3 3 2 2" xfId="34498" xr:uid="{00000000-0005-0000-0000-0000AF530000}"/>
    <cellStyle name="Normal 51 4 3 3 3" xfId="26451" xr:uid="{00000000-0005-0000-0000-0000B0530000}"/>
    <cellStyle name="Normal 51 4 3 4" xfId="14108" xr:uid="{00000000-0005-0000-0000-0000B1530000}"/>
    <cellStyle name="Normal 51 4 3 4 2" xfId="30654" xr:uid="{00000000-0005-0000-0000-0000B2530000}"/>
    <cellStyle name="Normal 51 4 3 5" xfId="22611" xr:uid="{00000000-0005-0000-0000-0000B3530000}"/>
    <cellStyle name="Normal 51 4 4" xfId="4762" xr:uid="{00000000-0005-0000-0000-0000B4530000}"/>
    <cellStyle name="Normal 51 4 4 2" xfId="8750" xr:uid="{00000000-0005-0000-0000-0000B5530000}"/>
    <cellStyle name="Normal 51 4 4 2 2" xfId="17925" xr:uid="{00000000-0005-0000-0000-0000B6530000}"/>
    <cellStyle name="Normal 51 4 4 2 2 2" xfId="34499" xr:uid="{00000000-0005-0000-0000-0000B7530000}"/>
    <cellStyle name="Normal 51 4 4 2 3" xfId="26452" xr:uid="{00000000-0005-0000-0000-0000B8530000}"/>
    <cellStyle name="Normal 51 4 4 3" xfId="14110" xr:uid="{00000000-0005-0000-0000-0000B9530000}"/>
    <cellStyle name="Normal 51 4 4 3 2" xfId="30656" xr:uid="{00000000-0005-0000-0000-0000BA530000}"/>
    <cellStyle name="Normal 51 4 4 4" xfId="22613" xr:uid="{00000000-0005-0000-0000-0000BB530000}"/>
    <cellStyle name="Normal 51 4 5" xfId="8751" xr:uid="{00000000-0005-0000-0000-0000BC530000}"/>
    <cellStyle name="Normal 51 4 5 2" xfId="17926" xr:uid="{00000000-0005-0000-0000-0000BD530000}"/>
    <cellStyle name="Normal 51 4 5 2 2" xfId="34500" xr:uid="{00000000-0005-0000-0000-0000BE530000}"/>
    <cellStyle name="Normal 51 4 5 3" xfId="26453" xr:uid="{00000000-0005-0000-0000-0000BF530000}"/>
    <cellStyle name="Normal 51 4 6" xfId="14103" xr:uid="{00000000-0005-0000-0000-0000C0530000}"/>
    <cellStyle name="Normal 51 4 6 2" xfId="30649" xr:uid="{00000000-0005-0000-0000-0000C1530000}"/>
    <cellStyle name="Normal 51 4 7" xfId="22606" xr:uid="{00000000-0005-0000-0000-0000C2530000}"/>
    <cellStyle name="Normal 51 5" xfId="4763" xr:uid="{00000000-0005-0000-0000-0000C3530000}"/>
    <cellStyle name="Normal 51 5 2" xfId="4764" xr:uid="{00000000-0005-0000-0000-0000C4530000}"/>
    <cellStyle name="Normal 51 5 2 2" xfId="4765" xr:uid="{00000000-0005-0000-0000-0000C5530000}"/>
    <cellStyle name="Normal 51 5 2 2 2" xfId="4766" xr:uid="{00000000-0005-0000-0000-0000C6530000}"/>
    <cellStyle name="Normal 51 5 2 2 2 2" xfId="8752" xr:uid="{00000000-0005-0000-0000-0000C7530000}"/>
    <cellStyle name="Normal 51 5 2 2 2 2 2" xfId="17927" xr:uid="{00000000-0005-0000-0000-0000C8530000}"/>
    <cellStyle name="Normal 51 5 2 2 2 2 2 2" xfId="34501" xr:uid="{00000000-0005-0000-0000-0000C9530000}"/>
    <cellStyle name="Normal 51 5 2 2 2 2 3" xfId="26454" xr:uid="{00000000-0005-0000-0000-0000CA530000}"/>
    <cellStyle name="Normal 51 5 2 2 2 3" xfId="14114" xr:uid="{00000000-0005-0000-0000-0000CB530000}"/>
    <cellStyle name="Normal 51 5 2 2 2 3 2" xfId="30660" xr:uid="{00000000-0005-0000-0000-0000CC530000}"/>
    <cellStyle name="Normal 51 5 2 2 2 4" xfId="22617" xr:uid="{00000000-0005-0000-0000-0000CD530000}"/>
    <cellStyle name="Normal 51 5 2 2 3" xfId="8753" xr:uid="{00000000-0005-0000-0000-0000CE530000}"/>
    <cellStyle name="Normal 51 5 2 2 3 2" xfId="17928" xr:uid="{00000000-0005-0000-0000-0000CF530000}"/>
    <cellStyle name="Normal 51 5 2 2 3 2 2" xfId="34502" xr:uid="{00000000-0005-0000-0000-0000D0530000}"/>
    <cellStyle name="Normal 51 5 2 2 3 3" xfId="26455" xr:uid="{00000000-0005-0000-0000-0000D1530000}"/>
    <cellStyle name="Normal 51 5 2 2 4" xfId="14113" xr:uid="{00000000-0005-0000-0000-0000D2530000}"/>
    <cellStyle name="Normal 51 5 2 2 4 2" xfId="30659" xr:uid="{00000000-0005-0000-0000-0000D3530000}"/>
    <cellStyle name="Normal 51 5 2 2 5" xfId="22616" xr:uid="{00000000-0005-0000-0000-0000D4530000}"/>
    <cellStyle name="Normal 51 5 2 3" xfId="4767" xr:uid="{00000000-0005-0000-0000-0000D5530000}"/>
    <cellStyle name="Normal 51 5 2 3 2" xfId="8754" xr:uid="{00000000-0005-0000-0000-0000D6530000}"/>
    <cellStyle name="Normal 51 5 2 3 2 2" xfId="17929" xr:uid="{00000000-0005-0000-0000-0000D7530000}"/>
    <cellStyle name="Normal 51 5 2 3 2 2 2" xfId="34503" xr:uid="{00000000-0005-0000-0000-0000D8530000}"/>
    <cellStyle name="Normal 51 5 2 3 2 3" xfId="26456" xr:uid="{00000000-0005-0000-0000-0000D9530000}"/>
    <cellStyle name="Normal 51 5 2 3 3" xfId="14115" xr:uid="{00000000-0005-0000-0000-0000DA530000}"/>
    <cellStyle name="Normal 51 5 2 3 3 2" xfId="30661" xr:uid="{00000000-0005-0000-0000-0000DB530000}"/>
    <cellStyle name="Normal 51 5 2 3 4" xfId="22618" xr:uid="{00000000-0005-0000-0000-0000DC530000}"/>
    <cellStyle name="Normal 51 5 2 4" xfId="8755" xr:uid="{00000000-0005-0000-0000-0000DD530000}"/>
    <cellStyle name="Normal 51 5 2 4 2" xfId="17930" xr:uid="{00000000-0005-0000-0000-0000DE530000}"/>
    <cellStyle name="Normal 51 5 2 4 2 2" xfId="34504" xr:uid="{00000000-0005-0000-0000-0000DF530000}"/>
    <cellStyle name="Normal 51 5 2 4 3" xfId="26457" xr:uid="{00000000-0005-0000-0000-0000E0530000}"/>
    <cellStyle name="Normal 51 5 2 5" xfId="14112" xr:uid="{00000000-0005-0000-0000-0000E1530000}"/>
    <cellStyle name="Normal 51 5 2 5 2" xfId="30658" xr:uid="{00000000-0005-0000-0000-0000E2530000}"/>
    <cellStyle name="Normal 51 5 2 6" xfId="22615" xr:uid="{00000000-0005-0000-0000-0000E3530000}"/>
    <cellStyle name="Normal 51 5 3" xfId="4768" xr:uid="{00000000-0005-0000-0000-0000E4530000}"/>
    <cellStyle name="Normal 51 5 3 2" xfId="4769" xr:uid="{00000000-0005-0000-0000-0000E5530000}"/>
    <cellStyle name="Normal 51 5 3 2 2" xfId="8756" xr:uid="{00000000-0005-0000-0000-0000E6530000}"/>
    <cellStyle name="Normal 51 5 3 2 2 2" xfId="17931" xr:uid="{00000000-0005-0000-0000-0000E7530000}"/>
    <cellStyle name="Normal 51 5 3 2 2 2 2" xfId="34505" xr:uid="{00000000-0005-0000-0000-0000E8530000}"/>
    <cellStyle name="Normal 51 5 3 2 2 3" xfId="26458" xr:uid="{00000000-0005-0000-0000-0000E9530000}"/>
    <cellStyle name="Normal 51 5 3 2 3" xfId="14117" xr:uid="{00000000-0005-0000-0000-0000EA530000}"/>
    <cellStyle name="Normal 51 5 3 2 3 2" xfId="30663" xr:uid="{00000000-0005-0000-0000-0000EB530000}"/>
    <cellStyle name="Normal 51 5 3 2 4" xfId="22620" xr:uid="{00000000-0005-0000-0000-0000EC530000}"/>
    <cellStyle name="Normal 51 5 3 3" xfId="8757" xr:uid="{00000000-0005-0000-0000-0000ED530000}"/>
    <cellStyle name="Normal 51 5 3 3 2" xfId="17932" xr:uid="{00000000-0005-0000-0000-0000EE530000}"/>
    <cellStyle name="Normal 51 5 3 3 2 2" xfId="34506" xr:uid="{00000000-0005-0000-0000-0000EF530000}"/>
    <cellStyle name="Normal 51 5 3 3 3" xfId="26459" xr:uid="{00000000-0005-0000-0000-0000F0530000}"/>
    <cellStyle name="Normal 51 5 3 4" xfId="14116" xr:uid="{00000000-0005-0000-0000-0000F1530000}"/>
    <cellStyle name="Normal 51 5 3 4 2" xfId="30662" xr:uid="{00000000-0005-0000-0000-0000F2530000}"/>
    <cellStyle name="Normal 51 5 3 5" xfId="22619" xr:uid="{00000000-0005-0000-0000-0000F3530000}"/>
    <cellStyle name="Normal 51 5 4" xfId="4770" xr:uid="{00000000-0005-0000-0000-0000F4530000}"/>
    <cellStyle name="Normal 51 5 4 2" xfId="8758" xr:uid="{00000000-0005-0000-0000-0000F5530000}"/>
    <cellStyle name="Normal 51 5 4 2 2" xfId="17933" xr:uid="{00000000-0005-0000-0000-0000F6530000}"/>
    <cellStyle name="Normal 51 5 4 2 2 2" xfId="34507" xr:uid="{00000000-0005-0000-0000-0000F7530000}"/>
    <cellStyle name="Normal 51 5 4 2 3" xfId="26460" xr:uid="{00000000-0005-0000-0000-0000F8530000}"/>
    <cellStyle name="Normal 51 5 4 3" xfId="14118" xr:uid="{00000000-0005-0000-0000-0000F9530000}"/>
    <cellStyle name="Normal 51 5 4 3 2" xfId="30664" xr:uid="{00000000-0005-0000-0000-0000FA530000}"/>
    <cellStyle name="Normal 51 5 4 4" xfId="22621" xr:uid="{00000000-0005-0000-0000-0000FB530000}"/>
    <cellStyle name="Normal 51 5 5" xfId="8759" xr:uid="{00000000-0005-0000-0000-0000FC530000}"/>
    <cellStyle name="Normal 51 5 5 2" xfId="17934" xr:uid="{00000000-0005-0000-0000-0000FD530000}"/>
    <cellStyle name="Normal 51 5 5 2 2" xfId="34508" xr:uid="{00000000-0005-0000-0000-0000FE530000}"/>
    <cellStyle name="Normal 51 5 5 3" xfId="26461" xr:uid="{00000000-0005-0000-0000-0000FF530000}"/>
    <cellStyle name="Normal 51 5 6" xfId="14111" xr:uid="{00000000-0005-0000-0000-000000540000}"/>
    <cellStyle name="Normal 51 5 6 2" xfId="30657" xr:uid="{00000000-0005-0000-0000-000001540000}"/>
    <cellStyle name="Normal 51 5 7" xfId="22614" xr:uid="{00000000-0005-0000-0000-000002540000}"/>
    <cellStyle name="Normal 51 6" xfId="4771" xr:uid="{00000000-0005-0000-0000-000003540000}"/>
    <cellStyle name="Normal 51 6 2" xfId="4772" xr:uid="{00000000-0005-0000-0000-000004540000}"/>
    <cellStyle name="Normal 51 6 2 2" xfId="4773" xr:uid="{00000000-0005-0000-0000-000005540000}"/>
    <cellStyle name="Normal 51 6 2 2 2" xfId="8760" xr:uid="{00000000-0005-0000-0000-000006540000}"/>
    <cellStyle name="Normal 51 6 2 2 2 2" xfId="17935" xr:uid="{00000000-0005-0000-0000-000007540000}"/>
    <cellStyle name="Normal 51 6 2 2 2 2 2" xfId="34509" xr:uid="{00000000-0005-0000-0000-000008540000}"/>
    <cellStyle name="Normal 51 6 2 2 2 3" xfId="26462" xr:uid="{00000000-0005-0000-0000-000009540000}"/>
    <cellStyle name="Normal 51 6 2 2 3" xfId="14121" xr:uid="{00000000-0005-0000-0000-00000A540000}"/>
    <cellStyle name="Normal 51 6 2 2 3 2" xfId="30667" xr:uid="{00000000-0005-0000-0000-00000B540000}"/>
    <cellStyle name="Normal 51 6 2 2 4" xfId="22624" xr:uid="{00000000-0005-0000-0000-00000C540000}"/>
    <cellStyle name="Normal 51 6 2 3" xfId="8761" xr:uid="{00000000-0005-0000-0000-00000D540000}"/>
    <cellStyle name="Normal 51 6 2 3 2" xfId="17936" xr:uid="{00000000-0005-0000-0000-00000E540000}"/>
    <cellStyle name="Normal 51 6 2 3 2 2" xfId="34510" xr:uid="{00000000-0005-0000-0000-00000F540000}"/>
    <cellStyle name="Normal 51 6 2 3 3" xfId="26463" xr:uid="{00000000-0005-0000-0000-000010540000}"/>
    <cellStyle name="Normal 51 6 2 4" xfId="14120" xr:uid="{00000000-0005-0000-0000-000011540000}"/>
    <cellStyle name="Normal 51 6 2 4 2" xfId="30666" xr:uid="{00000000-0005-0000-0000-000012540000}"/>
    <cellStyle name="Normal 51 6 2 5" xfId="22623" xr:uid="{00000000-0005-0000-0000-000013540000}"/>
    <cellStyle name="Normal 51 6 3" xfId="4774" xr:uid="{00000000-0005-0000-0000-000014540000}"/>
    <cellStyle name="Normal 51 6 3 2" xfId="8762" xr:uid="{00000000-0005-0000-0000-000015540000}"/>
    <cellStyle name="Normal 51 6 3 2 2" xfId="17937" xr:uid="{00000000-0005-0000-0000-000016540000}"/>
    <cellStyle name="Normal 51 6 3 2 2 2" xfId="34511" xr:uid="{00000000-0005-0000-0000-000017540000}"/>
    <cellStyle name="Normal 51 6 3 2 3" xfId="26464" xr:uid="{00000000-0005-0000-0000-000018540000}"/>
    <cellStyle name="Normal 51 6 3 3" xfId="14122" xr:uid="{00000000-0005-0000-0000-000019540000}"/>
    <cellStyle name="Normal 51 6 3 3 2" xfId="30668" xr:uid="{00000000-0005-0000-0000-00001A540000}"/>
    <cellStyle name="Normal 51 6 3 4" xfId="22625" xr:uid="{00000000-0005-0000-0000-00001B540000}"/>
    <cellStyle name="Normal 51 6 4" xfId="8763" xr:uid="{00000000-0005-0000-0000-00001C540000}"/>
    <cellStyle name="Normal 51 6 4 2" xfId="17938" xr:uid="{00000000-0005-0000-0000-00001D540000}"/>
    <cellStyle name="Normal 51 6 4 2 2" xfId="34512" xr:uid="{00000000-0005-0000-0000-00001E540000}"/>
    <cellStyle name="Normal 51 6 4 3" xfId="26465" xr:uid="{00000000-0005-0000-0000-00001F540000}"/>
    <cellStyle name="Normal 51 6 5" xfId="14119" xr:uid="{00000000-0005-0000-0000-000020540000}"/>
    <cellStyle name="Normal 51 6 5 2" xfId="30665" xr:uid="{00000000-0005-0000-0000-000021540000}"/>
    <cellStyle name="Normal 51 6 6" xfId="22622" xr:uid="{00000000-0005-0000-0000-000022540000}"/>
    <cellStyle name="Normal 51 7" xfId="4775" xr:uid="{00000000-0005-0000-0000-000023540000}"/>
    <cellStyle name="Normal 51 7 2" xfId="4776" xr:uid="{00000000-0005-0000-0000-000024540000}"/>
    <cellStyle name="Normal 51 7 2 2" xfId="8764" xr:uid="{00000000-0005-0000-0000-000025540000}"/>
    <cellStyle name="Normal 51 7 2 2 2" xfId="17939" xr:uid="{00000000-0005-0000-0000-000026540000}"/>
    <cellStyle name="Normal 51 7 2 2 2 2" xfId="34513" xr:uid="{00000000-0005-0000-0000-000027540000}"/>
    <cellStyle name="Normal 51 7 2 2 3" xfId="26466" xr:uid="{00000000-0005-0000-0000-000028540000}"/>
    <cellStyle name="Normal 51 7 2 3" xfId="14124" xr:uid="{00000000-0005-0000-0000-000029540000}"/>
    <cellStyle name="Normal 51 7 2 3 2" xfId="30670" xr:uid="{00000000-0005-0000-0000-00002A540000}"/>
    <cellStyle name="Normal 51 7 2 4" xfId="22627" xr:uid="{00000000-0005-0000-0000-00002B540000}"/>
    <cellStyle name="Normal 51 7 3" xfId="8765" xr:uid="{00000000-0005-0000-0000-00002C540000}"/>
    <cellStyle name="Normal 51 7 3 2" xfId="17940" xr:uid="{00000000-0005-0000-0000-00002D540000}"/>
    <cellStyle name="Normal 51 7 3 2 2" xfId="34514" xr:uid="{00000000-0005-0000-0000-00002E540000}"/>
    <cellStyle name="Normal 51 7 3 3" xfId="26467" xr:uid="{00000000-0005-0000-0000-00002F540000}"/>
    <cellStyle name="Normal 51 7 4" xfId="14123" xr:uid="{00000000-0005-0000-0000-000030540000}"/>
    <cellStyle name="Normal 51 7 4 2" xfId="30669" xr:uid="{00000000-0005-0000-0000-000031540000}"/>
    <cellStyle name="Normal 51 7 5" xfId="22626" xr:uid="{00000000-0005-0000-0000-000032540000}"/>
    <cellStyle name="Normal 51 8" xfId="4777" xr:uid="{00000000-0005-0000-0000-000033540000}"/>
    <cellStyle name="Normal 51 8 2" xfId="8766" xr:uid="{00000000-0005-0000-0000-000034540000}"/>
    <cellStyle name="Normal 51 8 2 2" xfId="17941" xr:uid="{00000000-0005-0000-0000-000035540000}"/>
    <cellStyle name="Normal 51 8 2 2 2" xfId="34515" xr:uid="{00000000-0005-0000-0000-000036540000}"/>
    <cellStyle name="Normal 51 8 2 3" xfId="26468" xr:uid="{00000000-0005-0000-0000-000037540000}"/>
    <cellStyle name="Normal 51 8 3" xfId="14125" xr:uid="{00000000-0005-0000-0000-000038540000}"/>
    <cellStyle name="Normal 51 8 3 2" xfId="30671" xr:uid="{00000000-0005-0000-0000-000039540000}"/>
    <cellStyle name="Normal 51 8 4" xfId="22628" xr:uid="{00000000-0005-0000-0000-00003A540000}"/>
    <cellStyle name="Normal 51 9" xfId="8767" xr:uid="{00000000-0005-0000-0000-00003B540000}"/>
    <cellStyle name="Normal 51 9 2" xfId="17942" xr:uid="{00000000-0005-0000-0000-00003C540000}"/>
    <cellStyle name="Normal 51 9 2 2" xfId="34516" xr:uid="{00000000-0005-0000-0000-00003D540000}"/>
    <cellStyle name="Normal 51 9 3" xfId="26469" xr:uid="{00000000-0005-0000-0000-00003E540000}"/>
    <cellStyle name="Normal 52" xfId="4778" xr:uid="{00000000-0005-0000-0000-00003F540000}"/>
    <cellStyle name="Normal 52 10" xfId="14126" xr:uid="{00000000-0005-0000-0000-000040540000}"/>
    <cellStyle name="Normal 52 10 2" xfId="30672" xr:uid="{00000000-0005-0000-0000-000041540000}"/>
    <cellStyle name="Normal 52 11" xfId="22629" xr:uid="{00000000-0005-0000-0000-000042540000}"/>
    <cellStyle name="Normal 52 2" xfId="4779" xr:uid="{00000000-0005-0000-0000-000043540000}"/>
    <cellStyle name="Normal 52 2 2" xfId="4780" xr:uid="{00000000-0005-0000-0000-000044540000}"/>
    <cellStyle name="Normal 52 2 3" xfId="14127" xr:uid="{00000000-0005-0000-0000-000045540000}"/>
    <cellStyle name="Normal 52 2 3 2" xfId="30673" xr:uid="{00000000-0005-0000-0000-000046540000}"/>
    <cellStyle name="Normal 52 2 4" xfId="22630" xr:uid="{00000000-0005-0000-0000-000047540000}"/>
    <cellStyle name="Normal 52 3" xfId="4781" xr:uid="{00000000-0005-0000-0000-000048540000}"/>
    <cellStyle name="Normal 52 3 2" xfId="4782" xr:uid="{00000000-0005-0000-0000-000049540000}"/>
    <cellStyle name="Normal 52 3 2 2" xfId="4783" xr:uid="{00000000-0005-0000-0000-00004A540000}"/>
    <cellStyle name="Normal 52 3 2 2 2" xfId="4784" xr:uid="{00000000-0005-0000-0000-00004B540000}"/>
    <cellStyle name="Normal 52 3 2 2 2 2" xfId="8768" xr:uid="{00000000-0005-0000-0000-00004C540000}"/>
    <cellStyle name="Normal 52 3 2 2 2 2 2" xfId="17943" xr:uid="{00000000-0005-0000-0000-00004D540000}"/>
    <cellStyle name="Normal 52 3 2 2 2 2 2 2" xfId="34517" xr:uid="{00000000-0005-0000-0000-00004E540000}"/>
    <cellStyle name="Normal 52 3 2 2 2 2 3" xfId="26470" xr:uid="{00000000-0005-0000-0000-00004F540000}"/>
    <cellStyle name="Normal 52 3 2 2 2 3" xfId="14130" xr:uid="{00000000-0005-0000-0000-000050540000}"/>
    <cellStyle name="Normal 52 3 2 2 2 3 2" xfId="30676" xr:uid="{00000000-0005-0000-0000-000051540000}"/>
    <cellStyle name="Normal 52 3 2 2 2 4" xfId="22633" xr:uid="{00000000-0005-0000-0000-000052540000}"/>
    <cellStyle name="Normal 52 3 2 2 3" xfId="8769" xr:uid="{00000000-0005-0000-0000-000053540000}"/>
    <cellStyle name="Normal 52 3 2 2 3 2" xfId="17944" xr:uid="{00000000-0005-0000-0000-000054540000}"/>
    <cellStyle name="Normal 52 3 2 2 3 2 2" xfId="34518" xr:uid="{00000000-0005-0000-0000-000055540000}"/>
    <cellStyle name="Normal 52 3 2 2 3 3" xfId="26471" xr:uid="{00000000-0005-0000-0000-000056540000}"/>
    <cellStyle name="Normal 52 3 2 2 4" xfId="14129" xr:uid="{00000000-0005-0000-0000-000057540000}"/>
    <cellStyle name="Normal 52 3 2 2 4 2" xfId="30675" xr:uid="{00000000-0005-0000-0000-000058540000}"/>
    <cellStyle name="Normal 52 3 2 2 5" xfId="22632" xr:uid="{00000000-0005-0000-0000-000059540000}"/>
    <cellStyle name="Normal 52 3 2 3" xfId="4785" xr:uid="{00000000-0005-0000-0000-00005A540000}"/>
    <cellStyle name="Normal 52 3 2 3 2" xfId="8770" xr:uid="{00000000-0005-0000-0000-00005B540000}"/>
    <cellStyle name="Normal 52 3 2 3 2 2" xfId="17945" xr:uid="{00000000-0005-0000-0000-00005C540000}"/>
    <cellStyle name="Normal 52 3 2 3 2 2 2" xfId="34519" xr:uid="{00000000-0005-0000-0000-00005D540000}"/>
    <cellStyle name="Normal 52 3 2 3 2 3" xfId="26472" xr:uid="{00000000-0005-0000-0000-00005E540000}"/>
    <cellStyle name="Normal 52 3 2 3 3" xfId="14131" xr:uid="{00000000-0005-0000-0000-00005F540000}"/>
    <cellStyle name="Normal 52 3 2 3 3 2" xfId="30677" xr:uid="{00000000-0005-0000-0000-000060540000}"/>
    <cellStyle name="Normal 52 3 2 3 4" xfId="22634" xr:uid="{00000000-0005-0000-0000-000061540000}"/>
    <cellStyle name="Normal 52 3 2 4" xfId="8771" xr:uid="{00000000-0005-0000-0000-000062540000}"/>
    <cellStyle name="Normal 52 3 2 4 2" xfId="17946" xr:uid="{00000000-0005-0000-0000-000063540000}"/>
    <cellStyle name="Normal 52 3 2 4 2 2" xfId="34520" xr:uid="{00000000-0005-0000-0000-000064540000}"/>
    <cellStyle name="Normal 52 3 2 4 3" xfId="26473" xr:uid="{00000000-0005-0000-0000-000065540000}"/>
    <cellStyle name="Normal 52 3 2 5" xfId="14128" xr:uid="{00000000-0005-0000-0000-000066540000}"/>
    <cellStyle name="Normal 52 3 2 5 2" xfId="30674" xr:uid="{00000000-0005-0000-0000-000067540000}"/>
    <cellStyle name="Normal 52 3 2 6" xfId="22631" xr:uid="{00000000-0005-0000-0000-000068540000}"/>
    <cellStyle name="Normal 52 3 3" xfId="4786" xr:uid="{00000000-0005-0000-0000-000069540000}"/>
    <cellStyle name="Normal 52 3 3 2" xfId="4787" xr:uid="{00000000-0005-0000-0000-00006A540000}"/>
    <cellStyle name="Normal 52 3 3 2 2" xfId="8772" xr:uid="{00000000-0005-0000-0000-00006B540000}"/>
    <cellStyle name="Normal 52 3 3 2 2 2" xfId="17947" xr:uid="{00000000-0005-0000-0000-00006C540000}"/>
    <cellStyle name="Normal 52 3 3 2 2 2 2" xfId="34521" xr:uid="{00000000-0005-0000-0000-00006D540000}"/>
    <cellStyle name="Normal 52 3 3 2 2 3" xfId="26474" xr:uid="{00000000-0005-0000-0000-00006E540000}"/>
    <cellStyle name="Normal 52 3 3 2 3" xfId="14133" xr:uid="{00000000-0005-0000-0000-00006F540000}"/>
    <cellStyle name="Normal 52 3 3 2 3 2" xfId="30679" xr:uid="{00000000-0005-0000-0000-000070540000}"/>
    <cellStyle name="Normal 52 3 3 2 4" xfId="22636" xr:uid="{00000000-0005-0000-0000-000071540000}"/>
    <cellStyle name="Normal 52 3 3 3" xfId="8773" xr:uid="{00000000-0005-0000-0000-000072540000}"/>
    <cellStyle name="Normal 52 3 3 3 2" xfId="17948" xr:uid="{00000000-0005-0000-0000-000073540000}"/>
    <cellStyle name="Normal 52 3 3 3 2 2" xfId="34522" xr:uid="{00000000-0005-0000-0000-000074540000}"/>
    <cellStyle name="Normal 52 3 3 3 3" xfId="26475" xr:uid="{00000000-0005-0000-0000-000075540000}"/>
    <cellStyle name="Normal 52 3 3 4" xfId="14132" xr:uid="{00000000-0005-0000-0000-000076540000}"/>
    <cellStyle name="Normal 52 3 3 4 2" xfId="30678" xr:uid="{00000000-0005-0000-0000-000077540000}"/>
    <cellStyle name="Normal 52 3 3 5" xfId="22635" xr:uid="{00000000-0005-0000-0000-000078540000}"/>
    <cellStyle name="Normal 52 3 4" xfId="4788" xr:uid="{00000000-0005-0000-0000-000079540000}"/>
    <cellStyle name="Normal 52 3 4 2" xfId="8774" xr:uid="{00000000-0005-0000-0000-00007A540000}"/>
    <cellStyle name="Normal 52 3 4 2 2" xfId="17949" xr:uid="{00000000-0005-0000-0000-00007B540000}"/>
    <cellStyle name="Normal 52 3 4 2 2 2" xfId="34523" xr:uid="{00000000-0005-0000-0000-00007C540000}"/>
    <cellStyle name="Normal 52 3 4 2 3" xfId="26476" xr:uid="{00000000-0005-0000-0000-00007D540000}"/>
    <cellStyle name="Normal 52 3 4 3" xfId="14134" xr:uid="{00000000-0005-0000-0000-00007E540000}"/>
    <cellStyle name="Normal 52 3 4 3 2" xfId="30680" xr:uid="{00000000-0005-0000-0000-00007F540000}"/>
    <cellStyle name="Normal 52 3 4 4" xfId="22637" xr:uid="{00000000-0005-0000-0000-000080540000}"/>
    <cellStyle name="Normal 52 3 5" xfId="4789" xr:uid="{00000000-0005-0000-0000-000081540000}"/>
    <cellStyle name="Normal 52 3 5 2" xfId="14135" xr:uid="{00000000-0005-0000-0000-000082540000}"/>
    <cellStyle name="Normal 52 3 5 2 2" xfId="30681" xr:uid="{00000000-0005-0000-0000-000083540000}"/>
    <cellStyle name="Normal 52 3 5 3" xfId="22638" xr:uid="{00000000-0005-0000-0000-000084540000}"/>
    <cellStyle name="Normal 52 4" xfId="4790" xr:uid="{00000000-0005-0000-0000-000085540000}"/>
    <cellStyle name="Normal 52 4 2" xfId="4791" xr:uid="{00000000-0005-0000-0000-000086540000}"/>
    <cellStyle name="Normal 52 4 2 2" xfId="4792" xr:uid="{00000000-0005-0000-0000-000087540000}"/>
    <cellStyle name="Normal 52 4 2 2 2" xfId="4793" xr:uid="{00000000-0005-0000-0000-000088540000}"/>
    <cellStyle name="Normal 52 4 2 2 2 2" xfId="8775" xr:uid="{00000000-0005-0000-0000-000089540000}"/>
    <cellStyle name="Normal 52 4 2 2 2 2 2" xfId="17950" xr:uid="{00000000-0005-0000-0000-00008A540000}"/>
    <cellStyle name="Normal 52 4 2 2 2 2 2 2" xfId="34524" xr:uid="{00000000-0005-0000-0000-00008B540000}"/>
    <cellStyle name="Normal 52 4 2 2 2 2 3" xfId="26477" xr:uid="{00000000-0005-0000-0000-00008C540000}"/>
    <cellStyle name="Normal 52 4 2 2 2 3" xfId="14139" xr:uid="{00000000-0005-0000-0000-00008D540000}"/>
    <cellStyle name="Normal 52 4 2 2 2 3 2" xfId="30685" xr:uid="{00000000-0005-0000-0000-00008E540000}"/>
    <cellStyle name="Normal 52 4 2 2 2 4" xfId="22642" xr:uid="{00000000-0005-0000-0000-00008F540000}"/>
    <cellStyle name="Normal 52 4 2 2 3" xfId="8776" xr:uid="{00000000-0005-0000-0000-000090540000}"/>
    <cellStyle name="Normal 52 4 2 2 3 2" xfId="17951" xr:uid="{00000000-0005-0000-0000-000091540000}"/>
    <cellStyle name="Normal 52 4 2 2 3 2 2" xfId="34525" xr:uid="{00000000-0005-0000-0000-000092540000}"/>
    <cellStyle name="Normal 52 4 2 2 3 3" xfId="26478" xr:uid="{00000000-0005-0000-0000-000093540000}"/>
    <cellStyle name="Normal 52 4 2 2 4" xfId="14138" xr:uid="{00000000-0005-0000-0000-000094540000}"/>
    <cellStyle name="Normal 52 4 2 2 4 2" xfId="30684" xr:uid="{00000000-0005-0000-0000-000095540000}"/>
    <cellStyle name="Normal 52 4 2 2 5" xfId="22641" xr:uid="{00000000-0005-0000-0000-000096540000}"/>
    <cellStyle name="Normal 52 4 2 3" xfId="4794" xr:uid="{00000000-0005-0000-0000-000097540000}"/>
    <cellStyle name="Normal 52 4 2 3 2" xfId="8777" xr:uid="{00000000-0005-0000-0000-000098540000}"/>
    <cellStyle name="Normal 52 4 2 3 2 2" xfId="17952" xr:uid="{00000000-0005-0000-0000-000099540000}"/>
    <cellStyle name="Normal 52 4 2 3 2 2 2" xfId="34526" xr:uid="{00000000-0005-0000-0000-00009A540000}"/>
    <cellStyle name="Normal 52 4 2 3 2 3" xfId="26479" xr:uid="{00000000-0005-0000-0000-00009B540000}"/>
    <cellStyle name="Normal 52 4 2 3 3" xfId="14140" xr:uid="{00000000-0005-0000-0000-00009C540000}"/>
    <cellStyle name="Normal 52 4 2 3 3 2" xfId="30686" xr:uid="{00000000-0005-0000-0000-00009D540000}"/>
    <cellStyle name="Normal 52 4 2 3 4" xfId="22643" xr:uid="{00000000-0005-0000-0000-00009E540000}"/>
    <cellStyle name="Normal 52 4 2 4" xfId="8778" xr:uid="{00000000-0005-0000-0000-00009F540000}"/>
    <cellStyle name="Normal 52 4 2 4 2" xfId="17953" xr:uid="{00000000-0005-0000-0000-0000A0540000}"/>
    <cellStyle name="Normal 52 4 2 4 2 2" xfId="34527" xr:uid="{00000000-0005-0000-0000-0000A1540000}"/>
    <cellStyle name="Normal 52 4 2 4 3" xfId="26480" xr:uid="{00000000-0005-0000-0000-0000A2540000}"/>
    <cellStyle name="Normal 52 4 2 5" xfId="14137" xr:uid="{00000000-0005-0000-0000-0000A3540000}"/>
    <cellStyle name="Normal 52 4 2 5 2" xfId="30683" xr:uid="{00000000-0005-0000-0000-0000A4540000}"/>
    <cellStyle name="Normal 52 4 2 6" xfId="22640" xr:uid="{00000000-0005-0000-0000-0000A5540000}"/>
    <cellStyle name="Normal 52 4 3" xfId="4795" xr:uid="{00000000-0005-0000-0000-0000A6540000}"/>
    <cellStyle name="Normal 52 4 3 2" xfId="4796" xr:uid="{00000000-0005-0000-0000-0000A7540000}"/>
    <cellStyle name="Normal 52 4 3 2 2" xfId="8779" xr:uid="{00000000-0005-0000-0000-0000A8540000}"/>
    <cellStyle name="Normal 52 4 3 2 2 2" xfId="17954" xr:uid="{00000000-0005-0000-0000-0000A9540000}"/>
    <cellStyle name="Normal 52 4 3 2 2 2 2" xfId="34528" xr:uid="{00000000-0005-0000-0000-0000AA540000}"/>
    <cellStyle name="Normal 52 4 3 2 2 3" xfId="26481" xr:uid="{00000000-0005-0000-0000-0000AB540000}"/>
    <cellStyle name="Normal 52 4 3 2 3" xfId="14142" xr:uid="{00000000-0005-0000-0000-0000AC540000}"/>
    <cellStyle name="Normal 52 4 3 2 3 2" xfId="30688" xr:uid="{00000000-0005-0000-0000-0000AD540000}"/>
    <cellStyle name="Normal 52 4 3 2 4" xfId="22645" xr:uid="{00000000-0005-0000-0000-0000AE540000}"/>
    <cellStyle name="Normal 52 4 3 3" xfId="8780" xr:uid="{00000000-0005-0000-0000-0000AF540000}"/>
    <cellStyle name="Normal 52 4 3 3 2" xfId="17955" xr:uid="{00000000-0005-0000-0000-0000B0540000}"/>
    <cellStyle name="Normal 52 4 3 3 2 2" xfId="34529" xr:uid="{00000000-0005-0000-0000-0000B1540000}"/>
    <cellStyle name="Normal 52 4 3 3 3" xfId="26482" xr:uid="{00000000-0005-0000-0000-0000B2540000}"/>
    <cellStyle name="Normal 52 4 3 4" xfId="14141" xr:uid="{00000000-0005-0000-0000-0000B3540000}"/>
    <cellStyle name="Normal 52 4 3 4 2" xfId="30687" xr:uid="{00000000-0005-0000-0000-0000B4540000}"/>
    <cellStyle name="Normal 52 4 3 5" xfId="22644" xr:uid="{00000000-0005-0000-0000-0000B5540000}"/>
    <cellStyle name="Normal 52 4 4" xfId="4797" xr:uid="{00000000-0005-0000-0000-0000B6540000}"/>
    <cellStyle name="Normal 52 4 4 2" xfId="8781" xr:uid="{00000000-0005-0000-0000-0000B7540000}"/>
    <cellStyle name="Normal 52 4 4 2 2" xfId="17956" xr:uid="{00000000-0005-0000-0000-0000B8540000}"/>
    <cellStyle name="Normal 52 4 4 2 2 2" xfId="34530" xr:uid="{00000000-0005-0000-0000-0000B9540000}"/>
    <cellStyle name="Normal 52 4 4 2 3" xfId="26483" xr:uid="{00000000-0005-0000-0000-0000BA540000}"/>
    <cellStyle name="Normal 52 4 4 3" xfId="14143" xr:uid="{00000000-0005-0000-0000-0000BB540000}"/>
    <cellStyle name="Normal 52 4 4 3 2" xfId="30689" xr:uid="{00000000-0005-0000-0000-0000BC540000}"/>
    <cellStyle name="Normal 52 4 4 4" xfId="22646" xr:uid="{00000000-0005-0000-0000-0000BD540000}"/>
    <cellStyle name="Normal 52 4 5" xfId="8782" xr:uid="{00000000-0005-0000-0000-0000BE540000}"/>
    <cellStyle name="Normal 52 4 5 2" xfId="17957" xr:uid="{00000000-0005-0000-0000-0000BF540000}"/>
    <cellStyle name="Normal 52 4 5 2 2" xfId="34531" xr:uid="{00000000-0005-0000-0000-0000C0540000}"/>
    <cellStyle name="Normal 52 4 5 3" xfId="26484" xr:uid="{00000000-0005-0000-0000-0000C1540000}"/>
    <cellStyle name="Normal 52 4 6" xfId="14136" xr:uid="{00000000-0005-0000-0000-0000C2540000}"/>
    <cellStyle name="Normal 52 4 6 2" xfId="30682" xr:uid="{00000000-0005-0000-0000-0000C3540000}"/>
    <cellStyle name="Normal 52 4 7" xfId="22639" xr:uid="{00000000-0005-0000-0000-0000C4540000}"/>
    <cellStyle name="Normal 52 5" xfId="4798" xr:uid="{00000000-0005-0000-0000-0000C5540000}"/>
    <cellStyle name="Normal 52 5 2" xfId="4799" xr:uid="{00000000-0005-0000-0000-0000C6540000}"/>
    <cellStyle name="Normal 52 5 2 2" xfId="4800" xr:uid="{00000000-0005-0000-0000-0000C7540000}"/>
    <cellStyle name="Normal 52 5 2 2 2" xfId="4801" xr:uid="{00000000-0005-0000-0000-0000C8540000}"/>
    <cellStyle name="Normal 52 5 2 2 2 2" xfId="8783" xr:uid="{00000000-0005-0000-0000-0000C9540000}"/>
    <cellStyle name="Normal 52 5 2 2 2 2 2" xfId="17958" xr:uid="{00000000-0005-0000-0000-0000CA540000}"/>
    <cellStyle name="Normal 52 5 2 2 2 2 2 2" xfId="34532" xr:uid="{00000000-0005-0000-0000-0000CB540000}"/>
    <cellStyle name="Normal 52 5 2 2 2 2 3" xfId="26485" xr:uid="{00000000-0005-0000-0000-0000CC540000}"/>
    <cellStyle name="Normal 52 5 2 2 2 3" xfId="14147" xr:uid="{00000000-0005-0000-0000-0000CD540000}"/>
    <cellStyle name="Normal 52 5 2 2 2 3 2" xfId="30693" xr:uid="{00000000-0005-0000-0000-0000CE540000}"/>
    <cellStyle name="Normal 52 5 2 2 2 4" xfId="22650" xr:uid="{00000000-0005-0000-0000-0000CF540000}"/>
    <cellStyle name="Normal 52 5 2 2 3" xfId="8784" xr:uid="{00000000-0005-0000-0000-0000D0540000}"/>
    <cellStyle name="Normal 52 5 2 2 3 2" xfId="17959" xr:uid="{00000000-0005-0000-0000-0000D1540000}"/>
    <cellStyle name="Normal 52 5 2 2 3 2 2" xfId="34533" xr:uid="{00000000-0005-0000-0000-0000D2540000}"/>
    <cellStyle name="Normal 52 5 2 2 3 3" xfId="26486" xr:uid="{00000000-0005-0000-0000-0000D3540000}"/>
    <cellStyle name="Normal 52 5 2 2 4" xfId="14146" xr:uid="{00000000-0005-0000-0000-0000D4540000}"/>
    <cellStyle name="Normal 52 5 2 2 4 2" xfId="30692" xr:uid="{00000000-0005-0000-0000-0000D5540000}"/>
    <cellStyle name="Normal 52 5 2 2 5" xfId="22649" xr:uid="{00000000-0005-0000-0000-0000D6540000}"/>
    <cellStyle name="Normal 52 5 2 3" xfId="4802" xr:uid="{00000000-0005-0000-0000-0000D7540000}"/>
    <cellStyle name="Normal 52 5 2 3 2" xfId="8785" xr:uid="{00000000-0005-0000-0000-0000D8540000}"/>
    <cellStyle name="Normal 52 5 2 3 2 2" xfId="17960" xr:uid="{00000000-0005-0000-0000-0000D9540000}"/>
    <cellStyle name="Normal 52 5 2 3 2 2 2" xfId="34534" xr:uid="{00000000-0005-0000-0000-0000DA540000}"/>
    <cellStyle name="Normal 52 5 2 3 2 3" xfId="26487" xr:uid="{00000000-0005-0000-0000-0000DB540000}"/>
    <cellStyle name="Normal 52 5 2 3 3" xfId="14148" xr:uid="{00000000-0005-0000-0000-0000DC540000}"/>
    <cellStyle name="Normal 52 5 2 3 3 2" xfId="30694" xr:uid="{00000000-0005-0000-0000-0000DD540000}"/>
    <cellStyle name="Normal 52 5 2 3 4" xfId="22651" xr:uid="{00000000-0005-0000-0000-0000DE540000}"/>
    <cellStyle name="Normal 52 5 2 4" xfId="8786" xr:uid="{00000000-0005-0000-0000-0000DF540000}"/>
    <cellStyle name="Normal 52 5 2 4 2" xfId="17961" xr:uid="{00000000-0005-0000-0000-0000E0540000}"/>
    <cellStyle name="Normal 52 5 2 4 2 2" xfId="34535" xr:uid="{00000000-0005-0000-0000-0000E1540000}"/>
    <cellStyle name="Normal 52 5 2 4 3" xfId="26488" xr:uid="{00000000-0005-0000-0000-0000E2540000}"/>
    <cellStyle name="Normal 52 5 2 5" xfId="14145" xr:uid="{00000000-0005-0000-0000-0000E3540000}"/>
    <cellStyle name="Normal 52 5 2 5 2" xfId="30691" xr:uid="{00000000-0005-0000-0000-0000E4540000}"/>
    <cellStyle name="Normal 52 5 2 6" xfId="22648" xr:uid="{00000000-0005-0000-0000-0000E5540000}"/>
    <cellStyle name="Normal 52 5 3" xfId="4803" xr:uid="{00000000-0005-0000-0000-0000E6540000}"/>
    <cellStyle name="Normal 52 5 3 2" xfId="4804" xr:uid="{00000000-0005-0000-0000-0000E7540000}"/>
    <cellStyle name="Normal 52 5 3 2 2" xfId="8787" xr:uid="{00000000-0005-0000-0000-0000E8540000}"/>
    <cellStyle name="Normal 52 5 3 2 2 2" xfId="17962" xr:uid="{00000000-0005-0000-0000-0000E9540000}"/>
    <cellStyle name="Normal 52 5 3 2 2 2 2" xfId="34536" xr:uid="{00000000-0005-0000-0000-0000EA540000}"/>
    <cellStyle name="Normal 52 5 3 2 2 3" xfId="26489" xr:uid="{00000000-0005-0000-0000-0000EB540000}"/>
    <cellStyle name="Normal 52 5 3 2 3" xfId="14150" xr:uid="{00000000-0005-0000-0000-0000EC540000}"/>
    <cellStyle name="Normal 52 5 3 2 3 2" xfId="30696" xr:uid="{00000000-0005-0000-0000-0000ED540000}"/>
    <cellStyle name="Normal 52 5 3 2 4" xfId="22653" xr:uid="{00000000-0005-0000-0000-0000EE540000}"/>
    <cellStyle name="Normal 52 5 3 3" xfId="8788" xr:uid="{00000000-0005-0000-0000-0000EF540000}"/>
    <cellStyle name="Normal 52 5 3 3 2" xfId="17963" xr:uid="{00000000-0005-0000-0000-0000F0540000}"/>
    <cellStyle name="Normal 52 5 3 3 2 2" xfId="34537" xr:uid="{00000000-0005-0000-0000-0000F1540000}"/>
    <cellStyle name="Normal 52 5 3 3 3" xfId="26490" xr:uid="{00000000-0005-0000-0000-0000F2540000}"/>
    <cellStyle name="Normal 52 5 3 4" xfId="14149" xr:uid="{00000000-0005-0000-0000-0000F3540000}"/>
    <cellStyle name="Normal 52 5 3 4 2" xfId="30695" xr:uid="{00000000-0005-0000-0000-0000F4540000}"/>
    <cellStyle name="Normal 52 5 3 5" xfId="22652" xr:uid="{00000000-0005-0000-0000-0000F5540000}"/>
    <cellStyle name="Normal 52 5 4" xfId="4805" xr:uid="{00000000-0005-0000-0000-0000F6540000}"/>
    <cellStyle name="Normal 52 5 4 2" xfId="8789" xr:uid="{00000000-0005-0000-0000-0000F7540000}"/>
    <cellStyle name="Normal 52 5 4 2 2" xfId="17964" xr:uid="{00000000-0005-0000-0000-0000F8540000}"/>
    <cellStyle name="Normal 52 5 4 2 2 2" xfId="34538" xr:uid="{00000000-0005-0000-0000-0000F9540000}"/>
    <cellStyle name="Normal 52 5 4 2 3" xfId="26491" xr:uid="{00000000-0005-0000-0000-0000FA540000}"/>
    <cellStyle name="Normal 52 5 4 3" xfId="14151" xr:uid="{00000000-0005-0000-0000-0000FB540000}"/>
    <cellStyle name="Normal 52 5 4 3 2" xfId="30697" xr:uid="{00000000-0005-0000-0000-0000FC540000}"/>
    <cellStyle name="Normal 52 5 4 4" xfId="22654" xr:uid="{00000000-0005-0000-0000-0000FD540000}"/>
    <cellStyle name="Normal 52 5 5" xfId="8790" xr:uid="{00000000-0005-0000-0000-0000FE540000}"/>
    <cellStyle name="Normal 52 5 5 2" xfId="17965" xr:uid="{00000000-0005-0000-0000-0000FF540000}"/>
    <cellStyle name="Normal 52 5 5 2 2" xfId="34539" xr:uid="{00000000-0005-0000-0000-000000550000}"/>
    <cellStyle name="Normal 52 5 5 3" xfId="26492" xr:uid="{00000000-0005-0000-0000-000001550000}"/>
    <cellStyle name="Normal 52 5 6" xfId="14144" xr:uid="{00000000-0005-0000-0000-000002550000}"/>
    <cellStyle name="Normal 52 5 6 2" xfId="30690" xr:uid="{00000000-0005-0000-0000-000003550000}"/>
    <cellStyle name="Normal 52 5 7" xfId="22647" xr:uid="{00000000-0005-0000-0000-000004550000}"/>
    <cellStyle name="Normal 52 6" xfId="4806" xr:uid="{00000000-0005-0000-0000-000005550000}"/>
    <cellStyle name="Normal 52 6 2" xfId="4807" xr:uid="{00000000-0005-0000-0000-000006550000}"/>
    <cellStyle name="Normal 52 6 2 2" xfId="4808" xr:uid="{00000000-0005-0000-0000-000007550000}"/>
    <cellStyle name="Normal 52 6 2 2 2" xfId="8791" xr:uid="{00000000-0005-0000-0000-000008550000}"/>
    <cellStyle name="Normal 52 6 2 2 2 2" xfId="17966" xr:uid="{00000000-0005-0000-0000-000009550000}"/>
    <cellStyle name="Normal 52 6 2 2 2 2 2" xfId="34540" xr:uid="{00000000-0005-0000-0000-00000A550000}"/>
    <cellStyle name="Normal 52 6 2 2 2 3" xfId="26493" xr:uid="{00000000-0005-0000-0000-00000B550000}"/>
    <cellStyle name="Normal 52 6 2 2 3" xfId="14154" xr:uid="{00000000-0005-0000-0000-00000C550000}"/>
    <cellStyle name="Normal 52 6 2 2 3 2" xfId="30700" xr:uid="{00000000-0005-0000-0000-00000D550000}"/>
    <cellStyle name="Normal 52 6 2 2 4" xfId="22657" xr:uid="{00000000-0005-0000-0000-00000E550000}"/>
    <cellStyle name="Normal 52 6 2 3" xfId="8792" xr:uid="{00000000-0005-0000-0000-00000F550000}"/>
    <cellStyle name="Normal 52 6 2 3 2" xfId="17967" xr:uid="{00000000-0005-0000-0000-000010550000}"/>
    <cellStyle name="Normal 52 6 2 3 2 2" xfId="34541" xr:uid="{00000000-0005-0000-0000-000011550000}"/>
    <cellStyle name="Normal 52 6 2 3 3" xfId="26494" xr:uid="{00000000-0005-0000-0000-000012550000}"/>
    <cellStyle name="Normal 52 6 2 4" xfId="14153" xr:uid="{00000000-0005-0000-0000-000013550000}"/>
    <cellStyle name="Normal 52 6 2 4 2" xfId="30699" xr:uid="{00000000-0005-0000-0000-000014550000}"/>
    <cellStyle name="Normal 52 6 2 5" xfId="22656" xr:uid="{00000000-0005-0000-0000-000015550000}"/>
    <cellStyle name="Normal 52 6 3" xfId="4809" xr:uid="{00000000-0005-0000-0000-000016550000}"/>
    <cellStyle name="Normal 52 6 3 2" xfId="8793" xr:uid="{00000000-0005-0000-0000-000017550000}"/>
    <cellStyle name="Normal 52 6 3 2 2" xfId="17968" xr:uid="{00000000-0005-0000-0000-000018550000}"/>
    <cellStyle name="Normal 52 6 3 2 2 2" xfId="34542" xr:uid="{00000000-0005-0000-0000-000019550000}"/>
    <cellStyle name="Normal 52 6 3 2 3" xfId="26495" xr:uid="{00000000-0005-0000-0000-00001A550000}"/>
    <cellStyle name="Normal 52 6 3 3" xfId="14155" xr:uid="{00000000-0005-0000-0000-00001B550000}"/>
    <cellStyle name="Normal 52 6 3 3 2" xfId="30701" xr:uid="{00000000-0005-0000-0000-00001C550000}"/>
    <cellStyle name="Normal 52 6 3 4" xfId="22658" xr:uid="{00000000-0005-0000-0000-00001D550000}"/>
    <cellStyle name="Normal 52 6 4" xfId="8794" xr:uid="{00000000-0005-0000-0000-00001E550000}"/>
    <cellStyle name="Normal 52 6 4 2" xfId="17969" xr:uid="{00000000-0005-0000-0000-00001F550000}"/>
    <cellStyle name="Normal 52 6 4 2 2" xfId="34543" xr:uid="{00000000-0005-0000-0000-000020550000}"/>
    <cellStyle name="Normal 52 6 4 3" xfId="26496" xr:uid="{00000000-0005-0000-0000-000021550000}"/>
    <cellStyle name="Normal 52 6 5" xfId="14152" xr:uid="{00000000-0005-0000-0000-000022550000}"/>
    <cellStyle name="Normal 52 6 5 2" xfId="30698" xr:uid="{00000000-0005-0000-0000-000023550000}"/>
    <cellStyle name="Normal 52 6 6" xfId="22655" xr:uid="{00000000-0005-0000-0000-000024550000}"/>
    <cellStyle name="Normal 52 7" xfId="4810" xr:uid="{00000000-0005-0000-0000-000025550000}"/>
    <cellStyle name="Normal 52 7 2" xfId="4811" xr:uid="{00000000-0005-0000-0000-000026550000}"/>
    <cellStyle name="Normal 52 7 2 2" xfId="8795" xr:uid="{00000000-0005-0000-0000-000027550000}"/>
    <cellStyle name="Normal 52 7 2 2 2" xfId="17970" xr:uid="{00000000-0005-0000-0000-000028550000}"/>
    <cellStyle name="Normal 52 7 2 2 2 2" xfId="34544" xr:uid="{00000000-0005-0000-0000-000029550000}"/>
    <cellStyle name="Normal 52 7 2 2 3" xfId="26497" xr:uid="{00000000-0005-0000-0000-00002A550000}"/>
    <cellStyle name="Normal 52 7 2 3" xfId="14157" xr:uid="{00000000-0005-0000-0000-00002B550000}"/>
    <cellStyle name="Normal 52 7 2 3 2" xfId="30703" xr:uid="{00000000-0005-0000-0000-00002C550000}"/>
    <cellStyle name="Normal 52 7 2 4" xfId="22660" xr:uid="{00000000-0005-0000-0000-00002D550000}"/>
    <cellStyle name="Normal 52 7 3" xfId="8796" xr:uid="{00000000-0005-0000-0000-00002E550000}"/>
    <cellStyle name="Normal 52 7 3 2" xfId="17971" xr:uid="{00000000-0005-0000-0000-00002F550000}"/>
    <cellStyle name="Normal 52 7 3 2 2" xfId="34545" xr:uid="{00000000-0005-0000-0000-000030550000}"/>
    <cellStyle name="Normal 52 7 3 3" xfId="26498" xr:uid="{00000000-0005-0000-0000-000031550000}"/>
    <cellStyle name="Normal 52 7 4" xfId="14156" xr:uid="{00000000-0005-0000-0000-000032550000}"/>
    <cellStyle name="Normal 52 7 4 2" xfId="30702" xr:uid="{00000000-0005-0000-0000-000033550000}"/>
    <cellStyle name="Normal 52 7 5" xfId="22659" xr:uid="{00000000-0005-0000-0000-000034550000}"/>
    <cellStyle name="Normal 52 8" xfId="4812" xr:uid="{00000000-0005-0000-0000-000035550000}"/>
    <cellStyle name="Normal 52 8 2" xfId="8797" xr:uid="{00000000-0005-0000-0000-000036550000}"/>
    <cellStyle name="Normal 52 8 2 2" xfId="17972" xr:uid="{00000000-0005-0000-0000-000037550000}"/>
    <cellStyle name="Normal 52 8 2 2 2" xfId="34546" xr:uid="{00000000-0005-0000-0000-000038550000}"/>
    <cellStyle name="Normal 52 8 2 3" xfId="26499" xr:uid="{00000000-0005-0000-0000-000039550000}"/>
    <cellStyle name="Normal 52 8 3" xfId="14158" xr:uid="{00000000-0005-0000-0000-00003A550000}"/>
    <cellStyle name="Normal 52 8 3 2" xfId="30704" xr:uid="{00000000-0005-0000-0000-00003B550000}"/>
    <cellStyle name="Normal 52 8 4" xfId="22661" xr:uid="{00000000-0005-0000-0000-00003C550000}"/>
    <cellStyle name="Normal 52 9" xfId="8798" xr:uid="{00000000-0005-0000-0000-00003D550000}"/>
    <cellStyle name="Normal 52 9 2" xfId="17973" xr:uid="{00000000-0005-0000-0000-00003E550000}"/>
    <cellStyle name="Normal 52 9 2 2" xfId="34547" xr:uid="{00000000-0005-0000-0000-00003F550000}"/>
    <cellStyle name="Normal 52 9 3" xfId="26500" xr:uid="{00000000-0005-0000-0000-000040550000}"/>
    <cellStyle name="Normal 53" xfId="4813" xr:uid="{00000000-0005-0000-0000-000041550000}"/>
    <cellStyle name="Normal 53 10" xfId="14159" xr:uid="{00000000-0005-0000-0000-000042550000}"/>
    <cellStyle name="Normal 53 10 2" xfId="30705" xr:uid="{00000000-0005-0000-0000-000043550000}"/>
    <cellStyle name="Normal 53 11" xfId="22662" xr:uid="{00000000-0005-0000-0000-000044550000}"/>
    <cellStyle name="Normal 53 2" xfId="4814" xr:uid="{00000000-0005-0000-0000-000045550000}"/>
    <cellStyle name="Normal 53 2 2" xfId="4815" xr:uid="{00000000-0005-0000-0000-000046550000}"/>
    <cellStyle name="Normal 53 2 3" xfId="14160" xr:uid="{00000000-0005-0000-0000-000047550000}"/>
    <cellStyle name="Normal 53 2 3 2" xfId="30706" xr:uid="{00000000-0005-0000-0000-000048550000}"/>
    <cellStyle name="Normal 53 2 4" xfId="22663" xr:uid="{00000000-0005-0000-0000-000049550000}"/>
    <cellStyle name="Normal 53 3" xfId="4816" xr:uid="{00000000-0005-0000-0000-00004A550000}"/>
    <cellStyle name="Normal 53 3 2" xfId="4817" xr:uid="{00000000-0005-0000-0000-00004B550000}"/>
    <cellStyle name="Normal 53 3 2 2" xfId="4818" xr:uid="{00000000-0005-0000-0000-00004C550000}"/>
    <cellStyle name="Normal 53 3 2 2 2" xfId="4819" xr:uid="{00000000-0005-0000-0000-00004D550000}"/>
    <cellStyle name="Normal 53 3 2 2 2 2" xfId="8799" xr:uid="{00000000-0005-0000-0000-00004E550000}"/>
    <cellStyle name="Normal 53 3 2 2 2 2 2" xfId="17974" xr:uid="{00000000-0005-0000-0000-00004F550000}"/>
    <cellStyle name="Normal 53 3 2 2 2 2 2 2" xfId="34548" xr:uid="{00000000-0005-0000-0000-000050550000}"/>
    <cellStyle name="Normal 53 3 2 2 2 2 3" xfId="26501" xr:uid="{00000000-0005-0000-0000-000051550000}"/>
    <cellStyle name="Normal 53 3 2 2 2 3" xfId="14163" xr:uid="{00000000-0005-0000-0000-000052550000}"/>
    <cellStyle name="Normal 53 3 2 2 2 3 2" xfId="30709" xr:uid="{00000000-0005-0000-0000-000053550000}"/>
    <cellStyle name="Normal 53 3 2 2 2 4" xfId="22666" xr:uid="{00000000-0005-0000-0000-000054550000}"/>
    <cellStyle name="Normal 53 3 2 2 3" xfId="8800" xr:uid="{00000000-0005-0000-0000-000055550000}"/>
    <cellStyle name="Normal 53 3 2 2 3 2" xfId="17975" xr:uid="{00000000-0005-0000-0000-000056550000}"/>
    <cellStyle name="Normal 53 3 2 2 3 2 2" xfId="34549" xr:uid="{00000000-0005-0000-0000-000057550000}"/>
    <cellStyle name="Normal 53 3 2 2 3 3" xfId="26502" xr:uid="{00000000-0005-0000-0000-000058550000}"/>
    <cellStyle name="Normal 53 3 2 2 4" xfId="14162" xr:uid="{00000000-0005-0000-0000-000059550000}"/>
    <cellStyle name="Normal 53 3 2 2 4 2" xfId="30708" xr:uid="{00000000-0005-0000-0000-00005A550000}"/>
    <cellStyle name="Normal 53 3 2 2 5" xfId="22665" xr:uid="{00000000-0005-0000-0000-00005B550000}"/>
    <cellStyle name="Normal 53 3 2 3" xfId="4820" xr:uid="{00000000-0005-0000-0000-00005C550000}"/>
    <cellStyle name="Normal 53 3 2 3 2" xfId="8801" xr:uid="{00000000-0005-0000-0000-00005D550000}"/>
    <cellStyle name="Normal 53 3 2 3 2 2" xfId="17976" xr:uid="{00000000-0005-0000-0000-00005E550000}"/>
    <cellStyle name="Normal 53 3 2 3 2 2 2" xfId="34550" xr:uid="{00000000-0005-0000-0000-00005F550000}"/>
    <cellStyle name="Normal 53 3 2 3 2 3" xfId="26503" xr:uid="{00000000-0005-0000-0000-000060550000}"/>
    <cellStyle name="Normal 53 3 2 3 3" xfId="14164" xr:uid="{00000000-0005-0000-0000-000061550000}"/>
    <cellStyle name="Normal 53 3 2 3 3 2" xfId="30710" xr:uid="{00000000-0005-0000-0000-000062550000}"/>
    <cellStyle name="Normal 53 3 2 3 4" xfId="22667" xr:uid="{00000000-0005-0000-0000-000063550000}"/>
    <cellStyle name="Normal 53 3 2 4" xfId="8802" xr:uid="{00000000-0005-0000-0000-000064550000}"/>
    <cellStyle name="Normal 53 3 2 4 2" xfId="17977" xr:uid="{00000000-0005-0000-0000-000065550000}"/>
    <cellStyle name="Normal 53 3 2 4 2 2" xfId="34551" xr:uid="{00000000-0005-0000-0000-000066550000}"/>
    <cellStyle name="Normal 53 3 2 4 3" xfId="26504" xr:uid="{00000000-0005-0000-0000-000067550000}"/>
    <cellStyle name="Normal 53 3 2 5" xfId="14161" xr:uid="{00000000-0005-0000-0000-000068550000}"/>
    <cellStyle name="Normal 53 3 2 5 2" xfId="30707" xr:uid="{00000000-0005-0000-0000-000069550000}"/>
    <cellStyle name="Normal 53 3 2 6" xfId="22664" xr:uid="{00000000-0005-0000-0000-00006A550000}"/>
    <cellStyle name="Normal 53 3 3" xfId="4821" xr:uid="{00000000-0005-0000-0000-00006B550000}"/>
    <cellStyle name="Normal 53 3 3 2" xfId="4822" xr:uid="{00000000-0005-0000-0000-00006C550000}"/>
    <cellStyle name="Normal 53 3 3 2 2" xfId="8803" xr:uid="{00000000-0005-0000-0000-00006D550000}"/>
    <cellStyle name="Normal 53 3 3 2 2 2" xfId="17978" xr:uid="{00000000-0005-0000-0000-00006E550000}"/>
    <cellStyle name="Normal 53 3 3 2 2 2 2" xfId="34552" xr:uid="{00000000-0005-0000-0000-00006F550000}"/>
    <cellStyle name="Normal 53 3 3 2 2 3" xfId="26505" xr:uid="{00000000-0005-0000-0000-000070550000}"/>
    <cellStyle name="Normal 53 3 3 2 3" xfId="14166" xr:uid="{00000000-0005-0000-0000-000071550000}"/>
    <cellStyle name="Normal 53 3 3 2 3 2" xfId="30712" xr:uid="{00000000-0005-0000-0000-000072550000}"/>
    <cellStyle name="Normal 53 3 3 2 4" xfId="22669" xr:uid="{00000000-0005-0000-0000-000073550000}"/>
    <cellStyle name="Normal 53 3 3 3" xfId="8804" xr:uid="{00000000-0005-0000-0000-000074550000}"/>
    <cellStyle name="Normal 53 3 3 3 2" xfId="17979" xr:uid="{00000000-0005-0000-0000-000075550000}"/>
    <cellStyle name="Normal 53 3 3 3 2 2" xfId="34553" xr:uid="{00000000-0005-0000-0000-000076550000}"/>
    <cellStyle name="Normal 53 3 3 3 3" xfId="26506" xr:uid="{00000000-0005-0000-0000-000077550000}"/>
    <cellStyle name="Normal 53 3 3 4" xfId="14165" xr:uid="{00000000-0005-0000-0000-000078550000}"/>
    <cellStyle name="Normal 53 3 3 4 2" xfId="30711" xr:uid="{00000000-0005-0000-0000-000079550000}"/>
    <cellStyle name="Normal 53 3 3 5" xfId="22668" xr:uid="{00000000-0005-0000-0000-00007A550000}"/>
    <cellStyle name="Normal 53 3 4" xfId="4823" xr:uid="{00000000-0005-0000-0000-00007B550000}"/>
    <cellStyle name="Normal 53 3 4 2" xfId="8805" xr:uid="{00000000-0005-0000-0000-00007C550000}"/>
    <cellStyle name="Normal 53 3 4 2 2" xfId="17980" xr:uid="{00000000-0005-0000-0000-00007D550000}"/>
    <cellStyle name="Normal 53 3 4 2 2 2" xfId="34554" xr:uid="{00000000-0005-0000-0000-00007E550000}"/>
    <cellStyle name="Normal 53 3 4 2 3" xfId="26507" xr:uid="{00000000-0005-0000-0000-00007F550000}"/>
    <cellStyle name="Normal 53 3 4 3" xfId="14167" xr:uid="{00000000-0005-0000-0000-000080550000}"/>
    <cellStyle name="Normal 53 3 4 3 2" xfId="30713" xr:uid="{00000000-0005-0000-0000-000081550000}"/>
    <cellStyle name="Normal 53 3 4 4" xfId="22670" xr:uid="{00000000-0005-0000-0000-000082550000}"/>
    <cellStyle name="Normal 53 3 5" xfId="4824" xr:uid="{00000000-0005-0000-0000-000083550000}"/>
    <cellStyle name="Normal 53 3 5 2" xfId="14168" xr:uid="{00000000-0005-0000-0000-000084550000}"/>
    <cellStyle name="Normal 53 3 5 2 2" xfId="30714" xr:uid="{00000000-0005-0000-0000-000085550000}"/>
    <cellStyle name="Normal 53 3 5 3" xfId="22671" xr:uid="{00000000-0005-0000-0000-000086550000}"/>
    <cellStyle name="Normal 53 4" xfId="4825" xr:uid="{00000000-0005-0000-0000-000087550000}"/>
    <cellStyle name="Normal 53 4 2" xfId="4826" xr:uid="{00000000-0005-0000-0000-000088550000}"/>
    <cellStyle name="Normal 53 4 2 2" xfId="4827" xr:uid="{00000000-0005-0000-0000-000089550000}"/>
    <cellStyle name="Normal 53 4 2 2 2" xfId="4828" xr:uid="{00000000-0005-0000-0000-00008A550000}"/>
    <cellStyle name="Normal 53 4 2 2 2 2" xfId="8806" xr:uid="{00000000-0005-0000-0000-00008B550000}"/>
    <cellStyle name="Normal 53 4 2 2 2 2 2" xfId="17981" xr:uid="{00000000-0005-0000-0000-00008C550000}"/>
    <cellStyle name="Normal 53 4 2 2 2 2 2 2" xfId="34555" xr:uid="{00000000-0005-0000-0000-00008D550000}"/>
    <cellStyle name="Normal 53 4 2 2 2 2 3" xfId="26508" xr:uid="{00000000-0005-0000-0000-00008E550000}"/>
    <cellStyle name="Normal 53 4 2 2 2 3" xfId="14172" xr:uid="{00000000-0005-0000-0000-00008F550000}"/>
    <cellStyle name="Normal 53 4 2 2 2 3 2" xfId="30718" xr:uid="{00000000-0005-0000-0000-000090550000}"/>
    <cellStyle name="Normal 53 4 2 2 2 4" xfId="22675" xr:uid="{00000000-0005-0000-0000-000091550000}"/>
    <cellStyle name="Normal 53 4 2 2 3" xfId="8807" xr:uid="{00000000-0005-0000-0000-000092550000}"/>
    <cellStyle name="Normal 53 4 2 2 3 2" xfId="17982" xr:uid="{00000000-0005-0000-0000-000093550000}"/>
    <cellStyle name="Normal 53 4 2 2 3 2 2" xfId="34556" xr:uid="{00000000-0005-0000-0000-000094550000}"/>
    <cellStyle name="Normal 53 4 2 2 3 3" xfId="26509" xr:uid="{00000000-0005-0000-0000-000095550000}"/>
    <cellStyle name="Normal 53 4 2 2 4" xfId="14171" xr:uid="{00000000-0005-0000-0000-000096550000}"/>
    <cellStyle name="Normal 53 4 2 2 4 2" xfId="30717" xr:uid="{00000000-0005-0000-0000-000097550000}"/>
    <cellStyle name="Normal 53 4 2 2 5" xfId="22674" xr:uid="{00000000-0005-0000-0000-000098550000}"/>
    <cellStyle name="Normal 53 4 2 3" xfId="4829" xr:uid="{00000000-0005-0000-0000-000099550000}"/>
    <cellStyle name="Normal 53 4 2 3 2" xfId="8808" xr:uid="{00000000-0005-0000-0000-00009A550000}"/>
    <cellStyle name="Normal 53 4 2 3 2 2" xfId="17983" xr:uid="{00000000-0005-0000-0000-00009B550000}"/>
    <cellStyle name="Normal 53 4 2 3 2 2 2" xfId="34557" xr:uid="{00000000-0005-0000-0000-00009C550000}"/>
    <cellStyle name="Normal 53 4 2 3 2 3" xfId="26510" xr:uid="{00000000-0005-0000-0000-00009D550000}"/>
    <cellStyle name="Normal 53 4 2 3 3" xfId="14173" xr:uid="{00000000-0005-0000-0000-00009E550000}"/>
    <cellStyle name="Normal 53 4 2 3 3 2" xfId="30719" xr:uid="{00000000-0005-0000-0000-00009F550000}"/>
    <cellStyle name="Normal 53 4 2 3 4" xfId="22676" xr:uid="{00000000-0005-0000-0000-0000A0550000}"/>
    <cellStyle name="Normal 53 4 2 4" xfId="8809" xr:uid="{00000000-0005-0000-0000-0000A1550000}"/>
    <cellStyle name="Normal 53 4 2 4 2" xfId="17984" xr:uid="{00000000-0005-0000-0000-0000A2550000}"/>
    <cellStyle name="Normal 53 4 2 4 2 2" xfId="34558" xr:uid="{00000000-0005-0000-0000-0000A3550000}"/>
    <cellStyle name="Normal 53 4 2 4 3" xfId="26511" xr:uid="{00000000-0005-0000-0000-0000A4550000}"/>
    <cellStyle name="Normal 53 4 2 5" xfId="14170" xr:uid="{00000000-0005-0000-0000-0000A5550000}"/>
    <cellStyle name="Normal 53 4 2 5 2" xfId="30716" xr:uid="{00000000-0005-0000-0000-0000A6550000}"/>
    <cellStyle name="Normal 53 4 2 6" xfId="22673" xr:uid="{00000000-0005-0000-0000-0000A7550000}"/>
    <cellStyle name="Normal 53 4 3" xfId="4830" xr:uid="{00000000-0005-0000-0000-0000A8550000}"/>
    <cellStyle name="Normal 53 4 3 2" xfId="4831" xr:uid="{00000000-0005-0000-0000-0000A9550000}"/>
    <cellStyle name="Normal 53 4 3 2 2" xfId="8810" xr:uid="{00000000-0005-0000-0000-0000AA550000}"/>
    <cellStyle name="Normal 53 4 3 2 2 2" xfId="17985" xr:uid="{00000000-0005-0000-0000-0000AB550000}"/>
    <cellStyle name="Normal 53 4 3 2 2 2 2" xfId="34559" xr:uid="{00000000-0005-0000-0000-0000AC550000}"/>
    <cellStyle name="Normal 53 4 3 2 2 3" xfId="26512" xr:uid="{00000000-0005-0000-0000-0000AD550000}"/>
    <cellStyle name="Normal 53 4 3 2 3" xfId="14175" xr:uid="{00000000-0005-0000-0000-0000AE550000}"/>
    <cellStyle name="Normal 53 4 3 2 3 2" xfId="30721" xr:uid="{00000000-0005-0000-0000-0000AF550000}"/>
    <cellStyle name="Normal 53 4 3 2 4" xfId="22678" xr:uid="{00000000-0005-0000-0000-0000B0550000}"/>
    <cellStyle name="Normal 53 4 3 3" xfId="8811" xr:uid="{00000000-0005-0000-0000-0000B1550000}"/>
    <cellStyle name="Normal 53 4 3 3 2" xfId="17986" xr:uid="{00000000-0005-0000-0000-0000B2550000}"/>
    <cellStyle name="Normal 53 4 3 3 2 2" xfId="34560" xr:uid="{00000000-0005-0000-0000-0000B3550000}"/>
    <cellStyle name="Normal 53 4 3 3 3" xfId="26513" xr:uid="{00000000-0005-0000-0000-0000B4550000}"/>
    <cellStyle name="Normal 53 4 3 4" xfId="14174" xr:uid="{00000000-0005-0000-0000-0000B5550000}"/>
    <cellStyle name="Normal 53 4 3 4 2" xfId="30720" xr:uid="{00000000-0005-0000-0000-0000B6550000}"/>
    <cellStyle name="Normal 53 4 3 5" xfId="22677" xr:uid="{00000000-0005-0000-0000-0000B7550000}"/>
    <cellStyle name="Normal 53 4 4" xfId="4832" xr:uid="{00000000-0005-0000-0000-0000B8550000}"/>
    <cellStyle name="Normal 53 4 4 2" xfId="8812" xr:uid="{00000000-0005-0000-0000-0000B9550000}"/>
    <cellStyle name="Normal 53 4 4 2 2" xfId="17987" xr:uid="{00000000-0005-0000-0000-0000BA550000}"/>
    <cellStyle name="Normal 53 4 4 2 2 2" xfId="34561" xr:uid="{00000000-0005-0000-0000-0000BB550000}"/>
    <cellStyle name="Normal 53 4 4 2 3" xfId="26514" xr:uid="{00000000-0005-0000-0000-0000BC550000}"/>
    <cellStyle name="Normal 53 4 4 3" xfId="14176" xr:uid="{00000000-0005-0000-0000-0000BD550000}"/>
    <cellStyle name="Normal 53 4 4 3 2" xfId="30722" xr:uid="{00000000-0005-0000-0000-0000BE550000}"/>
    <cellStyle name="Normal 53 4 4 4" xfId="22679" xr:uid="{00000000-0005-0000-0000-0000BF550000}"/>
    <cellStyle name="Normal 53 4 5" xfId="8813" xr:uid="{00000000-0005-0000-0000-0000C0550000}"/>
    <cellStyle name="Normal 53 4 5 2" xfId="17988" xr:uid="{00000000-0005-0000-0000-0000C1550000}"/>
    <cellStyle name="Normal 53 4 5 2 2" xfId="34562" xr:uid="{00000000-0005-0000-0000-0000C2550000}"/>
    <cellStyle name="Normal 53 4 5 3" xfId="26515" xr:uid="{00000000-0005-0000-0000-0000C3550000}"/>
    <cellStyle name="Normal 53 4 6" xfId="14169" xr:uid="{00000000-0005-0000-0000-0000C4550000}"/>
    <cellStyle name="Normal 53 4 6 2" xfId="30715" xr:uid="{00000000-0005-0000-0000-0000C5550000}"/>
    <cellStyle name="Normal 53 4 7" xfId="22672" xr:uid="{00000000-0005-0000-0000-0000C6550000}"/>
    <cellStyle name="Normal 53 5" xfId="4833" xr:uid="{00000000-0005-0000-0000-0000C7550000}"/>
    <cellStyle name="Normal 53 5 2" xfId="4834" xr:uid="{00000000-0005-0000-0000-0000C8550000}"/>
    <cellStyle name="Normal 53 5 2 2" xfId="4835" xr:uid="{00000000-0005-0000-0000-0000C9550000}"/>
    <cellStyle name="Normal 53 5 2 2 2" xfId="4836" xr:uid="{00000000-0005-0000-0000-0000CA550000}"/>
    <cellStyle name="Normal 53 5 2 2 2 2" xfId="8814" xr:uid="{00000000-0005-0000-0000-0000CB550000}"/>
    <cellStyle name="Normal 53 5 2 2 2 2 2" xfId="17989" xr:uid="{00000000-0005-0000-0000-0000CC550000}"/>
    <cellStyle name="Normal 53 5 2 2 2 2 2 2" xfId="34563" xr:uid="{00000000-0005-0000-0000-0000CD550000}"/>
    <cellStyle name="Normal 53 5 2 2 2 2 3" xfId="26516" xr:uid="{00000000-0005-0000-0000-0000CE550000}"/>
    <cellStyle name="Normal 53 5 2 2 2 3" xfId="14180" xr:uid="{00000000-0005-0000-0000-0000CF550000}"/>
    <cellStyle name="Normal 53 5 2 2 2 3 2" xfId="30726" xr:uid="{00000000-0005-0000-0000-0000D0550000}"/>
    <cellStyle name="Normal 53 5 2 2 2 4" xfId="22683" xr:uid="{00000000-0005-0000-0000-0000D1550000}"/>
    <cellStyle name="Normal 53 5 2 2 3" xfId="8815" xr:uid="{00000000-0005-0000-0000-0000D2550000}"/>
    <cellStyle name="Normal 53 5 2 2 3 2" xfId="17990" xr:uid="{00000000-0005-0000-0000-0000D3550000}"/>
    <cellStyle name="Normal 53 5 2 2 3 2 2" xfId="34564" xr:uid="{00000000-0005-0000-0000-0000D4550000}"/>
    <cellStyle name="Normal 53 5 2 2 3 3" xfId="26517" xr:uid="{00000000-0005-0000-0000-0000D5550000}"/>
    <cellStyle name="Normal 53 5 2 2 4" xfId="14179" xr:uid="{00000000-0005-0000-0000-0000D6550000}"/>
    <cellStyle name="Normal 53 5 2 2 4 2" xfId="30725" xr:uid="{00000000-0005-0000-0000-0000D7550000}"/>
    <cellStyle name="Normal 53 5 2 2 5" xfId="22682" xr:uid="{00000000-0005-0000-0000-0000D8550000}"/>
    <cellStyle name="Normal 53 5 2 3" xfId="4837" xr:uid="{00000000-0005-0000-0000-0000D9550000}"/>
    <cellStyle name="Normal 53 5 2 3 2" xfId="8816" xr:uid="{00000000-0005-0000-0000-0000DA550000}"/>
    <cellStyle name="Normal 53 5 2 3 2 2" xfId="17991" xr:uid="{00000000-0005-0000-0000-0000DB550000}"/>
    <cellStyle name="Normal 53 5 2 3 2 2 2" xfId="34565" xr:uid="{00000000-0005-0000-0000-0000DC550000}"/>
    <cellStyle name="Normal 53 5 2 3 2 3" xfId="26518" xr:uid="{00000000-0005-0000-0000-0000DD550000}"/>
    <cellStyle name="Normal 53 5 2 3 3" xfId="14181" xr:uid="{00000000-0005-0000-0000-0000DE550000}"/>
    <cellStyle name="Normal 53 5 2 3 3 2" xfId="30727" xr:uid="{00000000-0005-0000-0000-0000DF550000}"/>
    <cellStyle name="Normal 53 5 2 3 4" xfId="22684" xr:uid="{00000000-0005-0000-0000-0000E0550000}"/>
    <cellStyle name="Normal 53 5 2 4" xfId="8817" xr:uid="{00000000-0005-0000-0000-0000E1550000}"/>
    <cellStyle name="Normal 53 5 2 4 2" xfId="17992" xr:uid="{00000000-0005-0000-0000-0000E2550000}"/>
    <cellStyle name="Normal 53 5 2 4 2 2" xfId="34566" xr:uid="{00000000-0005-0000-0000-0000E3550000}"/>
    <cellStyle name="Normal 53 5 2 4 3" xfId="26519" xr:uid="{00000000-0005-0000-0000-0000E4550000}"/>
    <cellStyle name="Normal 53 5 2 5" xfId="14178" xr:uid="{00000000-0005-0000-0000-0000E5550000}"/>
    <cellStyle name="Normal 53 5 2 5 2" xfId="30724" xr:uid="{00000000-0005-0000-0000-0000E6550000}"/>
    <cellStyle name="Normal 53 5 2 6" xfId="22681" xr:uid="{00000000-0005-0000-0000-0000E7550000}"/>
    <cellStyle name="Normal 53 5 3" xfId="4838" xr:uid="{00000000-0005-0000-0000-0000E8550000}"/>
    <cellStyle name="Normal 53 5 3 2" xfId="4839" xr:uid="{00000000-0005-0000-0000-0000E9550000}"/>
    <cellStyle name="Normal 53 5 3 2 2" xfId="8818" xr:uid="{00000000-0005-0000-0000-0000EA550000}"/>
    <cellStyle name="Normal 53 5 3 2 2 2" xfId="17993" xr:uid="{00000000-0005-0000-0000-0000EB550000}"/>
    <cellStyle name="Normal 53 5 3 2 2 2 2" xfId="34567" xr:uid="{00000000-0005-0000-0000-0000EC550000}"/>
    <cellStyle name="Normal 53 5 3 2 2 3" xfId="26520" xr:uid="{00000000-0005-0000-0000-0000ED550000}"/>
    <cellStyle name="Normal 53 5 3 2 3" xfId="14183" xr:uid="{00000000-0005-0000-0000-0000EE550000}"/>
    <cellStyle name="Normal 53 5 3 2 3 2" xfId="30729" xr:uid="{00000000-0005-0000-0000-0000EF550000}"/>
    <cellStyle name="Normal 53 5 3 2 4" xfId="22686" xr:uid="{00000000-0005-0000-0000-0000F0550000}"/>
    <cellStyle name="Normal 53 5 3 3" xfId="8819" xr:uid="{00000000-0005-0000-0000-0000F1550000}"/>
    <cellStyle name="Normal 53 5 3 3 2" xfId="17994" xr:uid="{00000000-0005-0000-0000-0000F2550000}"/>
    <cellStyle name="Normal 53 5 3 3 2 2" xfId="34568" xr:uid="{00000000-0005-0000-0000-0000F3550000}"/>
    <cellStyle name="Normal 53 5 3 3 3" xfId="26521" xr:uid="{00000000-0005-0000-0000-0000F4550000}"/>
    <cellStyle name="Normal 53 5 3 4" xfId="14182" xr:uid="{00000000-0005-0000-0000-0000F5550000}"/>
    <cellStyle name="Normal 53 5 3 4 2" xfId="30728" xr:uid="{00000000-0005-0000-0000-0000F6550000}"/>
    <cellStyle name="Normal 53 5 3 5" xfId="22685" xr:uid="{00000000-0005-0000-0000-0000F7550000}"/>
    <cellStyle name="Normal 53 5 4" xfId="4840" xr:uid="{00000000-0005-0000-0000-0000F8550000}"/>
    <cellStyle name="Normal 53 5 4 2" xfId="8820" xr:uid="{00000000-0005-0000-0000-0000F9550000}"/>
    <cellStyle name="Normal 53 5 4 2 2" xfId="17995" xr:uid="{00000000-0005-0000-0000-0000FA550000}"/>
    <cellStyle name="Normal 53 5 4 2 2 2" xfId="34569" xr:uid="{00000000-0005-0000-0000-0000FB550000}"/>
    <cellStyle name="Normal 53 5 4 2 3" xfId="26522" xr:uid="{00000000-0005-0000-0000-0000FC550000}"/>
    <cellStyle name="Normal 53 5 4 3" xfId="14184" xr:uid="{00000000-0005-0000-0000-0000FD550000}"/>
    <cellStyle name="Normal 53 5 4 3 2" xfId="30730" xr:uid="{00000000-0005-0000-0000-0000FE550000}"/>
    <cellStyle name="Normal 53 5 4 4" xfId="22687" xr:uid="{00000000-0005-0000-0000-0000FF550000}"/>
    <cellStyle name="Normal 53 5 5" xfId="8821" xr:uid="{00000000-0005-0000-0000-000000560000}"/>
    <cellStyle name="Normal 53 5 5 2" xfId="17996" xr:uid="{00000000-0005-0000-0000-000001560000}"/>
    <cellStyle name="Normal 53 5 5 2 2" xfId="34570" xr:uid="{00000000-0005-0000-0000-000002560000}"/>
    <cellStyle name="Normal 53 5 5 3" xfId="26523" xr:uid="{00000000-0005-0000-0000-000003560000}"/>
    <cellStyle name="Normal 53 5 6" xfId="14177" xr:uid="{00000000-0005-0000-0000-000004560000}"/>
    <cellStyle name="Normal 53 5 6 2" xfId="30723" xr:uid="{00000000-0005-0000-0000-000005560000}"/>
    <cellStyle name="Normal 53 5 7" xfId="22680" xr:uid="{00000000-0005-0000-0000-000006560000}"/>
    <cellStyle name="Normal 53 6" xfId="4841" xr:uid="{00000000-0005-0000-0000-000007560000}"/>
    <cellStyle name="Normal 53 6 2" xfId="4842" xr:uid="{00000000-0005-0000-0000-000008560000}"/>
    <cellStyle name="Normal 53 6 2 2" xfId="4843" xr:uid="{00000000-0005-0000-0000-000009560000}"/>
    <cellStyle name="Normal 53 6 2 2 2" xfId="8822" xr:uid="{00000000-0005-0000-0000-00000A560000}"/>
    <cellStyle name="Normal 53 6 2 2 2 2" xfId="17997" xr:uid="{00000000-0005-0000-0000-00000B560000}"/>
    <cellStyle name="Normal 53 6 2 2 2 2 2" xfId="34571" xr:uid="{00000000-0005-0000-0000-00000C560000}"/>
    <cellStyle name="Normal 53 6 2 2 2 3" xfId="26524" xr:uid="{00000000-0005-0000-0000-00000D560000}"/>
    <cellStyle name="Normal 53 6 2 2 3" xfId="14187" xr:uid="{00000000-0005-0000-0000-00000E560000}"/>
    <cellStyle name="Normal 53 6 2 2 3 2" xfId="30733" xr:uid="{00000000-0005-0000-0000-00000F560000}"/>
    <cellStyle name="Normal 53 6 2 2 4" xfId="22690" xr:uid="{00000000-0005-0000-0000-000010560000}"/>
    <cellStyle name="Normal 53 6 2 3" xfId="8823" xr:uid="{00000000-0005-0000-0000-000011560000}"/>
    <cellStyle name="Normal 53 6 2 3 2" xfId="17998" xr:uid="{00000000-0005-0000-0000-000012560000}"/>
    <cellStyle name="Normal 53 6 2 3 2 2" xfId="34572" xr:uid="{00000000-0005-0000-0000-000013560000}"/>
    <cellStyle name="Normal 53 6 2 3 3" xfId="26525" xr:uid="{00000000-0005-0000-0000-000014560000}"/>
    <cellStyle name="Normal 53 6 2 4" xfId="14186" xr:uid="{00000000-0005-0000-0000-000015560000}"/>
    <cellStyle name="Normal 53 6 2 4 2" xfId="30732" xr:uid="{00000000-0005-0000-0000-000016560000}"/>
    <cellStyle name="Normal 53 6 2 5" xfId="22689" xr:uid="{00000000-0005-0000-0000-000017560000}"/>
    <cellStyle name="Normal 53 6 3" xfId="4844" xr:uid="{00000000-0005-0000-0000-000018560000}"/>
    <cellStyle name="Normal 53 6 3 2" xfId="8824" xr:uid="{00000000-0005-0000-0000-000019560000}"/>
    <cellStyle name="Normal 53 6 3 2 2" xfId="17999" xr:uid="{00000000-0005-0000-0000-00001A560000}"/>
    <cellStyle name="Normal 53 6 3 2 2 2" xfId="34573" xr:uid="{00000000-0005-0000-0000-00001B560000}"/>
    <cellStyle name="Normal 53 6 3 2 3" xfId="26526" xr:uid="{00000000-0005-0000-0000-00001C560000}"/>
    <cellStyle name="Normal 53 6 3 3" xfId="14188" xr:uid="{00000000-0005-0000-0000-00001D560000}"/>
    <cellStyle name="Normal 53 6 3 3 2" xfId="30734" xr:uid="{00000000-0005-0000-0000-00001E560000}"/>
    <cellStyle name="Normal 53 6 3 4" xfId="22691" xr:uid="{00000000-0005-0000-0000-00001F560000}"/>
    <cellStyle name="Normal 53 6 4" xfId="8825" xr:uid="{00000000-0005-0000-0000-000020560000}"/>
    <cellStyle name="Normal 53 6 4 2" xfId="18000" xr:uid="{00000000-0005-0000-0000-000021560000}"/>
    <cellStyle name="Normal 53 6 4 2 2" xfId="34574" xr:uid="{00000000-0005-0000-0000-000022560000}"/>
    <cellStyle name="Normal 53 6 4 3" xfId="26527" xr:uid="{00000000-0005-0000-0000-000023560000}"/>
    <cellStyle name="Normal 53 6 5" xfId="14185" xr:uid="{00000000-0005-0000-0000-000024560000}"/>
    <cellStyle name="Normal 53 6 5 2" xfId="30731" xr:uid="{00000000-0005-0000-0000-000025560000}"/>
    <cellStyle name="Normal 53 6 6" xfId="22688" xr:uid="{00000000-0005-0000-0000-000026560000}"/>
    <cellStyle name="Normal 53 7" xfId="4845" xr:uid="{00000000-0005-0000-0000-000027560000}"/>
    <cellStyle name="Normal 53 7 2" xfId="4846" xr:uid="{00000000-0005-0000-0000-000028560000}"/>
    <cellStyle name="Normal 53 7 2 2" xfId="8826" xr:uid="{00000000-0005-0000-0000-000029560000}"/>
    <cellStyle name="Normal 53 7 2 2 2" xfId="18001" xr:uid="{00000000-0005-0000-0000-00002A560000}"/>
    <cellStyle name="Normal 53 7 2 2 2 2" xfId="34575" xr:uid="{00000000-0005-0000-0000-00002B560000}"/>
    <cellStyle name="Normal 53 7 2 2 3" xfId="26528" xr:uid="{00000000-0005-0000-0000-00002C560000}"/>
    <cellStyle name="Normal 53 7 2 3" xfId="14190" xr:uid="{00000000-0005-0000-0000-00002D560000}"/>
    <cellStyle name="Normal 53 7 2 3 2" xfId="30736" xr:uid="{00000000-0005-0000-0000-00002E560000}"/>
    <cellStyle name="Normal 53 7 2 4" xfId="22693" xr:uid="{00000000-0005-0000-0000-00002F560000}"/>
    <cellStyle name="Normal 53 7 3" xfId="8827" xr:uid="{00000000-0005-0000-0000-000030560000}"/>
    <cellStyle name="Normal 53 7 3 2" xfId="18002" xr:uid="{00000000-0005-0000-0000-000031560000}"/>
    <cellStyle name="Normal 53 7 3 2 2" xfId="34576" xr:uid="{00000000-0005-0000-0000-000032560000}"/>
    <cellStyle name="Normal 53 7 3 3" xfId="26529" xr:uid="{00000000-0005-0000-0000-000033560000}"/>
    <cellStyle name="Normal 53 7 4" xfId="14189" xr:uid="{00000000-0005-0000-0000-000034560000}"/>
    <cellStyle name="Normal 53 7 4 2" xfId="30735" xr:uid="{00000000-0005-0000-0000-000035560000}"/>
    <cellStyle name="Normal 53 7 5" xfId="22692" xr:uid="{00000000-0005-0000-0000-000036560000}"/>
    <cellStyle name="Normal 53 8" xfId="4847" xr:uid="{00000000-0005-0000-0000-000037560000}"/>
    <cellStyle name="Normal 53 8 2" xfId="8828" xr:uid="{00000000-0005-0000-0000-000038560000}"/>
    <cellStyle name="Normal 53 8 2 2" xfId="18003" xr:uid="{00000000-0005-0000-0000-000039560000}"/>
    <cellStyle name="Normal 53 8 2 2 2" xfId="34577" xr:uid="{00000000-0005-0000-0000-00003A560000}"/>
    <cellStyle name="Normal 53 8 2 3" xfId="26530" xr:uid="{00000000-0005-0000-0000-00003B560000}"/>
    <cellStyle name="Normal 53 8 3" xfId="14191" xr:uid="{00000000-0005-0000-0000-00003C560000}"/>
    <cellStyle name="Normal 53 8 3 2" xfId="30737" xr:uid="{00000000-0005-0000-0000-00003D560000}"/>
    <cellStyle name="Normal 53 8 4" xfId="22694" xr:uid="{00000000-0005-0000-0000-00003E560000}"/>
    <cellStyle name="Normal 53 9" xfId="8829" xr:uid="{00000000-0005-0000-0000-00003F560000}"/>
    <cellStyle name="Normal 53 9 2" xfId="18004" xr:uid="{00000000-0005-0000-0000-000040560000}"/>
    <cellStyle name="Normal 53 9 2 2" xfId="34578" xr:uid="{00000000-0005-0000-0000-000041560000}"/>
    <cellStyle name="Normal 53 9 3" xfId="26531" xr:uid="{00000000-0005-0000-0000-000042560000}"/>
    <cellStyle name="Normal 54" xfId="4848" xr:uid="{00000000-0005-0000-0000-000043560000}"/>
    <cellStyle name="Normal 54 10" xfId="14192" xr:uid="{00000000-0005-0000-0000-000044560000}"/>
    <cellStyle name="Normal 54 10 2" xfId="30738" xr:uid="{00000000-0005-0000-0000-000045560000}"/>
    <cellStyle name="Normal 54 11" xfId="22695" xr:uid="{00000000-0005-0000-0000-000046560000}"/>
    <cellStyle name="Normal 54 2" xfId="4849" xr:uid="{00000000-0005-0000-0000-000047560000}"/>
    <cellStyle name="Normal 54 2 2" xfId="4850" xr:uid="{00000000-0005-0000-0000-000048560000}"/>
    <cellStyle name="Normal 54 2 3" xfId="14193" xr:uid="{00000000-0005-0000-0000-000049560000}"/>
    <cellStyle name="Normal 54 2 3 2" xfId="30739" xr:uid="{00000000-0005-0000-0000-00004A560000}"/>
    <cellStyle name="Normal 54 2 4" xfId="22696" xr:uid="{00000000-0005-0000-0000-00004B560000}"/>
    <cellStyle name="Normal 54 3" xfId="4851" xr:uid="{00000000-0005-0000-0000-00004C560000}"/>
    <cellStyle name="Normal 54 3 2" xfId="4852" xr:uid="{00000000-0005-0000-0000-00004D560000}"/>
    <cellStyle name="Normal 54 3 2 2" xfId="4853" xr:uid="{00000000-0005-0000-0000-00004E560000}"/>
    <cellStyle name="Normal 54 3 2 2 2" xfId="4854" xr:uid="{00000000-0005-0000-0000-00004F560000}"/>
    <cellStyle name="Normal 54 3 2 2 2 2" xfId="8830" xr:uid="{00000000-0005-0000-0000-000050560000}"/>
    <cellStyle name="Normal 54 3 2 2 2 2 2" xfId="18005" xr:uid="{00000000-0005-0000-0000-000051560000}"/>
    <cellStyle name="Normal 54 3 2 2 2 2 2 2" xfId="34579" xr:uid="{00000000-0005-0000-0000-000052560000}"/>
    <cellStyle name="Normal 54 3 2 2 2 2 3" xfId="26532" xr:uid="{00000000-0005-0000-0000-000053560000}"/>
    <cellStyle name="Normal 54 3 2 2 2 3" xfId="14196" xr:uid="{00000000-0005-0000-0000-000054560000}"/>
    <cellStyle name="Normal 54 3 2 2 2 3 2" xfId="30742" xr:uid="{00000000-0005-0000-0000-000055560000}"/>
    <cellStyle name="Normal 54 3 2 2 2 4" xfId="22699" xr:uid="{00000000-0005-0000-0000-000056560000}"/>
    <cellStyle name="Normal 54 3 2 2 3" xfId="8831" xr:uid="{00000000-0005-0000-0000-000057560000}"/>
    <cellStyle name="Normal 54 3 2 2 3 2" xfId="18006" xr:uid="{00000000-0005-0000-0000-000058560000}"/>
    <cellStyle name="Normal 54 3 2 2 3 2 2" xfId="34580" xr:uid="{00000000-0005-0000-0000-000059560000}"/>
    <cellStyle name="Normal 54 3 2 2 3 3" xfId="26533" xr:uid="{00000000-0005-0000-0000-00005A560000}"/>
    <cellStyle name="Normal 54 3 2 2 4" xfId="14195" xr:uid="{00000000-0005-0000-0000-00005B560000}"/>
    <cellStyle name="Normal 54 3 2 2 4 2" xfId="30741" xr:uid="{00000000-0005-0000-0000-00005C560000}"/>
    <cellStyle name="Normal 54 3 2 2 5" xfId="22698" xr:uid="{00000000-0005-0000-0000-00005D560000}"/>
    <cellStyle name="Normal 54 3 2 3" xfId="4855" xr:uid="{00000000-0005-0000-0000-00005E560000}"/>
    <cellStyle name="Normal 54 3 2 3 2" xfId="8832" xr:uid="{00000000-0005-0000-0000-00005F560000}"/>
    <cellStyle name="Normal 54 3 2 3 2 2" xfId="18007" xr:uid="{00000000-0005-0000-0000-000060560000}"/>
    <cellStyle name="Normal 54 3 2 3 2 2 2" xfId="34581" xr:uid="{00000000-0005-0000-0000-000061560000}"/>
    <cellStyle name="Normal 54 3 2 3 2 3" xfId="26534" xr:uid="{00000000-0005-0000-0000-000062560000}"/>
    <cellStyle name="Normal 54 3 2 3 3" xfId="14197" xr:uid="{00000000-0005-0000-0000-000063560000}"/>
    <cellStyle name="Normal 54 3 2 3 3 2" xfId="30743" xr:uid="{00000000-0005-0000-0000-000064560000}"/>
    <cellStyle name="Normal 54 3 2 3 4" xfId="22700" xr:uid="{00000000-0005-0000-0000-000065560000}"/>
    <cellStyle name="Normal 54 3 2 4" xfId="8833" xr:uid="{00000000-0005-0000-0000-000066560000}"/>
    <cellStyle name="Normal 54 3 2 4 2" xfId="18008" xr:uid="{00000000-0005-0000-0000-000067560000}"/>
    <cellStyle name="Normal 54 3 2 4 2 2" xfId="34582" xr:uid="{00000000-0005-0000-0000-000068560000}"/>
    <cellStyle name="Normal 54 3 2 4 3" xfId="26535" xr:uid="{00000000-0005-0000-0000-000069560000}"/>
    <cellStyle name="Normal 54 3 2 5" xfId="14194" xr:uid="{00000000-0005-0000-0000-00006A560000}"/>
    <cellStyle name="Normal 54 3 2 5 2" xfId="30740" xr:uid="{00000000-0005-0000-0000-00006B560000}"/>
    <cellStyle name="Normal 54 3 2 6" xfId="22697" xr:uid="{00000000-0005-0000-0000-00006C560000}"/>
    <cellStyle name="Normal 54 3 3" xfId="4856" xr:uid="{00000000-0005-0000-0000-00006D560000}"/>
    <cellStyle name="Normal 54 3 3 2" xfId="4857" xr:uid="{00000000-0005-0000-0000-00006E560000}"/>
    <cellStyle name="Normal 54 3 3 2 2" xfId="8834" xr:uid="{00000000-0005-0000-0000-00006F560000}"/>
    <cellStyle name="Normal 54 3 3 2 2 2" xfId="18009" xr:uid="{00000000-0005-0000-0000-000070560000}"/>
    <cellStyle name="Normal 54 3 3 2 2 2 2" xfId="34583" xr:uid="{00000000-0005-0000-0000-000071560000}"/>
    <cellStyle name="Normal 54 3 3 2 2 3" xfId="26536" xr:uid="{00000000-0005-0000-0000-000072560000}"/>
    <cellStyle name="Normal 54 3 3 2 3" xfId="14199" xr:uid="{00000000-0005-0000-0000-000073560000}"/>
    <cellStyle name="Normal 54 3 3 2 3 2" xfId="30745" xr:uid="{00000000-0005-0000-0000-000074560000}"/>
    <cellStyle name="Normal 54 3 3 2 4" xfId="22702" xr:uid="{00000000-0005-0000-0000-000075560000}"/>
    <cellStyle name="Normal 54 3 3 3" xfId="8835" xr:uid="{00000000-0005-0000-0000-000076560000}"/>
    <cellStyle name="Normal 54 3 3 3 2" xfId="18010" xr:uid="{00000000-0005-0000-0000-000077560000}"/>
    <cellStyle name="Normal 54 3 3 3 2 2" xfId="34584" xr:uid="{00000000-0005-0000-0000-000078560000}"/>
    <cellStyle name="Normal 54 3 3 3 3" xfId="26537" xr:uid="{00000000-0005-0000-0000-000079560000}"/>
    <cellStyle name="Normal 54 3 3 4" xfId="14198" xr:uid="{00000000-0005-0000-0000-00007A560000}"/>
    <cellStyle name="Normal 54 3 3 4 2" xfId="30744" xr:uid="{00000000-0005-0000-0000-00007B560000}"/>
    <cellStyle name="Normal 54 3 3 5" xfId="22701" xr:uid="{00000000-0005-0000-0000-00007C560000}"/>
    <cellStyle name="Normal 54 3 4" xfId="4858" xr:uid="{00000000-0005-0000-0000-00007D560000}"/>
    <cellStyle name="Normal 54 3 4 2" xfId="8836" xr:uid="{00000000-0005-0000-0000-00007E560000}"/>
    <cellStyle name="Normal 54 3 4 2 2" xfId="18011" xr:uid="{00000000-0005-0000-0000-00007F560000}"/>
    <cellStyle name="Normal 54 3 4 2 2 2" xfId="34585" xr:uid="{00000000-0005-0000-0000-000080560000}"/>
    <cellStyle name="Normal 54 3 4 2 3" xfId="26538" xr:uid="{00000000-0005-0000-0000-000081560000}"/>
    <cellStyle name="Normal 54 3 4 3" xfId="14200" xr:uid="{00000000-0005-0000-0000-000082560000}"/>
    <cellStyle name="Normal 54 3 4 3 2" xfId="30746" xr:uid="{00000000-0005-0000-0000-000083560000}"/>
    <cellStyle name="Normal 54 3 4 4" xfId="22703" xr:uid="{00000000-0005-0000-0000-000084560000}"/>
    <cellStyle name="Normal 54 3 5" xfId="4859" xr:uid="{00000000-0005-0000-0000-000085560000}"/>
    <cellStyle name="Normal 54 3 5 2" xfId="14201" xr:uid="{00000000-0005-0000-0000-000086560000}"/>
    <cellStyle name="Normal 54 3 5 2 2" xfId="30747" xr:uid="{00000000-0005-0000-0000-000087560000}"/>
    <cellStyle name="Normal 54 3 5 3" xfId="22704" xr:uid="{00000000-0005-0000-0000-000088560000}"/>
    <cellStyle name="Normal 54 4" xfId="4860" xr:uid="{00000000-0005-0000-0000-000089560000}"/>
    <cellStyle name="Normal 54 4 2" xfId="4861" xr:uid="{00000000-0005-0000-0000-00008A560000}"/>
    <cellStyle name="Normal 54 4 2 2" xfId="4862" xr:uid="{00000000-0005-0000-0000-00008B560000}"/>
    <cellStyle name="Normal 54 4 2 2 2" xfId="4863" xr:uid="{00000000-0005-0000-0000-00008C560000}"/>
    <cellStyle name="Normal 54 4 2 2 2 2" xfId="8837" xr:uid="{00000000-0005-0000-0000-00008D560000}"/>
    <cellStyle name="Normal 54 4 2 2 2 2 2" xfId="18012" xr:uid="{00000000-0005-0000-0000-00008E560000}"/>
    <cellStyle name="Normal 54 4 2 2 2 2 2 2" xfId="34586" xr:uid="{00000000-0005-0000-0000-00008F560000}"/>
    <cellStyle name="Normal 54 4 2 2 2 2 3" xfId="26539" xr:uid="{00000000-0005-0000-0000-000090560000}"/>
    <cellStyle name="Normal 54 4 2 2 2 3" xfId="14205" xr:uid="{00000000-0005-0000-0000-000091560000}"/>
    <cellStyle name="Normal 54 4 2 2 2 3 2" xfId="30751" xr:uid="{00000000-0005-0000-0000-000092560000}"/>
    <cellStyle name="Normal 54 4 2 2 2 4" xfId="22708" xr:uid="{00000000-0005-0000-0000-000093560000}"/>
    <cellStyle name="Normal 54 4 2 2 3" xfId="8838" xr:uid="{00000000-0005-0000-0000-000094560000}"/>
    <cellStyle name="Normal 54 4 2 2 3 2" xfId="18013" xr:uid="{00000000-0005-0000-0000-000095560000}"/>
    <cellStyle name="Normal 54 4 2 2 3 2 2" xfId="34587" xr:uid="{00000000-0005-0000-0000-000096560000}"/>
    <cellStyle name="Normal 54 4 2 2 3 3" xfId="26540" xr:uid="{00000000-0005-0000-0000-000097560000}"/>
    <cellStyle name="Normal 54 4 2 2 4" xfId="14204" xr:uid="{00000000-0005-0000-0000-000098560000}"/>
    <cellStyle name="Normal 54 4 2 2 4 2" xfId="30750" xr:uid="{00000000-0005-0000-0000-000099560000}"/>
    <cellStyle name="Normal 54 4 2 2 5" xfId="22707" xr:uid="{00000000-0005-0000-0000-00009A560000}"/>
    <cellStyle name="Normal 54 4 2 3" xfId="4864" xr:uid="{00000000-0005-0000-0000-00009B560000}"/>
    <cellStyle name="Normal 54 4 2 3 2" xfId="8839" xr:uid="{00000000-0005-0000-0000-00009C560000}"/>
    <cellStyle name="Normal 54 4 2 3 2 2" xfId="18014" xr:uid="{00000000-0005-0000-0000-00009D560000}"/>
    <cellStyle name="Normal 54 4 2 3 2 2 2" xfId="34588" xr:uid="{00000000-0005-0000-0000-00009E560000}"/>
    <cellStyle name="Normal 54 4 2 3 2 3" xfId="26541" xr:uid="{00000000-0005-0000-0000-00009F560000}"/>
    <cellStyle name="Normal 54 4 2 3 3" xfId="14206" xr:uid="{00000000-0005-0000-0000-0000A0560000}"/>
    <cellStyle name="Normal 54 4 2 3 3 2" xfId="30752" xr:uid="{00000000-0005-0000-0000-0000A1560000}"/>
    <cellStyle name="Normal 54 4 2 3 4" xfId="22709" xr:uid="{00000000-0005-0000-0000-0000A2560000}"/>
    <cellStyle name="Normal 54 4 2 4" xfId="8840" xr:uid="{00000000-0005-0000-0000-0000A3560000}"/>
    <cellStyle name="Normal 54 4 2 4 2" xfId="18015" xr:uid="{00000000-0005-0000-0000-0000A4560000}"/>
    <cellStyle name="Normal 54 4 2 4 2 2" xfId="34589" xr:uid="{00000000-0005-0000-0000-0000A5560000}"/>
    <cellStyle name="Normal 54 4 2 4 3" xfId="26542" xr:uid="{00000000-0005-0000-0000-0000A6560000}"/>
    <cellStyle name="Normal 54 4 2 5" xfId="14203" xr:uid="{00000000-0005-0000-0000-0000A7560000}"/>
    <cellStyle name="Normal 54 4 2 5 2" xfId="30749" xr:uid="{00000000-0005-0000-0000-0000A8560000}"/>
    <cellStyle name="Normal 54 4 2 6" xfId="22706" xr:uid="{00000000-0005-0000-0000-0000A9560000}"/>
    <cellStyle name="Normal 54 4 3" xfId="4865" xr:uid="{00000000-0005-0000-0000-0000AA560000}"/>
    <cellStyle name="Normal 54 4 3 2" xfId="4866" xr:uid="{00000000-0005-0000-0000-0000AB560000}"/>
    <cellStyle name="Normal 54 4 3 2 2" xfId="8841" xr:uid="{00000000-0005-0000-0000-0000AC560000}"/>
    <cellStyle name="Normal 54 4 3 2 2 2" xfId="18016" xr:uid="{00000000-0005-0000-0000-0000AD560000}"/>
    <cellStyle name="Normal 54 4 3 2 2 2 2" xfId="34590" xr:uid="{00000000-0005-0000-0000-0000AE560000}"/>
    <cellStyle name="Normal 54 4 3 2 2 3" xfId="26543" xr:uid="{00000000-0005-0000-0000-0000AF560000}"/>
    <cellStyle name="Normal 54 4 3 2 3" xfId="14208" xr:uid="{00000000-0005-0000-0000-0000B0560000}"/>
    <cellStyle name="Normal 54 4 3 2 3 2" xfId="30754" xr:uid="{00000000-0005-0000-0000-0000B1560000}"/>
    <cellStyle name="Normal 54 4 3 2 4" xfId="22711" xr:uid="{00000000-0005-0000-0000-0000B2560000}"/>
    <cellStyle name="Normal 54 4 3 3" xfId="8842" xr:uid="{00000000-0005-0000-0000-0000B3560000}"/>
    <cellStyle name="Normal 54 4 3 3 2" xfId="18017" xr:uid="{00000000-0005-0000-0000-0000B4560000}"/>
    <cellStyle name="Normal 54 4 3 3 2 2" xfId="34591" xr:uid="{00000000-0005-0000-0000-0000B5560000}"/>
    <cellStyle name="Normal 54 4 3 3 3" xfId="26544" xr:uid="{00000000-0005-0000-0000-0000B6560000}"/>
    <cellStyle name="Normal 54 4 3 4" xfId="14207" xr:uid="{00000000-0005-0000-0000-0000B7560000}"/>
    <cellStyle name="Normal 54 4 3 4 2" xfId="30753" xr:uid="{00000000-0005-0000-0000-0000B8560000}"/>
    <cellStyle name="Normal 54 4 3 5" xfId="22710" xr:uid="{00000000-0005-0000-0000-0000B9560000}"/>
    <cellStyle name="Normal 54 4 4" xfId="4867" xr:uid="{00000000-0005-0000-0000-0000BA560000}"/>
    <cellStyle name="Normal 54 4 4 2" xfId="8843" xr:uid="{00000000-0005-0000-0000-0000BB560000}"/>
    <cellStyle name="Normal 54 4 4 2 2" xfId="18018" xr:uid="{00000000-0005-0000-0000-0000BC560000}"/>
    <cellStyle name="Normal 54 4 4 2 2 2" xfId="34592" xr:uid="{00000000-0005-0000-0000-0000BD560000}"/>
    <cellStyle name="Normal 54 4 4 2 3" xfId="26545" xr:uid="{00000000-0005-0000-0000-0000BE560000}"/>
    <cellStyle name="Normal 54 4 4 3" xfId="14209" xr:uid="{00000000-0005-0000-0000-0000BF560000}"/>
    <cellStyle name="Normal 54 4 4 3 2" xfId="30755" xr:uid="{00000000-0005-0000-0000-0000C0560000}"/>
    <cellStyle name="Normal 54 4 4 4" xfId="22712" xr:uid="{00000000-0005-0000-0000-0000C1560000}"/>
    <cellStyle name="Normal 54 4 5" xfId="8844" xr:uid="{00000000-0005-0000-0000-0000C2560000}"/>
    <cellStyle name="Normal 54 4 5 2" xfId="18019" xr:uid="{00000000-0005-0000-0000-0000C3560000}"/>
    <cellStyle name="Normal 54 4 5 2 2" xfId="34593" xr:uid="{00000000-0005-0000-0000-0000C4560000}"/>
    <cellStyle name="Normal 54 4 5 3" xfId="26546" xr:uid="{00000000-0005-0000-0000-0000C5560000}"/>
    <cellStyle name="Normal 54 4 6" xfId="14202" xr:uid="{00000000-0005-0000-0000-0000C6560000}"/>
    <cellStyle name="Normal 54 4 6 2" xfId="30748" xr:uid="{00000000-0005-0000-0000-0000C7560000}"/>
    <cellStyle name="Normal 54 4 7" xfId="22705" xr:uid="{00000000-0005-0000-0000-0000C8560000}"/>
    <cellStyle name="Normal 54 5" xfId="4868" xr:uid="{00000000-0005-0000-0000-0000C9560000}"/>
    <cellStyle name="Normal 54 5 2" xfId="4869" xr:uid="{00000000-0005-0000-0000-0000CA560000}"/>
    <cellStyle name="Normal 54 5 2 2" xfId="4870" xr:uid="{00000000-0005-0000-0000-0000CB560000}"/>
    <cellStyle name="Normal 54 5 2 2 2" xfId="4871" xr:uid="{00000000-0005-0000-0000-0000CC560000}"/>
    <cellStyle name="Normal 54 5 2 2 2 2" xfId="8845" xr:uid="{00000000-0005-0000-0000-0000CD560000}"/>
    <cellStyle name="Normal 54 5 2 2 2 2 2" xfId="18020" xr:uid="{00000000-0005-0000-0000-0000CE560000}"/>
    <cellStyle name="Normal 54 5 2 2 2 2 2 2" xfId="34594" xr:uid="{00000000-0005-0000-0000-0000CF560000}"/>
    <cellStyle name="Normal 54 5 2 2 2 2 3" xfId="26547" xr:uid="{00000000-0005-0000-0000-0000D0560000}"/>
    <cellStyle name="Normal 54 5 2 2 2 3" xfId="14213" xr:uid="{00000000-0005-0000-0000-0000D1560000}"/>
    <cellStyle name="Normal 54 5 2 2 2 3 2" xfId="30759" xr:uid="{00000000-0005-0000-0000-0000D2560000}"/>
    <cellStyle name="Normal 54 5 2 2 2 4" xfId="22716" xr:uid="{00000000-0005-0000-0000-0000D3560000}"/>
    <cellStyle name="Normal 54 5 2 2 3" xfId="8846" xr:uid="{00000000-0005-0000-0000-0000D4560000}"/>
    <cellStyle name="Normal 54 5 2 2 3 2" xfId="18021" xr:uid="{00000000-0005-0000-0000-0000D5560000}"/>
    <cellStyle name="Normal 54 5 2 2 3 2 2" xfId="34595" xr:uid="{00000000-0005-0000-0000-0000D6560000}"/>
    <cellStyle name="Normal 54 5 2 2 3 3" xfId="26548" xr:uid="{00000000-0005-0000-0000-0000D7560000}"/>
    <cellStyle name="Normal 54 5 2 2 4" xfId="14212" xr:uid="{00000000-0005-0000-0000-0000D8560000}"/>
    <cellStyle name="Normal 54 5 2 2 4 2" xfId="30758" xr:uid="{00000000-0005-0000-0000-0000D9560000}"/>
    <cellStyle name="Normal 54 5 2 2 5" xfId="22715" xr:uid="{00000000-0005-0000-0000-0000DA560000}"/>
    <cellStyle name="Normal 54 5 2 3" xfId="4872" xr:uid="{00000000-0005-0000-0000-0000DB560000}"/>
    <cellStyle name="Normal 54 5 2 3 2" xfId="8847" xr:uid="{00000000-0005-0000-0000-0000DC560000}"/>
    <cellStyle name="Normal 54 5 2 3 2 2" xfId="18022" xr:uid="{00000000-0005-0000-0000-0000DD560000}"/>
    <cellStyle name="Normal 54 5 2 3 2 2 2" xfId="34596" xr:uid="{00000000-0005-0000-0000-0000DE560000}"/>
    <cellStyle name="Normal 54 5 2 3 2 3" xfId="26549" xr:uid="{00000000-0005-0000-0000-0000DF560000}"/>
    <cellStyle name="Normal 54 5 2 3 3" xfId="14214" xr:uid="{00000000-0005-0000-0000-0000E0560000}"/>
    <cellStyle name="Normal 54 5 2 3 3 2" xfId="30760" xr:uid="{00000000-0005-0000-0000-0000E1560000}"/>
    <cellStyle name="Normal 54 5 2 3 4" xfId="22717" xr:uid="{00000000-0005-0000-0000-0000E2560000}"/>
    <cellStyle name="Normal 54 5 2 4" xfId="8848" xr:uid="{00000000-0005-0000-0000-0000E3560000}"/>
    <cellStyle name="Normal 54 5 2 4 2" xfId="18023" xr:uid="{00000000-0005-0000-0000-0000E4560000}"/>
    <cellStyle name="Normal 54 5 2 4 2 2" xfId="34597" xr:uid="{00000000-0005-0000-0000-0000E5560000}"/>
    <cellStyle name="Normal 54 5 2 4 3" xfId="26550" xr:uid="{00000000-0005-0000-0000-0000E6560000}"/>
    <cellStyle name="Normal 54 5 2 5" xfId="14211" xr:uid="{00000000-0005-0000-0000-0000E7560000}"/>
    <cellStyle name="Normal 54 5 2 5 2" xfId="30757" xr:uid="{00000000-0005-0000-0000-0000E8560000}"/>
    <cellStyle name="Normal 54 5 2 6" xfId="22714" xr:uid="{00000000-0005-0000-0000-0000E9560000}"/>
    <cellStyle name="Normal 54 5 3" xfId="4873" xr:uid="{00000000-0005-0000-0000-0000EA560000}"/>
    <cellStyle name="Normal 54 5 3 2" xfId="4874" xr:uid="{00000000-0005-0000-0000-0000EB560000}"/>
    <cellStyle name="Normal 54 5 3 2 2" xfId="8849" xr:uid="{00000000-0005-0000-0000-0000EC560000}"/>
    <cellStyle name="Normal 54 5 3 2 2 2" xfId="18024" xr:uid="{00000000-0005-0000-0000-0000ED560000}"/>
    <cellStyle name="Normal 54 5 3 2 2 2 2" xfId="34598" xr:uid="{00000000-0005-0000-0000-0000EE560000}"/>
    <cellStyle name="Normal 54 5 3 2 2 3" xfId="26551" xr:uid="{00000000-0005-0000-0000-0000EF560000}"/>
    <cellStyle name="Normal 54 5 3 2 3" xfId="14216" xr:uid="{00000000-0005-0000-0000-0000F0560000}"/>
    <cellStyle name="Normal 54 5 3 2 3 2" xfId="30762" xr:uid="{00000000-0005-0000-0000-0000F1560000}"/>
    <cellStyle name="Normal 54 5 3 2 4" xfId="22719" xr:uid="{00000000-0005-0000-0000-0000F2560000}"/>
    <cellStyle name="Normal 54 5 3 3" xfId="8850" xr:uid="{00000000-0005-0000-0000-0000F3560000}"/>
    <cellStyle name="Normal 54 5 3 3 2" xfId="18025" xr:uid="{00000000-0005-0000-0000-0000F4560000}"/>
    <cellStyle name="Normal 54 5 3 3 2 2" xfId="34599" xr:uid="{00000000-0005-0000-0000-0000F5560000}"/>
    <cellStyle name="Normal 54 5 3 3 3" xfId="26552" xr:uid="{00000000-0005-0000-0000-0000F6560000}"/>
    <cellStyle name="Normal 54 5 3 4" xfId="14215" xr:uid="{00000000-0005-0000-0000-0000F7560000}"/>
    <cellStyle name="Normal 54 5 3 4 2" xfId="30761" xr:uid="{00000000-0005-0000-0000-0000F8560000}"/>
    <cellStyle name="Normal 54 5 3 5" xfId="22718" xr:uid="{00000000-0005-0000-0000-0000F9560000}"/>
    <cellStyle name="Normal 54 5 4" xfId="4875" xr:uid="{00000000-0005-0000-0000-0000FA560000}"/>
    <cellStyle name="Normal 54 5 4 2" xfId="8851" xr:uid="{00000000-0005-0000-0000-0000FB560000}"/>
    <cellStyle name="Normal 54 5 4 2 2" xfId="18026" xr:uid="{00000000-0005-0000-0000-0000FC560000}"/>
    <cellStyle name="Normal 54 5 4 2 2 2" xfId="34600" xr:uid="{00000000-0005-0000-0000-0000FD560000}"/>
    <cellStyle name="Normal 54 5 4 2 3" xfId="26553" xr:uid="{00000000-0005-0000-0000-0000FE560000}"/>
    <cellStyle name="Normal 54 5 4 3" xfId="14217" xr:uid="{00000000-0005-0000-0000-0000FF560000}"/>
    <cellStyle name="Normal 54 5 4 3 2" xfId="30763" xr:uid="{00000000-0005-0000-0000-000000570000}"/>
    <cellStyle name="Normal 54 5 4 4" xfId="22720" xr:uid="{00000000-0005-0000-0000-000001570000}"/>
    <cellStyle name="Normal 54 5 5" xfId="8852" xr:uid="{00000000-0005-0000-0000-000002570000}"/>
    <cellStyle name="Normal 54 5 5 2" xfId="18027" xr:uid="{00000000-0005-0000-0000-000003570000}"/>
    <cellStyle name="Normal 54 5 5 2 2" xfId="34601" xr:uid="{00000000-0005-0000-0000-000004570000}"/>
    <cellStyle name="Normal 54 5 5 3" xfId="26554" xr:uid="{00000000-0005-0000-0000-000005570000}"/>
    <cellStyle name="Normal 54 5 6" xfId="14210" xr:uid="{00000000-0005-0000-0000-000006570000}"/>
    <cellStyle name="Normal 54 5 6 2" xfId="30756" xr:uid="{00000000-0005-0000-0000-000007570000}"/>
    <cellStyle name="Normal 54 5 7" xfId="22713" xr:uid="{00000000-0005-0000-0000-000008570000}"/>
    <cellStyle name="Normal 54 6" xfId="4876" xr:uid="{00000000-0005-0000-0000-000009570000}"/>
    <cellStyle name="Normal 54 6 2" xfId="4877" xr:uid="{00000000-0005-0000-0000-00000A570000}"/>
    <cellStyle name="Normal 54 6 2 2" xfId="4878" xr:uid="{00000000-0005-0000-0000-00000B570000}"/>
    <cellStyle name="Normal 54 6 2 2 2" xfId="8853" xr:uid="{00000000-0005-0000-0000-00000C570000}"/>
    <cellStyle name="Normal 54 6 2 2 2 2" xfId="18028" xr:uid="{00000000-0005-0000-0000-00000D570000}"/>
    <cellStyle name="Normal 54 6 2 2 2 2 2" xfId="34602" xr:uid="{00000000-0005-0000-0000-00000E570000}"/>
    <cellStyle name="Normal 54 6 2 2 2 3" xfId="26555" xr:uid="{00000000-0005-0000-0000-00000F570000}"/>
    <cellStyle name="Normal 54 6 2 2 3" xfId="14220" xr:uid="{00000000-0005-0000-0000-000010570000}"/>
    <cellStyle name="Normal 54 6 2 2 3 2" xfId="30766" xr:uid="{00000000-0005-0000-0000-000011570000}"/>
    <cellStyle name="Normal 54 6 2 2 4" xfId="22723" xr:uid="{00000000-0005-0000-0000-000012570000}"/>
    <cellStyle name="Normal 54 6 2 3" xfId="8854" xr:uid="{00000000-0005-0000-0000-000013570000}"/>
    <cellStyle name="Normal 54 6 2 3 2" xfId="18029" xr:uid="{00000000-0005-0000-0000-000014570000}"/>
    <cellStyle name="Normal 54 6 2 3 2 2" xfId="34603" xr:uid="{00000000-0005-0000-0000-000015570000}"/>
    <cellStyle name="Normal 54 6 2 3 3" xfId="26556" xr:uid="{00000000-0005-0000-0000-000016570000}"/>
    <cellStyle name="Normal 54 6 2 4" xfId="14219" xr:uid="{00000000-0005-0000-0000-000017570000}"/>
    <cellStyle name="Normal 54 6 2 4 2" xfId="30765" xr:uid="{00000000-0005-0000-0000-000018570000}"/>
    <cellStyle name="Normal 54 6 2 5" xfId="22722" xr:uid="{00000000-0005-0000-0000-000019570000}"/>
    <cellStyle name="Normal 54 6 3" xfId="4879" xr:uid="{00000000-0005-0000-0000-00001A570000}"/>
    <cellStyle name="Normal 54 6 3 2" xfId="8855" xr:uid="{00000000-0005-0000-0000-00001B570000}"/>
    <cellStyle name="Normal 54 6 3 2 2" xfId="18030" xr:uid="{00000000-0005-0000-0000-00001C570000}"/>
    <cellStyle name="Normal 54 6 3 2 2 2" xfId="34604" xr:uid="{00000000-0005-0000-0000-00001D570000}"/>
    <cellStyle name="Normal 54 6 3 2 3" xfId="26557" xr:uid="{00000000-0005-0000-0000-00001E570000}"/>
    <cellStyle name="Normal 54 6 3 3" xfId="14221" xr:uid="{00000000-0005-0000-0000-00001F570000}"/>
    <cellStyle name="Normal 54 6 3 3 2" xfId="30767" xr:uid="{00000000-0005-0000-0000-000020570000}"/>
    <cellStyle name="Normal 54 6 3 4" xfId="22724" xr:uid="{00000000-0005-0000-0000-000021570000}"/>
    <cellStyle name="Normal 54 6 4" xfId="8856" xr:uid="{00000000-0005-0000-0000-000022570000}"/>
    <cellStyle name="Normal 54 6 4 2" xfId="18031" xr:uid="{00000000-0005-0000-0000-000023570000}"/>
    <cellStyle name="Normal 54 6 4 2 2" xfId="34605" xr:uid="{00000000-0005-0000-0000-000024570000}"/>
    <cellStyle name="Normal 54 6 4 3" xfId="26558" xr:uid="{00000000-0005-0000-0000-000025570000}"/>
    <cellStyle name="Normal 54 6 5" xfId="14218" xr:uid="{00000000-0005-0000-0000-000026570000}"/>
    <cellStyle name="Normal 54 6 5 2" xfId="30764" xr:uid="{00000000-0005-0000-0000-000027570000}"/>
    <cellStyle name="Normal 54 6 6" xfId="22721" xr:uid="{00000000-0005-0000-0000-000028570000}"/>
    <cellStyle name="Normal 54 7" xfId="4880" xr:uid="{00000000-0005-0000-0000-000029570000}"/>
    <cellStyle name="Normal 54 7 2" xfId="4881" xr:uid="{00000000-0005-0000-0000-00002A570000}"/>
    <cellStyle name="Normal 54 7 2 2" xfId="8857" xr:uid="{00000000-0005-0000-0000-00002B570000}"/>
    <cellStyle name="Normal 54 7 2 2 2" xfId="18032" xr:uid="{00000000-0005-0000-0000-00002C570000}"/>
    <cellStyle name="Normal 54 7 2 2 2 2" xfId="34606" xr:uid="{00000000-0005-0000-0000-00002D570000}"/>
    <cellStyle name="Normal 54 7 2 2 3" xfId="26559" xr:uid="{00000000-0005-0000-0000-00002E570000}"/>
    <cellStyle name="Normal 54 7 2 3" xfId="14223" xr:uid="{00000000-0005-0000-0000-00002F570000}"/>
    <cellStyle name="Normal 54 7 2 3 2" xfId="30769" xr:uid="{00000000-0005-0000-0000-000030570000}"/>
    <cellStyle name="Normal 54 7 2 4" xfId="22726" xr:uid="{00000000-0005-0000-0000-000031570000}"/>
    <cellStyle name="Normal 54 7 3" xfId="8858" xr:uid="{00000000-0005-0000-0000-000032570000}"/>
    <cellStyle name="Normal 54 7 3 2" xfId="18033" xr:uid="{00000000-0005-0000-0000-000033570000}"/>
    <cellStyle name="Normal 54 7 3 2 2" xfId="34607" xr:uid="{00000000-0005-0000-0000-000034570000}"/>
    <cellStyle name="Normal 54 7 3 3" xfId="26560" xr:uid="{00000000-0005-0000-0000-000035570000}"/>
    <cellStyle name="Normal 54 7 4" xfId="14222" xr:uid="{00000000-0005-0000-0000-000036570000}"/>
    <cellStyle name="Normal 54 7 4 2" xfId="30768" xr:uid="{00000000-0005-0000-0000-000037570000}"/>
    <cellStyle name="Normal 54 7 5" xfId="22725" xr:uid="{00000000-0005-0000-0000-000038570000}"/>
    <cellStyle name="Normal 54 8" xfId="4882" xr:uid="{00000000-0005-0000-0000-000039570000}"/>
    <cellStyle name="Normal 54 8 2" xfId="8859" xr:uid="{00000000-0005-0000-0000-00003A570000}"/>
    <cellStyle name="Normal 54 8 2 2" xfId="18034" xr:uid="{00000000-0005-0000-0000-00003B570000}"/>
    <cellStyle name="Normal 54 8 2 2 2" xfId="34608" xr:uid="{00000000-0005-0000-0000-00003C570000}"/>
    <cellStyle name="Normal 54 8 2 3" xfId="26561" xr:uid="{00000000-0005-0000-0000-00003D570000}"/>
    <cellStyle name="Normal 54 8 3" xfId="14224" xr:uid="{00000000-0005-0000-0000-00003E570000}"/>
    <cellStyle name="Normal 54 8 3 2" xfId="30770" xr:uid="{00000000-0005-0000-0000-00003F570000}"/>
    <cellStyle name="Normal 54 8 4" xfId="22727" xr:uid="{00000000-0005-0000-0000-000040570000}"/>
    <cellStyle name="Normal 54 9" xfId="8860" xr:uid="{00000000-0005-0000-0000-000041570000}"/>
    <cellStyle name="Normal 54 9 2" xfId="18035" xr:uid="{00000000-0005-0000-0000-000042570000}"/>
    <cellStyle name="Normal 54 9 2 2" xfId="34609" xr:uid="{00000000-0005-0000-0000-000043570000}"/>
    <cellStyle name="Normal 54 9 3" xfId="26562" xr:uid="{00000000-0005-0000-0000-000044570000}"/>
    <cellStyle name="Normal 55" xfId="4883" xr:uid="{00000000-0005-0000-0000-000045570000}"/>
    <cellStyle name="Normal 55 10" xfId="14225" xr:uid="{00000000-0005-0000-0000-000046570000}"/>
    <cellStyle name="Normal 55 10 2" xfId="30771" xr:uid="{00000000-0005-0000-0000-000047570000}"/>
    <cellStyle name="Normal 55 11" xfId="22728" xr:uid="{00000000-0005-0000-0000-000048570000}"/>
    <cellStyle name="Normal 55 2" xfId="4884" xr:uid="{00000000-0005-0000-0000-000049570000}"/>
    <cellStyle name="Normal 55 2 2" xfId="4885" xr:uid="{00000000-0005-0000-0000-00004A570000}"/>
    <cellStyle name="Normal 55 2 3" xfId="14226" xr:uid="{00000000-0005-0000-0000-00004B570000}"/>
    <cellStyle name="Normal 55 2 3 2" xfId="30772" xr:uid="{00000000-0005-0000-0000-00004C570000}"/>
    <cellStyle name="Normal 55 2 4" xfId="22729" xr:uid="{00000000-0005-0000-0000-00004D570000}"/>
    <cellStyle name="Normal 55 3" xfId="4886" xr:uid="{00000000-0005-0000-0000-00004E570000}"/>
    <cellStyle name="Normal 55 3 2" xfId="4887" xr:uid="{00000000-0005-0000-0000-00004F570000}"/>
    <cellStyle name="Normal 55 3 2 2" xfId="4888" xr:uid="{00000000-0005-0000-0000-000050570000}"/>
    <cellStyle name="Normal 55 3 2 2 2" xfId="4889" xr:uid="{00000000-0005-0000-0000-000051570000}"/>
    <cellStyle name="Normal 55 3 2 2 2 2" xfId="8861" xr:uid="{00000000-0005-0000-0000-000052570000}"/>
    <cellStyle name="Normal 55 3 2 2 2 2 2" xfId="18036" xr:uid="{00000000-0005-0000-0000-000053570000}"/>
    <cellStyle name="Normal 55 3 2 2 2 2 2 2" xfId="34610" xr:uid="{00000000-0005-0000-0000-000054570000}"/>
    <cellStyle name="Normal 55 3 2 2 2 2 3" xfId="26563" xr:uid="{00000000-0005-0000-0000-000055570000}"/>
    <cellStyle name="Normal 55 3 2 2 2 3" xfId="14229" xr:uid="{00000000-0005-0000-0000-000056570000}"/>
    <cellStyle name="Normal 55 3 2 2 2 3 2" xfId="30775" xr:uid="{00000000-0005-0000-0000-000057570000}"/>
    <cellStyle name="Normal 55 3 2 2 2 4" xfId="22732" xr:uid="{00000000-0005-0000-0000-000058570000}"/>
    <cellStyle name="Normal 55 3 2 2 3" xfId="8862" xr:uid="{00000000-0005-0000-0000-000059570000}"/>
    <cellStyle name="Normal 55 3 2 2 3 2" xfId="18037" xr:uid="{00000000-0005-0000-0000-00005A570000}"/>
    <cellStyle name="Normal 55 3 2 2 3 2 2" xfId="34611" xr:uid="{00000000-0005-0000-0000-00005B570000}"/>
    <cellStyle name="Normal 55 3 2 2 3 3" xfId="26564" xr:uid="{00000000-0005-0000-0000-00005C570000}"/>
    <cellStyle name="Normal 55 3 2 2 4" xfId="14228" xr:uid="{00000000-0005-0000-0000-00005D570000}"/>
    <cellStyle name="Normal 55 3 2 2 4 2" xfId="30774" xr:uid="{00000000-0005-0000-0000-00005E570000}"/>
    <cellStyle name="Normal 55 3 2 2 5" xfId="22731" xr:uid="{00000000-0005-0000-0000-00005F570000}"/>
    <cellStyle name="Normal 55 3 2 3" xfId="4890" xr:uid="{00000000-0005-0000-0000-000060570000}"/>
    <cellStyle name="Normal 55 3 2 3 2" xfId="8863" xr:uid="{00000000-0005-0000-0000-000061570000}"/>
    <cellStyle name="Normal 55 3 2 3 2 2" xfId="18038" xr:uid="{00000000-0005-0000-0000-000062570000}"/>
    <cellStyle name="Normal 55 3 2 3 2 2 2" xfId="34612" xr:uid="{00000000-0005-0000-0000-000063570000}"/>
    <cellStyle name="Normal 55 3 2 3 2 3" xfId="26565" xr:uid="{00000000-0005-0000-0000-000064570000}"/>
    <cellStyle name="Normal 55 3 2 3 3" xfId="14230" xr:uid="{00000000-0005-0000-0000-000065570000}"/>
    <cellStyle name="Normal 55 3 2 3 3 2" xfId="30776" xr:uid="{00000000-0005-0000-0000-000066570000}"/>
    <cellStyle name="Normal 55 3 2 3 4" xfId="22733" xr:uid="{00000000-0005-0000-0000-000067570000}"/>
    <cellStyle name="Normal 55 3 2 4" xfId="8864" xr:uid="{00000000-0005-0000-0000-000068570000}"/>
    <cellStyle name="Normal 55 3 2 4 2" xfId="18039" xr:uid="{00000000-0005-0000-0000-000069570000}"/>
    <cellStyle name="Normal 55 3 2 4 2 2" xfId="34613" xr:uid="{00000000-0005-0000-0000-00006A570000}"/>
    <cellStyle name="Normal 55 3 2 4 3" xfId="26566" xr:uid="{00000000-0005-0000-0000-00006B570000}"/>
    <cellStyle name="Normal 55 3 2 5" xfId="14227" xr:uid="{00000000-0005-0000-0000-00006C570000}"/>
    <cellStyle name="Normal 55 3 2 5 2" xfId="30773" xr:uid="{00000000-0005-0000-0000-00006D570000}"/>
    <cellStyle name="Normal 55 3 2 6" xfId="22730" xr:uid="{00000000-0005-0000-0000-00006E570000}"/>
    <cellStyle name="Normal 55 3 3" xfId="4891" xr:uid="{00000000-0005-0000-0000-00006F570000}"/>
    <cellStyle name="Normal 55 3 3 2" xfId="4892" xr:uid="{00000000-0005-0000-0000-000070570000}"/>
    <cellStyle name="Normal 55 3 3 2 2" xfId="8865" xr:uid="{00000000-0005-0000-0000-000071570000}"/>
    <cellStyle name="Normal 55 3 3 2 2 2" xfId="18040" xr:uid="{00000000-0005-0000-0000-000072570000}"/>
    <cellStyle name="Normal 55 3 3 2 2 2 2" xfId="34614" xr:uid="{00000000-0005-0000-0000-000073570000}"/>
    <cellStyle name="Normal 55 3 3 2 2 3" xfId="26567" xr:uid="{00000000-0005-0000-0000-000074570000}"/>
    <cellStyle name="Normal 55 3 3 2 3" xfId="14232" xr:uid="{00000000-0005-0000-0000-000075570000}"/>
    <cellStyle name="Normal 55 3 3 2 3 2" xfId="30778" xr:uid="{00000000-0005-0000-0000-000076570000}"/>
    <cellStyle name="Normal 55 3 3 2 4" xfId="22735" xr:uid="{00000000-0005-0000-0000-000077570000}"/>
    <cellStyle name="Normal 55 3 3 3" xfId="8866" xr:uid="{00000000-0005-0000-0000-000078570000}"/>
    <cellStyle name="Normal 55 3 3 3 2" xfId="18041" xr:uid="{00000000-0005-0000-0000-000079570000}"/>
    <cellStyle name="Normal 55 3 3 3 2 2" xfId="34615" xr:uid="{00000000-0005-0000-0000-00007A570000}"/>
    <cellStyle name="Normal 55 3 3 3 3" xfId="26568" xr:uid="{00000000-0005-0000-0000-00007B570000}"/>
    <cellStyle name="Normal 55 3 3 4" xfId="14231" xr:uid="{00000000-0005-0000-0000-00007C570000}"/>
    <cellStyle name="Normal 55 3 3 4 2" xfId="30777" xr:uid="{00000000-0005-0000-0000-00007D570000}"/>
    <cellStyle name="Normal 55 3 3 5" xfId="22734" xr:uid="{00000000-0005-0000-0000-00007E570000}"/>
    <cellStyle name="Normal 55 3 4" xfId="4893" xr:uid="{00000000-0005-0000-0000-00007F570000}"/>
    <cellStyle name="Normal 55 3 4 2" xfId="8867" xr:uid="{00000000-0005-0000-0000-000080570000}"/>
    <cellStyle name="Normal 55 3 4 2 2" xfId="18042" xr:uid="{00000000-0005-0000-0000-000081570000}"/>
    <cellStyle name="Normal 55 3 4 2 2 2" xfId="34616" xr:uid="{00000000-0005-0000-0000-000082570000}"/>
    <cellStyle name="Normal 55 3 4 2 3" xfId="26569" xr:uid="{00000000-0005-0000-0000-000083570000}"/>
    <cellStyle name="Normal 55 3 4 3" xfId="14233" xr:uid="{00000000-0005-0000-0000-000084570000}"/>
    <cellStyle name="Normal 55 3 4 3 2" xfId="30779" xr:uid="{00000000-0005-0000-0000-000085570000}"/>
    <cellStyle name="Normal 55 3 4 4" xfId="22736" xr:uid="{00000000-0005-0000-0000-000086570000}"/>
    <cellStyle name="Normal 55 3 5" xfId="4894" xr:uid="{00000000-0005-0000-0000-000087570000}"/>
    <cellStyle name="Normal 55 3 5 2" xfId="14234" xr:uid="{00000000-0005-0000-0000-000088570000}"/>
    <cellStyle name="Normal 55 3 5 2 2" xfId="30780" xr:uid="{00000000-0005-0000-0000-000089570000}"/>
    <cellStyle name="Normal 55 3 5 3" xfId="22737" xr:uid="{00000000-0005-0000-0000-00008A570000}"/>
    <cellStyle name="Normal 55 4" xfId="4895" xr:uid="{00000000-0005-0000-0000-00008B570000}"/>
    <cellStyle name="Normal 55 4 2" xfId="4896" xr:uid="{00000000-0005-0000-0000-00008C570000}"/>
    <cellStyle name="Normal 55 4 2 2" xfId="4897" xr:uid="{00000000-0005-0000-0000-00008D570000}"/>
    <cellStyle name="Normal 55 4 2 2 2" xfId="4898" xr:uid="{00000000-0005-0000-0000-00008E570000}"/>
    <cellStyle name="Normal 55 4 2 2 2 2" xfId="8868" xr:uid="{00000000-0005-0000-0000-00008F570000}"/>
    <cellStyle name="Normal 55 4 2 2 2 2 2" xfId="18043" xr:uid="{00000000-0005-0000-0000-000090570000}"/>
    <cellStyle name="Normal 55 4 2 2 2 2 2 2" xfId="34617" xr:uid="{00000000-0005-0000-0000-000091570000}"/>
    <cellStyle name="Normal 55 4 2 2 2 2 3" xfId="26570" xr:uid="{00000000-0005-0000-0000-000092570000}"/>
    <cellStyle name="Normal 55 4 2 2 2 3" xfId="14238" xr:uid="{00000000-0005-0000-0000-000093570000}"/>
    <cellStyle name="Normal 55 4 2 2 2 3 2" xfId="30784" xr:uid="{00000000-0005-0000-0000-000094570000}"/>
    <cellStyle name="Normal 55 4 2 2 2 4" xfId="22741" xr:uid="{00000000-0005-0000-0000-000095570000}"/>
    <cellStyle name="Normal 55 4 2 2 3" xfId="8869" xr:uid="{00000000-0005-0000-0000-000096570000}"/>
    <cellStyle name="Normal 55 4 2 2 3 2" xfId="18044" xr:uid="{00000000-0005-0000-0000-000097570000}"/>
    <cellStyle name="Normal 55 4 2 2 3 2 2" xfId="34618" xr:uid="{00000000-0005-0000-0000-000098570000}"/>
    <cellStyle name="Normal 55 4 2 2 3 3" xfId="26571" xr:uid="{00000000-0005-0000-0000-000099570000}"/>
    <cellStyle name="Normal 55 4 2 2 4" xfId="14237" xr:uid="{00000000-0005-0000-0000-00009A570000}"/>
    <cellStyle name="Normal 55 4 2 2 4 2" xfId="30783" xr:uid="{00000000-0005-0000-0000-00009B570000}"/>
    <cellStyle name="Normal 55 4 2 2 5" xfId="22740" xr:uid="{00000000-0005-0000-0000-00009C570000}"/>
    <cellStyle name="Normal 55 4 2 3" xfId="4899" xr:uid="{00000000-0005-0000-0000-00009D570000}"/>
    <cellStyle name="Normal 55 4 2 3 2" xfId="8870" xr:uid="{00000000-0005-0000-0000-00009E570000}"/>
    <cellStyle name="Normal 55 4 2 3 2 2" xfId="18045" xr:uid="{00000000-0005-0000-0000-00009F570000}"/>
    <cellStyle name="Normal 55 4 2 3 2 2 2" xfId="34619" xr:uid="{00000000-0005-0000-0000-0000A0570000}"/>
    <cellStyle name="Normal 55 4 2 3 2 3" xfId="26572" xr:uid="{00000000-0005-0000-0000-0000A1570000}"/>
    <cellStyle name="Normal 55 4 2 3 3" xfId="14239" xr:uid="{00000000-0005-0000-0000-0000A2570000}"/>
    <cellStyle name="Normal 55 4 2 3 3 2" xfId="30785" xr:uid="{00000000-0005-0000-0000-0000A3570000}"/>
    <cellStyle name="Normal 55 4 2 3 4" xfId="22742" xr:uid="{00000000-0005-0000-0000-0000A4570000}"/>
    <cellStyle name="Normal 55 4 2 4" xfId="8871" xr:uid="{00000000-0005-0000-0000-0000A5570000}"/>
    <cellStyle name="Normal 55 4 2 4 2" xfId="18046" xr:uid="{00000000-0005-0000-0000-0000A6570000}"/>
    <cellStyle name="Normal 55 4 2 4 2 2" xfId="34620" xr:uid="{00000000-0005-0000-0000-0000A7570000}"/>
    <cellStyle name="Normal 55 4 2 4 3" xfId="26573" xr:uid="{00000000-0005-0000-0000-0000A8570000}"/>
    <cellStyle name="Normal 55 4 2 5" xfId="14236" xr:uid="{00000000-0005-0000-0000-0000A9570000}"/>
    <cellStyle name="Normal 55 4 2 5 2" xfId="30782" xr:uid="{00000000-0005-0000-0000-0000AA570000}"/>
    <cellStyle name="Normal 55 4 2 6" xfId="22739" xr:uid="{00000000-0005-0000-0000-0000AB570000}"/>
    <cellStyle name="Normal 55 4 3" xfId="4900" xr:uid="{00000000-0005-0000-0000-0000AC570000}"/>
    <cellStyle name="Normal 55 4 3 2" xfId="4901" xr:uid="{00000000-0005-0000-0000-0000AD570000}"/>
    <cellStyle name="Normal 55 4 3 2 2" xfId="8872" xr:uid="{00000000-0005-0000-0000-0000AE570000}"/>
    <cellStyle name="Normal 55 4 3 2 2 2" xfId="18047" xr:uid="{00000000-0005-0000-0000-0000AF570000}"/>
    <cellStyle name="Normal 55 4 3 2 2 2 2" xfId="34621" xr:uid="{00000000-0005-0000-0000-0000B0570000}"/>
    <cellStyle name="Normal 55 4 3 2 2 3" xfId="26574" xr:uid="{00000000-0005-0000-0000-0000B1570000}"/>
    <cellStyle name="Normal 55 4 3 2 3" xfId="14241" xr:uid="{00000000-0005-0000-0000-0000B2570000}"/>
    <cellStyle name="Normal 55 4 3 2 3 2" xfId="30787" xr:uid="{00000000-0005-0000-0000-0000B3570000}"/>
    <cellStyle name="Normal 55 4 3 2 4" xfId="22744" xr:uid="{00000000-0005-0000-0000-0000B4570000}"/>
    <cellStyle name="Normal 55 4 3 3" xfId="8873" xr:uid="{00000000-0005-0000-0000-0000B5570000}"/>
    <cellStyle name="Normal 55 4 3 3 2" xfId="18048" xr:uid="{00000000-0005-0000-0000-0000B6570000}"/>
    <cellStyle name="Normal 55 4 3 3 2 2" xfId="34622" xr:uid="{00000000-0005-0000-0000-0000B7570000}"/>
    <cellStyle name="Normal 55 4 3 3 3" xfId="26575" xr:uid="{00000000-0005-0000-0000-0000B8570000}"/>
    <cellStyle name="Normal 55 4 3 4" xfId="14240" xr:uid="{00000000-0005-0000-0000-0000B9570000}"/>
    <cellStyle name="Normal 55 4 3 4 2" xfId="30786" xr:uid="{00000000-0005-0000-0000-0000BA570000}"/>
    <cellStyle name="Normal 55 4 3 5" xfId="22743" xr:uid="{00000000-0005-0000-0000-0000BB570000}"/>
    <cellStyle name="Normal 55 4 4" xfId="4902" xr:uid="{00000000-0005-0000-0000-0000BC570000}"/>
    <cellStyle name="Normal 55 4 4 2" xfId="8874" xr:uid="{00000000-0005-0000-0000-0000BD570000}"/>
    <cellStyle name="Normal 55 4 4 2 2" xfId="18049" xr:uid="{00000000-0005-0000-0000-0000BE570000}"/>
    <cellStyle name="Normal 55 4 4 2 2 2" xfId="34623" xr:uid="{00000000-0005-0000-0000-0000BF570000}"/>
    <cellStyle name="Normal 55 4 4 2 3" xfId="26576" xr:uid="{00000000-0005-0000-0000-0000C0570000}"/>
    <cellStyle name="Normal 55 4 4 3" xfId="14242" xr:uid="{00000000-0005-0000-0000-0000C1570000}"/>
    <cellStyle name="Normal 55 4 4 3 2" xfId="30788" xr:uid="{00000000-0005-0000-0000-0000C2570000}"/>
    <cellStyle name="Normal 55 4 4 4" xfId="22745" xr:uid="{00000000-0005-0000-0000-0000C3570000}"/>
    <cellStyle name="Normal 55 4 5" xfId="8875" xr:uid="{00000000-0005-0000-0000-0000C4570000}"/>
    <cellStyle name="Normal 55 4 5 2" xfId="18050" xr:uid="{00000000-0005-0000-0000-0000C5570000}"/>
    <cellStyle name="Normal 55 4 5 2 2" xfId="34624" xr:uid="{00000000-0005-0000-0000-0000C6570000}"/>
    <cellStyle name="Normal 55 4 5 3" xfId="26577" xr:uid="{00000000-0005-0000-0000-0000C7570000}"/>
    <cellStyle name="Normal 55 4 6" xfId="14235" xr:uid="{00000000-0005-0000-0000-0000C8570000}"/>
    <cellStyle name="Normal 55 4 6 2" xfId="30781" xr:uid="{00000000-0005-0000-0000-0000C9570000}"/>
    <cellStyle name="Normal 55 4 7" xfId="22738" xr:uid="{00000000-0005-0000-0000-0000CA570000}"/>
    <cellStyle name="Normal 55 5" xfId="4903" xr:uid="{00000000-0005-0000-0000-0000CB570000}"/>
    <cellStyle name="Normal 55 5 2" xfId="4904" xr:uid="{00000000-0005-0000-0000-0000CC570000}"/>
    <cellStyle name="Normal 55 5 2 2" xfId="4905" xr:uid="{00000000-0005-0000-0000-0000CD570000}"/>
    <cellStyle name="Normal 55 5 2 2 2" xfId="4906" xr:uid="{00000000-0005-0000-0000-0000CE570000}"/>
    <cellStyle name="Normal 55 5 2 2 2 2" xfId="8876" xr:uid="{00000000-0005-0000-0000-0000CF570000}"/>
    <cellStyle name="Normal 55 5 2 2 2 2 2" xfId="18051" xr:uid="{00000000-0005-0000-0000-0000D0570000}"/>
    <cellStyle name="Normal 55 5 2 2 2 2 2 2" xfId="34625" xr:uid="{00000000-0005-0000-0000-0000D1570000}"/>
    <cellStyle name="Normal 55 5 2 2 2 2 3" xfId="26578" xr:uid="{00000000-0005-0000-0000-0000D2570000}"/>
    <cellStyle name="Normal 55 5 2 2 2 3" xfId="14246" xr:uid="{00000000-0005-0000-0000-0000D3570000}"/>
    <cellStyle name="Normal 55 5 2 2 2 3 2" xfId="30792" xr:uid="{00000000-0005-0000-0000-0000D4570000}"/>
    <cellStyle name="Normal 55 5 2 2 2 4" xfId="22749" xr:uid="{00000000-0005-0000-0000-0000D5570000}"/>
    <cellStyle name="Normal 55 5 2 2 3" xfId="8877" xr:uid="{00000000-0005-0000-0000-0000D6570000}"/>
    <cellStyle name="Normal 55 5 2 2 3 2" xfId="18052" xr:uid="{00000000-0005-0000-0000-0000D7570000}"/>
    <cellStyle name="Normal 55 5 2 2 3 2 2" xfId="34626" xr:uid="{00000000-0005-0000-0000-0000D8570000}"/>
    <cellStyle name="Normal 55 5 2 2 3 3" xfId="26579" xr:uid="{00000000-0005-0000-0000-0000D9570000}"/>
    <cellStyle name="Normal 55 5 2 2 4" xfId="14245" xr:uid="{00000000-0005-0000-0000-0000DA570000}"/>
    <cellStyle name="Normal 55 5 2 2 4 2" xfId="30791" xr:uid="{00000000-0005-0000-0000-0000DB570000}"/>
    <cellStyle name="Normal 55 5 2 2 5" xfId="22748" xr:uid="{00000000-0005-0000-0000-0000DC570000}"/>
    <cellStyle name="Normal 55 5 2 3" xfId="4907" xr:uid="{00000000-0005-0000-0000-0000DD570000}"/>
    <cellStyle name="Normal 55 5 2 3 2" xfId="8878" xr:uid="{00000000-0005-0000-0000-0000DE570000}"/>
    <cellStyle name="Normal 55 5 2 3 2 2" xfId="18053" xr:uid="{00000000-0005-0000-0000-0000DF570000}"/>
    <cellStyle name="Normal 55 5 2 3 2 2 2" xfId="34627" xr:uid="{00000000-0005-0000-0000-0000E0570000}"/>
    <cellStyle name="Normal 55 5 2 3 2 3" xfId="26580" xr:uid="{00000000-0005-0000-0000-0000E1570000}"/>
    <cellStyle name="Normal 55 5 2 3 3" xfId="14247" xr:uid="{00000000-0005-0000-0000-0000E2570000}"/>
    <cellStyle name="Normal 55 5 2 3 3 2" xfId="30793" xr:uid="{00000000-0005-0000-0000-0000E3570000}"/>
    <cellStyle name="Normal 55 5 2 3 4" xfId="22750" xr:uid="{00000000-0005-0000-0000-0000E4570000}"/>
    <cellStyle name="Normal 55 5 2 4" xfId="8879" xr:uid="{00000000-0005-0000-0000-0000E5570000}"/>
    <cellStyle name="Normal 55 5 2 4 2" xfId="18054" xr:uid="{00000000-0005-0000-0000-0000E6570000}"/>
    <cellStyle name="Normal 55 5 2 4 2 2" xfId="34628" xr:uid="{00000000-0005-0000-0000-0000E7570000}"/>
    <cellStyle name="Normal 55 5 2 4 3" xfId="26581" xr:uid="{00000000-0005-0000-0000-0000E8570000}"/>
    <cellStyle name="Normal 55 5 2 5" xfId="14244" xr:uid="{00000000-0005-0000-0000-0000E9570000}"/>
    <cellStyle name="Normal 55 5 2 5 2" xfId="30790" xr:uid="{00000000-0005-0000-0000-0000EA570000}"/>
    <cellStyle name="Normal 55 5 2 6" xfId="22747" xr:uid="{00000000-0005-0000-0000-0000EB570000}"/>
    <cellStyle name="Normal 55 5 3" xfId="4908" xr:uid="{00000000-0005-0000-0000-0000EC570000}"/>
    <cellStyle name="Normal 55 5 3 2" xfId="4909" xr:uid="{00000000-0005-0000-0000-0000ED570000}"/>
    <cellStyle name="Normal 55 5 3 2 2" xfId="8880" xr:uid="{00000000-0005-0000-0000-0000EE570000}"/>
    <cellStyle name="Normal 55 5 3 2 2 2" xfId="18055" xr:uid="{00000000-0005-0000-0000-0000EF570000}"/>
    <cellStyle name="Normal 55 5 3 2 2 2 2" xfId="34629" xr:uid="{00000000-0005-0000-0000-0000F0570000}"/>
    <cellStyle name="Normal 55 5 3 2 2 3" xfId="26582" xr:uid="{00000000-0005-0000-0000-0000F1570000}"/>
    <cellStyle name="Normal 55 5 3 2 3" xfId="14249" xr:uid="{00000000-0005-0000-0000-0000F2570000}"/>
    <cellStyle name="Normal 55 5 3 2 3 2" xfId="30795" xr:uid="{00000000-0005-0000-0000-0000F3570000}"/>
    <cellStyle name="Normal 55 5 3 2 4" xfId="22752" xr:uid="{00000000-0005-0000-0000-0000F4570000}"/>
    <cellStyle name="Normal 55 5 3 3" xfId="8881" xr:uid="{00000000-0005-0000-0000-0000F5570000}"/>
    <cellStyle name="Normal 55 5 3 3 2" xfId="18056" xr:uid="{00000000-0005-0000-0000-0000F6570000}"/>
    <cellStyle name="Normal 55 5 3 3 2 2" xfId="34630" xr:uid="{00000000-0005-0000-0000-0000F7570000}"/>
    <cellStyle name="Normal 55 5 3 3 3" xfId="26583" xr:uid="{00000000-0005-0000-0000-0000F8570000}"/>
    <cellStyle name="Normal 55 5 3 4" xfId="14248" xr:uid="{00000000-0005-0000-0000-0000F9570000}"/>
    <cellStyle name="Normal 55 5 3 4 2" xfId="30794" xr:uid="{00000000-0005-0000-0000-0000FA570000}"/>
    <cellStyle name="Normal 55 5 3 5" xfId="22751" xr:uid="{00000000-0005-0000-0000-0000FB570000}"/>
    <cellStyle name="Normal 55 5 4" xfId="4910" xr:uid="{00000000-0005-0000-0000-0000FC570000}"/>
    <cellStyle name="Normal 55 5 4 2" xfId="8882" xr:uid="{00000000-0005-0000-0000-0000FD570000}"/>
    <cellStyle name="Normal 55 5 4 2 2" xfId="18057" xr:uid="{00000000-0005-0000-0000-0000FE570000}"/>
    <cellStyle name="Normal 55 5 4 2 2 2" xfId="34631" xr:uid="{00000000-0005-0000-0000-0000FF570000}"/>
    <cellStyle name="Normal 55 5 4 2 3" xfId="26584" xr:uid="{00000000-0005-0000-0000-000000580000}"/>
    <cellStyle name="Normal 55 5 4 3" xfId="14250" xr:uid="{00000000-0005-0000-0000-000001580000}"/>
    <cellStyle name="Normal 55 5 4 3 2" xfId="30796" xr:uid="{00000000-0005-0000-0000-000002580000}"/>
    <cellStyle name="Normal 55 5 4 4" xfId="22753" xr:uid="{00000000-0005-0000-0000-000003580000}"/>
    <cellStyle name="Normal 55 5 5" xfId="8883" xr:uid="{00000000-0005-0000-0000-000004580000}"/>
    <cellStyle name="Normal 55 5 5 2" xfId="18058" xr:uid="{00000000-0005-0000-0000-000005580000}"/>
    <cellStyle name="Normal 55 5 5 2 2" xfId="34632" xr:uid="{00000000-0005-0000-0000-000006580000}"/>
    <cellStyle name="Normal 55 5 5 3" xfId="26585" xr:uid="{00000000-0005-0000-0000-000007580000}"/>
    <cellStyle name="Normal 55 5 6" xfId="14243" xr:uid="{00000000-0005-0000-0000-000008580000}"/>
    <cellStyle name="Normal 55 5 6 2" xfId="30789" xr:uid="{00000000-0005-0000-0000-000009580000}"/>
    <cellStyle name="Normal 55 5 7" xfId="22746" xr:uid="{00000000-0005-0000-0000-00000A580000}"/>
    <cellStyle name="Normal 55 6" xfId="4911" xr:uid="{00000000-0005-0000-0000-00000B580000}"/>
    <cellStyle name="Normal 55 6 2" xfId="4912" xr:uid="{00000000-0005-0000-0000-00000C580000}"/>
    <cellStyle name="Normal 55 6 2 2" xfId="4913" xr:uid="{00000000-0005-0000-0000-00000D580000}"/>
    <cellStyle name="Normal 55 6 2 2 2" xfId="8884" xr:uid="{00000000-0005-0000-0000-00000E580000}"/>
    <cellStyle name="Normal 55 6 2 2 2 2" xfId="18059" xr:uid="{00000000-0005-0000-0000-00000F580000}"/>
    <cellStyle name="Normal 55 6 2 2 2 2 2" xfId="34633" xr:uid="{00000000-0005-0000-0000-000010580000}"/>
    <cellStyle name="Normal 55 6 2 2 2 3" xfId="26586" xr:uid="{00000000-0005-0000-0000-000011580000}"/>
    <cellStyle name="Normal 55 6 2 2 3" xfId="14253" xr:uid="{00000000-0005-0000-0000-000012580000}"/>
    <cellStyle name="Normal 55 6 2 2 3 2" xfId="30799" xr:uid="{00000000-0005-0000-0000-000013580000}"/>
    <cellStyle name="Normal 55 6 2 2 4" xfId="22756" xr:uid="{00000000-0005-0000-0000-000014580000}"/>
    <cellStyle name="Normal 55 6 2 3" xfId="8885" xr:uid="{00000000-0005-0000-0000-000015580000}"/>
    <cellStyle name="Normal 55 6 2 3 2" xfId="18060" xr:uid="{00000000-0005-0000-0000-000016580000}"/>
    <cellStyle name="Normal 55 6 2 3 2 2" xfId="34634" xr:uid="{00000000-0005-0000-0000-000017580000}"/>
    <cellStyle name="Normal 55 6 2 3 3" xfId="26587" xr:uid="{00000000-0005-0000-0000-000018580000}"/>
    <cellStyle name="Normal 55 6 2 4" xfId="14252" xr:uid="{00000000-0005-0000-0000-000019580000}"/>
    <cellStyle name="Normal 55 6 2 4 2" xfId="30798" xr:uid="{00000000-0005-0000-0000-00001A580000}"/>
    <cellStyle name="Normal 55 6 2 5" xfId="22755" xr:uid="{00000000-0005-0000-0000-00001B580000}"/>
    <cellStyle name="Normal 55 6 3" xfId="4914" xr:uid="{00000000-0005-0000-0000-00001C580000}"/>
    <cellStyle name="Normal 55 6 3 2" xfId="8886" xr:uid="{00000000-0005-0000-0000-00001D580000}"/>
    <cellStyle name="Normal 55 6 3 2 2" xfId="18061" xr:uid="{00000000-0005-0000-0000-00001E580000}"/>
    <cellStyle name="Normal 55 6 3 2 2 2" xfId="34635" xr:uid="{00000000-0005-0000-0000-00001F580000}"/>
    <cellStyle name="Normal 55 6 3 2 3" xfId="26588" xr:uid="{00000000-0005-0000-0000-000020580000}"/>
    <cellStyle name="Normal 55 6 3 3" xfId="14254" xr:uid="{00000000-0005-0000-0000-000021580000}"/>
    <cellStyle name="Normal 55 6 3 3 2" xfId="30800" xr:uid="{00000000-0005-0000-0000-000022580000}"/>
    <cellStyle name="Normal 55 6 3 4" xfId="22757" xr:uid="{00000000-0005-0000-0000-000023580000}"/>
    <cellStyle name="Normal 55 6 4" xfId="8887" xr:uid="{00000000-0005-0000-0000-000024580000}"/>
    <cellStyle name="Normal 55 6 4 2" xfId="18062" xr:uid="{00000000-0005-0000-0000-000025580000}"/>
    <cellStyle name="Normal 55 6 4 2 2" xfId="34636" xr:uid="{00000000-0005-0000-0000-000026580000}"/>
    <cellStyle name="Normal 55 6 4 3" xfId="26589" xr:uid="{00000000-0005-0000-0000-000027580000}"/>
    <cellStyle name="Normal 55 6 5" xfId="14251" xr:uid="{00000000-0005-0000-0000-000028580000}"/>
    <cellStyle name="Normal 55 6 5 2" xfId="30797" xr:uid="{00000000-0005-0000-0000-000029580000}"/>
    <cellStyle name="Normal 55 6 6" xfId="22754" xr:uid="{00000000-0005-0000-0000-00002A580000}"/>
    <cellStyle name="Normal 55 7" xfId="4915" xr:uid="{00000000-0005-0000-0000-00002B580000}"/>
    <cellStyle name="Normal 55 7 2" xfId="4916" xr:uid="{00000000-0005-0000-0000-00002C580000}"/>
    <cellStyle name="Normal 55 7 2 2" xfId="8888" xr:uid="{00000000-0005-0000-0000-00002D580000}"/>
    <cellStyle name="Normal 55 7 2 2 2" xfId="18063" xr:uid="{00000000-0005-0000-0000-00002E580000}"/>
    <cellStyle name="Normal 55 7 2 2 2 2" xfId="34637" xr:uid="{00000000-0005-0000-0000-00002F580000}"/>
    <cellStyle name="Normal 55 7 2 2 3" xfId="26590" xr:uid="{00000000-0005-0000-0000-000030580000}"/>
    <cellStyle name="Normal 55 7 2 3" xfId="14256" xr:uid="{00000000-0005-0000-0000-000031580000}"/>
    <cellStyle name="Normal 55 7 2 3 2" xfId="30802" xr:uid="{00000000-0005-0000-0000-000032580000}"/>
    <cellStyle name="Normal 55 7 2 4" xfId="22759" xr:uid="{00000000-0005-0000-0000-000033580000}"/>
    <cellStyle name="Normal 55 7 3" xfId="8889" xr:uid="{00000000-0005-0000-0000-000034580000}"/>
    <cellStyle name="Normal 55 7 3 2" xfId="18064" xr:uid="{00000000-0005-0000-0000-000035580000}"/>
    <cellStyle name="Normal 55 7 3 2 2" xfId="34638" xr:uid="{00000000-0005-0000-0000-000036580000}"/>
    <cellStyle name="Normal 55 7 3 3" xfId="26591" xr:uid="{00000000-0005-0000-0000-000037580000}"/>
    <cellStyle name="Normal 55 7 4" xfId="14255" xr:uid="{00000000-0005-0000-0000-000038580000}"/>
    <cellStyle name="Normal 55 7 4 2" xfId="30801" xr:uid="{00000000-0005-0000-0000-000039580000}"/>
    <cellStyle name="Normal 55 7 5" xfId="22758" xr:uid="{00000000-0005-0000-0000-00003A580000}"/>
    <cellStyle name="Normal 55 8" xfId="4917" xr:uid="{00000000-0005-0000-0000-00003B580000}"/>
    <cellStyle name="Normal 55 8 2" xfId="8890" xr:uid="{00000000-0005-0000-0000-00003C580000}"/>
    <cellStyle name="Normal 55 8 2 2" xfId="18065" xr:uid="{00000000-0005-0000-0000-00003D580000}"/>
    <cellStyle name="Normal 55 8 2 2 2" xfId="34639" xr:uid="{00000000-0005-0000-0000-00003E580000}"/>
    <cellStyle name="Normal 55 8 2 3" xfId="26592" xr:uid="{00000000-0005-0000-0000-00003F580000}"/>
    <cellStyle name="Normal 55 8 3" xfId="14257" xr:uid="{00000000-0005-0000-0000-000040580000}"/>
    <cellStyle name="Normal 55 8 3 2" xfId="30803" xr:uid="{00000000-0005-0000-0000-000041580000}"/>
    <cellStyle name="Normal 55 8 4" xfId="22760" xr:uid="{00000000-0005-0000-0000-000042580000}"/>
    <cellStyle name="Normal 55 9" xfId="8891" xr:uid="{00000000-0005-0000-0000-000043580000}"/>
    <cellStyle name="Normal 55 9 2" xfId="18066" xr:uid="{00000000-0005-0000-0000-000044580000}"/>
    <cellStyle name="Normal 55 9 2 2" xfId="34640" xr:uid="{00000000-0005-0000-0000-000045580000}"/>
    <cellStyle name="Normal 55 9 3" xfId="26593" xr:uid="{00000000-0005-0000-0000-000046580000}"/>
    <cellStyle name="Normal 56" xfId="4918" xr:uid="{00000000-0005-0000-0000-000047580000}"/>
    <cellStyle name="Normal 56 10" xfId="14258" xr:uid="{00000000-0005-0000-0000-000048580000}"/>
    <cellStyle name="Normal 56 10 2" xfId="30804" xr:uid="{00000000-0005-0000-0000-000049580000}"/>
    <cellStyle name="Normal 56 11" xfId="22761" xr:uid="{00000000-0005-0000-0000-00004A580000}"/>
    <cellStyle name="Normal 56 2" xfId="4919" xr:uid="{00000000-0005-0000-0000-00004B580000}"/>
    <cellStyle name="Normal 56 2 2" xfId="4920" xr:uid="{00000000-0005-0000-0000-00004C580000}"/>
    <cellStyle name="Normal 56 2 3" xfId="14259" xr:uid="{00000000-0005-0000-0000-00004D580000}"/>
    <cellStyle name="Normal 56 2 3 2" xfId="30805" xr:uid="{00000000-0005-0000-0000-00004E580000}"/>
    <cellStyle name="Normal 56 2 4" xfId="22762" xr:uid="{00000000-0005-0000-0000-00004F580000}"/>
    <cellStyle name="Normal 56 3" xfId="4921" xr:uid="{00000000-0005-0000-0000-000050580000}"/>
    <cellStyle name="Normal 56 3 2" xfId="4922" xr:uid="{00000000-0005-0000-0000-000051580000}"/>
    <cellStyle name="Normal 56 3 2 2" xfId="4923" xr:uid="{00000000-0005-0000-0000-000052580000}"/>
    <cellStyle name="Normal 56 3 2 2 2" xfId="4924" xr:uid="{00000000-0005-0000-0000-000053580000}"/>
    <cellStyle name="Normal 56 3 2 2 2 2" xfId="8892" xr:uid="{00000000-0005-0000-0000-000054580000}"/>
    <cellStyle name="Normal 56 3 2 2 2 2 2" xfId="18067" xr:uid="{00000000-0005-0000-0000-000055580000}"/>
    <cellStyle name="Normal 56 3 2 2 2 2 2 2" xfId="34641" xr:uid="{00000000-0005-0000-0000-000056580000}"/>
    <cellStyle name="Normal 56 3 2 2 2 2 3" xfId="26594" xr:uid="{00000000-0005-0000-0000-000057580000}"/>
    <cellStyle name="Normal 56 3 2 2 2 3" xfId="14262" xr:uid="{00000000-0005-0000-0000-000058580000}"/>
    <cellStyle name="Normal 56 3 2 2 2 3 2" xfId="30808" xr:uid="{00000000-0005-0000-0000-000059580000}"/>
    <cellStyle name="Normal 56 3 2 2 2 4" xfId="22765" xr:uid="{00000000-0005-0000-0000-00005A580000}"/>
    <cellStyle name="Normal 56 3 2 2 3" xfId="8893" xr:uid="{00000000-0005-0000-0000-00005B580000}"/>
    <cellStyle name="Normal 56 3 2 2 3 2" xfId="18068" xr:uid="{00000000-0005-0000-0000-00005C580000}"/>
    <cellStyle name="Normal 56 3 2 2 3 2 2" xfId="34642" xr:uid="{00000000-0005-0000-0000-00005D580000}"/>
    <cellStyle name="Normal 56 3 2 2 3 3" xfId="26595" xr:uid="{00000000-0005-0000-0000-00005E580000}"/>
    <cellStyle name="Normal 56 3 2 2 4" xfId="14261" xr:uid="{00000000-0005-0000-0000-00005F580000}"/>
    <cellStyle name="Normal 56 3 2 2 4 2" xfId="30807" xr:uid="{00000000-0005-0000-0000-000060580000}"/>
    <cellStyle name="Normal 56 3 2 2 5" xfId="22764" xr:uid="{00000000-0005-0000-0000-000061580000}"/>
    <cellStyle name="Normal 56 3 2 3" xfId="4925" xr:uid="{00000000-0005-0000-0000-000062580000}"/>
    <cellStyle name="Normal 56 3 2 3 2" xfId="8894" xr:uid="{00000000-0005-0000-0000-000063580000}"/>
    <cellStyle name="Normal 56 3 2 3 2 2" xfId="18069" xr:uid="{00000000-0005-0000-0000-000064580000}"/>
    <cellStyle name="Normal 56 3 2 3 2 2 2" xfId="34643" xr:uid="{00000000-0005-0000-0000-000065580000}"/>
    <cellStyle name="Normal 56 3 2 3 2 3" xfId="26596" xr:uid="{00000000-0005-0000-0000-000066580000}"/>
    <cellStyle name="Normal 56 3 2 3 3" xfId="14263" xr:uid="{00000000-0005-0000-0000-000067580000}"/>
    <cellStyle name="Normal 56 3 2 3 3 2" xfId="30809" xr:uid="{00000000-0005-0000-0000-000068580000}"/>
    <cellStyle name="Normal 56 3 2 3 4" xfId="22766" xr:uid="{00000000-0005-0000-0000-000069580000}"/>
    <cellStyle name="Normal 56 3 2 4" xfId="8895" xr:uid="{00000000-0005-0000-0000-00006A580000}"/>
    <cellStyle name="Normal 56 3 2 4 2" xfId="18070" xr:uid="{00000000-0005-0000-0000-00006B580000}"/>
    <cellStyle name="Normal 56 3 2 4 2 2" xfId="34644" xr:uid="{00000000-0005-0000-0000-00006C580000}"/>
    <cellStyle name="Normal 56 3 2 4 3" xfId="26597" xr:uid="{00000000-0005-0000-0000-00006D580000}"/>
    <cellStyle name="Normal 56 3 2 5" xfId="14260" xr:uid="{00000000-0005-0000-0000-00006E580000}"/>
    <cellStyle name="Normal 56 3 2 5 2" xfId="30806" xr:uid="{00000000-0005-0000-0000-00006F580000}"/>
    <cellStyle name="Normal 56 3 2 6" xfId="22763" xr:uid="{00000000-0005-0000-0000-000070580000}"/>
    <cellStyle name="Normal 56 3 3" xfId="4926" xr:uid="{00000000-0005-0000-0000-000071580000}"/>
    <cellStyle name="Normal 56 3 3 2" xfId="4927" xr:uid="{00000000-0005-0000-0000-000072580000}"/>
    <cellStyle name="Normal 56 3 3 2 2" xfId="8896" xr:uid="{00000000-0005-0000-0000-000073580000}"/>
    <cellStyle name="Normal 56 3 3 2 2 2" xfId="18071" xr:uid="{00000000-0005-0000-0000-000074580000}"/>
    <cellStyle name="Normal 56 3 3 2 2 2 2" xfId="34645" xr:uid="{00000000-0005-0000-0000-000075580000}"/>
    <cellStyle name="Normal 56 3 3 2 2 3" xfId="26598" xr:uid="{00000000-0005-0000-0000-000076580000}"/>
    <cellStyle name="Normal 56 3 3 2 3" xfId="14265" xr:uid="{00000000-0005-0000-0000-000077580000}"/>
    <cellStyle name="Normal 56 3 3 2 3 2" xfId="30811" xr:uid="{00000000-0005-0000-0000-000078580000}"/>
    <cellStyle name="Normal 56 3 3 2 4" xfId="22768" xr:uid="{00000000-0005-0000-0000-000079580000}"/>
    <cellStyle name="Normal 56 3 3 3" xfId="8897" xr:uid="{00000000-0005-0000-0000-00007A580000}"/>
    <cellStyle name="Normal 56 3 3 3 2" xfId="18072" xr:uid="{00000000-0005-0000-0000-00007B580000}"/>
    <cellStyle name="Normal 56 3 3 3 2 2" xfId="34646" xr:uid="{00000000-0005-0000-0000-00007C580000}"/>
    <cellStyle name="Normal 56 3 3 3 3" xfId="26599" xr:uid="{00000000-0005-0000-0000-00007D580000}"/>
    <cellStyle name="Normal 56 3 3 4" xfId="14264" xr:uid="{00000000-0005-0000-0000-00007E580000}"/>
    <cellStyle name="Normal 56 3 3 4 2" xfId="30810" xr:uid="{00000000-0005-0000-0000-00007F580000}"/>
    <cellStyle name="Normal 56 3 3 5" xfId="22767" xr:uid="{00000000-0005-0000-0000-000080580000}"/>
    <cellStyle name="Normal 56 3 4" xfId="4928" xr:uid="{00000000-0005-0000-0000-000081580000}"/>
    <cellStyle name="Normal 56 3 4 2" xfId="8898" xr:uid="{00000000-0005-0000-0000-000082580000}"/>
    <cellStyle name="Normal 56 3 4 2 2" xfId="18073" xr:uid="{00000000-0005-0000-0000-000083580000}"/>
    <cellStyle name="Normal 56 3 4 2 2 2" xfId="34647" xr:uid="{00000000-0005-0000-0000-000084580000}"/>
    <cellStyle name="Normal 56 3 4 2 3" xfId="26600" xr:uid="{00000000-0005-0000-0000-000085580000}"/>
    <cellStyle name="Normal 56 3 4 3" xfId="14266" xr:uid="{00000000-0005-0000-0000-000086580000}"/>
    <cellStyle name="Normal 56 3 4 3 2" xfId="30812" xr:uid="{00000000-0005-0000-0000-000087580000}"/>
    <cellStyle name="Normal 56 3 4 4" xfId="22769" xr:uid="{00000000-0005-0000-0000-000088580000}"/>
    <cellStyle name="Normal 56 3 5" xfId="4929" xr:uid="{00000000-0005-0000-0000-000089580000}"/>
    <cellStyle name="Normal 56 3 5 2" xfId="14267" xr:uid="{00000000-0005-0000-0000-00008A580000}"/>
    <cellStyle name="Normal 56 3 5 2 2" xfId="30813" xr:uid="{00000000-0005-0000-0000-00008B580000}"/>
    <cellStyle name="Normal 56 3 5 3" xfId="22770" xr:uid="{00000000-0005-0000-0000-00008C580000}"/>
    <cellStyle name="Normal 56 4" xfId="4930" xr:uid="{00000000-0005-0000-0000-00008D580000}"/>
    <cellStyle name="Normal 56 4 2" xfId="4931" xr:uid="{00000000-0005-0000-0000-00008E580000}"/>
    <cellStyle name="Normal 56 4 2 2" xfId="4932" xr:uid="{00000000-0005-0000-0000-00008F580000}"/>
    <cellStyle name="Normal 56 4 2 2 2" xfId="4933" xr:uid="{00000000-0005-0000-0000-000090580000}"/>
    <cellStyle name="Normal 56 4 2 2 2 2" xfId="8899" xr:uid="{00000000-0005-0000-0000-000091580000}"/>
    <cellStyle name="Normal 56 4 2 2 2 2 2" xfId="18074" xr:uid="{00000000-0005-0000-0000-000092580000}"/>
    <cellStyle name="Normal 56 4 2 2 2 2 2 2" xfId="34648" xr:uid="{00000000-0005-0000-0000-000093580000}"/>
    <cellStyle name="Normal 56 4 2 2 2 2 3" xfId="26601" xr:uid="{00000000-0005-0000-0000-000094580000}"/>
    <cellStyle name="Normal 56 4 2 2 2 3" xfId="14271" xr:uid="{00000000-0005-0000-0000-000095580000}"/>
    <cellStyle name="Normal 56 4 2 2 2 3 2" xfId="30817" xr:uid="{00000000-0005-0000-0000-000096580000}"/>
    <cellStyle name="Normal 56 4 2 2 2 4" xfId="22774" xr:uid="{00000000-0005-0000-0000-000097580000}"/>
    <cellStyle name="Normal 56 4 2 2 3" xfId="8900" xr:uid="{00000000-0005-0000-0000-000098580000}"/>
    <cellStyle name="Normal 56 4 2 2 3 2" xfId="18075" xr:uid="{00000000-0005-0000-0000-000099580000}"/>
    <cellStyle name="Normal 56 4 2 2 3 2 2" xfId="34649" xr:uid="{00000000-0005-0000-0000-00009A580000}"/>
    <cellStyle name="Normal 56 4 2 2 3 3" xfId="26602" xr:uid="{00000000-0005-0000-0000-00009B580000}"/>
    <cellStyle name="Normal 56 4 2 2 4" xfId="14270" xr:uid="{00000000-0005-0000-0000-00009C580000}"/>
    <cellStyle name="Normal 56 4 2 2 4 2" xfId="30816" xr:uid="{00000000-0005-0000-0000-00009D580000}"/>
    <cellStyle name="Normal 56 4 2 2 5" xfId="22773" xr:uid="{00000000-0005-0000-0000-00009E580000}"/>
    <cellStyle name="Normal 56 4 2 3" xfId="4934" xr:uid="{00000000-0005-0000-0000-00009F580000}"/>
    <cellStyle name="Normal 56 4 2 3 2" xfId="8901" xr:uid="{00000000-0005-0000-0000-0000A0580000}"/>
    <cellStyle name="Normal 56 4 2 3 2 2" xfId="18076" xr:uid="{00000000-0005-0000-0000-0000A1580000}"/>
    <cellStyle name="Normal 56 4 2 3 2 2 2" xfId="34650" xr:uid="{00000000-0005-0000-0000-0000A2580000}"/>
    <cellStyle name="Normal 56 4 2 3 2 3" xfId="26603" xr:uid="{00000000-0005-0000-0000-0000A3580000}"/>
    <cellStyle name="Normal 56 4 2 3 3" xfId="14272" xr:uid="{00000000-0005-0000-0000-0000A4580000}"/>
    <cellStyle name="Normal 56 4 2 3 3 2" xfId="30818" xr:uid="{00000000-0005-0000-0000-0000A5580000}"/>
    <cellStyle name="Normal 56 4 2 3 4" xfId="22775" xr:uid="{00000000-0005-0000-0000-0000A6580000}"/>
    <cellStyle name="Normal 56 4 2 4" xfId="8902" xr:uid="{00000000-0005-0000-0000-0000A7580000}"/>
    <cellStyle name="Normal 56 4 2 4 2" xfId="18077" xr:uid="{00000000-0005-0000-0000-0000A8580000}"/>
    <cellStyle name="Normal 56 4 2 4 2 2" xfId="34651" xr:uid="{00000000-0005-0000-0000-0000A9580000}"/>
    <cellStyle name="Normal 56 4 2 4 3" xfId="26604" xr:uid="{00000000-0005-0000-0000-0000AA580000}"/>
    <cellStyle name="Normal 56 4 2 5" xfId="14269" xr:uid="{00000000-0005-0000-0000-0000AB580000}"/>
    <cellStyle name="Normal 56 4 2 5 2" xfId="30815" xr:uid="{00000000-0005-0000-0000-0000AC580000}"/>
    <cellStyle name="Normal 56 4 2 6" xfId="22772" xr:uid="{00000000-0005-0000-0000-0000AD580000}"/>
    <cellStyle name="Normal 56 4 3" xfId="4935" xr:uid="{00000000-0005-0000-0000-0000AE580000}"/>
    <cellStyle name="Normal 56 4 3 2" xfId="4936" xr:uid="{00000000-0005-0000-0000-0000AF580000}"/>
    <cellStyle name="Normal 56 4 3 2 2" xfId="8903" xr:uid="{00000000-0005-0000-0000-0000B0580000}"/>
    <cellStyle name="Normal 56 4 3 2 2 2" xfId="18078" xr:uid="{00000000-0005-0000-0000-0000B1580000}"/>
    <cellStyle name="Normal 56 4 3 2 2 2 2" xfId="34652" xr:uid="{00000000-0005-0000-0000-0000B2580000}"/>
    <cellStyle name="Normal 56 4 3 2 2 3" xfId="26605" xr:uid="{00000000-0005-0000-0000-0000B3580000}"/>
    <cellStyle name="Normal 56 4 3 2 3" xfId="14274" xr:uid="{00000000-0005-0000-0000-0000B4580000}"/>
    <cellStyle name="Normal 56 4 3 2 3 2" xfId="30820" xr:uid="{00000000-0005-0000-0000-0000B5580000}"/>
    <cellStyle name="Normal 56 4 3 2 4" xfId="22777" xr:uid="{00000000-0005-0000-0000-0000B6580000}"/>
    <cellStyle name="Normal 56 4 3 3" xfId="8904" xr:uid="{00000000-0005-0000-0000-0000B7580000}"/>
    <cellStyle name="Normal 56 4 3 3 2" xfId="18079" xr:uid="{00000000-0005-0000-0000-0000B8580000}"/>
    <cellStyle name="Normal 56 4 3 3 2 2" xfId="34653" xr:uid="{00000000-0005-0000-0000-0000B9580000}"/>
    <cellStyle name="Normal 56 4 3 3 3" xfId="26606" xr:uid="{00000000-0005-0000-0000-0000BA580000}"/>
    <cellStyle name="Normal 56 4 3 4" xfId="14273" xr:uid="{00000000-0005-0000-0000-0000BB580000}"/>
    <cellStyle name="Normal 56 4 3 4 2" xfId="30819" xr:uid="{00000000-0005-0000-0000-0000BC580000}"/>
    <cellStyle name="Normal 56 4 3 5" xfId="22776" xr:uid="{00000000-0005-0000-0000-0000BD580000}"/>
    <cellStyle name="Normal 56 4 4" xfId="4937" xr:uid="{00000000-0005-0000-0000-0000BE580000}"/>
    <cellStyle name="Normal 56 4 4 2" xfId="8905" xr:uid="{00000000-0005-0000-0000-0000BF580000}"/>
    <cellStyle name="Normal 56 4 4 2 2" xfId="18080" xr:uid="{00000000-0005-0000-0000-0000C0580000}"/>
    <cellStyle name="Normal 56 4 4 2 2 2" xfId="34654" xr:uid="{00000000-0005-0000-0000-0000C1580000}"/>
    <cellStyle name="Normal 56 4 4 2 3" xfId="26607" xr:uid="{00000000-0005-0000-0000-0000C2580000}"/>
    <cellStyle name="Normal 56 4 4 3" xfId="14275" xr:uid="{00000000-0005-0000-0000-0000C3580000}"/>
    <cellStyle name="Normal 56 4 4 3 2" xfId="30821" xr:uid="{00000000-0005-0000-0000-0000C4580000}"/>
    <cellStyle name="Normal 56 4 4 4" xfId="22778" xr:uid="{00000000-0005-0000-0000-0000C5580000}"/>
    <cellStyle name="Normal 56 4 5" xfId="8906" xr:uid="{00000000-0005-0000-0000-0000C6580000}"/>
    <cellStyle name="Normal 56 4 5 2" xfId="18081" xr:uid="{00000000-0005-0000-0000-0000C7580000}"/>
    <cellStyle name="Normal 56 4 5 2 2" xfId="34655" xr:uid="{00000000-0005-0000-0000-0000C8580000}"/>
    <cellStyle name="Normal 56 4 5 3" xfId="26608" xr:uid="{00000000-0005-0000-0000-0000C9580000}"/>
    <cellStyle name="Normal 56 4 6" xfId="14268" xr:uid="{00000000-0005-0000-0000-0000CA580000}"/>
    <cellStyle name="Normal 56 4 6 2" xfId="30814" xr:uid="{00000000-0005-0000-0000-0000CB580000}"/>
    <cellStyle name="Normal 56 4 7" xfId="22771" xr:uid="{00000000-0005-0000-0000-0000CC580000}"/>
    <cellStyle name="Normal 56 5" xfId="4938" xr:uid="{00000000-0005-0000-0000-0000CD580000}"/>
    <cellStyle name="Normal 56 5 2" xfId="4939" xr:uid="{00000000-0005-0000-0000-0000CE580000}"/>
    <cellStyle name="Normal 56 5 2 2" xfId="4940" xr:uid="{00000000-0005-0000-0000-0000CF580000}"/>
    <cellStyle name="Normal 56 5 2 2 2" xfId="4941" xr:uid="{00000000-0005-0000-0000-0000D0580000}"/>
    <cellStyle name="Normal 56 5 2 2 2 2" xfId="8907" xr:uid="{00000000-0005-0000-0000-0000D1580000}"/>
    <cellStyle name="Normal 56 5 2 2 2 2 2" xfId="18082" xr:uid="{00000000-0005-0000-0000-0000D2580000}"/>
    <cellStyle name="Normal 56 5 2 2 2 2 2 2" xfId="34656" xr:uid="{00000000-0005-0000-0000-0000D3580000}"/>
    <cellStyle name="Normal 56 5 2 2 2 2 3" xfId="26609" xr:uid="{00000000-0005-0000-0000-0000D4580000}"/>
    <cellStyle name="Normal 56 5 2 2 2 3" xfId="14279" xr:uid="{00000000-0005-0000-0000-0000D5580000}"/>
    <cellStyle name="Normal 56 5 2 2 2 3 2" xfId="30825" xr:uid="{00000000-0005-0000-0000-0000D6580000}"/>
    <cellStyle name="Normal 56 5 2 2 2 4" xfId="22782" xr:uid="{00000000-0005-0000-0000-0000D7580000}"/>
    <cellStyle name="Normal 56 5 2 2 3" xfId="8908" xr:uid="{00000000-0005-0000-0000-0000D8580000}"/>
    <cellStyle name="Normal 56 5 2 2 3 2" xfId="18083" xr:uid="{00000000-0005-0000-0000-0000D9580000}"/>
    <cellStyle name="Normal 56 5 2 2 3 2 2" xfId="34657" xr:uid="{00000000-0005-0000-0000-0000DA580000}"/>
    <cellStyle name="Normal 56 5 2 2 3 3" xfId="26610" xr:uid="{00000000-0005-0000-0000-0000DB580000}"/>
    <cellStyle name="Normal 56 5 2 2 4" xfId="14278" xr:uid="{00000000-0005-0000-0000-0000DC580000}"/>
    <cellStyle name="Normal 56 5 2 2 4 2" xfId="30824" xr:uid="{00000000-0005-0000-0000-0000DD580000}"/>
    <cellStyle name="Normal 56 5 2 2 5" xfId="22781" xr:uid="{00000000-0005-0000-0000-0000DE580000}"/>
    <cellStyle name="Normal 56 5 2 3" xfId="4942" xr:uid="{00000000-0005-0000-0000-0000DF580000}"/>
    <cellStyle name="Normal 56 5 2 3 2" xfId="8909" xr:uid="{00000000-0005-0000-0000-0000E0580000}"/>
    <cellStyle name="Normal 56 5 2 3 2 2" xfId="18084" xr:uid="{00000000-0005-0000-0000-0000E1580000}"/>
    <cellStyle name="Normal 56 5 2 3 2 2 2" xfId="34658" xr:uid="{00000000-0005-0000-0000-0000E2580000}"/>
    <cellStyle name="Normal 56 5 2 3 2 3" xfId="26611" xr:uid="{00000000-0005-0000-0000-0000E3580000}"/>
    <cellStyle name="Normal 56 5 2 3 3" xfId="14280" xr:uid="{00000000-0005-0000-0000-0000E4580000}"/>
    <cellStyle name="Normal 56 5 2 3 3 2" xfId="30826" xr:uid="{00000000-0005-0000-0000-0000E5580000}"/>
    <cellStyle name="Normal 56 5 2 3 4" xfId="22783" xr:uid="{00000000-0005-0000-0000-0000E6580000}"/>
    <cellStyle name="Normal 56 5 2 4" xfId="8910" xr:uid="{00000000-0005-0000-0000-0000E7580000}"/>
    <cellStyle name="Normal 56 5 2 4 2" xfId="18085" xr:uid="{00000000-0005-0000-0000-0000E8580000}"/>
    <cellStyle name="Normal 56 5 2 4 2 2" xfId="34659" xr:uid="{00000000-0005-0000-0000-0000E9580000}"/>
    <cellStyle name="Normal 56 5 2 4 3" xfId="26612" xr:uid="{00000000-0005-0000-0000-0000EA580000}"/>
    <cellStyle name="Normal 56 5 2 5" xfId="14277" xr:uid="{00000000-0005-0000-0000-0000EB580000}"/>
    <cellStyle name="Normal 56 5 2 5 2" xfId="30823" xr:uid="{00000000-0005-0000-0000-0000EC580000}"/>
    <cellStyle name="Normal 56 5 2 6" xfId="22780" xr:uid="{00000000-0005-0000-0000-0000ED580000}"/>
    <cellStyle name="Normal 56 5 3" xfId="4943" xr:uid="{00000000-0005-0000-0000-0000EE580000}"/>
    <cellStyle name="Normal 56 5 3 2" xfId="4944" xr:uid="{00000000-0005-0000-0000-0000EF580000}"/>
    <cellStyle name="Normal 56 5 3 2 2" xfId="8911" xr:uid="{00000000-0005-0000-0000-0000F0580000}"/>
    <cellStyle name="Normal 56 5 3 2 2 2" xfId="18086" xr:uid="{00000000-0005-0000-0000-0000F1580000}"/>
    <cellStyle name="Normal 56 5 3 2 2 2 2" xfId="34660" xr:uid="{00000000-0005-0000-0000-0000F2580000}"/>
    <cellStyle name="Normal 56 5 3 2 2 3" xfId="26613" xr:uid="{00000000-0005-0000-0000-0000F3580000}"/>
    <cellStyle name="Normal 56 5 3 2 3" xfId="14282" xr:uid="{00000000-0005-0000-0000-0000F4580000}"/>
    <cellStyle name="Normal 56 5 3 2 3 2" xfId="30828" xr:uid="{00000000-0005-0000-0000-0000F5580000}"/>
    <cellStyle name="Normal 56 5 3 2 4" xfId="22785" xr:uid="{00000000-0005-0000-0000-0000F6580000}"/>
    <cellStyle name="Normal 56 5 3 3" xfId="8912" xr:uid="{00000000-0005-0000-0000-0000F7580000}"/>
    <cellStyle name="Normal 56 5 3 3 2" xfId="18087" xr:uid="{00000000-0005-0000-0000-0000F8580000}"/>
    <cellStyle name="Normal 56 5 3 3 2 2" xfId="34661" xr:uid="{00000000-0005-0000-0000-0000F9580000}"/>
    <cellStyle name="Normal 56 5 3 3 3" xfId="26614" xr:uid="{00000000-0005-0000-0000-0000FA580000}"/>
    <cellStyle name="Normal 56 5 3 4" xfId="14281" xr:uid="{00000000-0005-0000-0000-0000FB580000}"/>
    <cellStyle name="Normal 56 5 3 4 2" xfId="30827" xr:uid="{00000000-0005-0000-0000-0000FC580000}"/>
    <cellStyle name="Normal 56 5 3 5" xfId="22784" xr:uid="{00000000-0005-0000-0000-0000FD580000}"/>
    <cellStyle name="Normal 56 5 4" xfId="4945" xr:uid="{00000000-0005-0000-0000-0000FE580000}"/>
    <cellStyle name="Normal 56 5 4 2" xfId="8913" xr:uid="{00000000-0005-0000-0000-0000FF580000}"/>
    <cellStyle name="Normal 56 5 4 2 2" xfId="18088" xr:uid="{00000000-0005-0000-0000-000000590000}"/>
    <cellStyle name="Normal 56 5 4 2 2 2" xfId="34662" xr:uid="{00000000-0005-0000-0000-000001590000}"/>
    <cellStyle name="Normal 56 5 4 2 3" xfId="26615" xr:uid="{00000000-0005-0000-0000-000002590000}"/>
    <cellStyle name="Normal 56 5 4 3" xfId="14283" xr:uid="{00000000-0005-0000-0000-000003590000}"/>
    <cellStyle name="Normal 56 5 4 3 2" xfId="30829" xr:uid="{00000000-0005-0000-0000-000004590000}"/>
    <cellStyle name="Normal 56 5 4 4" xfId="22786" xr:uid="{00000000-0005-0000-0000-000005590000}"/>
    <cellStyle name="Normal 56 5 5" xfId="8914" xr:uid="{00000000-0005-0000-0000-000006590000}"/>
    <cellStyle name="Normal 56 5 5 2" xfId="18089" xr:uid="{00000000-0005-0000-0000-000007590000}"/>
    <cellStyle name="Normal 56 5 5 2 2" xfId="34663" xr:uid="{00000000-0005-0000-0000-000008590000}"/>
    <cellStyle name="Normal 56 5 5 3" xfId="26616" xr:uid="{00000000-0005-0000-0000-000009590000}"/>
    <cellStyle name="Normal 56 5 6" xfId="14276" xr:uid="{00000000-0005-0000-0000-00000A590000}"/>
    <cellStyle name="Normal 56 5 6 2" xfId="30822" xr:uid="{00000000-0005-0000-0000-00000B590000}"/>
    <cellStyle name="Normal 56 5 7" xfId="22779" xr:uid="{00000000-0005-0000-0000-00000C590000}"/>
    <cellStyle name="Normal 56 6" xfId="4946" xr:uid="{00000000-0005-0000-0000-00000D590000}"/>
    <cellStyle name="Normal 56 6 2" xfId="4947" xr:uid="{00000000-0005-0000-0000-00000E590000}"/>
    <cellStyle name="Normal 56 6 2 2" xfId="4948" xr:uid="{00000000-0005-0000-0000-00000F590000}"/>
    <cellStyle name="Normal 56 6 2 2 2" xfId="8915" xr:uid="{00000000-0005-0000-0000-000010590000}"/>
    <cellStyle name="Normal 56 6 2 2 2 2" xfId="18090" xr:uid="{00000000-0005-0000-0000-000011590000}"/>
    <cellStyle name="Normal 56 6 2 2 2 2 2" xfId="34664" xr:uid="{00000000-0005-0000-0000-000012590000}"/>
    <cellStyle name="Normal 56 6 2 2 2 3" xfId="26617" xr:uid="{00000000-0005-0000-0000-000013590000}"/>
    <cellStyle name="Normal 56 6 2 2 3" xfId="14286" xr:uid="{00000000-0005-0000-0000-000014590000}"/>
    <cellStyle name="Normal 56 6 2 2 3 2" xfId="30832" xr:uid="{00000000-0005-0000-0000-000015590000}"/>
    <cellStyle name="Normal 56 6 2 2 4" xfId="22789" xr:uid="{00000000-0005-0000-0000-000016590000}"/>
    <cellStyle name="Normal 56 6 2 3" xfId="8916" xr:uid="{00000000-0005-0000-0000-000017590000}"/>
    <cellStyle name="Normal 56 6 2 3 2" xfId="18091" xr:uid="{00000000-0005-0000-0000-000018590000}"/>
    <cellStyle name="Normal 56 6 2 3 2 2" xfId="34665" xr:uid="{00000000-0005-0000-0000-000019590000}"/>
    <cellStyle name="Normal 56 6 2 3 3" xfId="26618" xr:uid="{00000000-0005-0000-0000-00001A590000}"/>
    <cellStyle name="Normal 56 6 2 4" xfId="14285" xr:uid="{00000000-0005-0000-0000-00001B590000}"/>
    <cellStyle name="Normal 56 6 2 4 2" xfId="30831" xr:uid="{00000000-0005-0000-0000-00001C590000}"/>
    <cellStyle name="Normal 56 6 2 5" xfId="22788" xr:uid="{00000000-0005-0000-0000-00001D590000}"/>
    <cellStyle name="Normal 56 6 3" xfId="4949" xr:uid="{00000000-0005-0000-0000-00001E590000}"/>
    <cellStyle name="Normal 56 6 3 2" xfId="8917" xr:uid="{00000000-0005-0000-0000-00001F590000}"/>
    <cellStyle name="Normal 56 6 3 2 2" xfId="18092" xr:uid="{00000000-0005-0000-0000-000020590000}"/>
    <cellStyle name="Normal 56 6 3 2 2 2" xfId="34666" xr:uid="{00000000-0005-0000-0000-000021590000}"/>
    <cellStyle name="Normal 56 6 3 2 3" xfId="26619" xr:uid="{00000000-0005-0000-0000-000022590000}"/>
    <cellStyle name="Normal 56 6 3 3" xfId="14287" xr:uid="{00000000-0005-0000-0000-000023590000}"/>
    <cellStyle name="Normal 56 6 3 3 2" xfId="30833" xr:uid="{00000000-0005-0000-0000-000024590000}"/>
    <cellStyle name="Normal 56 6 3 4" xfId="22790" xr:uid="{00000000-0005-0000-0000-000025590000}"/>
    <cellStyle name="Normal 56 6 4" xfId="8918" xr:uid="{00000000-0005-0000-0000-000026590000}"/>
    <cellStyle name="Normal 56 6 4 2" xfId="18093" xr:uid="{00000000-0005-0000-0000-000027590000}"/>
    <cellStyle name="Normal 56 6 4 2 2" xfId="34667" xr:uid="{00000000-0005-0000-0000-000028590000}"/>
    <cellStyle name="Normal 56 6 4 3" xfId="26620" xr:uid="{00000000-0005-0000-0000-000029590000}"/>
    <cellStyle name="Normal 56 6 5" xfId="14284" xr:uid="{00000000-0005-0000-0000-00002A590000}"/>
    <cellStyle name="Normal 56 6 5 2" xfId="30830" xr:uid="{00000000-0005-0000-0000-00002B590000}"/>
    <cellStyle name="Normal 56 6 6" xfId="22787" xr:uid="{00000000-0005-0000-0000-00002C590000}"/>
    <cellStyle name="Normal 56 7" xfId="4950" xr:uid="{00000000-0005-0000-0000-00002D590000}"/>
    <cellStyle name="Normal 56 7 2" xfId="4951" xr:uid="{00000000-0005-0000-0000-00002E590000}"/>
    <cellStyle name="Normal 56 7 2 2" xfId="8919" xr:uid="{00000000-0005-0000-0000-00002F590000}"/>
    <cellStyle name="Normal 56 7 2 2 2" xfId="18094" xr:uid="{00000000-0005-0000-0000-000030590000}"/>
    <cellStyle name="Normal 56 7 2 2 2 2" xfId="34668" xr:uid="{00000000-0005-0000-0000-000031590000}"/>
    <cellStyle name="Normal 56 7 2 2 3" xfId="26621" xr:uid="{00000000-0005-0000-0000-000032590000}"/>
    <cellStyle name="Normal 56 7 2 3" xfId="14289" xr:uid="{00000000-0005-0000-0000-000033590000}"/>
    <cellStyle name="Normal 56 7 2 3 2" xfId="30835" xr:uid="{00000000-0005-0000-0000-000034590000}"/>
    <cellStyle name="Normal 56 7 2 4" xfId="22792" xr:uid="{00000000-0005-0000-0000-000035590000}"/>
    <cellStyle name="Normal 56 7 3" xfId="8920" xr:uid="{00000000-0005-0000-0000-000036590000}"/>
    <cellStyle name="Normal 56 7 3 2" xfId="18095" xr:uid="{00000000-0005-0000-0000-000037590000}"/>
    <cellStyle name="Normal 56 7 3 2 2" xfId="34669" xr:uid="{00000000-0005-0000-0000-000038590000}"/>
    <cellStyle name="Normal 56 7 3 3" xfId="26622" xr:uid="{00000000-0005-0000-0000-000039590000}"/>
    <cellStyle name="Normal 56 7 4" xfId="14288" xr:uid="{00000000-0005-0000-0000-00003A590000}"/>
    <cellStyle name="Normal 56 7 4 2" xfId="30834" xr:uid="{00000000-0005-0000-0000-00003B590000}"/>
    <cellStyle name="Normal 56 7 5" xfId="22791" xr:uid="{00000000-0005-0000-0000-00003C590000}"/>
    <cellStyle name="Normal 56 8" xfId="4952" xr:uid="{00000000-0005-0000-0000-00003D590000}"/>
    <cellStyle name="Normal 56 8 2" xfId="8921" xr:uid="{00000000-0005-0000-0000-00003E590000}"/>
    <cellStyle name="Normal 56 8 2 2" xfId="18096" xr:uid="{00000000-0005-0000-0000-00003F590000}"/>
    <cellStyle name="Normal 56 8 2 2 2" xfId="34670" xr:uid="{00000000-0005-0000-0000-000040590000}"/>
    <cellStyle name="Normal 56 8 2 3" xfId="26623" xr:uid="{00000000-0005-0000-0000-000041590000}"/>
    <cellStyle name="Normal 56 8 3" xfId="14290" xr:uid="{00000000-0005-0000-0000-000042590000}"/>
    <cellStyle name="Normal 56 8 3 2" xfId="30836" xr:uid="{00000000-0005-0000-0000-000043590000}"/>
    <cellStyle name="Normal 56 8 4" xfId="22793" xr:uid="{00000000-0005-0000-0000-000044590000}"/>
    <cellStyle name="Normal 56 9" xfId="8922" xr:uid="{00000000-0005-0000-0000-000045590000}"/>
    <cellStyle name="Normal 56 9 2" xfId="18097" xr:uid="{00000000-0005-0000-0000-000046590000}"/>
    <cellStyle name="Normal 56 9 2 2" xfId="34671" xr:uid="{00000000-0005-0000-0000-000047590000}"/>
    <cellStyle name="Normal 56 9 3" xfId="26624" xr:uid="{00000000-0005-0000-0000-000048590000}"/>
    <cellStyle name="Normal 57" xfId="4953" xr:uid="{00000000-0005-0000-0000-000049590000}"/>
    <cellStyle name="Normal 57 10" xfId="14291" xr:uid="{00000000-0005-0000-0000-00004A590000}"/>
    <cellStyle name="Normal 57 10 2" xfId="30837" xr:uid="{00000000-0005-0000-0000-00004B590000}"/>
    <cellStyle name="Normal 57 11" xfId="22794" xr:uid="{00000000-0005-0000-0000-00004C590000}"/>
    <cellStyle name="Normal 57 2" xfId="4954" xr:uid="{00000000-0005-0000-0000-00004D590000}"/>
    <cellStyle name="Normal 57 2 2" xfId="4955" xr:uid="{00000000-0005-0000-0000-00004E590000}"/>
    <cellStyle name="Normal 57 2 3" xfId="14292" xr:uid="{00000000-0005-0000-0000-00004F590000}"/>
    <cellStyle name="Normal 57 2 3 2" xfId="30838" xr:uid="{00000000-0005-0000-0000-000050590000}"/>
    <cellStyle name="Normal 57 2 4" xfId="22795" xr:uid="{00000000-0005-0000-0000-000051590000}"/>
    <cellStyle name="Normal 57 3" xfId="4956" xr:uid="{00000000-0005-0000-0000-000052590000}"/>
    <cellStyle name="Normal 57 3 2" xfId="4957" xr:uid="{00000000-0005-0000-0000-000053590000}"/>
    <cellStyle name="Normal 57 3 2 2" xfId="4958" xr:uid="{00000000-0005-0000-0000-000054590000}"/>
    <cellStyle name="Normal 57 3 2 2 2" xfId="4959" xr:uid="{00000000-0005-0000-0000-000055590000}"/>
    <cellStyle name="Normal 57 3 2 2 2 2" xfId="8923" xr:uid="{00000000-0005-0000-0000-000056590000}"/>
    <cellStyle name="Normal 57 3 2 2 2 2 2" xfId="18098" xr:uid="{00000000-0005-0000-0000-000057590000}"/>
    <cellStyle name="Normal 57 3 2 2 2 2 2 2" xfId="34672" xr:uid="{00000000-0005-0000-0000-000058590000}"/>
    <cellStyle name="Normal 57 3 2 2 2 2 3" xfId="26625" xr:uid="{00000000-0005-0000-0000-000059590000}"/>
    <cellStyle name="Normal 57 3 2 2 2 3" xfId="14295" xr:uid="{00000000-0005-0000-0000-00005A590000}"/>
    <cellStyle name="Normal 57 3 2 2 2 3 2" xfId="30841" xr:uid="{00000000-0005-0000-0000-00005B590000}"/>
    <cellStyle name="Normal 57 3 2 2 2 4" xfId="22798" xr:uid="{00000000-0005-0000-0000-00005C590000}"/>
    <cellStyle name="Normal 57 3 2 2 3" xfId="8924" xr:uid="{00000000-0005-0000-0000-00005D590000}"/>
    <cellStyle name="Normal 57 3 2 2 3 2" xfId="18099" xr:uid="{00000000-0005-0000-0000-00005E590000}"/>
    <cellStyle name="Normal 57 3 2 2 3 2 2" xfId="34673" xr:uid="{00000000-0005-0000-0000-00005F590000}"/>
    <cellStyle name="Normal 57 3 2 2 3 3" xfId="26626" xr:uid="{00000000-0005-0000-0000-000060590000}"/>
    <cellStyle name="Normal 57 3 2 2 4" xfId="14294" xr:uid="{00000000-0005-0000-0000-000061590000}"/>
    <cellStyle name="Normal 57 3 2 2 4 2" xfId="30840" xr:uid="{00000000-0005-0000-0000-000062590000}"/>
    <cellStyle name="Normal 57 3 2 2 5" xfId="22797" xr:uid="{00000000-0005-0000-0000-000063590000}"/>
    <cellStyle name="Normal 57 3 2 3" xfId="4960" xr:uid="{00000000-0005-0000-0000-000064590000}"/>
    <cellStyle name="Normal 57 3 2 3 2" xfId="8925" xr:uid="{00000000-0005-0000-0000-000065590000}"/>
    <cellStyle name="Normal 57 3 2 3 2 2" xfId="18100" xr:uid="{00000000-0005-0000-0000-000066590000}"/>
    <cellStyle name="Normal 57 3 2 3 2 2 2" xfId="34674" xr:uid="{00000000-0005-0000-0000-000067590000}"/>
    <cellStyle name="Normal 57 3 2 3 2 3" xfId="26627" xr:uid="{00000000-0005-0000-0000-000068590000}"/>
    <cellStyle name="Normal 57 3 2 3 3" xfId="14296" xr:uid="{00000000-0005-0000-0000-000069590000}"/>
    <cellStyle name="Normal 57 3 2 3 3 2" xfId="30842" xr:uid="{00000000-0005-0000-0000-00006A590000}"/>
    <cellStyle name="Normal 57 3 2 3 4" xfId="22799" xr:uid="{00000000-0005-0000-0000-00006B590000}"/>
    <cellStyle name="Normal 57 3 2 4" xfId="8926" xr:uid="{00000000-0005-0000-0000-00006C590000}"/>
    <cellStyle name="Normal 57 3 2 4 2" xfId="18101" xr:uid="{00000000-0005-0000-0000-00006D590000}"/>
    <cellStyle name="Normal 57 3 2 4 2 2" xfId="34675" xr:uid="{00000000-0005-0000-0000-00006E590000}"/>
    <cellStyle name="Normal 57 3 2 4 3" xfId="26628" xr:uid="{00000000-0005-0000-0000-00006F590000}"/>
    <cellStyle name="Normal 57 3 2 5" xfId="14293" xr:uid="{00000000-0005-0000-0000-000070590000}"/>
    <cellStyle name="Normal 57 3 2 5 2" xfId="30839" xr:uid="{00000000-0005-0000-0000-000071590000}"/>
    <cellStyle name="Normal 57 3 2 6" xfId="22796" xr:uid="{00000000-0005-0000-0000-000072590000}"/>
    <cellStyle name="Normal 57 3 3" xfId="4961" xr:uid="{00000000-0005-0000-0000-000073590000}"/>
    <cellStyle name="Normal 57 3 3 2" xfId="4962" xr:uid="{00000000-0005-0000-0000-000074590000}"/>
    <cellStyle name="Normal 57 3 3 2 2" xfId="8927" xr:uid="{00000000-0005-0000-0000-000075590000}"/>
    <cellStyle name="Normal 57 3 3 2 2 2" xfId="18102" xr:uid="{00000000-0005-0000-0000-000076590000}"/>
    <cellStyle name="Normal 57 3 3 2 2 2 2" xfId="34676" xr:uid="{00000000-0005-0000-0000-000077590000}"/>
    <cellStyle name="Normal 57 3 3 2 2 3" xfId="26629" xr:uid="{00000000-0005-0000-0000-000078590000}"/>
    <cellStyle name="Normal 57 3 3 2 3" xfId="14298" xr:uid="{00000000-0005-0000-0000-000079590000}"/>
    <cellStyle name="Normal 57 3 3 2 3 2" xfId="30844" xr:uid="{00000000-0005-0000-0000-00007A590000}"/>
    <cellStyle name="Normal 57 3 3 2 4" xfId="22801" xr:uid="{00000000-0005-0000-0000-00007B590000}"/>
    <cellStyle name="Normal 57 3 3 3" xfId="8928" xr:uid="{00000000-0005-0000-0000-00007C590000}"/>
    <cellStyle name="Normal 57 3 3 3 2" xfId="18103" xr:uid="{00000000-0005-0000-0000-00007D590000}"/>
    <cellStyle name="Normal 57 3 3 3 2 2" xfId="34677" xr:uid="{00000000-0005-0000-0000-00007E590000}"/>
    <cellStyle name="Normal 57 3 3 3 3" xfId="26630" xr:uid="{00000000-0005-0000-0000-00007F590000}"/>
    <cellStyle name="Normal 57 3 3 4" xfId="14297" xr:uid="{00000000-0005-0000-0000-000080590000}"/>
    <cellStyle name="Normal 57 3 3 4 2" xfId="30843" xr:uid="{00000000-0005-0000-0000-000081590000}"/>
    <cellStyle name="Normal 57 3 3 5" xfId="22800" xr:uid="{00000000-0005-0000-0000-000082590000}"/>
    <cellStyle name="Normal 57 3 4" xfId="4963" xr:uid="{00000000-0005-0000-0000-000083590000}"/>
    <cellStyle name="Normal 57 3 4 2" xfId="8929" xr:uid="{00000000-0005-0000-0000-000084590000}"/>
    <cellStyle name="Normal 57 3 4 2 2" xfId="18104" xr:uid="{00000000-0005-0000-0000-000085590000}"/>
    <cellStyle name="Normal 57 3 4 2 2 2" xfId="34678" xr:uid="{00000000-0005-0000-0000-000086590000}"/>
    <cellStyle name="Normal 57 3 4 2 3" xfId="26631" xr:uid="{00000000-0005-0000-0000-000087590000}"/>
    <cellStyle name="Normal 57 3 4 3" xfId="14299" xr:uid="{00000000-0005-0000-0000-000088590000}"/>
    <cellStyle name="Normal 57 3 4 3 2" xfId="30845" xr:uid="{00000000-0005-0000-0000-000089590000}"/>
    <cellStyle name="Normal 57 3 4 4" xfId="22802" xr:uid="{00000000-0005-0000-0000-00008A590000}"/>
    <cellStyle name="Normal 57 3 5" xfId="4964" xr:uid="{00000000-0005-0000-0000-00008B590000}"/>
    <cellStyle name="Normal 57 3 5 2" xfId="14300" xr:uid="{00000000-0005-0000-0000-00008C590000}"/>
    <cellStyle name="Normal 57 3 5 2 2" xfId="30846" xr:uid="{00000000-0005-0000-0000-00008D590000}"/>
    <cellStyle name="Normal 57 3 5 3" xfId="22803" xr:uid="{00000000-0005-0000-0000-00008E590000}"/>
    <cellStyle name="Normal 57 4" xfId="4965" xr:uid="{00000000-0005-0000-0000-00008F590000}"/>
    <cellStyle name="Normal 57 4 2" xfId="4966" xr:uid="{00000000-0005-0000-0000-000090590000}"/>
    <cellStyle name="Normal 57 4 2 2" xfId="4967" xr:uid="{00000000-0005-0000-0000-000091590000}"/>
    <cellStyle name="Normal 57 4 2 2 2" xfId="4968" xr:uid="{00000000-0005-0000-0000-000092590000}"/>
    <cellStyle name="Normal 57 4 2 2 2 2" xfId="8930" xr:uid="{00000000-0005-0000-0000-000093590000}"/>
    <cellStyle name="Normal 57 4 2 2 2 2 2" xfId="18105" xr:uid="{00000000-0005-0000-0000-000094590000}"/>
    <cellStyle name="Normal 57 4 2 2 2 2 2 2" xfId="34679" xr:uid="{00000000-0005-0000-0000-000095590000}"/>
    <cellStyle name="Normal 57 4 2 2 2 2 3" xfId="26632" xr:uid="{00000000-0005-0000-0000-000096590000}"/>
    <cellStyle name="Normal 57 4 2 2 2 3" xfId="14304" xr:uid="{00000000-0005-0000-0000-000097590000}"/>
    <cellStyle name="Normal 57 4 2 2 2 3 2" xfId="30850" xr:uid="{00000000-0005-0000-0000-000098590000}"/>
    <cellStyle name="Normal 57 4 2 2 2 4" xfId="22807" xr:uid="{00000000-0005-0000-0000-000099590000}"/>
    <cellStyle name="Normal 57 4 2 2 3" xfId="8931" xr:uid="{00000000-0005-0000-0000-00009A590000}"/>
    <cellStyle name="Normal 57 4 2 2 3 2" xfId="18106" xr:uid="{00000000-0005-0000-0000-00009B590000}"/>
    <cellStyle name="Normal 57 4 2 2 3 2 2" xfId="34680" xr:uid="{00000000-0005-0000-0000-00009C590000}"/>
    <cellStyle name="Normal 57 4 2 2 3 3" xfId="26633" xr:uid="{00000000-0005-0000-0000-00009D590000}"/>
    <cellStyle name="Normal 57 4 2 2 4" xfId="14303" xr:uid="{00000000-0005-0000-0000-00009E590000}"/>
    <cellStyle name="Normal 57 4 2 2 4 2" xfId="30849" xr:uid="{00000000-0005-0000-0000-00009F590000}"/>
    <cellStyle name="Normal 57 4 2 2 5" xfId="22806" xr:uid="{00000000-0005-0000-0000-0000A0590000}"/>
    <cellStyle name="Normal 57 4 2 3" xfId="4969" xr:uid="{00000000-0005-0000-0000-0000A1590000}"/>
    <cellStyle name="Normal 57 4 2 3 2" xfId="8932" xr:uid="{00000000-0005-0000-0000-0000A2590000}"/>
    <cellStyle name="Normal 57 4 2 3 2 2" xfId="18107" xr:uid="{00000000-0005-0000-0000-0000A3590000}"/>
    <cellStyle name="Normal 57 4 2 3 2 2 2" xfId="34681" xr:uid="{00000000-0005-0000-0000-0000A4590000}"/>
    <cellStyle name="Normal 57 4 2 3 2 3" xfId="26634" xr:uid="{00000000-0005-0000-0000-0000A5590000}"/>
    <cellStyle name="Normal 57 4 2 3 3" xfId="14305" xr:uid="{00000000-0005-0000-0000-0000A6590000}"/>
    <cellStyle name="Normal 57 4 2 3 3 2" xfId="30851" xr:uid="{00000000-0005-0000-0000-0000A7590000}"/>
    <cellStyle name="Normal 57 4 2 3 4" xfId="22808" xr:uid="{00000000-0005-0000-0000-0000A8590000}"/>
    <cellStyle name="Normal 57 4 2 4" xfId="8933" xr:uid="{00000000-0005-0000-0000-0000A9590000}"/>
    <cellStyle name="Normal 57 4 2 4 2" xfId="18108" xr:uid="{00000000-0005-0000-0000-0000AA590000}"/>
    <cellStyle name="Normal 57 4 2 4 2 2" xfId="34682" xr:uid="{00000000-0005-0000-0000-0000AB590000}"/>
    <cellStyle name="Normal 57 4 2 4 3" xfId="26635" xr:uid="{00000000-0005-0000-0000-0000AC590000}"/>
    <cellStyle name="Normal 57 4 2 5" xfId="14302" xr:uid="{00000000-0005-0000-0000-0000AD590000}"/>
    <cellStyle name="Normal 57 4 2 5 2" xfId="30848" xr:uid="{00000000-0005-0000-0000-0000AE590000}"/>
    <cellStyle name="Normal 57 4 2 6" xfId="22805" xr:uid="{00000000-0005-0000-0000-0000AF590000}"/>
    <cellStyle name="Normal 57 4 3" xfId="4970" xr:uid="{00000000-0005-0000-0000-0000B0590000}"/>
    <cellStyle name="Normal 57 4 3 2" xfId="4971" xr:uid="{00000000-0005-0000-0000-0000B1590000}"/>
    <cellStyle name="Normal 57 4 3 2 2" xfId="8934" xr:uid="{00000000-0005-0000-0000-0000B2590000}"/>
    <cellStyle name="Normal 57 4 3 2 2 2" xfId="18109" xr:uid="{00000000-0005-0000-0000-0000B3590000}"/>
    <cellStyle name="Normal 57 4 3 2 2 2 2" xfId="34683" xr:uid="{00000000-0005-0000-0000-0000B4590000}"/>
    <cellStyle name="Normal 57 4 3 2 2 3" xfId="26636" xr:uid="{00000000-0005-0000-0000-0000B5590000}"/>
    <cellStyle name="Normal 57 4 3 2 3" xfId="14307" xr:uid="{00000000-0005-0000-0000-0000B6590000}"/>
    <cellStyle name="Normal 57 4 3 2 3 2" xfId="30853" xr:uid="{00000000-0005-0000-0000-0000B7590000}"/>
    <cellStyle name="Normal 57 4 3 2 4" xfId="22810" xr:uid="{00000000-0005-0000-0000-0000B8590000}"/>
    <cellStyle name="Normal 57 4 3 3" xfId="8935" xr:uid="{00000000-0005-0000-0000-0000B9590000}"/>
    <cellStyle name="Normal 57 4 3 3 2" xfId="18110" xr:uid="{00000000-0005-0000-0000-0000BA590000}"/>
    <cellStyle name="Normal 57 4 3 3 2 2" xfId="34684" xr:uid="{00000000-0005-0000-0000-0000BB590000}"/>
    <cellStyle name="Normal 57 4 3 3 3" xfId="26637" xr:uid="{00000000-0005-0000-0000-0000BC590000}"/>
    <cellStyle name="Normal 57 4 3 4" xfId="14306" xr:uid="{00000000-0005-0000-0000-0000BD590000}"/>
    <cellStyle name="Normal 57 4 3 4 2" xfId="30852" xr:uid="{00000000-0005-0000-0000-0000BE590000}"/>
    <cellStyle name="Normal 57 4 3 5" xfId="22809" xr:uid="{00000000-0005-0000-0000-0000BF590000}"/>
    <cellStyle name="Normal 57 4 4" xfId="4972" xr:uid="{00000000-0005-0000-0000-0000C0590000}"/>
    <cellStyle name="Normal 57 4 4 2" xfId="8936" xr:uid="{00000000-0005-0000-0000-0000C1590000}"/>
    <cellStyle name="Normal 57 4 4 2 2" xfId="18111" xr:uid="{00000000-0005-0000-0000-0000C2590000}"/>
    <cellStyle name="Normal 57 4 4 2 2 2" xfId="34685" xr:uid="{00000000-0005-0000-0000-0000C3590000}"/>
    <cellStyle name="Normal 57 4 4 2 3" xfId="26638" xr:uid="{00000000-0005-0000-0000-0000C4590000}"/>
    <cellStyle name="Normal 57 4 4 3" xfId="14308" xr:uid="{00000000-0005-0000-0000-0000C5590000}"/>
    <cellStyle name="Normal 57 4 4 3 2" xfId="30854" xr:uid="{00000000-0005-0000-0000-0000C6590000}"/>
    <cellStyle name="Normal 57 4 4 4" xfId="22811" xr:uid="{00000000-0005-0000-0000-0000C7590000}"/>
    <cellStyle name="Normal 57 4 5" xfId="8937" xr:uid="{00000000-0005-0000-0000-0000C8590000}"/>
    <cellStyle name="Normal 57 4 5 2" xfId="18112" xr:uid="{00000000-0005-0000-0000-0000C9590000}"/>
    <cellStyle name="Normal 57 4 5 2 2" xfId="34686" xr:uid="{00000000-0005-0000-0000-0000CA590000}"/>
    <cellStyle name="Normal 57 4 5 3" xfId="26639" xr:uid="{00000000-0005-0000-0000-0000CB590000}"/>
    <cellStyle name="Normal 57 4 6" xfId="14301" xr:uid="{00000000-0005-0000-0000-0000CC590000}"/>
    <cellStyle name="Normal 57 4 6 2" xfId="30847" xr:uid="{00000000-0005-0000-0000-0000CD590000}"/>
    <cellStyle name="Normal 57 4 7" xfId="22804" xr:uid="{00000000-0005-0000-0000-0000CE590000}"/>
    <cellStyle name="Normal 57 5" xfId="4973" xr:uid="{00000000-0005-0000-0000-0000CF590000}"/>
    <cellStyle name="Normal 57 5 2" xfId="4974" xr:uid="{00000000-0005-0000-0000-0000D0590000}"/>
    <cellStyle name="Normal 57 5 2 2" xfId="4975" xr:uid="{00000000-0005-0000-0000-0000D1590000}"/>
    <cellStyle name="Normal 57 5 2 2 2" xfId="4976" xr:uid="{00000000-0005-0000-0000-0000D2590000}"/>
    <cellStyle name="Normal 57 5 2 2 2 2" xfId="8938" xr:uid="{00000000-0005-0000-0000-0000D3590000}"/>
    <cellStyle name="Normal 57 5 2 2 2 2 2" xfId="18113" xr:uid="{00000000-0005-0000-0000-0000D4590000}"/>
    <cellStyle name="Normal 57 5 2 2 2 2 2 2" xfId="34687" xr:uid="{00000000-0005-0000-0000-0000D5590000}"/>
    <cellStyle name="Normal 57 5 2 2 2 2 3" xfId="26640" xr:uid="{00000000-0005-0000-0000-0000D6590000}"/>
    <cellStyle name="Normal 57 5 2 2 2 3" xfId="14312" xr:uid="{00000000-0005-0000-0000-0000D7590000}"/>
    <cellStyle name="Normal 57 5 2 2 2 3 2" xfId="30858" xr:uid="{00000000-0005-0000-0000-0000D8590000}"/>
    <cellStyle name="Normal 57 5 2 2 2 4" xfId="22815" xr:uid="{00000000-0005-0000-0000-0000D9590000}"/>
    <cellStyle name="Normal 57 5 2 2 3" xfId="8939" xr:uid="{00000000-0005-0000-0000-0000DA590000}"/>
    <cellStyle name="Normal 57 5 2 2 3 2" xfId="18114" xr:uid="{00000000-0005-0000-0000-0000DB590000}"/>
    <cellStyle name="Normal 57 5 2 2 3 2 2" xfId="34688" xr:uid="{00000000-0005-0000-0000-0000DC590000}"/>
    <cellStyle name="Normal 57 5 2 2 3 3" xfId="26641" xr:uid="{00000000-0005-0000-0000-0000DD590000}"/>
    <cellStyle name="Normal 57 5 2 2 4" xfId="14311" xr:uid="{00000000-0005-0000-0000-0000DE590000}"/>
    <cellStyle name="Normal 57 5 2 2 4 2" xfId="30857" xr:uid="{00000000-0005-0000-0000-0000DF590000}"/>
    <cellStyle name="Normal 57 5 2 2 5" xfId="22814" xr:uid="{00000000-0005-0000-0000-0000E0590000}"/>
    <cellStyle name="Normal 57 5 2 3" xfId="4977" xr:uid="{00000000-0005-0000-0000-0000E1590000}"/>
    <cellStyle name="Normal 57 5 2 3 2" xfId="8940" xr:uid="{00000000-0005-0000-0000-0000E2590000}"/>
    <cellStyle name="Normal 57 5 2 3 2 2" xfId="18115" xr:uid="{00000000-0005-0000-0000-0000E3590000}"/>
    <cellStyle name="Normal 57 5 2 3 2 2 2" xfId="34689" xr:uid="{00000000-0005-0000-0000-0000E4590000}"/>
    <cellStyle name="Normal 57 5 2 3 2 3" xfId="26642" xr:uid="{00000000-0005-0000-0000-0000E5590000}"/>
    <cellStyle name="Normal 57 5 2 3 3" xfId="14313" xr:uid="{00000000-0005-0000-0000-0000E6590000}"/>
    <cellStyle name="Normal 57 5 2 3 3 2" xfId="30859" xr:uid="{00000000-0005-0000-0000-0000E7590000}"/>
    <cellStyle name="Normal 57 5 2 3 4" xfId="22816" xr:uid="{00000000-0005-0000-0000-0000E8590000}"/>
    <cellStyle name="Normal 57 5 2 4" xfId="8941" xr:uid="{00000000-0005-0000-0000-0000E9590000}"/>
    <cellStyle name="Normal 57 5 2 4 2" xfId="18116" xr:uid="{00000000-0005-0000-0000-0000EA590000}"/>
    <cellStyle name="Normal 57 5 2 4 2 2" xfId="34690" xr:uid="{00000000-0005-0000-0000-0000EB590000}"/>
    <cellStyle name="Normal 57 5 2 4 3" xfId="26643" xr:uid="{00000000-0005-0000-0000-0000EC590000}"/>
    <cellStyle name="Normal 57 5 2 5" xfId="14310" xr:uid="{00000000-0005-0000-0000-0000ED590000}"/>
    <cellStyle name="Normal 57 5 2 5 2" xfId="30856" xr:uid="{00000000-0005-0000-0000-0000EE590000}"/>
    <cellStyle name="Normal 57 5 2 6" xfId="22813" xr:uid="{00000000-0005-0000-0000-0000EF590000}"/>
    <cellStyle name="Normal 57 5 3" xfId="4978" xr:uid="{00000000-0005-0000-0000-0000F0590000}"/>
    <cellStyle name="Normal 57 5 3 2" xfId="4979" xr:uid="{00000000-0005-0000-0000-0000F1590000}"/>
    <cellStyle name="Normal 57 5 3 2 2" xfId="8942" xr:uid="{00000000-0005-0000-0000-0000F2590000}"/>
    <cellStyle name="Normal 57 5 3 2 2 2" xfId="18117" xr:uid="{00000000-0005-0000-0000-0000F3590000}"/>
    <cellStyle name="Normal 57 5 3 2 2 2 2" xfId="34691" xr:uid="{00000000-0005-0000-0000-0000F4590000}"/>
    <cellStyle name="Normal 57 5 3 2 2 3" xfId="26644" xr:uid="{00000000-0005-0000-0000-0000F5590000}"/>
    <cellStyle name="Normal 57 5 3 2 3" xfId="14315" xr:uid="{00000000-0005-0000-0000-0000F6590000}"/>
    <cellStyle name="Normal 57 5 3 2 3 2" xfId="30861" xr:uid="{00000000-0005-0000-0000-0000F7590000}"/>
    <cellStyle name="Normal 57 5 3 2 4" xfId="22818" xr:uid="{00000000-0005-0000-0000-0000F8590000}"/>
    <cellStyle name="Normal 57 5 3 3" xfId="8943" xr:uid="{00000000-0005-0000-0000-0000F9590000}"/>
    <cellStyle name="Normal 57 5 3 3 2" xfId="18118" xr:uid="{00000000-0005-0000-0000-0000FA590000}"/>
    <cellStyle name="Normal 57 5 3 3 2 2" xfId="34692" xr:uid="{00000000-0005-0000-0000-0000FB590000}"/>
    <cellStyle name="Normal 57 5 3 3 3" xfId="26645" xr:uid="{00000000-0005-0000-0000-0000FC590000}"/>
    <cellStyle name="Normal 57 5 3 4" xfId="14314" xr:uid="{00000000-0005-0000-0000-0000FD590000}"/>
    <cellStyle name="Normal 57 5 3 4 2" xfId="30860" xr:uid="{00000000-0005-0000-0000-0000FE590000}"/>
    <cellStyle name="Normal 57 5 3 5" xfId="22817" xr:uid="{00000000-0005-0000-0000-0000FF590000}"/>
    <cellStyle name="Normal 57 5 4" xfId="4980" xr:uid="{00000000-0005-0000-0000-0000005A0000}"/>
    <cellStyle name="Normal 57 5 4 2" xfId="8944" xr:uid="{00000000-0005-0000-0000-0000015A0000}"/>
    <cellStyle name="Normal 57 5 4 2 2" xfId="18119" xr:uid="{00000000-0005-0000-0000-0000025A0000}"/>
    <cellStyle name="Normal 57 5 4 2 2 2" xfId="34693" xr:uid="{00000000-0005-0000-0000-0000035A0000}"/>
    <cellStyle name="Normal 57 5 4 2 3" xfId="26646" xr:uid="{00000000-0005-0000-0000-0000045A0000}"/>
    <cellStyle name="Normal 57 5 4 3" xfId="14316" xr:uid="{00000000-0005-0000-0000-0000055A0000}"/>
    <cellStyle name="Normal 57 5 4 3 2" xfId="30862" xr:uid="{00000000-0005-0000-0000-0000065A0000}"/>
    <cellStyle name="Normal 57 5 4 4" xfId="22819" xr:uid="{00000000-0005-0000-0000-0000075A0000}"/>
    <cellStyle name="Normal 57 5 5" xfId="8945" xr:uid="{00000000-0005-0000-0000-0000085A0000}"/>
    <cellStyle name="Normal 57 5 5 2" xfId="18120" xr:uid="{00000000-0005-0000-0000-0000095A0000}"/>
    <cellStyle name="Normal 57 5 5 2 2" xfId="34694" xr:uid="{00000000-0005-0000-0000-00000A5A0000}"/>
    <cellStyle name="Normal 57 5 5 3" xfId="26647" xr:uid="{00000000-0005-0000-0000-00000B5A0000}"/>
    <cellStyle name="Normal 57 5 6" xfId="14309" xr:uid="{00000000-0005-0000-0000-00000C5A0000}"/>
    <cellStyle name="Normal 57 5 6 2" xfId="30855" xr:uid="{00000000-0005-0000-0000-00000D5A0000}"/>
    <cellStyle name="Normal 57 5 7" xfId="22812" xr:uid="{00000000-0005-0000-0000-00000E5A0000}"/>
    <cellStyle name="Normal 57 6" xfId="4981" xr:uid="{00000000-0005-0000-0000-00000F5A0000}"/>
    <cellStyle name="Normal 57 6 2" xfId="4982" xr:uid="{00000000-0005-0000-0000-0000105A0000}"/>
    <cellStyle name="Normal 57 6 2 2" xfId="4983" xr:uid="{00000000-0005-0000-0000-0000115A0000}"/>
    <cellStyle name="Normal 57 6 2 2 2" xfId="8946" xr:uid="{00000000-0005-0000-0000-0000125A0000}"/>
    <cellStyle name="Normal 57 6 2 2 2 2" xfId="18121" xr:uid="{00000000-0005-0000-0000-0000135A0000}"/>
    <cellStyle name="Normal 57 6 2 2 2 2 2" xfId="34695" xr:uid="{00000000-0005-0000-0000-0000145A0000}"/>
    <cellStyle name="Normal 57 6 2 2 2 3" xfId="26648" xr:uid="{00000000-0005-0000-0000-0000155A0000}"/>
    <cellStyle name="Normal 57 6 2 2 3" xfId="14319" xr:uid="{00000000-0005-0000-0000-0000165A0000}"/>
    <cellStyle name="Normal 57 6 2 2 3 2" xfId="30865" xr:uid="{00000000-0005-0000-0000-0000175A0000}"/>
    <cellStyle name="Normal 57 6 2 2 4" xfId="22822" xr:uid="{00000000-0005-0000-0000-0000185A0000}"/>
    <cellStyle name="Normal 57 6 2 3" xfId="8947" xr:uid="{00000000-0005-0000-0000-0000195A0000}"/>
    <cellStyle name="Normal 57 6 2 3 2" xfId="18122" xr:uid="{00000000-0005-0000-0000-00001A5A0000}"/>
    <cellStyle name="Normal 57 6 2 3 2 2" xfId="34696" xr:uid="{00000000-0005-0000-0000-00001B5A0000}"/>
    <cellStyle name="Normal 57 6 2 3 3" xfId="26649" xr:uid="{00000000-0005-0000-0000-00001C5A0000}"/>
    <cellStyle name="Normal 57 6 2 4" xfId="14318" xr:uid="{00000000-0005-0000-0000-00001D5A0000}"/>
    <cellStyle name="Normal 57 6 2 4 2" xfId="30864" xr:uid="{00000000-0005-0000-0000-00001E5A0000}"/>
    <cellStyle name="Normal 57 6 2 5" xfId="22821" xr:uid="{00000000-0005-0000-0000-00001F5A0000}"/>
    <cellStyle name="Normal 57 6 3" xfId="4984" xr:uid="{00000000-0005-0000-0000-0000205A0000}"/>
    <cellStyle name="Normal 57 6 3 2" xfId="8948" xr:uid="{00000000-0005-0000-0000-0000215A0000}"/>
    <cellStyle name="Normal 57 6 3 2 2" xfId="18123" xr:uid="{00000000-0005-0000-0000-0000225A0000}"/>
    <cellStyle name="Normal 57 6 3 2 2 2" xfId="34697" xr:uid="{00000000-0005-0000-0000-0000235A0000}"/>
    <cellStyle name="Normal 57 6 3 2 3" xfId="26650" xr:uid="{00000000-0005-0000-0000-0000245A0000}"/>
    <cellStyle name="Normal 57 6 3 3" xfId="14320" xr:uid="{00000000-0005-0000-0000-0000255A0000}"/>
    <cellStyle name="Normal 57 6 3 3 2" xfId="30866" xr:uid="{00000000-0005-0000-0000-0000265A0000}"/>
    <cellStyle name="Normal 57 6 3 4" xfId="22823" xr:uid="{00000000-0005-0000-0000-0000275A0000}"/>
    <cellStyle name="Normal 57 6 4" xfId="8949" xr:uid="{00000000-0005-0000-0000-0000285A0000}"/>
    <cellStyle name="Normal 57 6 4 2" xfId="18124" xr:uid="{00000000-0005-0000-0000-0000295A0000}"/>
    <cellStyle name="Normal 57 6 4 2 2" xfId="34698" xr:uid="{00000000-0005-0000-0000-00002A5A0000}"/>
    <cellStyle name="Normal 57 6 4 3" xfId="26651" xr:uid="{00000000-0005-0000-0000-00002B5A0000}"/>
    <cellStyle name="Normal 57 6 5" xfId="14317" xr:uid="{00000000-0005-0000-0000-00002C5A0000}"/>
    <cellStyle name="Normal 57 6 5 2" xfId="30863" xr:uid="{00000000-0005-0000-0000-00002D5A0000}"/>
    <cellStyle name="Normal 57 6 6" xfId="22820" xr:uid="{00000000-0005-0000-0000-00002E5A0000}"/>
    <cellStyle name="Normal 57 7" xfId="4985" xr:uid="{00000000-0005-0000-0000-00002F5A0000}"/>
    <cellStyle name="Normal 57 7 2" xfId="4986" xr:uid="{00000000-0005-0000-0000-0000305A0000}"/>
    <cellStyle name="Normal 57 7 2 2" xfId="8950" xr:uid="{00000000-0005-0000-0000-0000315A0000}"/>
    <cellStyle name="Normal 57 7 2 2 2" xfId="18125" xr:uid="{00000000-0005-0000-0000-0000325A0000}"/>
    <cellStyle name="Normal 57 7 2 2 2 2" xfId="34699" xr:uid="{00000000-0005-0000-0000-0000335A0000}"/>
    <cellStyle name="Normal 57 7 2 2 3" xfId="26652" xr:uid="{00000000-0005-0000-0000-0000345A0000}"/>
    <cellStyle name="Normal 57 7 2 3" xfId="14322" xr:uid="{00000000-0005-0000-0000-0000355A0000}"/>
    <cellStyle name="Normal 57 7 2 3 2" xfId="30868" xr:uid="{00000000-0005-0000-0000-0000365A0000}"/>
    <cellStyle name="Normal 57 7 2 4" xfId="22825" xr:uid="{00000000-0005-0000-0000-0000375A0000}"/>
    <cellStyle name="Normal 57 7 3" xfId="8951" xr:uid="{00000000-0005-0000-0000-0000385A0000}"/>
    <cellStyle name="Normal 57 7 3 2" xfId="18126" xr:uid="{00000000-0005-0000-0000-0000395A0000}"/>
    <cellStyle name="Normal 57 7 3 2 2" xfId="34700" xr:uid="{00000000-0005-0000-0000-00003A5A0000}"/>
    <cellStyle name="Normal 57 7 3 3" xfId="26653" xr:uid="{00000000-0005-0000-0000-00003B5A0000}"/>
    <cellStyle name="Normal 57 7 4" xfId="14321" xr:uid="{00000000-0005-0000-0000-00003C5A0000}"/>
    <cellStyle name="Normal 57 7 4 2" xfId="30867" xr:uid="{00000000-0005-0000-0000-00003D5A0000}"/>
    <cellStyle name="Normal 57 7 5" xfId="22824" xr:uid="{00000000-0005-0000-0000-00003E5A0000}"/>
    <cellStyle name="Normal 57 8" xfId="4987" xr:uid="{00000000-0005-0000-0000-00003F5A0000}"/>
    <cellStyle name="Normal 57 8 2" xfId="8952" xr:uid="{00000000-0005-0000-0000-0000405A0000}"/>
    <cellStyle name="Normal 57 8 2 2" xfId="18127" xr:uid="{00000000-0005-0000-0000-0000415A0000}"/>
    <cellStyle name="Normal 57 8 2 2 2" xfId="34701" xr:uid="{00000000-0005-0000-0000-0000425A0000}"/>
    <cellStyle name="Normal 57 8 2 3" xfId="26654" xr:uid="{00000000-0005-0000-0000-0000435A0000}"/>
    <cellStyle name="Normal 57 8 3" xfId="14323" xr:uid="{00000000-0005-0000-0000-0000445A0000}"/>
    <cellStyle name="Normal 57 8 3 2" xfId="30869" xr:uid="{00000000-0005-0000-0000-0000455A0000}"/>
    <cellStyle name="Normal 57 8 4" xfId="22826" xr:uid="{00000000-0005-0000-0000-0000465A0000}"/>
    <cellStyle name="Normal 57 9" xfId="8953" xr:uid="{00000000-0005-0000-0000-0000475A0000}"/>
    <cellStyle name="Normal 57 9 2" xfId="18128" xr:uid="{00000000-0005-0000-0000-0000485A0000}"/>
    <cellStyle name="Normal 57 9 2 2" xfId="34702" xr:uid="{00000000-0005-0000-0000-0000495A0000}"/>
    <cellStyle name="Normal 57 9 3" xfId="26655" xr:uid="{00000000-0005-0000-0000-00004A5A0000}"/>
    <cellStyle name="Normal 58" xfId="4988" xr:uid="{00000000-0005-0000-0000-00004B5A0000}"/>
    <cellStyle name="Normal 58 10" xfId="14324" xr:uid="{00000000-0005-0000-0000-00004C5A0000}"/>
    <cellStyle name="Normal 58 10 2" xfId="30870" xr:uid="{00000000-0005-0000-0000-00004D5A0000}"/>
    <cellStyle name="Normal 58 11" xfId="22827" xr:uid="{00000000-0005-0000-0000-00004E5A0000}"/>
    <cellStyle name="Normal 58 2" xfId="4989" xr:uid="{00000000-0005-0000-0000-00004F5A0000}"/>
    <cellStyle name="Normal 58 2 2" xfId="4990" xr:uid="{00000000-0005-0000-0000-0000505A0000}"/>
    <cellStyle name="Normal 58 2 3" xfId="14325" xr:uid="{00000000-0005-0000-0000-0000515A0000}"/>
    <cellStyle name="Normal 58 2 3 2" xfId="30871" xr:uid="{00000000-0005-0000-0000-0000525A0000}"/>
    <cellStyle name="Normal 58 2 4" xfId="22828" xr:uid="{00000000-0005-0000-0000-0000535A0000}"/>
    <cellStyle name="Normal 58 3" xfId="4991" xr:uid="{00000000-0005-0000-0000-0000545A0000}"/>
    <cellStyle name="Normal 58 3 2" xfId="4992" xr:uid="{00000000-0005-0000-0000-0000555A0000}"/>
    <cellStyle name="Normal 58 3 2 2" xfId="4993" xr:uid="{00000000-0005-0000-0000-0000565A0000}"/>
    <cellStyle name="Normal 58 3 2 2 2" xfId="4994" xr:uid="{00000000-0005-0000-0000-0000575A0000}"/>
    <cellStyle name="Normal 58 3 2 2 2 2" xfId="8954" xr:uid="{00000000-0005-0000-0000-0000585A0000}"/>
    <cellStyle name="Normal 58 3 2 2 2 2 2" xfId="18129" xr:uid="{00000000-0005-0000-0000-0000595A0000}"/>
    <cellStyle name="Normal 58 3 2 2 2 2 2 2" xfId="34703" xr:uid="{00000000-0005-0000-0000-00005A5A0000}"/>
    <cellStyle name="Normal 58 3 2 2 2 2 3" xfId="26656" xr:uid="{00000000-0005-0000-0000-00005B5A0000}"/>
    <cellStyle name="Normal 58 3 2 2 2 3" xfId="14328" xr:uid="{00000000-0005-0000-0000-00005C5A0000}"/>
    <cellStyle name="Normal 58 3 2 2 2 3 2" xfId="30874" xr:uid="{00000000-0005-0000-0000-00005D5A0000}"/>
    <cellStyle name="Normal 58 3 2 2 2 4" xfId="22831" xr:uid="{00000000-0005-0000-0000-00005E5A0000}"/>
    <cellStyle name="Normal 58 3 2 2 3" xfId="8955" xr:uid="{00000000-0005-0000-0000-00005F5A0000}"/>
    <cellStyle name="Normal 58 3 2 2 3 2" xfId="18130" xr:uid="{00000000-0005-0000-0000-0000605A0000}"/>
    <cellStyle name="Normal 58 3 2 2 3 2 2" xfId="34704" xr:uid="{00000000-0005-0000-0000-0000615A0000}"/>
    <cellStyle name="Normal 58 3 2 2 3 3" xfId="26657" xr:uid="{00000000-0005-0000-0000-0000625A0000}"/>
    <cellStyle name="Normal 58 3 2 2 4" xfId="14327" xr:uid="{00000000-0005-0000-0000-0000635A0000}"/>
    <cellStyle name="Normal 58 3 2 2 4 2" xfId="30873" xr:uid="{00000000-0005-0000-0000-0000645A0000}"/>
    <cellStyle name="Normal 58 3 2 2 5" xfId="22830" xr:uid="{00000000-0005-0000-0000-0000655A0000}"/>
    <cellStyle name="Normal 58 3 2 3" xfId="4995" xr:uid="{00000000-0005-0000-0000-0000665A0000}"/>
    <cellStyle name="Normal 58 3 2 3 2" xfId="8956" xr:uid="{00000000-0005-0000-0000-0000675A0000}"/>
    <cellStyle name="Normal 58 3 2 3 2 2" xfId="18131" xr:uid="{00000000-0005-0000-0000-0000685A0000}"/>
    <cellStyle name="Normal 58 3 2 3 2 2 2" xfId="34705" xr:uid="{00000000-0005-0000-0000-0000695A0000}"/>
    <cellStyle name="Normal 58 3 2 3 2 3" xfId="26658" xr:uid="{00000000-0005-0000-0000-00006A5A0000}"/>
    <cellStyle name="Normal 58 3 2 3 3" xfId="14329" xr:uid="{00000000-0005-0000-0000-00006B5A0000}"/>
    <cellStyle name="Normal 58 3 2 3 3 2" xfId="30875" xr:uid="{00000000-0005-0000-0000-00006C5A0000}"/>
    <cellStyle name="Normal 58 3 2 3 4" xfId="22832" xr:uid="{00000000-0005-0000-0000-00006D5A0000}"/>
    <cellStyle name="Normal 58 3 2 4" xfId="8957" xr:uid="{00000000-0005-0000-0000-00006E5A0000}"/>
    <cellStyle name="Normal 58 3 2 4 2" xfId="18132" xr:uid="{00000000-0005-0000-0000-00006F5A0000}"/>
    <cellStyle name="Normal 58 3 2 4 2 2" xfId="34706" xr:uid="{00000000-0005-0000-0000-0000705A0000}"/>
    <cellStyle name="Normal 58 3 2 4 3" xfId="26659" xr:uid="{00000000-0005-0000-0000-0000715A0000}"/>
    <cellStyle name="Normal 58 3 2 5" xfId="14326" xr:uid="{00000000-0005-0000-0000-0000725A0000}"/>
    <cellStyle name="Normal 58 3 2 5 2" xfId="30872" xr:uid="{00000000-0005-0000-0000-0000735A0000}"/>
    <cellStyle name="Normal 58 3 2 6" xfId="22829" xr:uid="{00000000-0005-0000-0000-0000745A0000}"/>
    <cellStyle name="Normal 58 3 3" xfId="4996" xr:uid="{00000000-0005-0000-0000-0000755A0000}"/>
    <cellStyle name="Normal 58 3 3 2" xfId="4997" xr:uid="{00000000-0005-0000-0000-0000765A0000}"/>
    <cellStyle name="Normal 58 3 3 2 2" xfId="8958" xr:uid="{00000000-0005-0000-0000-0000775A0000}"/>
    <cellStyle name="Normal 58 3 3 2 2 2" xfId="18133" xr:uid="{00000000-0005-0000-0000-0000785A0000}"/>
    <cellStyle name="Normal 58 3 3 2 2 2 2" xfId="34707" xr:uid="{00000000-0005-0000-0000-0000795A0000}"/>
    <cellStyle name="Normal 58 3 3 2 2 3" xfId="26660" xr:uid="{00000000-0005-0000-0000-00007A5A0000}"/>
    <cellStyle name="Normal 58 3 3 2 3" xfId="14331" xr:uid="{00000000-0005-0000-0000-00007B5A0000}"/>
    <cellStyle name="Normal 58 3 3 2 3 2" xfId="30877" xr:uid="{00000000-0005-0000-0000-00007C5A0000}"/>
    <cellStyle name="Normal 58 3 3 2 4" xfId="22834" xr:uid="{00000000-0005-0000-0000-00007D5A0000}"/>
    <cellStyle name="Normal 58 3 3 3" xfId="8959" xr:uid="{00000000-0005-0000-0000-00007E5A0000}"/>
    <cellStyle name="Normal 58 3 3 3 2" xfId="18134" xr:uid="{00000000-0005-0000-0000-00007F5A0000}"/>
    <cellStyle name="Normal 58 3 3 3 2 2" xfId="34708" xr:uid="{00000000-0005-0000-0000-0000805A0000}"/>
    <cellStyle name="Normal 58 3 3 3 3" xfId="26661" xr:uid="{00000000-0005-0000-0000-0000815A0000}"/>
    <cellStyle name="Normal 58 3 3 4" xfId="14330" xr:uid="{00000000-0005-0000-0000-0000825A0000}"/>
    <cellStyle name="Normal 58 3 3 4 2" xfId="30876" xr:uid="{00000000-0005-0000-0000-0000835A0000}"/>
    <cellStyle name="Normal 58 3 3 5" xfId="22833" xr:uid="{00000000-0005-0000-0000-0000845A0000}"/>
    <cellStyle name="Normal 58 3 4" xfId="4998" xr:uid="{00000000-0005-0000-0000-0000855A0000}"/>
    <cellStyle name="Normal 58 3 4 2" xfId="8960" xr:uid="{00000000-0005-0000-0000-0000865A0000}"/>
    <cellStyle name="Normal 58 3 4 2 2" xfId="18135" xr:uid="{00000000-0005-0000-0000-0000875A0000}"/>
    <cellStyle name="Normal 58 3 4 2 2 2" xfId="34709" xr:uid="{00000000-0005-0000-0000-0000885A0000}"/>
    <cellStyle name="Normal 58 3 4 2 3" xfId="26662" xr:uid="{00000000-0005-0000-0000-0000895A0000}"/>
    <cellStyle name="Normal 58 3 4 3" xfId="14332" xr:uid="{00000000-0005-0000-0000-00008A5A0000}"/>
    <cellStyle name="Normal 58 3 4 3 2" xfId="30878" xr:uid="{00000000-0005-0000-0000-00008B5A0000}"/>
    <cellStyle name="Normal 58 3 4 4" xfId="22835" xr:uid="{00000000-0005-0000-0000-00008C5A0000}"/>
    <cellStyle name="Normal 58 3 5" xfId="4999" xr:uid="{00000000-0005-0000-0000-00008D5A0000}"/>
    <cellStyle name="Normal 58 3 5 2" xfId="14333" xr:uid="{00000000-0005-0000-0000-00008E5A0000}"/>
    <cellStyle name="Normal 58 3 5 2 2" xfId="30879" xr:uid="{00000000-0005-0000-0000-00008F5A0000}"/>
    <cellStyle name="Normal 58 3 5 3" xfId="22836" xr:uid="{00000000-0005-0000-0000-0000905A0000}"/>
    <cellStyle name="Normal 58 4" xfId="5000" xr:uid="{00000000-0005-0000-0000-0000915A0000}"/>
    <cellStyle name="Normal 58 4 2" xfId="5001" xr:uid="{00000000-0005-0000-0000-0000925A0000}"/>
    <cellStyle name="Normal 58 4 2 2" xfId="5002" xr:uid="{00000000-0005-0000-0000-0000935A0000}"/>
    <cellStyle name="Normal 58 4 2 2 2" xfId="5003" xr:uid="{00000000-0005-0000-0000-0000945A0000}"/>
    <cellStyle name="Normal 58 4 2 2 2 2" xfId="8961" xr:uid="{00000000-0005-0000-0000-0000955A0000}"/>
    <cellStyle name="Normal 58 4 2 2 2 2 2" xfId="18136" xr:uid="{00000000-0005-0000-0000-0000965A0000}"/>
    <cellStyle name="Normal 58 4 2 2 2 2 2 2" xfId="34710" xr:uid="{00000000-0005-0000-0000-0000975A0000}"/>
    <cellStyle name="Normal 58 4 2 2 2 2 3" xfId="26663" xr:uid="{00000000-0005-0000-0000-0000985A0000}"/>
    <cellStyle name="Normal 58 4 2 2 2 3" xfId="14337" xr:uid="{00000000-0005-0000-0000-0000995A0000}"/>
    <cellStyle name="Normal 58 4 2 2 2 3 2" xfId="30883" xr:uid="{00000000-0005-0000-0000-00009A5A0000}"/>
    <cellStyle name="Normal 58 4 2 2 2 4" xfId="22840" xr:uid="{00000000-0005-0000-0000-00009B5A0000}"/>
    <cellStyle name="Normal 58 4 2 2 3" xfId="8962" xr:uid="{00000000-0005-0000-0000-00009C5A0000}"/>
    <cellStyle name="Normal 58 4 2 2 3 2" xfId="18137" xr:uid="{00000000-0005-0000-0000-00009D5A0000}"/>
    <cellStyle name="Normal 58 4 2 2 3 2 2" xfId="34711" xr:uid="{00000000-0005-0000-0000-00009E5A0000}"/>
    <cellStyle name="Normal 58 4 2 2 3 3" xfId="26664" xr:uid="{00000000-0005-0000-0000-00009F5A0000}"/>
    <cellStyle name="Normal 58 4 2 2 4" xfId="14336" xr:uid="{00000000-0005-0000-0000-0000A05A0000}"/>
    <cellStyle name="Normal 58 4 2 2 4 2" xfId="30882" xr:uid="{00000000-0005-0000-0000-0000A15A0000}"/>
    <cellStyle name="Normal 58 4 2 2 5" xfId="22839" xr:uid="{00000000-0005-0000-0000-0000A25A0000}"/>
    <cellStyle name="Normal 58 4 2 3" xfId="5004" xr:uid="{00000000-0005-0000-0000-0000A35A0000}"/>
    <cellStyle name="Normal 58 4 2 3 2" xfId="8963" xr:uid="{00000000-0005-0000-0000-0000A45A0000}"/>
    <cellStyle name="Normal 58 4 2 3 2 2" xfId="18138" xr:uid="{00000000-0005-0000-0000-0000A55A0000}"/>
    <cellStyle name="Normal 58 4 2 3 2 2 2" xfId="34712" xr:uid="{00000000-0005-0000-0000-0000A65A0000}"/>
    <cellStyle name="Normal 58 4 2 3 2 3" xfId="26665" xr:uid="{00000000-0005-0000-0000-0000A75A0000}"/>
    <cellStyle name="Normal 58 4 2 3 3" xfId="14338" xr:uid="{00000000-0005-0000-0000-0000A85A0000}"/>
    <cellStyle name="Normal 58 4 2 3 3 2" xfId="30884" xr:uid="{00000000-0005-0000-0000-0000A95A0000}"/>
    <cellStyle name="Normal 58 4 2 3 4" xfId="22841" xr:uid="{00000000-0005-0000-0000-0000AA5A0000}"/>
    <cellStyle name="Normal 58 4 2 4" xfId="8964" xr:uid="{00000000-0005-0000-0000-0000AB5A0000}"/>
    <cellStyle name="Normal 58 4 2 4 2" xfId="18139" xr:uid="{00000000-0005-0000-0000-0000AC5A0000}"/>
    <cellStyle name="Normal 58 4 2 4 2 2" xfId="34713" xr:uid="{00000000-0005-0000-0000-0000AD5A0000}"/>
    <cellStyle name="Normal 58 4 2 4 3" xfId="26666" xr:uid="{00000000-0005-0000-0000-0000AE5A0000}"/>
    <cellStyle name="Normal 58 4 2 5" xfId="14335" xr:uid="{00000000-0005-0000-0000-0000AF5A0000}"/>
    <cellStyle name="Normal 58 4 2 5 2" xfId="30881" xr:uid="{00000000-0005-0000-0000-0000B05A0000}"/>
    <cellStyle name="Normal 58 4 2 6" xfId="22838" xr:uid="{00000000-0005-0000-0000-0000B15A0000}"/>
    <cellStyle name="Normal 58 4 3" xfId="5005" xr:uid="{00000000-0005-0000-0000-0000B25A0000}"/>
    <cellStyle name="Normal 58 4 3 2" xfId="5006" xr:uid="{00000000-0005-0000-0000-0000B35A0000}"/>
    <cellStyle name="Normal 58 4 3 2 2" xfId="8965" xr:uid="{00000000-0005-0000-0000-0000B45A0000}"/>
    <cellStyle name="Normal 58 4 3 2 2 2" xfId="18140" xr:uid="{00000000-0005-0000-0000-0000B55A0000}"/>
    <cellStyle name="Normal 58 4 3 2 2 2 2" xfId="34714" xr:uid="{00000000-0005-0000-0000-0000B65A0000}"/>
    <cellStyle name="Normal 58 4 3 2 2 3" xfId="26667" xr:uid="{00000000-0005-0000-0000-0000B75A0000}"/>
    <cellStyle name="Normal 58 4 3 2 3" xfId="14340" xr:uid="{00000000-0005-0000-0000-0000B85A0000}"/>
    <cellStyle name="Normal 58 4 3 2 3 2" xfId="30886" xr:uid="{00000000-0005-0000-0000-0000B95A0000}"/>
    <cellStyle name="Normal 58 4 3 2 4" xfId="22843" xr:uid="{00000000-0005-0000-0000-0000BA5A0000}"/>
    <cellStyle name="Normal 58 4 3 3" xfId="8966" xr:uid="{00000000-0005-0000-0000-0000BB5A0000}"/>
    <cellStyle name="Normal 58 4 3 3 2" xfId="18141" xr:uid="{00000000-0005-0000-0000-0000BC5A0000}"/>
    <cellStyle name="Normal 58 4 3 3 2 2" xfId="34715" xr:uid="{00000000-0005-0000-0000-0000BD5A0000}"/>
    <cellStyle name="Normal 58 4 3 3 3" xfId="26668" xr:uid="{00000000-0005-0000-0000-0000BE5A0000}"/>
    <cellStyle name="Normal 58 4 3 4" xfId="14339" xr:uid="{00000000-0005-0000-0000-0000BF5A0000}"/>
    <cellStyle name="Normal 58 4 3 4 2" xfId="30885" xr:uid="{00000000-0005-0000-0000-0000C05A0000}"/>
    <cellStyle name="Normal 58 4 3 5" xfId="22842" xr:uid="{00000000-0005-0000-0000-0000C15A0000}"/>
    <cellStyle name="Normal 58 4 4" xfId="5007" xr:uid="{00000000-0005-0000-0000-0000C25A0000}"/>
    <cellStyle name="Normal 58 4 4 2" xfId="8967" xr:uid="{00000000-0005-0000-0000-0000C35A0000}"/>
    <cellStyle name="Normal 58 4 4 2 2" xfId="18142" xr:uid="{00000000-0005-0000-0000-0000C45A0000}"/>
    <cellStyle name="Normal 58 4 4 2 2 2" xfId="34716" xr:uid="{00000000-0005-0000-0000-0000C55A0000}"/>
    <cellStyle name="Normal 58 4 4 2 3" xfId="26669" xr:uid="{00000000-0005-0000-0000-0000C65A0000}"/>
    <cellStyle name="Normal 58 4 4 3" xfId="14341" xr:uid="{00000000-0005-0000-0000-0000C75A0000}"/>
    <cellStyle name="Normal 58 4 4 3 2" xfId="30887" xr:uid="{00000000-0005-0000-0000-0000C85A0000}"/>
    <cellStyle name="Normal 58 4 4 4" xfId="22844" xr:uid="{00000000-0005-0000-0000-0000C95A0000}"/>
    <cellStyle name="Normal 58 4 5" xfId="8968" xr:uid="{00000000-0005-0000-0000-0000CA5A0000}"/>
    <cellStyle name="Normal 58 4 5 2" xfId="18143" xr:uid="{00000000-0005-0000-0000-0000CB5A0000}"/>
    <cellStyle name="Normal 58 4 5 2 2" xfId="34717" xr:uid="{00000000-0005-0000-0000-0000CC5A0000}"/>
    <cellStyle name="Normal 58 4 5 3" xfId="26670" xr:uid="{00000000-0005-0000-0000-0000CD5A0000}"/>
    <cellStyle name="Normal 58 4 6" xfId="14334" xr:uid="{00000000-0005-0000-0000-0000CE5A0000}"/>
    <cellStyle name="Normal 58 4 6 2" xfId="30880" xr:uid="{00000000-0005-0000-0000-0000CF5A0000}"/>
    <cellStyle name="Normal 58 4 7" xfId="22837" xr:uid="{00000000-0005-0000-0000-0000D05A0000}"/>
    <cellStyle name="Normal 58 5" xfId="5008" xr:uid="{00000000-0005-0000-0000-0000D15A0000}"/>
    <cellStyle name="Normal 58 5 2" xfId="5009" xr:uid="{00000000-0005-0000-0000-0000D25A0000}"/>
    <cellStyle name="Normal 58 5 2 2" xfId="5010" xr:uid="{00000000-0005-0000-0000-0000D35A0000}"/>
    <cellStyle name="Normal 58 5 2 2 2" xfId="5011" xr:uid="{00000000-0005-0000-0000-0000D45A0000}"/>
    <cellStyle name="Normal 58 5 2 2 2 2" xfId="8969" xr:uid="{00000000-0005-0000-0000-0000D55A0000}"/>
    <cellStyle name="Normal 58 5 2 2 2 2 2" xfId="18144" xr:uid="{00000000-0005-0000-0000-0000D65A0000}"/>
    <cellStyle name="Normal 58 5 2 2 2 2 2 2" xfId="34718" xr:uid="{00000000-0005-0000-0000-0000D75A0000}"/>
    <cellStyle name="Normal 58 5 2 2 2 2 3" xfId="26671" xr:uid="{00000000-0005-0000-0000-0000D85A0000}"/>
    <cellStyle name="Normal 58 5 2 2 2 3" xfId="14345" xr:uid="{00000000-0005-0000-0000-0000D95A0000}"/>
    <cellStyle name="Normal 58 5 2 2 2 3 2" xfId="30891" xr:uid="{00000000-0005-0000-0000-0000DA5A0000}"/>
    <cellStyle name="Normal 58 5 2 2 2 4" xfId="22848" xr:uid="{00000000-0005-0000-0000-0000DB5A0000}"/>
    <cellStyle name="Normal 58 5 2 2 3" xfId="8970" xr:uid="{00000000-0005-0000-0000-0000DC5A0000}"/>
    <cellStyle name="Normal 58 5 2 2 3 2" xfId="18145" xr:uid="{00000000-0005-0000-0000-0000DD5A0000}"/>
    <cellStyle name="Normal 58 5 2 2 3 2 2" xfId="34719" xr:uid="{00000000-0005-0000-0000-0000DE5A0000}"/>
    <cellStyle name="Normal 58 5 2 2 3 3" xfId="26672" xr:uid="{00000000-0005-0000-0000-0000DF5A0000}"/>
    <cellStyle name="Normal 58 5 2 2 4" xfId="14344" xr:uid="{00000000-0005-0000-0000-0000E05A0000}"/>
    <cellStyle name="Normal 58 5 2 2 4 2" xfId="30890" xr:uid="{00000000-0005-0000-0000-0000E15A0000}"/>
    <cellStyle name="Normal 58 5 2 2 5" xfId="22847" xr:uid="{00000000-0005-0000-0000-0000E25A0000}"/>
    <cellStyle name="Normal 58 5 2 3" xfId="5012" xr:uid="{00000000-0005-0000-0000-0000E35A0000}"/>
    <cellStyle name="Normal 58 5 2 3 2" xfId="8971" xr:uid="{00000000-0005-0000-0000-0000E45A0000}"/>
    <cellStyle name="Normal 58 5 2 3 2 2" xfId="18146" xr:uid="{00000000-0005-0000-0000-0000E55A0000}"/>
    <cellStyle name="Normal 58 5 2 3 2 2 2" xfId="34720" xr:uid="{00000000-0005-0000-0000-0000E65A0000}"/>
    <cellStyle name="Normal 58 5 2 3 2 3" xfId="26673" xr:uid="{00000000-0005-0000-0000-0000E75A0000}"/>
    <cellStyle name="Normal 58 5 2 3 3" xfId="14346" xr:uid="{00000000-0005-0000-0000-0000E85A0000}"/>
    <cellStyle name="Normal 58 5 2 3 3 2" xfId="30892" xr:uid="{00000000-0005-0000-0000-0000E95A0000}"/>
    <cellStyle name="Normal 58 5 2 3 4" xfId="22849" xr:uid="{00000000-0005-0000-0000-0000EA5A0000}"/>
    <cellStyle name="Normal 58 5 2 4" xfId="8972" xr:uid="{00000000-0005-0000-0000-0000EB5A0000}"/>
    <cellStyle name="Normal 58 5 2 4 2" xfId="18147" xr:uid="{00000000-0005-0000-0000-0000EC5A0000}"/>
    <cellStyle name="Normal 58 5 2 4 2 2" xfId="34721" xr:uid="{00000000-0005-0000-0000-0000ED5A0000}"/>
    <cellStyle name="Normal 58 5 2 4 3" xfId="26674" xr:uid="{00000000-0005-0000-0000-0000EE5A0000}"/>
    <cellStyle name="Normal 58 5 2 5" xfId="14343" xr:uid="{00000000-0005-0000-0000-0000EF5A0000}"/>
    <cellStyle name="Normal 58 5 2 5 2" xfId="30889" xr:uid="{00000000-0005-0000-0000-0000F05A0000}"/>
    <cellStyle name="Normal 58 5 2 6" xfId="22846" xr:uid="{00000000-0005-0000-0000-0000F15A0000}"/>
    <cellStyle name="Normal 58 5 3" xfId="5013" xr:uid="{00000000-0005-0000-0000-0000F25A0000}"/>
    <cellStyle name="Normal 58 5 3 2" xfId="5014" xr:uid="{00000000-0005-0000-0000-0000F35A0000}"/>
    <cellStyle name="Normal 58 5 3 2 2" xfId="8973" xr:uid="{00000000-0005-0000-0000-0000F45A0000}"/>
    <cellStyle name="Normal 58 5 3 2 2 2" xfId="18148" xr:uid="{00000000-0005-0000-0000-0000F55A0000}"/>
    <cellStyle name="Normal 58 5 3 2 2 2 2" xfId="34722" xr:uid="{00000000-0005-0000-0000-0000F65A0000}"/>
    <cellStyle name="Normal 58 5 3 2 2 3" xfId="26675" xr:uid="{00000000-0005-0000-0000-0000F75A0000}"/>
    <cellStyle name="Normal 58 5 3 2 3" xfId="14348" xr:uid="{00000000-0005-0000-0000-0000F85A0000}"/>
    <cellStyle name="Normal 58 5 3 2 3 2" xfId="30894" xr:uid="{00000000-0005-0000-0000-0000F95A0000}"/>
    <cellStyle name="Normal 58 5 3 2 4" xfId="22851" xr:uid="{00000000-0005-0000-0000-0000FA5A0000}"/>
    <cellStyle name="Normal 58 5 3 3" xfId="8974" xr:uid="{00000000-0005-0000-0000-0000FB5A0000}"/>
    <cellStyle name="Normal 58 5 3 3 2" xfId="18149" xr:uid="{00000000-0005-0000-0000-0000FC5A0000}"/>
    <cellStyle name="Normal 58 5 3 3 2 2" xfId="34723" xr:uid="{00000000-0005-0000-0000-0000FD5A0000}"/>
    <cellStyle name="Normal 58 5 3 3 3" xfId="26676" xr:uid="{00000000-0005-0000-0000-0000FE5A0000}"/>
    <cellStyle name="Normal 58 5 3 4" xfId="14347" xr:uid="{00000000-0005-0000-0000-0000FF5A0000}"/>
    <cellStyle name="Normal 58 5 3 4 2" xfId="30893" xr:uid="{00000000-0005-0000-0000-0000005B0000}"/>
    <cellStyle name="Normal 58 5 3 5" xfId="22850" xr:uid="{00000000-0005-0000-0000-0000015B0000}"/>
    <cellStyle name="Normal 58 5 4" xfId="5015" xr:uid="{00000000-0005-0000-0000-0000025B0000}"/>
    <cellStyle name="Normal 58 5 4 2" xfId="8975" xr:uid="{00000000-0005-0000-0000-0000035B0000}"/>
    <cellStyle name="Normal 58 5 4 2 2" xfId="18150" xr:uid="{00000000-0005-0000-0000-0000045B0000}"/>
    <cellStyle name="Normal 58 5 4 2 2 2" xfId="34724" xr:uid="{00000000-0005-0000-0000-0000055B0000}"/>
    <cellStyle name="Normal 58 5 4 2 3" xfId="26677" xr:uid="{00000000-0005-0000-0000-0000065B0000}"/>
    <cellStyle name="Normal 58 5 4 3" xfId="14349" xr:uid="{00000000-0005-0000-0000-0000075B0000}"/>
    <cellStyle name="Normal 58 5 4 3 2" xfId="30895" xr:uid="{00000000-0005-0000-0000-0000085B0000}"/>
    <cellStyle name="Normal 58 5 4 4" xfId="22852" xr:uid="{00000000-0005-0000-0000-0000095B0000}"/>
    <cellStyle name="Normal 58 5 5" xfId="8976" xr:uid="{00000000-0005-0000-0000-00000A5B0000}"/>
    <cellStyle name="Normal 58 5 5 2" xfId="18151" xr:uid="{00000000-0005-0000-0000-00000B5B0000}"/>
    <cellStyle name="Normal 58 5 5 2 2" xfId="34725" xr:uid="{00000000-0005-0000-0000-00000C5B0000}"/>
    <cellStyle name="Normal 58 5 5 3" xfId="26678" xr:uid="{00000000-0005-0000-0000-00000D5B0000}"/>
    <cellStyle name="Normal 58 5 6" xfId="14342" xr:uid="{00000000-0005-0000-0000-00000E5B0000}"/>
    <cellStyle name="Normal 58 5 6 2" xfId="30888" xr:uid="{00000000-0005-0000-0000-00000F5B0000}"/>
    <cellStyle name="Normal 58 5 7" xfId="22845" xr:uid="{00000000-0005-0000-0000-0000105B0000}"/>
    <cellStyle name="Normal 58 6" xfId="5016" xr:uid="{00000000-0005-0000-0000-0000115B0000}"/>
    <cellStyle name="Normal 58 6 2" xfId="5017" xr:uid="{00000000-0005-0000-0000-0000125B0000}"/>
    <cellStyle name="Normal 58 6 2 2" xfId="5018" xr:uid="{00000000-0005-0000-0000-0000135B0000}"/>
    <cellStyle name="Normal 58 6 2 2 2" xfId="8977" xr:uid="{00000000-0005-0000-0000-0000145B0000}"/>
    <cellStyle name="Normal 58 6 2 2 2 2" xfId="18152" xr:uid="{00000000-0005-0000-0000-0000155B0000}"/>
    <cellStyle name="Normal 58 6 2 2 2 2 2" xfId="34726" xr:uid="{00000000-0005-0000-0000-0000165B0000}"/>
    <cellStyle name="Normal 58 6 2 2 2 3" xfId="26679" xr:uid="{00000000-0005-0000-0000-0000175B0000}"/>
    <cellStyle name="Normal 58 6 2 2 3" xfId="14352" xr:uid="{00000000-0005-0000-0000-0000185B0000}"/>
    <cellStyle name="Normal 58 6 2 2 3 2" xfId="30898" xr:uid="{00000000-0005-0000-0000-0000195B0000}"/>
    <cellStyle name="Normal 58 6 2 2 4" xfId="22855" xr:uid="{00000000-0005-0000-0000-00001A5B0000}"/>
    <cellStyle name="Normal 58 6 2 3" xfId="8978" xr:uid="{00000000-0005-0000-0000-00001B5B0000}"/>
    <cellStyle name="Normal 58 6 2 3 2" xfId="18153" xr:uid="{00000000-0005-0000-0000-00001C5B0000}"/>
    <cellStyle name="Normal 58 6 2 3 2 2" xfId="34727" xr:uid="{00000000-0005-0000-0000-00001D5B0000}"/>
    <cellStyle name="Normal 58 6 2 3 3" xfId="26680" xr:uid="{00000000-0005-0000-0000-00001E5B0000}"/>
    <cellStyle name="Normal 58 6 2 4" xfId="14351" xr:uid="{00000000-0005-0000-0000-00001F5B0000}"/>
    <cellStyle name="Normal 58 6 2 4 2" xfId="30897" xr:uid="{00000000-0005-0000-0000-0000205B0000}"/>
    <cellStyle name="Normal 58 6 2 5" xfId="22854" xr:uid="{00000000-0005-0000-0000-0000215B0000}"/>
    <cellStyle name="Normal 58 6 3" xfId="5019" xr:uid="{00000000-0005-0000-0000-0000225B0000}"/>
    <cellStyle name="Normal 58 6 3 2" xfId="8979" xr:uid="{00000000-0005-0000-0000-0000235B0000}"/>
    <cellStyle name="Normal 58 6 3 2 2" xfId="18154" xr:uid="{00000000-0005-0000-0000-0000245B0000}"/>
    <cellStyle name="Normal 58 6 3 2 2 2" xfId="34728" xr:uid="{00000000-0005-0000-0000-0000255B0000}"/>
    <cellStyle name="Normal 58 6 3 2 3" xfId="26681" xr:uid="{00000000-0005-0000-0000-0000265B0000}"/>
    <cellStyle name="Normal 58 6 3 3" xfId="14353" xr:uid="{00000000-0005-0000-0000-0000275B0000}"/>
    <cellStyle name="Normal 58 6 3 3 2" xfId="30899" xr:uid="{00000000-0005-0000-0000-0000285B0000}"/>
    <cellStyle name="Normal 58 6 3 4" xfId="22856" xr:uid="{00000000-0005-0000-0000-0000295B0000}"/>
    <cellStyle name="Normal 58 6 4" xfId="8980" xr:uid="{00000000-0005-0000-0000-00002A5B0000}"/>
    <cellStyle name="Normal 58 6 4 2" xfId="18155" xr:uid="{00000000-0005-0000-0000-00002B5B0000}"/>
    <cellStyle name="Normal 58 6 4 2 2" xfId="34729" xr:uid="{00000000-0005-0000-0000-00002C5B0000}"/>
    <cellStyle name="Normal 58 6 4 3" xfId="26682" xr:uid="{00000000-0005-0000-0000-00002D5B0000}"/>
    <cellStyle name="Normal 58 6 5" xfId="14350" xr:uid="{00000000-0005-0000-0000-00002E5B0000}"/>
    <cellStyle name="Normal 58 6 5 2" xfId="30896" xr:uid="{00000000-0005-0000-0000-00002F5B0000}"/>
    <cellStyle name="Normal 58 6 6" xfId="22853" xr:uid="{00000000-0005-0000-0000-0000305B0000}"/>
    <cellStyle name="Normal 58 7" xfId="5020" xr:uid="{00000000-0005-0000-0000-0000315B0000}"/>
    <cellStyle name="Normal 58 7 2" xfId="5021" xr:uid="{00000000-0005-0000-0000-0000325B0000}"/>
    <cellStyle name="Normal 58 7 2 2" xfId="8981" xr:uid="{00000000-0005-0000-0000-0000335B0000}"/>
    <cellStyle name="Normal 58 7 2 2 2" xfId="18156" xr:uid="{00000000-0005-0000-0000-0000345B0000}"/>
    <cellStyle name="Normal 58 7 2 2 2 2" xfId="34730" xr:uid="{00000000-0005-0000-0000-0000355B0000}"/>
    <cellStyle name="Normal 58 7 2 2 3" xfId="26683" xr:uid="{00000000-0005-0000-0000-0000365B0000}"/>
    <cellStyle name="Normal 58 7 2 3" xfId="14355" xr:uid="{00000000-0005-0000-0000-0000375B0000}"/>
    <cellStyle name="Normal 58 7 2 3 2" xfId="30901" xr:uid="{00000000-0005-0000-0000-0000385B0000}"/>
    <cellStyle name="Normal 58 7 2 4" xfId="22858" xr:uid="{00000000-0005-0000-0000-0000395B0000}"/>
    <cellStyle name="Normal 58 7 3" xfId="8982" xr:uid="{00000000-0005-0000-0000-00003A5B0000}"/>
    <cellStyle name="Normal 58 7 3 2" xfId="18157" xr:uid="{00000000-0005-0000-0000-00003B5B0000}"/>
    <cellStyle name="Normal 58 7 3 2 2" xfId="34731" xr:uid="{00000000-0005-0000-0000-00003C5B0000}"/>
    <cellStyle name="Normal 58 7 3 3" xfId="26684" xr:uid="{00000000-0005-0000-0000-00003D5B0000}"/>
    <cellStyle name="Normal 58 7 4" xfId="14354" xr:uid="{00000000-0005-0000-0000-00003E5B0000}"/>
    <cellStyle name="Normal 58 7 4 2" xfId="30900" xr:uid="{00000000-0005-0000-0000-00003F5B0000}"/>
    <cellStyle name="Normal 58 7 5" xfId="22857" xr:uid="{00000000-0005-0000-0000-0000405B0000}"/>
    <cellStyle name="Normal 58 8" xfId="5022" xr:uid="{00000000-0005-0000-0000-0000415B0000}"/>
    <cellStyle name="Normal 58 8 2" xfId="8983" xr:uid="{00000000-0005-0000-0000-0000425B0000}"/>
    <cellStyle name="Normal 58 8 2 2" xfId="18158" xr:uid="{00000000-0005-0000-0000-0000435B0000}"/>
    <cellStyle name="Normal 58 8 2 2 2" xfId="34732" xr:uid="{00000000-0005-0000-0000-0000445B0000}"/>
    <cellStyle name="Normal 58 8 2 3" xfId="26685" xr:uid="{00000000-0005-0000-0000-0000455B0000}"/>
    <cellStyle name="Normal 58 8 3" xfId="14356" xr:uid="{00000000-0005-0000-0000-0000465B0000}"/>
    <cellStyle name="Normal 58 8 3 2" xfId="30902" xr:uid="{00000000-0005-0000-0000-0000475B0000}"/>
    <cellStyle name="Normal 58 8 4" xfId="22859" xr:uid="{00000000-0005-0000-0000-0000485B0000}"/>
    <cellStyle name="Normal 58 9" xfId="8984" xr:uid="{00000000-0005-0000-0000-0000495B0000}"/>
    <cellStyle name="Normal 58 9 2" xfId="18159" xr:uid="{00000000-0005-0000-0000-00004A5B0000}"/>
    <cellStyle name="Normal 58 9 2 2" xfId="34733" xr:uid="{00000000-0005-0000-0000-00004B5B0000}"/>
    <cellStyle name="Normal 58 9 3" xfId="26686" xr:uid="{00000000-0005-0000-0000-00004C5B0000}"/>
    <cellStyle name="Normal 59" xfId="5023" xr:uid="{00000000-0005-0000-0000-00004D5B0000}"/>
    <cellStyle name="Normal 59 10" xfId="14357" xr:uid="{00000000-0005-0000-0000-00004E5B0000}"/>
    <cellStyle name="Normal 59 10 2" xfId="30903" xr:uid="{00000000-0005-0000-0000-00004F5B0000}"/>
    <cellStyle name="Normal 59 11" xfId="22860" xr:uid="{00000000-0005-0000-0000-0000505B0000}"/>
    <cellStyle name="Normal 59 2" xfId="5024" xr:uid="{00000000-0005-0000-0000-0000515B0000}"/>
    <cellStyle name="Normal 59 2 2" xfId="5025" xr:uid="{00000000-0005-0000-0000-0000525B0000}"/>
    <cellStyle name="Normal 59 2 3" xfId="14358" xr:uid="{00000000-0005-0000-0000-0000535B0000}"/>
    <cellStyle name="Normal 59 2 3 2" xfId="30904" xr:uid="{00000000-0005-0000-0000-0000545B0000}"/>
    <cellStyle name="Normal 59 2 4" xfId="22861" xr:uid="{00000000-0005-0000-0000-0000555B0000}"/>
    <cellStyle name="Normal 59 3" xfId="5026" xr:uid="{00000000-0005-0000-0000-0000565B0000}"/>
    <cellStyle name="Normal 59 3 2" xfId="5027" xr:uid="{00000000-0005-0000-0000-0000575B0000}"/>
    <cellStyle name="Normal 59 3 2 2" xfId="5028" xr:uid="{00000000-0005-0000-0000-0000585B0000}"/>
    <cellStyle name="Normal 59 3 2 2 2" xfId="5029" xr:uid="{00000000-0005-0000-0000-0000595B0000}"/>
    <cellStyle name="Normal 59 3 2 2 2 2" xfId="8985" xr:uid="{00000000-0005-0000-0000-00005A5B0000}"/>
    <cellStyle name="Normal 59 3 2 2 2 2 2" xfId="18160" xr:uid="{00000000-0005-0000-0000-00005B5B0000}"/>
    <cellStyle name="Normal 59 3 2 2 2 2 2 2" xfId="34734" xr:uid="{00000000-0005-0000-0000-00005C5B0000}"/>
    <cellStyle name="Normal 59 3 2 2 2 2 3" xfId="26687" xr:uid="{00000000-0005-0000-0000-00005D5B0000}"/>
    <cellStyle name="Normal 59 3 2 2 2 3" xfId="14361" xr:uid="{00000000-0005-0000-0000-00005E5B0000}"/>
    <cellStyle name="Normal 59 3 2 2 2 3 2" xfId="30907" xr:uid="{00000000-0005-0000-0000-00005F5B0000}"/>
    <cellStyle name="Normal 59 3 2 2 2 4" xfId="22864" xr:uid="{00000000-0005-0000-0000-0000605B0000}"/>
    <cellStyle name="Normal 59 3 2 2 3" xfId="8986" xr:uid="{00000000-0005-0000-0000-0000615B0000}"/>
    <cellStyle name="Normal 59 3 2 2 3 2" xfId="18161" xr:uid="{00000000-0005-0000-0000-0000625B0000}"/>
    <cellStyle name="Normal 59 3 2 2 3 2 2" xfId="34735" xr:uid="{00000000-0005-0000-0000-0000635B0000}"/>
    <cellStyle name="Normal 59 3 2 2 3 3" xfId="26688" xr:uid="{00000000-0005-0000-0000-0000645B0000}"/>
    <cellStyle name="Normal 59 3 2 2 4" xfId="14360" xr:uid="{00000000-0005-0000-0000-0000655B0000}"/>
    <cellStyle name="Normal 59 3 2 2 4 2" xfId="30906" xr:uid="{00000000-0005-0000-0000-0000665B0000}"/>
    <cellStyle name="Normal 59 3 2 2 5" xfId="22863" xr:uid="{00000000-0005-0000-0000-0000675B0000}"/>
    <cellStyle name="Normal 59 3 2 3" xfId="5030" xr:uid="{00000000-0005-0000-0000-0000685B0000}"/>
    <cellStyle name="Normal 59 3 2 3 2" xfId="8987" xr:uid="{00000000-0005-0000-0000-0000695B0000}"/>
    <cellStyle name="Normal 59 3 2 3 2 2" xfId="18162" xr:uid="{00000000-0005-0000-0000-00006A5B0000}"/>
    <cellStyle name="Normal 59 3 2 3 2 2 2" xfId="34736" xr:uid="{00000000-0005-0000-0000-00006B5B0000}"/>
    <cellStyle name="Normal 59 3 2 3 2 3" xfId="26689" xr:uid="{00000000-0005-0000-0000-00006C5B0000}"/>
    <cellStyle name="Normal 59 3 2 3 3" xfId="14362" xr:uid="{00000000-0005-0000-0000-00006D5B0000}"/>
    <cellStyle name="Normal 59 3 2 3 3 2" xfId="30908" xr:uid="{00000000-0005-0000-0000-00006E5B0000}"/>
    <cellStyle name="Normal 59 3 2 3 4" xfId="22865" xr:uid="{00000000-0005-0000-0000-00006F5B0000}"/>
    <cellStyle name="Normal 59 3 2 4" xfId="8988" xr:uid="{00000000-0005-0000-0000-0000705B0000}"/>
    <cellStyle name="Normal 59 3 2 4 2" xfId="18163" xr:uid="{00000000-0005-0000-0000-0000715B0000}"/>
    <cellStyle name="Normal 59 3 2 4 2 2" xfId="34737" xr:uid="{00000000-0005-0000-0000-0000725B0000}"/>
    <cellStyle name="Normal 59 3 2 4 3" xfId="26690" xr:uid="{00000000-0005-0000-0000-0000735B0000}"/>
    <cellStyle name="Normal 59 3 2 5" xfId="14359" xr:uid="{00000000-0005-0000-0000-0000745B0000}"/>
    <cellStyle name="Normal 59 3 2 5 2" xfId="30905" xr:uid="{00000000-0005-0000-0000-0000755B0000}"/>
    <cellStyle name="Normal 59 3 2 6" xfId="22862" xr:uid="{00000000-0005-0000-0000-0000765B0000}"/>
    <cellStyle name="Normal 59 3 3" xfId="5031" xr:uid="{00000000-0005-0000-0000-0000775B0000}"/>
    <cellStyle name="Normal 59 3 3 2" xfId="5032" xr:uid="{00000000-0005-0000-0000-0000785B0000}"/>
    <cellStyle name="Normal 59 3 3 2 2" xfId="8989" xr:uid="{00000000-0005-0000-0000-0000795B0000}"/>
    <cellStyle name="Normal 59 3 3 2 2 2" xfId="18164" xr:uid="{00000000-0005-0000-0000-00007A5B0000}"/>
    <cellStyle name="Normal 59 3 3 2 2 2 2" xfId="34738" xr:uid="{00000000-0005-0000-0000-00007B5B0000}"/>
    <cellStyle name="Normal 59 3 3 2 2 3" xfId="26691" xr:uid="{00000000-0005-0000-0000-00007C5B0000}"/>
    <cellStyle name="Normal 59 3 3 2 3" xfId="14364" xr:uid="{00000000-0005-0000-0000-00007D5B0000}"/>
    <cellStyle name="Normal 59 3 3 2 3 2" xfId="30910" xr:uid="{00000000-0005-0000-0000-00007E5B0000}"/>
    <cellStyle name="Normal 59 3 3 2 4" xfId="22867" xr:uid="{00000000-0005-0000-0000-00007F5B0000}"/>
    <cellStyle name="Normal 59 3 3 3" xfId="8990" xr:uid="{00000000-0005-0000-0000-0000805B0000}"/>
    <cellStyle name="Normal 59 3 3 3 2" xfId="18165" xr:uid="{00000000-0005-0000-0000-0000815B0000}"/>
    <cellStyle name="Normal 59 3 3 3 2 2" xfId="34739" xr:uid="{00000000-0005-0000-0000-0000825B0000}"/>
    <cellStyle name="Normal 59 3 3 3 3" xfId="26692" xr:uid="{00000000-0005-0000-0000-0000835B0000}"/>
    <cellStyle name="Normal 59 3 3 4" xfId="14363" xr:uid="{00000000-0005-0000-0000-0000845B0000}"/>
    <cellStyle name="Normal 59 3 3 4 2" xfId="30909" xr:uid="{00000000-0005-0000-0000-0000855B0000}"/>
    <cellStyle name="Normal 59 3 3 5" xfId="22866" xr:uid="{00000000-0005-0000-0000-0000865B0000}"/>
    <cellStyle name="Normal 59 3 4" xfId="5033" xr:uid="{00000000-0005-0000-0000-0000875B0000}"/>
    <cellStyle name="Normal 59 3 4 2" xfId="8991" xr:uid="{00000000-0005-0000-0000-0000885B0000}"/>
    <cellStyle name="Normal 59 3 4 2 2" xfId="18166" xr:uid="{00000000-0005-0000-0000-0000895B0000}"/>
    <cellStyle name="Normal 59 3 4 2 2 2" xfId="34740" xr:uid="{00000000-0005-0000-0000-00008A5B0000}"/>
    <cellStyle name="Normal 59 3 4 2 3" xfId="26693" xr:uid="{00000000-0005-0000-0000-00008B5B0000}"/>
    <cellStyle name="Normal 59 3 4 3" xfId="14365" xr:uid="{00000000-0005-0000-0000-00008C5B0000}"/>
    <cellStyle name="Normal 59 3 4 3 2" xfId="30911" xr:uid="{00000000-0005-0000-0000-00008D5B0000}"/>
    <cellStyle name="Normal 59 3 4 4" xfId="22868" xr:uid="{00000000-0005-0000-0000-00008E5B0000}"/>
    <cellStyle name="Normal 59 3 5" xfId="5034" xr:uid="{00000000-0005-0000-0000-00008F5B0000}"/>
    <cellStyle name="Normal 59 3 5 2" xfId="14366" xr:uid="{00000000-0005-0000-0000-0000905B0000}"/>
    <cellStyle name="Normal 59 3 5 2 2" xfId="30912" xr:uid="{00000000-0005-0000-0000-0000915B0000}"/>
    <cellStyle name="Normal 59 3 5 3" xfId="22869" xr:uid="{00000000-0005-0000-0000-0000925B0000}"/>
    <cellStyle name="Normal 59 4" xfId="5035" xr:uid="{00000000-0005-0000-0000-0000935B0000}"/>
    <cellStyle name="Normal 59 4 2" xfId="5036" xr:uid="{00000000-0005-0000-0000-0000945B0000}"/>
    <cellStyle name="Normal 59 4 2 2" xfId="5037" xr:uid="{00000000-0005-0000-0000-0000955B0000}"/>
    <cellStyle name="Normal 59 4 2 2 2" xfId="5038" xr:uid="{00000000-0005-0000-0000-0000965B0000}"/>
    <cellStyle name="Normal 59 4 2 2 2 2" xfId="8992" xr:uid="{00000000-0005-0000-0000-0000975B0000}"/>
    <cellStyle name="Normal 59 4 2 2 2 2 2" xfId="18167" xr:uid="{00000000-0005-0000-0000-0000985B0000}"/>
    <cellStyle name="Normal 59 4 2 2 2 2 2 2" xfId="34741" xr:uid="{00000000-0005-0000-0000-0000995B0000}"/>
    <cellStyle name="Normal 59 4 2 2 2 2 3" xfId="26694" xr:uid="{00000000-0005-0000-0000-00009A5B0000}"/>
    <cellStyle name="Normal 59 4 2 2 2 3" xfId="14370" xr:uid="{00000000-0005-0000-0000-00009B5B0000}"/>
    <cellStyle name="Normal 59 4 2 2 2 3 2" xfId="30916" xr:uid="{00000000-0005-0000-0000-00009C5B0000}"/>
    <cellStyle name="Normal 59 4 2 2 2 4" xfId="22873" xr:uid="{00000000-0005-0000-0000-00009D5B0000}"/>
    <cellStyle name="Normal 59 4 2 2 3" xfId="8993" xr:uid="{00000000-0005-0000-0000-00009E5B0000}"/>
    <cellStyle name="Normal 59 4 2 2 3 2" xfId="18168" xr:uid="{00000000-0005-0000-0000-00009F5B0000}"/>
    <cellStyle name="Normal 59 4 2 2 3 2 2" xfId="34742" xr:uid="{00000000-0005-0000-0000-0000A05B0000}"/>
    <cellStyle name="Normal 59 4 2 2 3 3" xfId="26695" xr:uid="{00000000-0005-0000-0000-0000A15B0000}"/>
    <cellStyle name="Normal 59 4 2 2 4" xfId="14369" xr:uid="{00000000-0005-0000-0000-0000A25B0000}"/>
    <cellStyle name="Normal 59 4 2 2 4 2" xfId="30915" xr:uid="{00000000-0005-0000-0000-0000A35B0000}"/>
    <cellStyle name="Normal 59 4 2 2 5" xfId="22872" xr:uid="{00000000-0005-0000-0000-0000A45B0000}"/>
    <cellStyle name="Normal 59 4 2 3" xfId="5039" xr:uid="{00000000-0005-0000-0000-0000A55B0000}"/>
    <cellStyle name="Normal 59 4 2 3 2" xfId="8994" xr:uid="{00000000-0005-0000-0000-0000A65B0000}"/>
    <cellStyle name="Normal 59 4 2 3 2 2" xfId="18169" xr:uid="{00000000-0005-0000-0000-0000A75B0000}"/>
    <cellStyle name="Normal 59 4 2 3 2 2 2" xfId="34743" xr:uid="{00000000-0005-0000-0000-0000A85B0000}"/>
    <cellStyle name="Normal 59 4 2 3 2 3" xfId="26696" xr:uid="{00000000-0005-0000-0000-0000A95B0000}"/>
    <cellStyle name="Normal 59 4 2 3 3" xfId="14371" xr:uid="{00000000-0005-0000-0000-0000AA5B0000}"/>
    <cellStyle name="Normal 59 4 2 3 3 2" xfId="30917" xr:uid="{00000000-0005-0000-0000-0000AB5B0000}"/>
    <cellStyle name="Normal 59 4 2 3 4" xfId="22874" xr:uid="{00000000-0005-0000-0000-0000AC5B0000}"/>
    <cellStyle name="Normal 59 4 2 4" xfId="8995" xr:uid="{00000000-0005-0000-0000-0000AD5B0000}"/>
    <cellStyle name="Normal 59 4 2 4 2" xfId="18170" xr:uid="{00000000-0005-0000-0000-0000AE5B0000}"/>
    <cellStyle name="Normal 59 4 2 4 2 2" xfId="34744" xr:uid="{00000000-0005-0000-0000-0000AF5B0000}"/>
    <cellStyle name="Normal 59 4 2 4 3" xfId="26697" xr:uid="{00000000-0005-0000-0000-0000B05B0000}"/>
    <cellStyle name="Normal 59 4 2 5" xfId="14368" xr:uid="{00000000-0005-0000-0000-0000B15B0000}"/>
    <cellStyle name="Normal 59 4 2 5 2" xfId="30914" xr:uid="{00000000-0005-0000-0000-0000B25B0000}"/>
    <cellStyle name="Normal 59 4 2 6" xfId="22871" xr:uid="{00000000-0005-0000-0000-0000B35B0000}"/>
    <cellStyle name="Normal 59 4 3" xfId="5040" xr:uid="{00000000-0005-0000-0000-0000B45B0000}"/>
    <cellStyle name="Normal 59 4 3 2" xfId="5041" xr:uid="{00000000-0005-0000-0000-0000B55B0000}"/>
    <cellStyle name="Normal 59 4 3 2 2" xfId="8996" xr:uid="{00000000-0005-0000-0000-0000B65B0000}"/>
    <cellStyle name="Normal 59 4 3 2 2 2" xfId="18171" xr:uid="{00000000-0005-0000-0000-0000B75B0000}"/>
    <cellStyle name="Normal 59 4 3 2 2 2 2" xfId="34745" xr:uid="{00000000-0005-0000-0000-0000B85B0000}"/>
    <cellStyle name="Normal 59 4 3 2 2 3" xfId="26698" xr:uid="{00000000-0005-0000-0000-0000B95B0000}"/>
    <cellStyle name="Normal 59 4 3 2 3" xfId="14373" xr:uid="{00000000-0005-0000-0000-0000BA5B0000}"/>
    <cellStyle name="Normal 59 4 3 2 3 2" xfId="30919" xr:uid="{00000000-0005-0000-0000-0000BB5B0000}"/>
    <cellStyle name="Normal 59 4 3 2 4" xfId="22876" xr:uid="{00000000-0005-0000-0000-0000BC5B0000}"/>
    <cellStyle name="Normal 59 4 3 3" xfId="8997" xr:uid="{00000000-0005-0000-0000-0000BD5B0000}"/>
    <cellStyle name="Normal 59 4 3 3 2" xfId="18172" xr:uid="{00000000-0005-0000-0000-0000BE5B0000}"/>
    <cellStyle name="Normal 59 4 3 3 2 2" xfId="34746" xr:uid="{00000000-0005-0000-0000-0000BF5B0000}"/>
    <cellStyle name="Normal 59 4 3 3 3" xfId="26699" xr:uid="{00000000-0005-0000-0000-0000C05B0000}"/>
    <cellStyle name="Normal 59 4 3 4" xfId="14372" xr:uid="{00000000-0005-0000-0000-0000C15B0000}"/>
    <cellStyle name="Normal 59 4 3 4 2" xfId="30918" xr:uid="{00000000-0005-0000-0000-0000C25B0000}"/>
    <cellStyle name="Normal 59 4 3 5" xfId="22875" xr:uid="{00000000-0005-0000-0000-0000C35B0000}"/>
    <cellStyle name="Normal 59 4 4" xfId="5042" xr:uid="{00000000-0005-0000-0000-0000C45B0000}"/>
    <cellStyle name="Normal 59 4 4 2" xfId="8998" xr:uid="{00000000-0005-0000-0000-0000C55B0000}"/>
    <cellStyle name="Normal 59 4 4 2 2" xfId="18173" xr:uid="{00000000-0005-0000-0000-0000C65B0000}"/>
    <cellStyle name="Normal 59 4 4 2 2 2" xfId="34747" xr:uid="{00000000-0005-0000-0000-0000C75B0000}"/>
    <cellStyle name="Normal 59 4 4 2 3" xfId="26700" xr:uid="{00000000-0005-0000-0000-0000C85B0000}"/>
    <cellStyle name="Normal 59 4 4 3" xfId="14374" xr:uid="{00000000-0005-0000-0000-0000C95B0000}"/>
    <cellStyle name="Normal 59 4 4 3 2" xfId="30920" xr:uid="{00000000-0005-0000-0000-0000CA5B0000}"/>
    <cellStyle name="Normal 59 4 4 4" xfId="22877" xr:uid="{00000000-0005-0000-0000-0000CB5B0000}"/>
    <cellStyle name="Normal 59 4 5" xfId="8999" xr:uid="{00000000-0005-0000-0000-0000CC5B0000}"/>
    <cellStyle name="Normal 59 4 5 2" xfId="18174" xr:uid="{00000000-0005-0000-0000-0000CD5B0000}"/>
    <cellStyle name="Normal 59 4 5 2 2" xfId="34748" xr:uid="{00000000-0005-0000-0000-0000CE5B0000}"/>
    <cellStyle name="Normal 59 4 5 3" xfId="26701" xr:uid="{00000000-0005-0000-0000-0000CF5B0000}"/>
    <cellStyle name="Normal 59 4 6" xfId="14367" xr:uid="{00000000-0005-0000-0000-0000D05B0000}"/>
    <cellStyle name="Normal 59 4 6 2" xfId="30913" xr:uid="{00000000-0005-0000-0000-0000D15B0000}"/>
    <cellStyle name="Normal 59 4 7" xfId="22870" xr:uid="{00000000-0005-0000-0000-0000D25B0000}"/>
    <cellStyle name="Normal 59 5" xfId="5043" xr:uid="{00000000-0005-0000-0000-0000D35B0000}"/>
    <cellStyle name="Normal 59 5 2" xfId="5044" xr:uid="{00000000-0005-0000-0000-0000D45B0000}"/>
    <cellStyle name="Normal 59 5 2 2" xfId="5045" xr:uid="{00000000-0005-0000-0000-0000D55B0000}"/>
    <cellStyle name="Normal 59 5 2 2 2" xfId="5046" xr:uid="{00000000-0005-0000-0000-0000D65B0000}"/>
    <cellStyle name="Normal 59 5 2 2 2 2" xfId="9000" xr:uid="{00000000-0005-0000-0000-0000D75B0000}"/>
    <cellStyle name="Normal 59 5 2 2 2 2 2" xfId="18175" xr:uid="{00000000-0005-0000-0000-0000D85B0000}"/>
    <cellStyle name="Normal 59 5 2 2 2 2 2 2" xfId="34749" xr:uid="{00000000-0005-0000-0000-0000D95B0000}"/>
    <cellStyle name="Normal 59 5 2 2 2 2 3" xfId="26702" xr:uid="{00000000-0005-0000-0000-0000DA5B0000}"/>
    <cellStyle name="Normal 59 5 2 2 2 3" xfId="14378" xr:uid="{00000000-0005-0000-0000-0000DB5B0000}"/>
    <cellStyle name="Normal 59 5 2 2 2 3 2" xfId="30924" xr:uid="{00000000-0005-0000-0000-0000DC5B0000}"/>
    <cellStyle name="Normal 59 5 2 2 2 4" xfId="22881" xr:uid="{00000000-0005-0000-0000-0000DD5B0000}"/>
    <cellStyle name="Normal 59 5 2 2 3" xfId="9001" xr:uid="{00000000-0005-0000-0000-0000DE5B0000}"/>
    <cellStyle name="Normal 59 5 2 2 3 2" xfId="18176" xr:uid="{00000000-0005-0000-0000-0000DF5B0000}"/>
    <cellStyle name="Normal 59 5 2 2 3 2 2" xfId="34750" xr:uid="{00000000-0005-0000-0000-0000E05B0000}"/>
    <cellStyle name="Normal 59 5 2 2 3 3" xfId="26703" xr:uid="{00000000-0005-0000-0000-0000E15B0000}"/>
    <cellStyle name="Normal 59 5 2 2 4" xfId="14377" xr:uid="{00000000-0005-0000-0000-0000E25B0000}"/>
    <cellStyle name="Normal 59 5 2 2 4 2" xfId="30923" xr:uid="{00000000-0005-0000-0000-0000E35B0000}"/>
    <cellStyle name="Normal 59 5 2 2 5" xfId="22880" xr:uid="{00000000-0005-0000-0000-0000E45B0000}"/>
    <cellStyle name="Normal 59 5 2 3" xfId="5047" xr:uid="{00000000-0005-0000-0000-0000E55B0000}"/>
    <cellStyle name="Normal 59 5 2 3 2" xfId="9002" xr:uid="{00000000-0005-0000-0000-0000E65B0000}"/>
    <cellStyle name="Normal 59 5 2 3 2 2" xfId="18177" xr:uid="{00000000-0005-0000-0000-0000E75B0000}"/>
    <cellStyle name="Normal 59 5 2 3 2 2 2" xfId="34751" xr:uid="{00000000-0005-0000-0000-0000E85B0000}"/>
    <cellStyle name="Normal 59 5 2 3 2 3" xfId="26704" xr:uid="{00000000-0005-0000-0000-0000E95B0000}"/>
    <cellStyle name="Normal 59 5 2 3 3" xfId="14379" xr:uid="{00000000-0005-0000-0000-0000EA5B0000}"/>
    <cellStyle name="Normal 59 5 2 3 3 2" xfId="30925" xr:uid="{00000000-0005-0000-0000-0000EB5B0000}"/>
    <cellStyle name="Normal 59 5 2 3 4" xfId="22882" xr:uid="{00000000-0005-0000-0000-0000EC5B0000}"/>
    <cellStyle name="Normal 59 5 2 4" xfId="9003" xr:uid="{00000000-0005-0000-0000-0000ED5B0000}"/>
    <cellStyle name="Normal 59 5 2 4 2" xfId="18178" xr:uid="{00000000-0005-0000-0000-0000EE5B0000}"/>
    <cellStyle name="Normal 59 5 2 4 2 2" xfId="34752" xr:uid="{00000000-0005-0000-0000-0000EF5B0000}"/>
    <cellStyle name="Normal 59 5 2 4 3" xfId="26705" xr:uid="{00000000-0005-0000-0000-0000F05B0000}"/>
    <cellStyle name="Normal 59 5 2 5" xfId="14376" xr:uid="{00000000-0005-0000-0000-0000F15B0000}"/>
    <cellStyle name="Normal 59 5 2 5 2" xfId="30922" xr:uid="{00000000-0005-0000-0000-0000F25B0000}"/>
    <cellStyle name="Normal 59 5 2 6" xfId="22879" xr:uid="{00000000-0005-0000-0000-0000F35B0000}"/>
    <cellStyle name="Normal 59 5 3" xfId="5048" xr:uid="{00000000-0005-0000-0000-0000F45B0000}"/>
    <cellStyle name="Normal 59 5 3 2" xfId="5049" xr:uid="{00000000-0005-0000-0000-0000F55B0000}"/>
    <cellStyle name="Normal 59 5 3 2 2" xfId="9004" xr:uid="{00000000-0005-0000-0000-0000F65B0000}"/>
    <cellStyle name="Normal 59 5 3 2 2 2" xfId="18179" xr:uid="{00000000-0005-0000-0000-0000F75B0000}"/>
    <cellStyle name="Normal 59 5 3 2 2 2 2" xfId="34753" xr:uid="{00000000-0005-0000-0000-0000F85B0000}"/>
    <cellStyle name="Normal 59 5 3 2 2 3" xfId="26706" xr:uid="{00000000-0005-0000-0000-0000F95B0000}"/>
    <cellStyle name="Normal 59 5 3 2 3" xfId="14381" xr:uid="{00000000-0005-0000-0000-0000FA5B0000}"/>
    <cellStyle name="Normal 59 5 3 2 3 2" xfId="30927" xr:uid="{00000000-0005-0000-0000-0000FB5B0000}"/>
    <cellStyle name="Normal 59 5 3 2 4" xfId="22884" xr:uid="{00000000-0005-0000-0000-0000FC5B0000}"/>
    <cellStyle name="Normal 59 5 3 3" xfId="9005" xr:uid="{00000000-0005-0000-0000-0000FD5B0000}"/>
    <cellStyle name="Normal 59 5 3 3 2" xfId="18180" xr:uid="{00000000-0005-0000-0000-0000FE5B0000}"/>
    <cellStyle name="Normal 59 5 3 3 2 2" xfId="34754" xr:uid="{00000000-0005-0000-0000-0000FF5B0000}"/>
    <cellStyle name="Normal 59 5 3 3 3" xfId="26707" xr:uid="{00000000-0005-0000-0000-0000005C0000}"/>
    <cellStyle name="Normal 59 5 3 4" xfId="14380" xr:uid="{00000000-0005-0000-0000-0000015C0000}"/>
    <cellStyle name="Normal 59 5 3 4 2" xfId="30926" xr:uid="{00000000-0005-0000-0000-0000025C0000}"/>
    <cellStyle name="Normal 59 5 3 5" xfId="22883" xr:uid="{00000000-0005-0000-0000-0000035C0000}"/>
    <cellStyle name="Normal 59 5 4" xfId="5050" xr:uid="{00000000-0005-0000-0000-0000045C0000}"/>
    <cellStyle name="Normal 59 5 4 2" xfId="9006" xr:uid="{00000000-0005-0000-0000-0000055C0000}"/>
    <cellStyle name="Normal 59 5 4 2 2" xfId="18181" xr:uid="{00000000-0005-0000-0000-0000065C0000}"/>
    <cellStyle name="Normal 59 5 4 2 2 2" xfId="34755" xr:uid="{00000000-0005-0000-0000-0000075C0000}"/>
    <cellStyle name="Normal 59 5 4 2 3" xfId="26708" xr:uid="{00000000-0005-0000-0000-0000085C0000}"/>
    <cellStyle name="Normal 59 5 4 3" xfId="14382" xr:uid="{00000000-0005-0000-0000-0000095C0000}"/>
    <cellStyle name="Normal 59 5 4 3 2" xfId="30928" xr:uid="{00000000-0005-0000-0000-00000A5C0000}"/>
    <cellStyle name="Normal 59 5 4 4" xfId="22885" xr:uid="{00000000-0005-0000-0000-00000B5C0000}"/>
    <cellStyle name="Normal 59 5 5" xfId="9007" xr:uid="{00000000-0005-0000-0000-00000C5C0000}"/>
    <cellStyle name="Normal 59 5 5 2" xfId="18182" xr:uid="{00000000-0005-0000-0000-00000D5C0000}"/>
    <cellStyle name="Normal 59 5 5 2 2" xfId="34756" xr:uid="{00000000-0005-0000-0000-00000E5C0000}"/>
    <cellStyle name="Normal 59 5 5 3" xfId="26709" xr:uid="{00000000-0005-0000-0000-00000F5C0000}"/>
    <cellStyle name="Normal 59 5 6" xfId="14375" xr:uid="{00000000-0005-0000-0000-0000105C0000}"/>
    <cellStyle name="Normal 59 5 6 2" xfId="30921" xr:uid="{00000000-0005-0000-0000-0000115C0000}"/>
    <cellStyle name="Normal 59 5 7" xfId="22878" xr:uid="{00000000-0005-0000-0000-0000125C0000}"/>
    <cellStyle name="Normal 59 6" xfId="5051" xr:uid="{00000000-0005-0000-0000-0000135C0000}"/>
    <cellStyle name="Normal 59 6 2" xfId="5052" xr:uid="{00000000-0005-0000-0000-0000145C0000}"/>
    <cellStyle name="Normal 59 6 2 2" xfId="5053" xr:uid="{00000000-0005-0000-0000-0000155C0000}"/>
    <cellStyle name="Normal 59 6 2 2 2" xfId="9008" xr:uid="{00000000-0005-0000-0000-0000165C0000}"/>
    <cellStyle name="Normal 59 6 2 2 2 2" xfId="18183" xr:uid="{00000000-0005-0000-0000-0000175C0000}"/>
    <cellStyle name="Normal 59 6 2 2 2 2 2" xfId="34757" xr:uid="{00000000-0005-0000-0000-0000185C0000}"/>
    <cellStyle name="Normal 59 6 2 2 2 3" xfId="26710" xr:uid="{00000000-0005-0000-0000-0000195C0000}"/>
    <cellStyle name="Normal 59 6 2 2 3" xfId="14385" xr:uid="{00000000-0005-0000-0000-00001A5C0000}"/>
    <cellStyle name="Normal 59 6 2 2 3 2" xfId="30931" xr:uid="{00000000-0005-0000-0000-00001B5C0000}"/>
    <cellStyle name="Normal 59 6 2 2 4" xfId="22888" xr:uid="{00000000-0005-0000-0000-00001C5C0000}"/>
    <cellStyle name="Normal 59 6 2 3" xfId="9009" xr:uid="{00000000-0005-0000-0000-00001D5C0000}"/>
    <cellStyle name="Normal 59 6 2 3 2" xfId="18184" xr:uid="{00000000-0005-0000-0000-00001E5C0000}"/>
    <cellStyle name="Normal 59 6 2 3 2 2" xfId="34758" xr:uid="{00000000-0005-0000-0000-00001F5C0000}"/>
    <cellStyle name="Normal 59 6 2 3 3" xfId="26711" xr:uid="{00000000-0005-0000-0000-0000205C0000}"/>
    <cellStyle name="Normal 59 6 2 4" xfId="14384" xr:uid="{00000000-0005-0000-0000-0000215C0000}"/>
    <cellStyle name="Normal 59 6 2 4 2" xfId="30930" xr:uid="{00000000-0005-0000-0000-0000225C0000}"/>
    <cellStyle name="Normal 59 6 2 5" xfId="22887" xr:uid="{00000000-0005-0000-0000-0000235C0000}"/>
    <cellStyle name="Normal 59 6 3" xfId="5054" xr:uid="{00000000-0005-0000-0000-0000245C0000}"/>
    <cellStyle name="Normal 59 6 3 2" xfId="9010" xr:uid="{00000000-0005-0000-0000-0000255C0000}"/>
    <cellStyle name="Normal 59 6 3 2 2" xfId="18185" xr:uid="{00000000-0005-0000-0000-0000265C0000}"/>
    <cellStyle name="Normal 59 6 3 2 2 2" xfId="34759" xr:uid="{00000000-0005-0000-0000-0000275C0000}"/>
    <cellStyle name="Normal 59 6 3 2 3" xfId="26712" xr:uid="{00000000-0005-0000-0000-0000285C0000}"/>
    <cellStyle name="Normal 59 6 3 3" xfId="14386" xr:uid="{00000000-0005-0000-0000-0000295C0000}"/>
    <cellStyle name="Normal 59 6 3 3 2" xfId="30932" xr:uid="{00000000-0005-0000-0000-00002A5C0000}"/>
    <cellStyle name="Normal 59 6 3 4" xfId="22889" xr:uid="{00000000-0005-0000-0000-00002B5C0000}"/>
    <cellStyle name="Normal 59 6 4" xfId="9011" xr:uid="{00000000-0005-0000-0000-00002C5C0000}"/>
    <cellStyle name="Normal 59 6 4 2" xfId="18186" xr:uid="{00000000-0005-0000-0000-00002D5C0000}"/>
    <cellStyle name="Normal 59 6 4 2 2" xfId="34760" xr:uid="{00000000-0005-0000-0000-00002E5C0000}"/>
    <cellStyle name="Normal 59 6 4 3" xfId="26713" xr:uid="{00000000-0005-0000-0000-00002F5C0000}"/>
    <cellStyle name="Normal 59 6 5" xfId="14383" xr:uid="{00000000-0005-0000-0000-0000305C0000}"/>
    <cellStyle name="Normal 59 6 5 2" xfId="30929" xr:uid="{00000000-0005-0000-0000-0000315C0000}"/>
    <cellStyle name="Normal 59 6 6" xfId="22886" xr:uid="{00000000-0005-0000-0000-0000325C0000}"/>
    <cellStyle name="Normal 59 7" xfId="5055" xr:uid="{00000000-0005-0000-0000-0000335C0000}"/>
    <cellStyle name="Normal 59 7 2" xfId="5056" xr:uid="{00000000-0005-0000-0000-0000345C0000}"/>
    <cellStyle name="Normal 59 7 2 2" xfId="9012" xr:uid="{00000000-0005-0000-0000-0000355C0000}"/>
    <cellStyle name="Normal 59 7 2 2 2" xfId="18187" xr:uid="{00000000-0005-0000-0000-0000365C0000}"/>
    <cellStyle name="Normal 59 7 2 2 2 2" xfId="34761" xr:uid="{00000000-0005-0000-0000-0000375C0000}"/>
    <cellStyle name="Normal 59 7 2 2 3" xfId="26714" xr:uid="{00000000-0005-0000-0000-0000385C0000}"/>
    <cellStyle name="Normal 59 7 2 3" xfId="14388" xr:uid="{00000000-0005-0000-0000-0000395C0000}"/>
    <cellStyle name="Normal 59 7 2 3 2" xfId="30934" xr:uid="{00000000-0005-0000-0000-00003A5C0000}"/>
    <cellStyle name="Normal 59 7 2 4" xfId="22891" xr:uid="{00000000-0005-0000-0000-00003B5C0000}"/>
    <cellStyle name="Normal 59 7 3" xfId="9013" xr:uid="{00000000-0005-0000-0000-00003C5C0000}"/>
    <cellStyle name="Normal 59 7 3 2" xfId="18188" xr:uid="{00000000-0005-0000-0000-00003D5C0000}"/>
    <cellStyle name="Normal 59 7 3 2 2" xfId="34762" xr:uid="{00000000-0005-0000-0000-00003E5C0000}"/>
    <cellStyle name="Normal 59 7 3 3" xfId="26715" xr:uid="{00000000-0005-0000-0000-00003F5C0000}"/>
    <cellStyle name="Normal 59 7 4" xfId="14387" xr:uid="{00000000-0005-0000-0000-0000405C0000}"/>
    <cellStyle name="Normal 59 7 4 2" xfId="30933" xr:uid="{00000000-0005-0000-0000-0000415C0000}"/>
    <cellStyle name="Normal 59 7 5" xfId="22890" xr:uid="{00000000-0005-0000-0000-0000425C0000}"/>
    <cellStyle name="Normal 59 8" xfId="5057" xr:uid="{00000000-0005-0000-0000-0000435C0000}"/>
    <cellStyle name="Normal 59 8 2" xfId="9014" xr:uid="{00000000-0005-0000-0000-0000445C0000}"/>
    <cellStyle name="Normal 59 8 2 2" xfId="18189" xr:uid="{00000000-0005-0000-0000-0000455C0000}"/>
    <cellStyle name="Normal 59 8 2 2 2" xfId="34763" xr:uid="{00000000-0005-0000-0000-0000465C0000}"/>
    <cellStyle name="Normal 59 8 2 3" xfId="26716" xr:uid="{00000000-0005-0000-0000-0000475C0000}"/>
    <cellStyle name="Normal 59 8 3" xfId="14389" xr:uid="{00000000-0005-0000-0000-0000485C0000}"/>
    <cellStyle name="Normal 59 8 3 2" xfId="30935" xr:uid="{00000000-0005-0000-0000-0000495C0000}"/>
    <cellStyle name="Normal 59 8 4" xfId="22892" xr:uid="{00000000-0005-0000-0000-00004A5C0000}"/>
    <cellStyle name="Normal 59 9" xfId="9015" xr:uid="{00000000-0005-0000-0000-00004B5C0000}"/>
    <cellStyle name="Normal 59 9 2" xfId="18190" xr:uid="{00000000-0005-0000-0000-00004C5C0000}"/>
    <cellStyle name="Normal 59 9 2 2" xfId="34764" xr:uid="{00000000-0005-0000-0000-00004D5C0000}"/>
    <cellStyle name="Normal 59 9 3" xfId="26717" xr:uid="{00000000-0005-0000-0000-00004E5C0000}"/>
    <cellStyle name="Normal 6" xfId="281" xr:uid="{00000000-0005-0000-0000-00004F5C0000}"/>
    <cellStyle name="Normal 6 10" xfId="9017" xr:uid="{00000000-0005-0000-0000-0000505C0000}"/>
    <cellStyle name="Normal 6 10 2" xfId="18191" xr:uid="{00000000-0005-0000-0000-0000515C0000}"/>
    <cellStyle name="Normal 6 10 2 2" xfId="34765" xr:uid="{00000000-0005-0000-0000-0000525C0000}"/>
    <cellStyle name="Normal 6 10 3" xfId="26718" xr:uid="{00000000-0005-0000-0000-0000535C0000}"/>
    <cellStyle name="Normal 6 11" xfId="9016" xr:uid="{00000000-0005-0000-0000-0000545C0000}"/>
    <cellStyle name="Normal 6 12" xfId="14390" xr:uid="{00000000-0005-0000-0000-0000555C0000}"/>
    <cellStyle name="Normal 6 12 2" xfId="30936" xr:uid="{00000000-0005-0000-0000-0000565C0000}"/>
    <cellStyle name="Normal 6 13" xfId="22893" xr:uid="{00000000-0005-0000-0000-0000575C0000}"/>
    <cellStyle name="Normal 6 2" xfId="282" xr:uid="{00000000-0005-0000-0000-0000585C0000}"/>
    <cellStyle name="Normal 6 2 2" xfId="283" xr:uid="{00000000-0005-0000-0000-0000595C0000}"/>
    <cellStyle name="Normal 6 2 2 2" xfId="14392" xr:uid="{00000000-0005-0000-0000-00005A5C0000}"/>
    <cellStyle name="Normal 6 2 2 2 2" xfId="30938" xr:uid="{00000000-0005-0000-0000-00005B5C0000}"/>
    <cellStyle name="Normal 6 2 2 3" xfId="22895" xr:uid="{00000000-0005-0000-0000-00005C5C0000}"/>
    <cellStyle name="Normal 6 2 3" xfId="5058" xr:uid="{00000000-0005-0000-0000-00005D5C0000}"/>
    <cellStyle name="Normal 6 2 4" xfId="14391" xr:uid="{00000000-0005-0000-0000-00005E5C0000}"/>
    <cellStyle name="Normal 6 2 4 2" xfId="30937" xr:uid="{00000000-0005-0000-0000-00005F5C0000}"/>
    <cellStyle name="Normal 6 2 5" xfId="22894" xr:uid="{00000000-0005-0000-0000-0000605C0000}"/>
    <cellStyle name="Normal 6 3" xfId="284" xr:uid="{00000000-0005-0000-0000-0000615C0000}"/>
    <cellStyle name="Normal 6 3 2" xfId="5060" xr:uid="{00000000-0005-0000-0000-0000625C0000}"/>
    <cellStyle name="Normal 6 3 2 2" xfId="5061" xr:uid="{00000000-0005-0000-0000-0000635C0000}"/>
    <cellStyle name="Normal 6 3 2 2 2" xfId="5062" xr:uid="{00000000-0005-0000-0000-0000645C0000}"/>
    <cellStyle name="Normal 6 3 2 2 2 2" xfId="9018" xr:uid="{00000000-0005-0000-0000-0000655C0000}"/>
    <cellStyle name="Normal 6 3 2 2 2 2 2" xfId="18192" xr:uid="{00000000-0005-0000-0000-0000665C0000}"/>
    <cellStyle name="Normal 6 3 2 2 2 2 2 2" xfId="34766" xr:uid="{00000000-0005-0000-0000-0000675C0000}"/>
    <cellStyle name="Normal 6 3 2 2 2 2 3" xfId="26719" xr:uid="{00000000-0005-0000-0000-0000685C0000}"/>
    <cellStyle name="Normal 6 3 2 2 2 3" xfId="14395" xr:uid="{00000000-0005-0000-0000-0000695C0000}"/>
    <cellStyle name="Normal 6 3 2 2 2 3 2" xfId="30941" xr:uid="{00000000-0005-0000-0000-00006A5C0000}"/>
    <cellStyle name="Normal 6 3 2 2 2 4" xfId="22898" xr:uid="{00000000-0005-0000-0000-00006B5C0000}"/>
    <cellStyle name="Normal 6 3 2 2 3" xfId="9019" xr:uid="{00000000-0005-0000-0000-00006C5C0000}"/>
    <cellStyle name="Normal 6 3 2 2 3 2" xfId="18193" xr:uid="{00000000-0005-0000-0000-00006D5C0000}"/>
    <cellStyle name="Normal 6 3 2 2 3 2 2" xfId="34767" xr:uid="{00000000-0005-0000-0000-00006E5C0000}"/>
    <cellStyle name="Normal 6 3 2 2 3 3" xfId="26720" xr:uid="{00000000-0005-0000-0000-00006F5C0000}"/>
    <cellStyle name="Normal 6 3 2 2 4" xfId="14394" xr:uid="{00000000-0005-0000-0000-0000705C0000}"/>
    <cellStyle name="Normal 6 3 2 2 4 2" xfId="30940" xr:uid="{00000000-0005-0000-0000-0000715C0000}"/>
    <cellStyle name="Normal 6 3 2 2 5" xfId="22897" xr:uid="{00000000-0005-0000-0000-0000725C0000}"/>
    <cellStyle name="Normal 6 3 2 3" xfId="5063" xr:uid="{00000000-0005-0000-0000-0000735C0000}"/>
    <cellStyle name="Normal 6 3 2 3 2" xfId="9020" xr:uid="{00000000-0005-0000-0000-0000745C0000}"/>
    <cellStyle name="Normal 6 3 2 3 2 2" xfId="18194" xr:uid="{00000000-0005-0000-0000-0000755C0000}"/>
    <cellStyle name="Normal 6 3 2 3 2 2 2" xfId="34768" xr:uid="{00000000-0005-0000-0000-0000765C0000}"/>
    <cellStyle name="Normal 6 3 2 3 2 3" xfId="26721" xr:uid="{00000000-0005-0000-0000-0000775C0000}"/>
    <cellStyle name="Normal 6 3 2 3 3" xfId="14396" xr:uid="{00000000-0005-0000-0000-0000785C0000}"/>
    <cellStyle name="Normal 6 3 2 3 3 2" xfId="30942" xr:uid="{00000000-0005-0000-0000-0000795C0000}"/>
    <cellStyle name="Normal 6 3 2 3 4" xfId="22899" xr:uid="{00000000-0005-0000-0000-00007A5C0000}"/>
    <cellStyle name="Normal 6 3 2 4" xfId="9021" xr:uid="{00000000-0005-0000-0000-00007B5C0000}"/>
    <cellStyle name="Normal 6 3 2 4 2" xfId="18195" xr:uid="{00000000-0005-0000-0000-00007C5C0000}"/>
    <cellStyle name="Normal 6 3 2 4 2 2" xfId="34769" xr:uid="{00000000-0005-0000-0000-00007D5C0000}"/>
    <cellStyle name="Normal 6 3 2 4 3" xfId="26722" xr:uid="{00000000-0005-0000-0000-00007E5C0000}"/>
    <cellStyle name="Normal 6 3 2 5" xfId="14393" xr:uid="{00000000-0005-0000-0000-00007F5C0000}"/>
    <cellStyle name="Normal 6 3 2 5 2" xfId="30939" xr:uid="{00000000-0005-0000-0000-0000805C0000}"/>
    <cellStyle name="Normal 6 3 2 6" xfId="22896" xr:uid="{00000000-0005-0000-0000-0000815C0000}"/>
    <cellStyle name="Normal 6 3 3" xfId="5064" xr:uid="{00000000-0005-0000-0000-0000825C0000}"/>
    <cellStyle name="Normal 6 3 3 2" xfId="5065" xr:uid="{00000000-0005-0000-0000-0000835C0000}"/>
    <cellStyle name="Normal 6 3 3 2 2" xfId="9022" xr:uid="{00000000-0005-0000-0000-0000845C0000}"/>
    <cellStyle name="Normal 6 3 3 2 2 2" xfId="18196" xr:uid="{00000000-0005-0000-0000-0000855C0000}"/>
    <cellStyle name="Normal 6 3 3 2 2 2 2" xfId="34770" xr:uid="{00000000-0005-0000-0000-0000865C0000}"/>
    <cellStyle name="Normal 6 3 3 2 2 3" xfId="26723" xr:uid="{00000000-0005-0000-0000-0000875C0000}"/>
    <cellStyle name="Normal 6 3 3 2 3" xfId="14398" xr:uid="{00000000-0005-0000-0000-0000885C0000}"/>
    <cellStyle name="Normal 6 3 3 2 3 2" xfId="30944" xr:uid="{00000000-0005-0000-0000-0000895C0000}"/>
    <cellStyle name="Normal 6 3 3 2 4" xfId="22901" xr:uid="{00000000-0005-0000-0000-00008A5C0000}"/>
    <cellStyle name="Normal 6 3 3 3" xfId="9023" xr:uid="{00000000-0005-0000-0000-00008B5C0000}"/>
    <cellStyle name="Normal 6 3 3 3 2" xfId="18197" xr:uid="{00000000-0005-0000-0000-00008C5C0000}"/>
    <cellStyle name="Normal 6 3 3 3 2 2" xfId="34771" xr:uid="{00000000-0005-0000-0000-00008D5C0000}"/>
    <cellStyle name="Normal 6 3 3 3 3" xfId="26724" xr:uid="{00000000-0005-0000-0000-00008E5C0000}"/>
    <cellStyle name="Normal 6 3 3 4" xfId="14397" xr:uid="{00000000-0005-0000-0000-00008F5C0000}"/>
    <cellStyle name="Normal 6 3 3 4 2" xfId="30943" xr:uid="{00000000-0005-0000-0000-0000905C0000}"/>
    <cellStyle name="Normal 6 3 3 5" xfId="22900" xr:uid="{00000000-0005-0000-0000-0000915C0000}"/>
    <cellStyle name="Normal 6 3 4" xfId="5066" xr:uid="{00000000-0005-0000-0000-0000925C0000}"/>
    <cellStyle name="Normal 6 3 4 2" xfId="9024" xr:uid="{00000000-0005-0000-0000-0000935C0000}"/>
    <cellStyle name="Normal 6 3 4 2 2" xfId="18198" xr:uid="{00000000-0005-0000-0000-0000945C0000}"/>
    <cellStyle name="Normal 6 3 4 2 2 2" xfId="34772" xr:uid="{00000000-0005-0000-0000-0000955C0000}"/>
    <cellStyle name="Normal 6 3 4 2 3" xfId="26725" xr:uid="{00000000-0005-0000-0000-0000965C0000}"/>
    <cellStyle name="Normal 6 3 4 3" xfId="14399" xr:uid="{00000000-0005-0000-0000-0000975C0000}"/>
    <cellStyle name="Normal 6 3 4 3 2" xfId="30945" xr:uid="{00000000-0005-0000-0000-0000985C0000}"/>
    <cellStyle name="Normal 6 3 4 4" xfId="22902" xr:uid="{00000000-0005-0000-0000-0000995C0000}"/>
    <cellStyle name="Normal 6 3 5" xfId="9025" xr:uid="{00000000-0005-0000-0000-00009A5C0000}"/>
    <cellStyle name="Normal 6 3 5 2" xfId="18199" xr:uid="{00000000-0005-0000-0000-00009B5C0000}"/>
    <cellStyle name="Normal 6 3 5 2 2" xfId="34773" xr:uid="{00000000-0005-0000-0000-00009C5C0000}"/>
    <cellStyle name="Normal 6 3 5 3" xfId="26726" xr:uid="{00000000-0005-0000-0000-00009D5C0000}"/>
    <cellStyle name="Normal 6 3 6" xfId="5059" xr:uid="{00000000-0005-0000-0000-00009E5C0000}"/>
    <cellStyle name="Normal 6 4" xfId="382" xr:uid="{00000000-0005-0000-0000-00009F5C0000}"/>
    <cellStyle name="Normal 6 4 2" xfId="5067" xr:uid="{00000000-0005-0000-0000-0000A05C0000}"/>
    <cellStyle name="Normal 6 4 2 2" xfId="5068" xr:uid="{00000000-0005-0000-0000-0000A15C0000}"/>
    <cellStyle name="Normal 6 4 2 2 2" xfId="5069" xr:uid="{00000000-0005-0000-0000-0000A25C0000}"/>
    <cellStyle name="Normal 6 4 2 2 2 2" xfId="9026" xr:uid="{00000000-0005-0000-0000-0000A35C0000}"/>
    <cellStyle name="Normal 6 4 2 2 2 2 2" xfId="18200" xr:uid="{00000000-0005-0000-0000-0000A45C0000}"/>
    <cellStyle name="Normal 6 4 2 2 2 2 2 2" xfId="34774" xr:uid="{00000000-0005-0000-0000-0000A55C0000}"/>
    <cellStyle name="Normal 6 4 2 2 2 2 3" xfId="26727" xr:uid="{00000000-0005-0000-0000-0000A65C0000}"/>
    <cellStyle name="Normal 6 4 2 2 2 3" xfId="14403" xr:uid="{00000000-0005-0000-0000-0000A75C0000}"/>
    <cellStyle name="Normal 6 4 2 2 2 3 2" xfId="30949" xr:uid="{00000000-0005-0000-0000-0000A85C0000}"/>
    <cellStyle name="Normal 6 4 2 2 2 4" xfId="22906" xr:uid="{00000000-0005-0000-0000-0000A95C0000}"/>
    <cellStyle name="Normal 6 4 2 2 3" xfId="9027" xr:uid="{00000000-0005-0000-0000-0000AA5C0000}"/>
    <cellStyle name="Normal 6 4 2 2 3 2" xfId="18201" xr:uid="{00000000-0005-0000-0000-0000AB5C0000}"/>
    <cellStyle name="Normal 6 4 2 2 3 2 2" xfId="34775" xr:uid="{00000000-0005-0000-0000-0000AC5C0000}"/>
    <cellStyle name="Normal 6 4 2 2 3 3" xfId="26728" xr:uid="{00000000-0005-0000-0000-0000AD5C0000}"/>
    <cellStyle name="Normal 6 4 2 2 4" xfId="14402" xr:uid="{00000000-0005-0000-0000-0000AE5C0000}"/>
    <cellStyle name="Normal 6 4 2 2 4 2" xfId="30948" xr:uid="{00000000-0005-0000-0000-0000AF5C0000}"/>
    <cellStyle name="Normal 6 4 2 2 5" xfId="22905" xr:uid="{00000000-0005-0000-0000-0000B05C0000}"/>
    <cellStyle name="Normal 6 4 2 3" xfId="5070" xr:uid="{00000000-0005-0000-0000-0000B15C0000}"/>
    <cellStyle name="Normal 6 4 2 3 2" xfId="9028" xr:uid="{00000000-0005-0000-0000-0000B25C0000}"/>
    <cellStyle name="Normal 6 4 2 3 2 2" xfId="18202" xr:uid="{00000000-0005-0000-0000-0000B35C0000}"/>
    <cellStyle name="Normal 6 4 2 3 2 2 2" xfId="34776" xr:uid="{00000000-0005-0000-0000-0000B45C0000}"/>
    <cellStyle name="Normal 6 4 2 3 2 3" xfId="26729" xr:uid="{00000000-0005-0000-0000-0000B55C0000}"/>
    <cellStyle name="Normal 6 4 2 3 3" xfId="14404" xr:uid="{00000000-0005-0000-0000-0000B65C0000}"/>
    <cellStyle name="Normal 6 4 2 3 3 2" xfId="30950" xr:uid="{00000000-0005-0000-0000-0000B75C0000}"/>
    <cellStyle name="Normal 6 4 2 3 4" xfId="22907" xr:uid="{00000000-0005-0000-0000-0000B85C0000}"/>
    <cellStyle name="Normal 6 4 2 4" xfId="9029" xr:uid="{00000000-0005-0000-0000-0000B95C0000}"/>
    <cellStyle name="Normal 6 4 2 4 2" xfId="18203" xr:uid="{00000000-0005-0000-0000-0000BA5C0000}"/>
    <cellStyle name="Normal 6 4 2 4 2 2" xfId="34777" xr:uid="{00000000-0005-0000-0000-0000BB5C0000}"/>
    <cellStyle name="Normal 6 4 2 4 3" xfId="26730" xr:uid="{00000000-0005-0000-0000-0000BC5C0000}"/>
    <cellStyle name="Normal 6 4 2 5" xfId="14401" xr:uid="{00000000-0005-0000-0000-0000BD5C0000}"/>
    <cellStyle name="Normal 6 4 2 5 2" xfId="30947" xr:uid="{00000000-0005-0000-0000-0000BE5C0000}"/>
    <cellStyle name="Normal 6 4 2 6" xfId="22904" xr:uid="{00000000-0005-0000-0000-0000BF5C0000}"/>
    <cellStyle name="Normal 6 4 3" xfId="5071" xr:uid="{00000000-0005-0000-0000-0000C05C0000}"/>
    <cellStyle name="Normal 6 4 3 2" xfId="5072" xr:uid="{00000000-0005-0000-0000-0000C15C0000}"/>
    <cellStyle name="Normal 6 4 3 2 2" xfId="9030" xr:uid="{00000000-0005-0000-0000-0000C25C0000}"/>
    <cellStyle name="Normal 6 4 3 2 2 2" xfId="18204" xr:uid="{00000000-0005-0000-0000-0000C35C0000}"/>
    <cellStyle name="Normal 6 4 3 2 2 2 2" xfId="34778" xr:uid="{00000000-0005-0000-0000-0000C45C0000}"/>
    <cellStyle name="Normal 6 4 3 2 2 3" xfId="26731" xr:uid="{00000000-0005-0000-0000-0000C55C0000}"/>
    <cellStyle name="Normal 6 4 3 2 3" xfId="14406" xr:uid="{00000000-0005-0000-0000-0000C65C0000}"/>
    <cellStyle name="Normal 6 4 3 2 3 2" xfId="30952" xr:uid="{00000000-0005-0000-0000-0000C75C0000}"/>
    <cellStyle name="Normal 6 4 3 2 4" xfId="22909" xr:uid="{00000000-0005-0000-0000-0000C85C0000}"/>
    <cellStyle name="Normal 6 4 3 3" xfId="9031" xr:uid="{00000000-0005-0000-0000-0000C95C0000}"/>
    <cellStyle name="Normal 6 4 3 3 2" xfId="18205" xr:uid="{00000000-0005-0000-0000-0000CA5C0000}"/>
    <cellStyle name="Normal 6 4 3 3 2 2" xfId="34779" xr:uid="{00000000-0005-0000-0000-0000CB5C0000}"/>
    <cellStyle name="Normal 6 4 3 3 3" xfId="26732" xr:uid="{00000000-0005-0000-0000-0000CC5C0000}"/>
    <cellStyle name="Normal 6 4 3 4" xfId="14405" xr:uid="{00000000-0005-0000-0000-0000CD5C0000}"/>
    <cellStyle name="Normal 6 4 3 4 2" xfId="30951" xr:uid="{00000000-0005-0000-0000-0000CE5C0000}"/>
    <cellStyle name="Normal 6 4 3 5" xfId="22908" xr:uid="{00000000-0005-0000-0000-0000CF5C0000}"/>
    <cellStyle name="Normal 6 4 4" xfId="5073" xr:uid="{00000000-0005-0000-0000-0000D05C0000}"/>
    <cellStyle name="Normal 6 4 4 2" xfId="9032" xr:uid="{00000000-0005-0000-0000-0000D15C0000}"/>
    <cellStyle name="Normal 6 4 4 2 2" xfId="18206" xr:uid="{00000000-0005-0000-0000-0000D25C0000}"/>
    <cellStyle name="Normal 6 4 4 2 2 2" xfId="34780" xr:uid="{00000000-0005-0000-0000-0000D35C0000}"/>
    <cellStyle name="Normal 6 4 4 2 3" xfId="26733" xr:uid="{00000000-0005-0000-0000-0000D45C0000}"/>
    <cellStyle name="Normal 6 4 4 3" xfId="14407" xr:uid="{00000000-0005-0000-0000-0000D55C0000}"/>
    <cellStyle name="Normal 6 4 4 3 2" xfId="30953" xr:uid="{00000000-0005-0000-0000-0000D65C0000}"/>
    <cellStyle name="Normal 6 4 4 4" xfId="22910" xr:uid="{00000000-0005-0000-0000-0000D75C0000}"/>
    <cellStyle name="Normal 6 4 5" xfId="9033" xr:uid="{00000000-0005-0000-0000-0000D85C0000}"/>
    <cellStyle name="Normal 6 4 5 2" xfId="18207" xr:uid="{00000000-0005-0000-0000-0000D95C0000}"/>
    <cellStyle name="Normal 6 4 5 2 2" xfId="34781" xr:uid="{00000000-0005-0000-0000-0000DA5C0000}"/>
    <cellStyle name="Normal 6 4 5 3" xfId="26734" xr:uid="{00000000-0005-0000-0000-0000DB5C0000}"/>
    <cellStyle name="Normal 6 4 6" xfId="14400" xr:uid="{00000000-0005-0000-0000-0000DC5C0000}"/>
    <cellStyle name="Normal 6 4 6 2" xfId="30946" xr:uid="{00000000-0005-0000-0000-0000DD5C0000}"/>
    <cellStyle name="Normal 6 4 7" xfId="22903" xr:uid="{00000000-0005-0000-0000-0000DE5C0000}"/>
    <cellStyle name="Normal 6 5" xfId="1720" xr:uid="{00000000-0005-0000-0000-0000DF5C0000}"/>
    <cellStyle name="Normal 6 5 2" xfId="5075" xr:uid="{00000000-0005-0000-0000-0000E05C0000}"/>
    <cellStyle name="Normal 6 5 2 2" xfId="5076" xr:uid="{00000000-0005-0000-0000-0000E15C0000}"/>
    <cellStyle name="Normal 6 5 2 2 2" xfId="5077" xr:uid="{00000000-0005-0000-0000-0000E25C0000}"/>
    <cellStyle name="Normal 6 5 2 2 2 2" xfId="9034" xr:uid="{00000000-0005-0000-0000-0000E35C0000}"/>
    <cellStyle name="Normal 6 5 2 2 2 2 2" xfId="18208" xr:uid="{00000000-0005-0000-0000-0000E45C0000}"/>
    <cellStyle name="Normal 6 5 2 2 2 2 2 2" xfId="34782" xr:uid="{00000000-0005-0000-0000-0000E55C0000}"/>
    <cellStyle name="Normal 6 5 2 2 2 2 3" xfId="26735" xr:uid="{00000000-0005-0000-0000-0000E65C0000}"/>
    <cellStyle name="Normal 6 5 2 2 2 3" xfId="14410" xr:uid="{00000000-0005-0000-0000-0000E75C0000}"/>
    <cellStyle name="Normal 6 5 2 2 2 3 2" xfId="30957" xr:uid="{00000000-0005-0000-0000-0000E85C0000}"/>
    <cellStyle name="Normal 6 5 2 2 2 4" xfId="22914" xr:uid="{00000000-0005-0000-0000-0000E95C0000}"/>
    <cellStyle name="Normal 6 5 2 2 3" xfId="9035" xr:uid="{00000000-0005-0000-0000-0000EA5C0000}"/>
    <cellStyle name="Normal 6 5 2 2 3 2" xfId="18209" xr:uid="{00000000-0005-0000-0000-0000EB5C0000}"/>
    <cellStyle name="Normal 6 5 2 2 3 2 2" xfId="34783" xr:uid="{00000000-0005-0000-0000-0000EC5C0000}"/>
    <cellStyle name="Normal 6 5 2 2 3 3" xfId="26736" xr:uid="{00000000-0005-0000-0000-0000ED5C0000}"/>
    <cellStyle name="Normal 6 5 2 2 4" xfId="14409" xr:uid="{00000000-0005-0000-0000-0000EE5C0000}"/>
    <cellStyle name="Normal 6 5 2 2 4 2" xfId="30956" xr:uid="{00000000-0005-0000-0000-0000EF5C0000}"/>
    <cellStyle name="Normal 6 5 2 2 5" xfId="22913" xr:uid="{00000000-0005-0000-0000-0000F05C0000}"/>
    <cellStyle name="Normal 6 5 2 3" xfId="5078" xr:uid="{00000000-0005-0000-0000-0000F15C0000}"/>
    <cellStyle name="Normal 6 5 2 3 2" xfId="9036" xr:uid="{00000000-0005-0000-0000-0000F25C0000}"/>
    <cellStyle name="Normal 6 5 2 3 2 2" xfId="18210" xr:uid="{00000000-0005-0000-0000-0000F35C0000}"/>
    <cellStyle name="Normal 6 5 2 3 2 2 2" xfId="34784" xr:uid="{00000000-0005-0000-0000-0000F45C0000}"/>
    <cellStyle name="Normal 6 5 2 3 2 3" xfId="26737" xr:uid="{00000000-0005-0000-0000-0000F55C0000}"/>
    <cellStyle name="Normal 6 5 2 3 3" xfId="14411" xr:uid="{00000000-0005-0000-0000-0000F65C0000}"/>
    <cellStyle name="Normal 6 5 2 3 3 2" xfId="30958" xr:uid="{00000000-0005-0000-0000-0000F75C0000}"/>
    <cellStyle name="Normal 6 5 2 3 4" xfId="22915" xr:uid="{00000000-0005-0000-0000-0000F85C0000}"/>
    <cellStyle name="Normal 6 5 2 4" xfId="9037" xr:uid="{00000000-0005-0000-0000-0000F95C0000}"/>
    <cellStyle name="Normal 6 5 2 4 2" xfId="18211" xr:uid="{00000000-0005-0000-0000-0000FA5C0000}"/>
    <cellStyle name="Normal 6 5 2 4 2 2" xfId="34785" xr:uid="{00000000-0005-0000-0000-0000FB5C0000}"/>
    <cellStyle name="Normal 6 5 2 4 3" xfId="26738" xr:uid="{00000000-0005-0000-0000-0000FC5C0000}"/>
    <cellStyle name="Normal 6 5 2 5" xfId="14408" xr:uid="{00000000-0005-0000-0000-0000FD5C0000}"/>
    <cellStyle name="Normal 6 5 2 5 2" xfId="30955" xr:uid="{00000000-0005-0000-0000-0000FE5C0000}"/>
    <cellStyle name="Normal 6 5 2 6" xfId="22912" xr:uid="{00000000-0005-0000-0000-0000FF5C0000}"/>
    <cellStyle name="Normal 6 5 3" xfId="5079" xr:uid="{00000000-0005-0000-0000-0000005D0000}"/>
    <cellStyle name="Normal 6 5 3 2" xfId="5080" xr:uid="{00000000-0005-0000-0000-0000015D0000}"/>
    <cellStyle name="Normal 6 5 3 2 2" xfId="9038" xr:uid="{00000000-0005-0000-0000-0000025D0000}"/>
    <cellStyle name="Normal 6 5 3 2 2 2" xfId="18212" xr:uid="{00000000-0005-0000-0000-0000035D0000}"/>
    <cellStyle name="Normal 6 5 3 2 2 2 2" xfId="34786" xr:uid="{00000000-0005-0000-0000-0000045D0000}"/>
    <cellStyle name="Normal 6 5 3 2 2 3" xfId="26739" xr:uid="{00000000-0005-0000-0000-0000055D0000}"/>
    <cellStyle name="Normal 6 5 3 2 3" xfId="14413" xr:uid="{00000000-0005-0000-0000-0000065D0000}"/>
    <cellStyle name="Normal 6 5 3 2 3 2" xfId="30960" xr:uid="{00000000-0005-0000-0000-0000075D0000}"/>
    <cellStyle name="Normal 6 5 3 2 4" xfId="22917" xr:uid="{00000000-0005-0000-0000-0000085D0000}"/>
    <cellStyle name="Normal 6 5 3 3" xfId="9039" xr:uid="{00000000-0005-0000-0000-0000095D0000}"/>
    <cellStyle name="Normal 6 5 3 3 2" xfId="18213" xr:uid="{00000000-0005-0000-0000-00000A5D0000}"/>
    <cellStyle name="Normal 6 5 3 3 2 2" xfId="34787" xr:uid="{00000000-0005-0000-0000-00000B5D0000}"/>
    <cellStyle name="Normal 6 5 3 3 3" xfId="26740" xr:uid="{00000000-0005-0000-0000-00000C5D0000}"/>
    <cellStyle name="Normal 6 5 3 4" xfId="14412" xr:uid="{00000000-0005-0000-0000-00000D5D0000}"/>
    <cellStyle name="Normal 6 5 3 4 2" xfId="30959" xr:uid="{00000000-0005-0000-0000-00000E5D0000}"/>
    <cellStyle name="Normal 6 5 3 5" xfId="22916" xr:uid="{00000000-0005-0000-0000-00000F5D0000}"/>
    <cellStyle name="Normal 6 5 4" xfId="5081" xr:uid="{00000000-0005-0000-0000-0000105D0000}"/>
    <cellStyle name="Normal 6 5 4 2" xfId="9040" xr:uid="{00000000-0005-0000-0000-0000115D0000}"/>
    <cellStyle name="Normal 6 5 4 2 2" xfId="18214" xr:uid="{00000000-0005-0000-0000-0000125D0000}"/>
    <cellStyle name="Normal 6 5 4 2 2 2" xfId="34788" xr:uid="{00000000-0005-0000-0000-0000135D0000}"/>
    <cellStyle name="Normal 6 5 4 2 3" xfId="26741" xr:uid="{00000000-0005-0000-0000-0000145D0000}"/>
    <cellStyle name="Normal 6 5 4 3" xfId="14414" xr:uid="{00000000-0005-0000-0000-0000155D0000}"/>
    <cellStyle name="Normal 6 5 4 3 2" xfId="30961" xr:uid="{00000000-0005-0000-0000-0000165D0000}"/>
    <cellStyle name="Normal 6 5 4 4" xfId="22918" xr:uid="{00000000-0005-0000-0000-0000175D0000}"/>
    <cellStyle name="Normal 6 5 5" xfId="9041" xr:uid="{00000000-0005-0000-0000-0000185D0000}"/>
    <cellStyle name="Normal 6 5 5 2" xfId="18215" xr:uid="{00000000-0005-0000-0000-0000195D0000}"/>
    <cellStyle name="Normal 6 5 5 2 2" xfId="34789" xr:uid="{00000000-0005-0000-0000-00001A5D0000}"/>
    <cellStyle name="Normal 6 5 5 3" xfId="26742" xr:uid="{00000000-0005-0000-0000-00001B5D0000}"/>
    <cellStyle name="Normal 6 5 6" xfId="5074" xr:uid="{00000000-0005-0000-0000-00001C5D0000}"/>
    <cellStyle name="Normal 6 5 6 2" xfId="30954" xr:uid="{00000000-0005-0000-0000-00001D5D0000}"/>
    <cellStyle name="Normal 6 5 7" xfId="22911" xr:uid="{00000000-0005-0000-0000-00001E5D0000}"/>
    <cellStyle name="Normal 6 6" xfId="1677" xr:uid="{00000000-0005-0000-0000-00001F5D0000}"/>
    <cellStyle name="Normal 6 6 2" xfId="5083" xr:uid="{00000000-0005-0000-0000-0000205D0000}"/>
    <cellStyle name="Normal 6 6 2 2" xfId="5084" xr:uid="{00000000-0005-0000-0000-0000215D0000}"/>
    <cellStyle name="Normal 6 6 2 2 2" xfId="9042" xr:uid="{00000000-0005-0000-0000-0000225D0000}"/>
    <cellStyle name="Normal 6 6 2 2 2 2" xfId="18216" xr:uid="{00000000-0005-0000-0000-0000235D0000}"/>
    <cellStyle name="Normal 6 6 2 2 2 2 2" xfId="34790" xr:uid="{00000000-0005-0000-0000-0000245D0000}"/>
    <cellStyle name="Normal 6 6 2 2 2 3" xfId="26743" xr:uid="{00000000-0005-0000-0000-0000255D0000}"/>
    <cellStyle name="Normal 6 6 2 2 3" xfId="14416" xr:uid="{00000000-0005-0000-0000-0000265D0000}"/>
    <cellStyle name="Normal 6 6 2 2 3 2" xfId="30964" xr:uid="{00000000-0005-0000-0000-0000275D0000}"/>
    <cellStyle name="Normal 6 6 2 2 4" xfId="22921" xr:uid="{00000000-0005-0000-0000-0000285D0000}"/>
    <cellStyle name="Normal 6 6 2 3" xfId="9043" xr:uid="{00000000-0005-0000-0000-0000295D0000}"/>
    <cellStyle name="Normal 6 6 2 3 2" xfId="18217" xr:uid="{00000000-0005-0000-0000-00002A5D0000}"/>
    <cellStyle name="Normal 6 6 2 3 2 2" xfId="34791" xr:uid="{00000000-0005-0000-0000-00002B5D0000}"/>
    <cellStyle name="Normal 6 6 2 3 3" xfId="26744" xr:uid="{00000000-0005-0000-0000-00002C5D0000}"/>
    <cellStyle name="Normal 6 6 2 4" xfId="14415" xr:uid="{00000000-0005-0000-0000-00002D5D0000}"/>
    <cellStyle name="Normal 6 6 2 4 2" xfId="30963" xr:uid="{00000000-0005-0000-0000-00002E5D0000}"/>
    <cellStyle name="Normal 6 6 2 5" xfId="22920" xr:uid="{00000000-0005-0000-0000-00002F5D0000}"/>
    <cellStyle name="Normal 6 6 3" xfId="5085" xr:uid="{00000000-0005-0000-0000-0000305D0000}"/>
    <cellStyle name="Normal 6 6 3 2" xfId="9044" xr:uid="{00000000-0005-0000-0000-0000315D0000}"/>
    <cellStyle name="Normal 6 6 3 2 2" xfId="18218" xr:uid="{00000000-0005-0000-0000-0000325D0000}"/>
    <cellStyle name="Normal 6 6 3 2 2 2" xfId="34792" xr:uid="{00000000-0005-0000-0000-0000335D0000}"/>
    <cellStyle name="Normal 6 6 3 2 3" xfId="26745" xr:uid="{00000000-0005-0000-0000-0000345D0000}"/>
    <cellStyle name="Normal 6 6 3 3" xfId="14417" xr:uid="{00000000-0005-0000-0000-0000355D0000}"/>
    <cellStyle name="Normal 6 6 3 3 2" xfId="30965" xr:uid="{00000000-0005-0000-0000-0000365D0000}"/>
    <cellStyle name="Normal 6 6 3 4" xfId="22922" xr:uid="{00000000-0005-0000-0000-0000375D0000}"/>
    <cellStyle name="Normal 6 6 4" xfId="9045" xr:uid="{00000000-0005-0000-0000-0000385D0000}"/>
    <cellStyle name="Normal 6 6 4 2" xfId="18219" xr:uid="{00000000-0005-0000-0000-0000395D0000}"/>
    <cellStyle name="Normal 6 6 4 2 2" xfId="34793" xr:uid="{00000000-0005-0000-0000-00003A5D0000}"/>
    <cellStyle name="Normal 6 6 4 3" xfId="26746" xr:uid="{00000000-0005-0000-0000-00003B5D0000}"/>
    <cellStyle name="Normal 6 6 5" xfId="5082" xr:uid="{00000000-0005-0000-0000-00003C5D0000}"/>
    <cellStyle name="Normal 6 6 5 2" xfId="30962" xr:uid="{00000000-0005-0000-0000-00003D5D0000}"/>
    <cellStyle name="Normal 6 6 6" xfId="22919" xr:uid="{00000000-0005-0000-0000-00003E5D0000}"/>
    <cellStyle name="Normal 6 7" xfId="5086" xr:uid="{00000000-0005-0000-0000-00003F5D0000}"/>
    <cellStyle name="Normal 6 7 2" xfId="5087" xr:uid="{00000000-0005-0000-0000-0000405D0000}"/>
    <cellStyle name="Normal 6 7 2 2" xfId="9046" xr:uid="{00000000-0005-0000-0000-0000415D0000}"/>
    <cellStyle name="Normal 6 7 2 2 2" xfId="18220" xr:uid="{00000000-0005-0000-0000-0000425D0000}"/>
    <cellStyle name="Normal 6 7 2 2 2 2" xfId="34794" xr:uid="{00000000-0005-0000-0000-0000435D0000}"/>
    <cellStyle name="Normal 6 7 2 2 3" xfId="26747" xr:uid="{00000000-0005-0000-0000-0000445D0000}"/>
    <cellStyle name="Normal 6 7 2 3" xfId="14419" xr:uid="{00000000-0005-0000-0000-0000455D0000}"/>
    <cellStyle name="Normal 6 7 2 3 2" xfId="30967" xr:uid="{00000000-0005-0000-0000-0000465D0000}"/>
    <cellStyle name="Normal 6 7 2 4" xfId="22924" xr:uid="{00000000-0005-0000-0000-0000475D0000}"/>
    <cellStyle name="Normal 6 7 3" xfId="9047" xr:uid="{00000000-0005-0000-0000-0000485D0000}"/>
    <cellStyle name="Normal 6 7 3 2" xfId="18221" xr:uid="{00000000-0005-0000-0000-0000495D0000}"/>
    <cellStyle name="Normal 6 7 3 2 2" xfId="34795" xr:uid="{00000000-0005-0000-0000-00004A5D0000}"/>
    <cellStyle name="Normal 6 7 3 3" xfId="26748" xr:uid="{00000000-0005-0000-0000-00004B5D0000}"/>
    <cellStyle name="Normal 6 7 4" xfId="14418" xr:uid="{00000000-0005-0000-0000-00004C5D0000}"/>
    <cellStyle name="Normal 6 7 4 2" xfId="30966" xr:uid="{00000000-0005-0000-0000-00004D5D0000}"/>
    <cellStyle name="Normal 6 7 5" xfId="22923" xr:uid="{00000000-0005-0000-0000-00004E5D0000}"/>
    <cellStyle name="Normal 6 8" xfId="5088" xr:uid="{00000000-0005-0000-0000-00004F5D0000}"/>
    <cellStyle name="Normal 6 8 2" xfId="9048" xr:uid="{00000000-0005-0000-0000-0000505D0000}"/>
    <cellStyle name="Normal 6 8 2 2" xfId="18222" xr:uid="{00000000-0005-0000-0000-0000515D0000}"/>
    <cellStyle name="Normal 6 8 2 2 2" xfId="34796" xr:uid="{00000000-0005-0000-0000-0000525D0000}"/>
    <cellStyle name="Normal 6 8 2 3" xfId="26749" xr:uid="{00000000-0005-0000-0000-0000535D0000}"/>
    <cellStyle name="Normal 6 8 3" xfId="14420" xr:uid="{00000000-0005-0000-0000-0000545D0000}"/>
    <cellStyle name="Normal 6 8 3 2" xfId="30968" xr:uid="{00000000-0005-0000-0000-0000555D0000}"/>
    <cellStyle name="Normal 6 8 4" xfId="22925" xr:uid="{00000000-0005-0000-0000-0000565D0000}"/>
    <cellStyle name="Normal 6 9" xfId="9049" xr:uid="{00000000-0005-0000-0000-0000575D0000}"/>
    <cellStyle name="Normal 6 9 2" xfId="18223" xr:uid="{00000000-0005-0000-0000-0000585D0000}"/>
    <cellStyle name="Normal 6 9 2 2" xfId="34797" xr:uid="{00000000-0005-0000-0000-0000595D0000}"/>
    <cellStyle name="Normal 6 9 3" xfId="26750" xr:uid="{00000000-0005-0000-0000-00005A5D0000}"/>
    <cellStyle name="Normal 60" xfId="5089" xr:uid="{00000000-0005-0000-0000-00005B5D0000}"/>
    <cellStyle name="Normal 60 10" xfId="14421" xr:uid="{00000000-0005-0000-0000-00005C5D0000}"/>
    <cellStyle name="Normal 60 10 2" xfId="30969" xr:uid="{00000000-0005-0000-0000-00005D5D0000}"/>
    <cellStyle name="Normal 60 11" xfId="22926" xr:uid="{00000000-0005-0000-0000-00005E5D0000}"/>
    <cellStyle name="Normal 60 2" xfId="5090" xr:uid="{00000000-0005-0000-0000-00005F5D0000}"/>
    <cellStyle name="Normal 60 2 2" xfId="5091" xr:uid="{00000000-0005-0000-0000-0000605D0000}"/>
    <cellStyle name="Normal 60 2 3" xfId="14422" xr:uid="{00000000-0005-0000-0000-0000615D0000}"/>
    <cellStyle name="Normal 60 2 3 2" xfId="30970" xr:uid="{00000000-0005-0000-0000-0000625D0000}"/>
    <cellStyle name="Normal 60 2 4" xfId="22927" xr:uid="{00000000-0005-0000-0000-0000635D0000}"/>
    <cellStyle name="Normal 60 3" xfId="5092" xr:uid="{00000000-0005-0000-0000-0000645D0000}"/>
    <cellStyle name="Normal 60 3 2" xfId="5093" xr:uid="{00000000-0005-0000-0000-0000655D0000}"/>
    <cellStyle name="Normal 60 3 2 2" xfId="5094" xr:uid="{00000000-0005-0000-0000-0000665D0000}"/>
    <cellStyle name="Normal 60 3 2 2 2" xfId="5095" xr:uid="{00000000-0005-0000-0000-0000675D0000}"/>
    <cellStyle name="Normal 60 3 2 2 2 2" xfId="9050" xr:uid="{00000000-0005-0000-0000-0000685D0000}"/>
    <cellStyle name="Normal 60 3 2 2 2 2 2" xfId="18224" xr:uid="{00000000-0005-0000-0000-0000695D0000}"/>
    <cellStyle name="Normal 60 3 2 2 2 2 2 2" xfId="34798" xr:uid="{00000000-0005-0000-0000-00006A5D0000}"/>
    <cellStyle name="Normal 60 3 2 2 2 2 3" xfId="26751" xr:uid="{00000000-0005-0000-0000-00006B5D0000}"/>
    <cellStyle name="Normal 60 3 2 2 2 3" xfId="14425" xr:uid="{00000000-0005-0000-0000-00006C5D0000}"/>
    <cellStyle name="Normal 60 3 2 2 2 3 2" xfId="30973" xr:uid="{00000000-0005-0000-0000-00006D5D0000}"/>
    <cellStyle name="Normal 60 3 2 2 2 4" xfId="22930" xr:uid="{00000000-0005-0000-0000-00006E5D0000}"/>
    <cellStyle name="Normal 60 3 2 2 3" xfId="9051" xr:uid="{00000000-0005-0000-0000-00006F5D0000}"/>
    <cellStyle name="Normal 60 3 2 2 3 2" xfId="18225" xr:uid="{00000000-0005-0000-0000-0000705D0000}"/>
    <cellStyle name="Normal 60 3 2 2 3 2 2" xfId="34799" xr:uid="{00000000-0005-0000-0000-0000715D0000}"/>
    <cellStyle name="Normal 60 3 2 2 3 3" xfId="26752" xr:uid="{00000000-0005-0000-0000-0000725D0000}"/>
    <cellStyle name="Normal 60 3 2 2 4" xfId="14424" xr:uid="{00000000-0005-0000-0000-0000735D0000}"/>
    <cellStyle name="Normal 60 3 2 2 4 2" xfId="30972" xr:uid="{00000000-0005-0000-0000-0000745D0000}"/>
    <cellStyle name="Normal 60 3 2 2 5" xfId="22929" xr:uid="{00000000-0005-0000-0000-0000755D0000}"/>
    <cellStyle name="Normal 60 3 2 3" xfId="5096" xr:uid="{00000000-0005-0000-0000-0000765D0000}"/>
    <cellStyle name="Normal 60 3 2 3 2" xfId="9052" xr:uid="{00000000-0005-0000-0000-0000775D0000}"/>
    <cellStyle name="Normal 60 3 2 3 2 2" xfId="18226" xr:uid="{00000000-0005-0000-0000-0000785D0000}"/>
    <cellStyle name="Normal 60 3 2 3 2 2 2" xfId="34800" xr:uid="{00000000-0005-0000-0000-0000795D0000}"/>
    <cellStyle name="Normal 60 3 2 3 2 3" xfId="26753" xr:uid="{00000000-0005-0000-0000-00007A5D0000}"/>
    <cellStyle name="Normal 60 3 2 3 3" xfId="14426" xr:uid="{00000000-0005-0000-0000-00007B5D0000}"/>
    <cellStyle name="Normal 60 3 2 3 3 2" xfId="30974" xr:uid="{00000000-0005-0000-0000-00007C5D0000}"/>
    <cellStyle name="Normal 60 3 2 3 4" xfId="22931" xr:uid="{00000000-0005-0000-0000-00007D5D0000}"/>
    <cellStyle name="Normal 60 3 2 4" xfId="9053" xr:uid="{00000000-0005-0000-0000-00007E5D0000}"/>
    <cellStyle name="Normal 60 3 2 4 2" xfId="18227" xr:uid="{00000000-0005-0000-0000-00007F5D0000}"/>
    <cellStyle name="Normal 60 3 2 4 2 2" xfId="34801" xr:uid="{00000000-0005-0000-0000-0000805D0000}"/>
    <cellStyle name="Normal 60 3 2 4 3" xfId="26754" xr:uid="{00000000-0005-0000-0000-0000815D0000}"/>
    <cellStyle name="Normal 60 3 2 5" xfId="14423" xr:uid="{00000000-0005-0000-0000-0000825D0000}"/>
    <cellStyle name="Normal 60 3 2 5 2" xfId="30971" xr:uid="{00000000-0005-0000-0000-0000835D0000}"/>
    <cellStyle name="Normal 60 3 2 6" xfId="22928" xr:uid="{00000000-0005-0000-0000-0000845D0000}"/>
    <cellStyle name="Normal 60 3 3" xfId="5097" xr:uid="{00000000-0005-0000-0000-0000855D0000}"/>
    <cellStyle name="Normal 60 3 3 2" xfId="5098" xr:uid="{00000000-0005-0000-0000-0000865D0000}"/>
    <cellStyle name="Normal 60 3 3 2 2" xfId="9054" xr:uid="{00000000-0005-0000-0000-0000875D0000}"/>
    <cellStyle name="Normal 60 3 3 2 2 2" xfId="18228" xr:uid="{00000000-0005-0000-0000-0000885D0000}"/>
    <cellStyle name="Normal 60 3 3 2 2 2 2" xfId="34802" xr:uid="{00000000-0005-0000-0000-0000895D0000}"/>
    <cellStyle name="Normal 60 3 3 2 2 3" xfId="26755" xr:uid="{00000000-0005-0000-0000-00008A5D0000}"/>
    <cellStyle name="Normal 60 3 3 2 3" xfId="14428" xr:uid="{00000000-0005-0000-0000-00008B5D0000}"/>
    <cellStyle name="Normal 60 3 3 2 3 2" xfId="30976" xr:uid="{00000000-0005-0000-0000-00008C5D0000}"/>
    <cellStyle name="Normal 60 3 3 2 4" xfId="22933" xr:uid="{00000000-0005-0000-0000-00008D5D0000}"/>
    <cellStyle name="Normal 60 3 3 3" xfId="9055" xr:uid="{00000000-0005-0000-0000-00008E5D0000}"/>
    <cellStyle name="Normal 60 3 3 3 2" xfId="18229" xr:uid="{00000000-0005-0000-0000-00008F5D0000}"/>
    <cellStyle name="Normal 60 3 3 3 2 2" xfId="34803" xr:uid="{00000000-0005-0000-0000-0000905D0000}"/>
    <cellStyle name="Normal 60 3 3 3 3" xfId="26756" xr:uid="{00000000-0005-0000-0000-0000915D0000}"/>
    <cellStyle name="Normal 60 3 3 4" xfId="14427" xr:uid="{00000000-0005-0000-0000-0000925D0000}"/>
    <cellStyle name="Normal 60 3 3 4 2" xfId="30975" xr:uid="{00000000-0005-0000-0000-0000935D0000}"/>
    <cellStyle name="Normal 60 3 3 5" xfId="22932" xr:uid="{00000000-0005-0000-0000-0000945D0000}"/>
    <cellStyle name="Normal 60 3 4" xfId="5099" xr:uid="{00000000-0005-0000-0000-0000955D0000}"/>
    <cellStyle name="Normal 60 3 4 2" xfId="9056" xr:uid="{00000000-0005-0000-0000-0000965D0000}"/>
    <cellStyle name="Normal 60 3 4 2 2" xfId="18230" xr:uid="{00000000-0005-0000-0000-0000975D0000}"/>
    <cellStyle name="Normal 60 3 4 2 2 2" xfId="34804" xr:uid="{00000000-0005-0000-0000-0000985D0000}"/>
    <cellStyle name="Normal 60 3 4 2 3" xfId="26757" xr:uid="{00000000-0005-0000-0000-0000995D0000}"/>
    <cellStyle name="Normal 60 3 4 3" xfId="14429" xr:uid="{00000000-0005-0000-0000-00009A5D0000}"/>
    <cellStyle name="Normal 60 3 4 3 2" xfId="30977" xr:uid="{00000000-0005-0000-0000-00009B5D0000}"/>
    <cellStyle name="Normal 60 3 4 4" xfId="22934" xr:uid="{00000000-0005-0000-0000-00009C5D0000}"/>
    <cellStyle name="Normal 60 3 5" xfId="5100" xr:uid="{00000000-0005-0000-0000-00009D5D0000}"/>
    <cellStyle name="Normal 60 3 5 2" xfId="14430" xr:uid="{00000000-0005-0000-0000-00009E5D0000}"/>
    <cellStyle name="Normal 60 3 5 2 2" xfId="30978" xr:uid="{00000000-0005-0000-0000-00009F5D0000}"/>
    <cellStyle name="Normal 60 3 5 3" xfId="22935" xr:uid="{00000000-0005-0000-0000-0000A05D0000}"/>
    <cellStyle name="Normal 60 4" xfId="5101" xr:uid="{00000000-0005-0000-0000-0000A15D0000}"/>
    <cellStyle name="Normal 60 4 2" xfId="5102" xr:uid="{00000000-0005-0000-0000-0000A25D0000}"/>
    <cellStyle name="Normal 60 4 2 2" xfId="5103" xr:uid="{00000000-0005-0000-0000-0000A35D0000}"/>
    <cellStyle name="Normal 60 4 2 2 2" xfId="5104" xr:uid="{00000000-0005-0000-0000-0000A45D0000}"/>
    <cellStyle name="Normal 60 4 2 2 2 2" xfId="9057" xr:uid="{00000000-0005-0000-0000-0000A55D0000}"/>
    <cellStyle name="Normal 60 4 2 2 2 2 2" xfId="18231" xr:uid="{00000000-0005-0000-0000-0000A65D0000}"/>
    <cellStyle name="Normal 60 4 2 2 2 2 2 2" xfId="34805" xr:uid="{00000000-0005-0000-0000-0000A75D0000}"/>
    <cellStyle name="Normal 60 4 2 2 2 2 3" xfId="26758" xr:uid="{00000000-0005-0000-0000-0000A85D0000}"/>
    <cellStyle name="Normal 60 4 2 2 2 3" xfId="14434" xr:uid="{00000000-0005-0000-0000-0000A95D0000}"/>
    <cellStyle name="Normal 60 4 2 2 2 3 2" xfId="30982" xr:uid="{00000000-0005-0000-0000-0000AA5D0000}"/>
    <cellStyle name="Normal 60 4 2 2 2 4" xfId="22939" xr:uid="{00000000-0005-0000-0000-0000AB5D0000}"/>
    <cellStyle name="Normal 60 4 2 2 3" xfId="9058" xr:uid="{00000000-0005-0000-0000-0000AC5D0000}"/>
    <cellStyle name="Normal 60 4 2 2 3 2" xfId="18232" xr:uid="{00000000-0005-0000-0000-0000AD5D0000}"/>
    <cellStyle name="Normal 60 4 2 2 3 2 2" xfId="34806" xr:uid="{00000000-0005-0000-0000-0000AE5D0000}"/>
    <cellStyle name="Normal 60 4 2 2 3 3" xfId="26759" xr:uid="{00000000-0005-0000-0000-0000AF5D0000}"/>
    <cellStyle name="Normal 60 4 2 2 4" xfId="14433" xr:uid="{00000000-0005-0000-0000-0000B05D0000}"/>
    <cellStyle name="Normal 60 4 2 2 4 2" xfId="30981" xr:uid="{00000000-0005-0000-0000-0000B15D0000}"/>
    <cellStyle name="Normal 60 4 2 2 5" xfId="22938" xr:uid="{00000000-0005-0000-0000-0000B25D0000}"/>
    <cellStyle name="Normal 60 4 2 3" xfId="5105" xr:uid="{00000000-0005-0000-0000-0000B35D0000}"/>
    <cellStyle name="Normal 60 4 2 3 2" xfId="9059" xr:uid="{00000000-0005-0000-0000-0000B45D0000}"/>
    <cellStyle name="Normal 60 4 2 3 2 2" xfId="18233" xr:uid="{00000000-0005-0000-0000-0000B55D0000}"/>
    <cellStyle name="Normal 60 4 2 3 2 2 2" xfId="34807" xr:uid="{00000000-0005-0000-0000-0000B65D0000}"/>
    <cellStyle name="Normal 60 4 2 3 2 3" xfId="26760" xr:uid="{00000000-0005-0000-0000-0000B75D0000}"/>
    <cellStyle name="Normal 60 4 2 3 3" xfId="14435" xr:uid="{00000000-0005-0000-0000-0000B85D0000}"/>
    <cellStyle name="Normal 60 4 2 3 3 2" xfId="30983" xr:uid="{00000000-0005-0000-0000-0000B95D0000}"/>
    <cellStyle name="Normal 60 4 2 3 4" xfId="22940" xr:uid="{00000000-0005-0000-0000-0000BA5D0000}"/>
    <cellStyle name="Normal 60 4 2 4" xfId="9060" xr:uid="{00000000-0005-0000-0000-0000BB5D0000}"/>
    <cellStyle name="Normal 60 4 2 4 2" xfId="18234" xr:uid="{00000000-0005-0000-0000-0000BC5D0000}"/>
    <cellStyle name="Normal 60 4 2 4 2 2" xfId="34808" xr:uid="{00000000-0005-0000-0000-0000BD5D0000}"/>
    <cellStyle name="Normal 60 4 2 4 3" xfId="26761" xr:uid="{00000000-0005-0000-0000-0000BE5D0000}"/>
    <cellStyle name="Normal 60 4 2 5" xfId="14432" xr:uid="{00000000-0005-0000-0000-0000BF5D0000}"/>
    <cellStyle name="Normal 60 4 2 5 2" xfId="30980" xr:uid="{00000000-0005-0000-0000-0000C05D0000}"/>
    <cellStyle name="Normal 60 4 2 6" xfId="22937" xr:uid="{00000000-0005-0000-0000-0000C15D0000}"/>
    <cellStyle name="Normal 60 4 3" xfId="5106" xr:uid="{00000000-0005-0000-0000-0000C25D0000}"/>
    <cellStyle name="Normal 60 4 3 2" xfId="5107" xr:uid="{00000000-0005-0000-0000-0000C35D0000}"/>
    <cellStyle name="Normal 60 4 3 2 2" xfId="9061" xr:uid="{00000000-0005-0000-0000-0000C45D0000}"/>
    <cellStyle name="Normal 60 4 3 2 2 2" xfId="18235" xr:uid="{00000000-0005-0000-0000-0000C55D0000}"/>
    <cellStyle name="Normal 60 4 3 2 2 2 2" xfId="34809" xr:uid="{00000000-0005-0000-0000-0000C65D0000}"/>
    <cellStyle name="Normal 60 4 3 2 2 3" xfId="26762" xr:uid="{00000000-0005-0000-0000-0000C75D0000}"/>
    <cellStyle name="Normal 60 4 3 2 3" xfId="14437" xr:uid="{00000000-0005-0000-0000-0000C85D0000}"/>
    <cellStyle name="Normal 60 4 3 2 3 2" xfId="30985" xr:uid="{00000000-0005-0000-0000-0000C95D0000}"/>
    <cellStyle name="Normal 60 4 3 2 4" xfId="22942" xr:uid="{00000000-0005-0000-0000-0000CA5D0000}"/>
    <cellStyle name="Normal 60 4 3 3" xfId="9062" xr:uid="{00000000-0005-0000-0000-0000CB5D0000}"/>
    <cellStyle name="Normal 60 4 3 3 2" xfId="18236" xr:uid="{00000000-0005-0000-0000-0000CC5D0000}"/>
    <cellStyle name="Normal 60 4 3 3 2 2" xfId="34810" xr:uid="{00000000-0005-0000-0000-0000CD5D0000}"/>
    <cellStyle name="Normal 60 4 3 3 3" xfId="26763" xr:uid="{00000000-0005-0000-0000-0000CE5D0000}"/>
    <cellStyle name="Normal 60 4 3 4" xfId="14436" xr:uid="{00000000-0005-0000-0000-0000CF5D0000}"/>
    <cellStyle name="Normal 60 4 3 4 2" xfId="30984" xr:uid="{00000000-0005-0000-0000-0000D05D0000}"/>
    <cellStyle name="Normal 60 4 3 5" xfId="22941" xr:uid="{00000000-0005-0000-0000-0000D15D0000}"/>
    <cellStyle name="Normal 60 4 4" xfId="5108" xr:uid="{00000000-0005-0000-0000-0000D25D0000}"/>
    <cellStyle name="Normal 60 4 4 2" xfId="9063" xr:uid="{00000000-0005-0000-0000-0000D35D0000}"/>
    <cellStyle name="Normal 60 4 4 2 2" xfId="18237" xr:uid="{00000000-0005-0000-0000-0000D45D0000}"/>
    <cellStyle name="Normal 60 4 4 2 2 2" xfId="34811" xr:uid="{00000000-0005-0000-0000-0000D55D0000}"/>
    <cellStyle name="Normal 60 4 4 2 3" xfId="26764" xr:uid="{00000000-0005-0000-0000-0000D65D0000}"/>
    <cellStyle name="Normal 60 4 4 3" xfId="14438" xr:uid="{00000000-0005-0000-0000-0000D75D0000}"/>
    <cellStyle name="Normal 60 4 4 3 2" xfId="30986" xr:uid="{00000000-0005-0000-0000-0000D85D0000}"/>
    <cellStyle name="Normal 60 4 4 4" xfId="22943" xr:uid="{00000000-0005-0000-0000-0000D95D0000}"/>
    <cellStyle name="Normal 60 4 5" xfId="9064" xr:uid="{00000000-0005-0000-0000-0000DA5D0000}"/>
    <cellStyle name="Normal 60 4 5 2" xfId="18238" xr:uid="{00000000-0005-0000-0000-0000DB5D0000}"/>
    <cellStyle name="Normal 60 4 5 2 2" xfId="34812" xr:uid="{00000000-0005-0000-0000-0000DC5D0000}"/>
    <cellStyle name="Normal 60 4 5 3" xfId="26765" xr:uid="{00000000-0005-0000-0000-0000DD5D0000}"/>
    <cellStyle name="Normal 60 4 6" xfId="14431" xr:uid="{00000000-0005-0000-0000-0000DE5D0000}"/>
    <cellStyle name="Normal 60 4 6 2" xfId="30979" xr:uid="{00000000-0005-0000-0000-0000DF5D0000}"/>
    <cellStyle name="Normal 60 4 7" xfId="22936" xr:uid="{00000000-0005-0000-0000-0000E05D0000}"/>
    <cellStyle name="Normal 60 5" xfId="5109" xr:uid="{00000000-0005-0000-0000-0000E15D0000}"/>
    <cellStyle name="Normal 60 5 2" xfId="5110" xr:uid="{00000000-0005-0000-0000-0000E25D0000}"/>
    <cellStyle name="Normal 60 5 2 2" xfId="5111" xr:uid="{00000000-0005-0000-0000-0000E35D0000}"/>
    <cellStyle name="Normal 60 5 2 2 2" xfId="5112" xr:uid="{00000000-0005-0000-0000-0000E45D0000}"/>
    <cellStyle name="Normal 60 5 2 2 2 2" xfId="9065" xr:uid="{00000000-0005-0000-0000-0000E55D0000}"/>
    <cellStyle name="Normal 60 5 2 2 2 2 2" xfId="18239" xr:uid="{00000000-0005-0000-0000-0000E65D0000}"/>
    <cellStyle name="Normal 60 5 2 2 2 2 2 2" xfId="34813" xr:uid="{00000000-0005-0000-0000-0000E75D0000}"/>
    <cellStyle name="Normal 60 5 2 2 2 2 3" xfId="26766" xr:uid="{00000000-0005-0000-0000-0000E85D0000}"/>
    <cellStyle name="Normal 60 5 2 2 2 3" xfId="14442" xr:uid="{00000000-0005-0000-0000-0000E95D0000}"/>
    <cellStyle name="Normal 60 5 2 2 2 3 2" xfId="30990" xr:uid="{00000000-0005-0000-0000-0000EA5D0000}"/>
    <cellStyle name="Normal 60 5 2 2 2 4" xfId="22947" xr:uid="{00000000-0005-0000-0000-0000EB5D0000}"/>
    <cellStyle name="Normal 60 5 2 2 3" xfId="9066" xr:uid="{00000000-0005-0000-0000-0000EC5D0000}"/>
    <cellStyle name="Normal 60 5 2 2 3 2" xfId="18240" xr:uid="{00000000-0005-0000-0000-0000ED5D0000}"/>
    <cellStyle name="Normal 60 5 2 2 3 2 2" xfId="34814" xr:uid="{00000000-0005-0000-0000-0000EE5D0000}"/>
    <cellStyle name="Normal 60 5 2 2 3 3" xfId="26767" xr:uid="{00000000-0005-0000-0000-0000EF5D0000}"/>
    <cellStyle name="Normal 60 5 2 2 4" xfId="14441" xr:uid="{00000000-0005-0000-0000-0000F05D0000}"/>
    <cellStyle name="Normal 60 5 2 2 4 2" xfId="30989" xr:uid="{00000000-0005-0000-0000-0000F15D0000}"/>
    <cellStyle name="Normal 60 5 2 2 5" xfId="22946" xr:uid="{00000000-0005-0000-0000-0000F25D0000}"/>
    <cellStyle name="Normal 60 5 2 3" xfId="5113" xr:uid="{00000000-0005-0000-0000-0000F35D0000}"/>
    <cellStyle name="Normal 60 5 2 3 2" xfId="9067" xr:uid="{00000000-0005-0000-0000-0000F45D0000}"/>
    <cellStyle name="Normal 60 5 2 3 2 2" xfId="18241" xr:uid="{00000000-0005-0000-0000-0000F55D0000}"/>
    <cellStyle name="Normal 60 5 2 3 2 2 2" xfId="34815" xr:uid="{00000000-0005-0000-0000-0000F65D0000}"/>
    <cellStyle name="Normal 60 5 2 3 2 3" xfId="26768" xr:uid="{00000000-0005-0000-0000-0000F75D0000}"/>
    <cellStyle name="Normal 60 5 2 3 3" xfId="14443" xr:uid="{00000000-0005-0000-0000-0000F85D0000}"/>
    <cellStyle name="Normal 60 5 2 3 3 2" xfId="30991" xr:uid="{00000000-0005-0000-0000-0000F95D0000}"/>
    <cellStyle name="Normal 60 5 2 3 4" xfId="22948" xr:uid="{00000000-0005-0000-0000-0000FA5D0000}"/>
    <cellStyle name="Normal 60 5 2 4" xfId="9068" xr:uid="{00000000-0005-0000-0000-0000FB5D0000}"/>
    <cellStyle name="Normal 60 5 2 4 2" xfId="18242" xr:uid="{00000000-0005-0000-0000-0000FC5D0000}"/>
    <cellStyle name="Normal 60 5 2 4 2 2" xfId="34816" xr:uid="{00000000-0005-0000-0000-0000FD5D0000}"/>
    <cellStyle name="Normal 60 5 2 4 3" xfId="26769" xr:uid="{00000000-0005-0000-0000-0000FE5D0000}"/>
    <cellStyle name="Normal 60 5 2 5" xfId="14440" xr:uid="{00000000-0005-0000-0000-0000FF5D0000}"/>
    <cellStyle name="Normal 60 5 2 5 2" xfId="30988" xr:uid="{00000000-0005-0000-0000-0000005E0000}"/>
    <cellStyle name="Normal 60 5 2 6" xfId="22945" xr:uid="{00000000-0005-0000-0000-0000015E0000}"/>
    <cellStyle name="Normal 60 5 3" xfId="5114" xr:uid="{00000000-0005-0000-0000-0000025E0000}"/>
    <cellStyle name="Normal 60 5 3 2" xfId="5115" xr:uid="{00000000-0005-0000-0000-0000035E0000}"/>
    <cellStyle name="Normal 60 5 3 2 2" xfId="9069" xr:uid="{00000000-0005-0000-0000-0000045E0000}"/>
    <cellStyle name="Normal 60 5 3 2 2 2" xfId="18243" xr:uid="{00000000-0005-0000-0000-0000055E0000}"/>
    <cellStyle name="Normal 60 5 3 2 2 2 2" xfId="34817" xr:uid="{00000000-0005-0000-0000-0000065E0000}"/>
    <cellStyle name="Normal 60 5 3 2 2 3" xfId="26770" xr:uid="{00000000-0005-0000-0000-0000075E0000}"/>
    <cellStyle name="Normal 60 5 3 2 3" xfId="14445" xr:uid="{00000000-0005-0000-0000-0000085E0000}"/>
    <cellStyle name="Normal 60 5 3 2 3 2" xfId="30993" xr:uid="{00000000-0005-0000-0000-0000095E0000}"/>
    <cellStyle name="Normal 60 5 3 2 4" xfId="22950" xr:uid="{00000000-0005-0000-0000-00000A5E0000}"/>
    <cellStyle name="Normal 60 5 3 3" xfId="9070" xr:uid="{00000000-0005-0000-0000-00000B5E0000}"/>
    <cellStyle name="Normal 60 5 3 3 2" xfId="18244" xr:uid="{00000000-0005-0000-0000-00000C5E0000}"/>
    <cellStyle name="Normal 60 5 3 3 2 2" xfId="34818" xr:uid="{00000000-0005-0000-0000-00000D5E0000}"/>
    <cellStyle name="Normal 60 5 3 3 3" xfId="26771" xr:uid="{00000000-0005-0000-0000-00000E5E0000}"/>
    <cellStyle name="Normal 60 5 3 4" xfId="14444" xr:uid="{00000000-0005-0000-0000-00000F5E0000}"/>
    <cellStyle name="Normal 60 5 3 4 2" xfId="30992" xr:uid="{00000000-0005-0000-0000-0000105E0000}"/>
    <cellStyle name="Normal 60 5 3 5" xfId="22949" xr:uid="{00000000-0005-0000-0000-0000115E0000}"/>
    <cellStyle name="Normal 60 5 4" xfId="5116" xr:uid="{00000000-0005-0000-0000-0000125E0000}"/>
    <cellStyle name="Normal 60 5 4 2" xfId="9071" xr:uid="{00000000-0005-0000-0000-0000135E0000}"/>
    <cellStyle name="Normal 60 5 4 2 2" xfId="18245" xr:uid="{00000000-0005-0000-0000-0000145E0000}"/>
    <cellStyle name="Normal 60 5 4 2 2 2" xfId="34819" xr:uid="{00000000-0005-0000-0000-0000155E0000}"/>
    <cellStyle name="Normal 60 5 4 2 3" xfId="26772" xr:uid="{00000000-0005-0000-0000-0000165E0000}"/>
    <cellStyle name="Normal 60 5 4 3" xfId="14446" xr:uid="{00000000-0005-0000-0000-0000175E0000}"/>
    <cellStyle name="Normal 60 5 4 3 2" xfId="30994" xr:uid="{00000000-0005-0000-0000-0000185E0000}"/>
    <cellStyle name="Normal 60 5 4 4" xfId="22951" xr:uid="{00000000-0005-0000-0000-0000195E0000}"/>
    <cellStyle name="Normal 60 5 5" xfId="9072" xr:uid="{00000000-0005-0000-0000-00001A5E0000}"/>
    <cellStyle name="Normal 60 5 5 2" xfId="18246" xr:uid="{00000000-0005-0000-0000-00001B5E0000}"/>
    <cellStyle name="Normal 60 5 5 2 2" xfId="34820" xr:uid="{00000000-0005-0000-0000-00001C5E0000}"/>
    <cellStyle name="Normal 60 5 5 3" xfId="26773" xr:uid="{00000000-0005-0000-0000-00001D5E0000}"/>
    <cellStyle name="Normal 60 5 6" xfId="14439" xr:uid="{00000000-0005-0000-0000-00001E5E0000}"/>
    <cellStyle name="Normal 60 5 6 2" xfId="30987" xr:uid="{00000000-0005-0000-0000-00001F5E0000}"/>
    <cellStyle name="Normal 60 5 7" xfId="22944" xr:uid="{00000000-0005-0000-0000-0000205E0000}"/>
    <cellStyle name="Normal 60 6" xfId="5117" xr:uid="{00000000-0005-0000-0000-0000215E0000}"/>
    <cellStyle name="Normal 60 6 2" xfId="5118" xr:uid="{00000000-0005-0000-0000-0000225E0000}"/>
    <cellStyle name="Normal 60 6 2 2" xfId="5119" xr:uid="{00000000-0005-0000-0000-0000235E0000}"/>
    <cellStyle name="Normal 60 6 2 2 2" xfId="9073" xr:uid="{00000000-0005-0000-0000-0000245E0000}"/>
    <cellStyle name="Normal 60 6 2 2 2 2" xfId="18247" xr:uid="{00000000-0005-0000-0000-0000255E0000}"/>
    <cellStyle name="Normal 60 6 2 2 2 2 2" xfId="34821" xr:uid="{00000000-0005-0000-0000-0000265E0000}"/>
    <cellStyle name="Normal 60 6 2 2 2 3" xfId="26774" xr:uid="{00000000-0005-0000-0000-0000275E0000}"/>
    <cellStyle name="Normal 60 6 2 2 3" xfId="14449" xr:uid="{00000000-0005-0000-0000-0000285E0000}"/>
    <cellStyle name="Normal 60 6 2 2 3 2" xfId="30997" xr:uid="{00000000-0005-0000-0000-0000295E0000}"/>
    <cellStyle name="Normal 60 6 2 2 4" xfId="22954" xr:uid="{00000000-0005-0000-0000-00002A5E0000}"/>
    <cellStyle name="Normal 60 6 2 3" xfId="9074" xr:uid="{00000000-0005-0000-0000-00002B5E0000}"/>
    <cellStyle name="Normal 60 6 2 3 2" xfId="18248" xr:uid="{00000000-0005-0000-0000-00002C5E0000}"/>
    <cellStyle name="Normal 60 6 2 3 2 2" xfId="34822" xr:uid="{00000000-0005-0000-0000-00002D5E0000}"/>
    <cellStyle name="Normal 60 6 2 3 3" xfId="26775" xr:uid="{00000000-0005-0000-0000-00002E5E0000}"/>
    <cellStyle name="Normal 60 6 2 4" xfId="14448" xr:uid="{00000000-0005-0000-0000-00002F5E0000}"/>
    <cellStyle name="Normal 60 6 2 4 2" xfId="30996" xr:uid="{00000000-0005-0000-0000-0000305E0000}"/>
    <cellStyle name="Normal 60 6 2 5" xfId="22953" xr:uid="{00000000-0005-0000-0000-0000315E0000}"/>
    <cellStyle name="Normal 60 6 3" xfId="5120" xr:uid="{00000000-0005-0000-0000-0000325E0000}"/>
    <cellStyle name="Normal 60 6 3 2" xfId="9075" xr:uid="{00000000-0005-0000-0000-0000335E0000}"/>
    <cellStyle name="Normal 60 6 3 2 2" xfId="18249" xr:uid="{00000000-0005-0000-0000-0000345E0000}"/>
    <cellStyle name="Normal 60 6 3 2 2 2" xfId="34823" xr:uid="{00000000-0005-0000-0000-0000355E0000}"/>
    <cellStyle name="Normal 60 6 3 2 3" xfId="26776" xr:uid="{00000000-0005-0000-0000-0000365E0000}"/>
    <cellStyle name="Normal 60 6 3 3" xfId="14450" xr:uid="{00000000-0005-0000-0000-0000375E0000}"/>
    <cellStyle name="Normal 60 6 3 3 2" xfId="30998" xr:uid="{00000000-0005-0000-0000-0000385E0000}"/>
    <cellStyle name="Normal 60 6 3 4" xfId="22955" xr:uid="{00000000-0005-0000-0000-0000395E0000}"/>
    <cellStyle name="Normal 60 6 4" xfId="9076" xr:uid="{00000000-0005-0000-0000-00003A5E0000}"/>
    <cellStyle name="Normal 60 6 4 2" xfId="18250" xr:uid="{00000000-0005-0000-0000-00003B5E0000}"/>
    <cellStyle name="Normal 60 6 4 2 2" xfId="34824" xr:uid="{00000000-0005-0000-0000-00003C5E0000}"/>
    <cellStyle name="Normal 60 6 4 3" xfId="26777" xr:uid="{00000000-0005-0000-0000-00003D5E0000}"/>
    <cellStyle name="Normal 60 6 5" xfId="14447" xr:uid="{00000000-0005-0000-0000-00003E5E0000}"/>
    <cellStyle name="Normal 60 6 5 2" xfId="30995" xr:uid="{00000000-0005-0000-0000-00003F5E0000}"/>
    <cellStyle name="Normal 60 6 6" xfId="22952" xr:uid="{00000000-0005-0000-0000-0000405E0000}"/>
    <cellStyle name="Normal 60 7" xfId="5121" xr:uid="{00000000-0005-0000-0000-0000415E0000}"/>
    <cellStyle name="Normal 60 7 2" xfId="5122" xr:uid="{00000000-0005-0000-0000-0000425E0000}"/>
    <cellStyle name="Normal 60 7 2 2" xfId="9077" xr:uid="{00000000-0005-0000-0000-0000435E0000}"/>
    <cellStyle name="Normal 60 7 2 2 2" xfId="18251" xr:uid="{00000000-0005-0000-0000-0000445E0000}"/>
    <cellStyle name="Normal 60 7 2 2 2 2" xfId="34825" xr:uid="{00000000-0005-0000-0000-0000455E0000}"/>
    <cellStyle name="Normal 60 7 2 2 3" xfId="26778" xr:uid="{00000000-0005-0000-0000-0000465E0000}"/>
    <cellStyle name="Normal 60 7 2 3" xfId="14452" xr:uid="{00000000-0005-0000-0000-0000475E0000}"/>
    <cellStyle name="Normal 60 7 2 3 2" xfId="31000" xr:uid="{00000000-0005-0000-0000-0000485E0000}"/>
    <cellStyle name="Normal 60 7 2 4" xfId="22957" xr:uid="{00000000-0005-0000-0000-0000495E0000}"/>
    <cellStyle name="Normal 60 7 3" xfId="9078" xr:uid="{00000000-0005-0000-0000-00004A5E0000}"/>
    <cellStyle name="Normal 60 7 3 2" xfId="18252" xr:uid="{00000000-0005-0000-0000-00004B5E0000}"/>
    <cellStyle name="Normal 60 7 3 2 2" xfId="34826" xr:uid="{00000000-0005-0000-0000-00004C5E0000}"/>
    <cellStyle name="Normal 60 7 3 3" xfId="26779" xr:uid="{00000000-0005-0000-0000-00004D5E0000}"/>
    <cellStyle name="Normal 60 7 4" xfId="14451" xr:uid="{00000000-0005-0000-0000-00004E5E0000}"/>
    <cellStyle name="Normal 60 7 4 2" xfId="30999" xr:uid="{00000000-0005-0000-0000-00004F5E0000}"/>
    <cellStyle name="Normal 60 7 5" xfId="22956" xr:uid="{00000000-0005-0000-0000-0000505E0000}"/>
    <cellStyle name="Normal 60 8" xfId="5123" xr:uid="{00000000-0005-0000-0000-0000515E0000}"/>
    <cellStyle name="Normal 60 8 2" xfId="9079" xr:uid="{00000000-0005-0000-0000-0000525E0000}"/>
    <cellStyle name="Normal 60 8 2 2" xfId="18253" xr:uid="{00000000-0005-0000-0000-0000535E0000}"/>
    <cellStyle name="Normal 60 8 2 2 2" xfId="34827" xr:uid="{00000000-0005-0000-0000-0000545E0000}"/>
    <cellStyle name="Normal 60 8 2 3" xfId="26780" xr:uid="{00000000-0005-0000-0000-0000555E0000}"/>
    <cellStyle name="Normal 60 8 3" xfId="14453" xr:uid="{00000000-0005-0000-0000-0000565E0000}"/>
    <cellStyle name="Normal 60 8 3 2" xfId="31001" xr:uid="{00000000-0005-0000-0000-0000575E0000}"/>
    <cellStyle name="Normal 60 8 4" xfId="22958" xr:uid="{00000000-0005-0000-0000-0000585E0000}"/>
    <cellStyle name="Normal 60 9" xfId="9080" xr:uid="{00000000-0005-0000-0000-0000595E0000}"/>
    <cellStyle name="Normal 60 9 2" xfId="18254" xr:uid="{00000000-0005-0000-0000-00005A5E0000}"/>
    <cellStyle name="Normal 60 9 2 2" xfId="34828" xr:uid="{00000000-0005-0000-0000-00005B5E0000}"/>
    <cellStyle name="Normal 60 9 3" xfId="26781" xr:uid="{00000000-0005-0000-0000-00005C5E0000}"/>
    <cellStyle name="Normal 61" xfId="5124" xr:uid="{00000000-0005-0000-0000-00005D5E0000}"/>
    <cellStyle name="Normal 61 10" xfId="14454" xr:uid="{00000000-0005-0000-0000-00005E5E0000}"/>
    <cellStyle name="Normal 61 10 2" xfId="31002" xr:uid="{00000000-0005-0000-0000-00005F5E0000}"/>
    <cellStyle name="Normal 61 11" xfId="22959" xr:uid="{00000000-0005-0000-0000-0000605E0000}"/>
    <cellStyle name="Normal 61 2" xfId="5125" xr:uid="{00000000-0005-0000-0000-0000615E0000}"/>
    <cellStyle name="Normal 61 2 2" xfId="5126" xr:uid="{00000000-0005-0000-0000-0000625E0000}"/>
    <cellStyle name="Normal 61 2 3" xfId="14455" xr:uid="{00000000-0005-0000-0000-0000635E0000}"/>
    <cellStyle name="Normal 61 2 3 2" xfId="31003" xr:uid="{00000000-0005-0000-0000-0000645E0000}"/>
    <cellStyle name="Normal 61 2 4" xfId="22960" xr:uid="{00000000-0005-0000-0000-0000655E0000}"/>
    <cellStyle name="Normal 61 3" xfId="5127" xr:uid="{00000000-0005-0000-0000-0000665E0000}"/>
    <cellStyle name="Normal 61 3 2" xfId="5128" xr:uid="{00000000-0005-0000-0000-0000675E0000}"/>
    <cellStyle name="Normal 61 3 2 2" xfId="5129" xr:uid="{00000000-0005-0000-0000-0000685E0000}"/>
    <cellStyle name="Normal 61 3 2 2 2" xfId="5130" xr:uid="{00000000-0005-0000-0000-0000695E0000}"/>
    <cellStyle name="Normal 61 3 2 2 2 2" xfId="9081" xr:uid="{00000000-0005-0000-0000-00006A5E0000}"/>
    <cellStyle name="Normal 61 3 2 2 2 2 2" xfId="18255" xr:uid="{00000000-0005-0000-0000-00006B5E0000}"/>
    <cellStyle name="Normal 61 3 2 2 2 2 2 2" xfId="34829" xr:uid="{00000000-0005-0000-0000-00006C5E0000}"/>
    <cellStyle name="Normal 61 3 2 2 2 2 3" xfId="26782" xr:uid="{00000000-0005-0000-0000-00006D5E0000}"/>
    <cellStyle name="Normal 61 3 2 2 2 3" xfId="14458" xr:uid="{00000000-0005-0000-0000-00006E5E0000}"/>
    <cellStyle name="Normal 61 3 2 2 2 3 2" xfId="31006" xr:uid="{00000000-0005-0000-0000-00006F5E0000}"/>
    <cellStyle name="Normal 61 3 2 2 2 4" xfId="22963" xr:uid="{00000000-0005-0000-0000-0000705E0000}"/>
    <cellStyle name="Normal 61 3 2 2 3" xfId="9082" xr:uid="{00000000-0005-0000-0000-0000715E0000}"/>
    <cellStyle name="Normal 61 3 2 2 3 2" xfId="18256" xr:uid="{00000000-0005-0000-0000-0000725E0000}"/>
    <cellStyle name="Normal 61 3 2 2 3 2 2" xfId="34830" xr:uid="{00000000-0005-0000-0000-0000735E0000}"/>
    <cellStyle name="Normal 61 3 2 2 3 3" xfId="26783" xr:uid="{00000000-0005-0000-0000-0000745E0000}"/>
    <cellStyle name="Normal 61 3 2 2 4" xfId="14457" xr:uid="{00000000-0005-0000-0000-0000755E0000}"/>
    <cellStyle name="Normal 61 3 2 2 4 2" xfId="31005" xr:uid="{00000000-0005-0000-0000-0000765E0000}"/>
    <cellStyle name="Normal 61 3 2 2 5" xfId="22962" xr:uid="{00000000-0005-0000-0000-0000775E0000}"/>
    <cellStyle name="Normal 61 3 2 3" xfId="5131" xr:uid="{00000000-0005-0000-0000-0000785E0000}"/>
    <cellStyle name="Normal 61 3 2 3 2" xfId="9083" xr:uid="{00000000-0005-0000-0000-0000795E0000}"/>
    <cellStyle name="Normal 61 3 2 3 2 2" xfId="18257" xr:uid="{00000000-0005-0000-0000-00007A5E0000}"/>
    <cellStyle name="Normal 61 3 2 3 2 2 2" xfId="34831" xr:uid="{00000000-0005-0000-0000-00007B5E0000}"/>
    <cellStyle name="Normal 61 3 2 3 2 3" xfId="26784" xr:uid="{00000000-0005-0000-0000-00007C5E0000}"/>
    <cellStyle name="Normal 61 3 2 3 3" xfId="14459" xr:uid="{00000000-0005-0000-0000-00007D5E0000}"/>
    <cellStyle name="Normal 61 3 2 3 3 2" xfId="31007" xr:uid="{00000000-0005-0000-0000-00007E5E0000}"/>
    <cellStyle name="Normal 61 3 2 3 4" xfId="22964" xr:uid="{00000000-0005-0000-0000-00007F5E0000}"/>
    <cellStyle name="Normal 61 3 2 4" xfId="9084" xr:uid="{00000000-0005-0000-0000-0000805E0000}"/>
    <cellStyle name="Normal 61 3 2 4 2" xfId="18258" xr:uid="{00000000-0005-0000-0000-0000815E0000}"/>
    <cellStyle name="Normal 61 3 2 4 2 2" xfId="34832" xr:uid="{00000000-0005-0000-0000-0000825E0000}"/>
    <cellStyle name="Normal 61 3 2 4 3" xfId="26785" xr:uid="{00000000-0005-0000-0000-0000835E0000}"/>
    <cellStyle name="Normal 61 3 2 5" xfId="14456" xr:uid="{00000000-0005-0000-0000-0000845E0000}"/>
    <cellStyle name="Normal 61 3 2 5 2" xfId="31004" xr:uid="{00000000-0005-0000-0000-0000855E0000}"/>
    <cellStyle name="Normal 61 3 2 6" xfId="22961" xr:uid="{00000000-0005-0000-0000-0000865E0000}"/>
    <cellStyle name="Normal 61 3 3" xfId="5132" xr:uid="{00000000-0005-0000-0000-0000875E0000}"/>
    <cellStyle name="Normal 61 3 3 2" xfId="5133" xr:uid="{00000000-0005-0000-0000-0000885E0000}"/>
    <cellStyle name="Normal 61 3 3 2 2" xfId="9085" xr:uid="{00000000-0005-0000-0000-0000895E0000}"/>
    <cellStyle name="Normal 61 3 3 2 2 2" xfId="18259" xr:uid="{00000000-0005-0000-0000-00008A5E0000}"/>
    <cellStyle name="Normal 61 3 3 2 2 2 2" xfId="34833" xr:uid="{00000000-0005-0000-0000-00008B5E0000}"/>
    <cellStyle name="Normal 61 3 3 2 2 3" xfId="26786" xr:uid="{00000000-0005-0000-0000-00008C5E0000}"/>
    <cellStyle name="Normal 61 3 3 2 3" xfId="14461" xr:uid="{00000000-0005-0000-0000-00008D5E0000}"/>
    <cellStyle name="Normal 61 3 3 2 3 2" xfId="31009" xr:uid="{00000000-0005-0000-0000-00008E5E0000}"/>
    <cellStyle name="Normal 61 3 3 2 4" xfId="22966" xr:uid="{00000000-0005-0000-0000-00008F5E0000}"/>
    <cellStyle name="Normal 61 3 3 3" xfId="9086" xr:uid="{00000000-0005-0000-0000-0000905E0000}"/>
    <cellStyle name="Normal 61 3 3 3 2" xfId="18260" xr:uid="{00000000-0005-0000-0000-0000915E0000}"/>
    <cellStyle name="Normal 61 3 3 3 2 2" xfId="34834" xr:uid="{00000000-0005-0000-0000-0000925E0000}"/>
    <cellStyle name="Normal 61 3 3 3 3" xfId="26787" xr:uid="{00000000-0005-0000-0000-0000935E0000}"/>
    <cellStyle name="Normal 61 3 3 4" xfId="14460" xr:uid="{00000000-0005-0000-0000-0000945E0000}"/>
    <cellStyle name="Normal 61 3 3 4 2" xfId="31008" xr:uid="{00000000-0005-0000-0000-0000955E0000}"/>
    <cellStyle name="Normal 61 3 3 5" xfId="22965" xr:uid="{00000000-0005-0000-0000-0000965E0000}"/>
    <cellStyle name="Normal 61 3 4" xfId="5134" xr:uid="{00000000-0005-0000-0000-0000975E0000}"/>
    <cellStyle name="Normal 61 3 4 2" xfId="9087" xr:uid="{00000000-0005-0000-0000-0000985E0000}"/>
    <cellStyle name="Normal 61 3 4 2 2" xfId="18261" xr:uid="{00000000-0005-0000-0000-0000995E0000}"/>
    <cellStyle name="Normal 61 3 4 2 2 2" xfId="34835" xr:uid="{00000000-0005-0000-0000-00009A5E0000}"/>
    <cellStyle name="Normal 61 3 4 2 3" xfId="26788" xr:uid="{00000000-0005-0000-0000-00009B5E0000}"/>
    <cellStyle name="Normal 61 3 4 3" xfId="14462" xr:uid="{00000000-0005-0000-0000-00009C5E0000}"/>
    <cellStyle name="Normal 61 3 4 3 2" xfId="31010" xr:uid="{00000000-0005-0000-0000-00009D5E0000}"/>
    <cellStyle name="Normal 61 3 4 4" xfId="22967" xr:uid="{00000000-0005-0000-0000-00009E5E0000}"/>
    <cellStyle name="Normal 61 3 5" xfId="5135" xr:uid="{00000000-0005-0000-0000-00009F5E0000}"/>
    <cellStyle name="Normal 61 3 5 2" xfId="14463" xr:uid="{00000000-0005-0000-0000-0000A05E0000}"/>
    <cellStyle name="Normal 61 3 5 2 2" xfId="31011" xr:uid="{00000000-0005-0000-0000-0000A15E0000}"/>
    <cellStyle name="Normal 61 3 5 3" xfId="22968" xr:uid="{00000000-0005-0000-0000-0000A25E0000}"/>
    <cellStyle name="Normal 61 4" xfId="5136" xr:uid="{00000000-0005-0000-0000-0000A35E0000}"/>
    <cellStyle name="Normal 61 4 2" xfId="5137" xr:uid="{00000000-0005-0000-0000-0000A45E0000}"/>
    <cellStyle name="Normal 61 4 2 2" xfId="5138" xr:uid="{00000000-0005-0000-0000-0000A55E0000}"/>
    <cellStyle name="Normal 61 4 2 2 2" xfId="5139" xr:uid="{00000000-0005-0000-0000-0000A65E0000}"/>
    <cellStyle name="Normal 61 4 2 2 2 2" xfId="9088" xr:uid="{00000000-0005-0000-0000-0000A75E0000}"/>
    <cellStyle name="Normal 61 4 2 2 2 2 2" xfId="18262" xr:uid="{00000000-0005-0000-0000-0000A85E0000}"/>
    <cellStyle name="Normal 61 4 2 2 2 2 2 2" xfId="34836" xr:uid="{00000000-0005-0000-0000-0000A95E0000}"/>
    <cellStyle name="Normal 61 4 2 2 2 2 3" xfId="26789" xr:uid="{00000000-0005-0000-0000-0000AA5E0000}"/>
    <cellStyle name="Normal 61 4 2 2 2 3" xfId="14467" xr:uid="{00000000-0005-0000-0000-0000AB5E0000}"/>
    <cellStyle name="Normal 61 4 2 2 2 3 2" xfId="31015" xr:uid="{00000000-0005-0000-0000-0000AC5E0000}"/>
    <cellStyle name="Normal 61 4 2 2 2 4" xfId="22972" xr:uid="{00000000-0005-0000-0000-0000AD5E0000}"/>
    <cellStyle name="Normal 61 4 2 2 3" xfId="9089" xr:uid="{00000000-0005-0000-0000-0000AE5E0000}"/>
    <cellStyle name="Normal 61 4 2 2 3 2" xfId="18263" xr:uid="{00000000-0005-0000-0000-0000AF5E0000}"/>
    <cellStyle name="Normal 61 4 2 2 3 2 2" xfId="34837" xr:uid="{00000000-0005-0000-0000-0000B05E0000}"/>
    <cellStyle name="Normal 61 4 2 2 3 3" xfId="26790" xr:uid="{00000000-0005-0000-0000-0000B15E0000}"/>
    <cellStyle name="Normal 61 4 2 2 4" xfId="14466" xr:uid="{00000000-0005-0000-0000-0000B25E0000}"/>
    <cellStyle name="Normal 61 4 2 2 4 2" xfId="31014" xr:uid="{00000000-0005-0000-0000-0000B35E0000}"/>
    <cellStyle name="Normal 61 4 2 2 5" xfId="22971" xr:uid="{00000000-0005-0000-0000-0000B45E0000}"/>
    <cellStyle name="Normal 61 4 2 3" xfId="5140" xr:uid="{00000000-0005-0000-0000-0000B55E0000}"/>
    <cellStyle name="Normal 61 4 2 3 2" xfId="9090" xr:uid="{00000000-0005-0000-0000-0000B65E0000}"/>
    <cellStyle name="Normal 61 4 2 3 2 2" xfId="18264" xr:uid="{00000000-0005-0000-0000-0000B75E0000}"/>
    <cellStyle name="Normal 61 4 2 3 2 2 2" xfId="34838" xr:uid="{00000000-0005-0000-0000-0000B85E0000}"/>
    <cellStyle name="Normal 61 4 2 3 2 3" xfId="26791" xr:uid="{00000000-0005-0000-0000-0000B95E0000}"/>
    <cellStyle name="Normal 61 4 2 3 3" xfId="14468" xr:uid="{00000000-0005-0000-0000-0000BA5E0000}"/>
    <cellStyle name="Normal 61 4 2 3 3 2" xfId="31016" xr:uid="{00000000-0005-0000-0000-0000BB5E0000}"/>
    <cellStyle name="Normal 61 4 2 3 4" xfId="22973" xr:uid="{00000000-0005-0000-0000-0000BC5E0000}"/>
    <cellStyle name="Normal 61 4 2 4" xfId="9091" xr:uid="{00000000-0005-0000-0000-0000BD5E0000}"/>
    <cellStyle name="Normal 61 4 2 4 2" xfId="18265" xr:uid="{00000000-0005-0000-0000-0000BE5E0000}"/>
    <cellStyle name="Normal 61 4 2 4 2 2" xfId="34839" xr:uid="{00000000-0005-0000-0000-0000BF5E0000}"/>
    <cellStyle name="Normal 61 4 2 4 3" xfId="26792" xr:uid="{00000000-0005-0000-0000-0000C05E0000}"/>
    <cellStyle name="Normal 61 4 2 5" xfId="14465" xr:uid="{00000000-0005-0000-0000-0000C15E0000}"/>
    <cellStyle name="Normal 61 4 2 5 2" xfId="31013" xr:uid="{00000000-0005-0000-0000-0000C25E0000}"/>
    <cellStyle name="Normal 61 4 2 6" xfId="22970" xr:uid="{00000000-0005-0000-0000-0000C35E0000}"/>
    <cellStyle name="Normal 61 4 3" xfId="5141" xr:uid="{00000000-0005-0000-0000-0000C45E0000}"/>
    <cellStyle name="Normal 61 4 3 2" xfId="5142" xr:uid="{00000000-0005-0000-0000-0000C55E0000}"/>
    <cellStyle name="Normal 61 4 3 2 2" xfId="9092" xr:uid="{00000000-0005-0000-0000-0000C65E0000}"/>
    <cellStyle name="Normal 61 4 3 2 2 2" xfId="18266" xr:uid="{00000000-0005-0000-0000-0000C75E0000}"/>
    <cellStyle name="Normal 61 4 3 2 2 2 2" xfId="34840" xr:uid="{00000000-0005-0000-0000-0000C85E0000}"/>
    <cellStyle name="Normal 61 4 3 2 2 3" xfId="26793" xr:uid="{00000000-0005-0000-0000-0000C95E0000}"/>
    <cellStyle name="Normal 61 4 3 2 3" xfId="14470" xr:uid="{00000000-0005-0000-0000-0000CA5E0000}"/>
    <cellStyle name="Normal 61 4 3 2 3 2" xfId="31018" xr:uid="{00000000-0005-0000-0000-0000CB5E0000}"/>
    <cellStyle name="Normal 61 4 3 2 4" xfId="22975" xr:uid="{00000000-0005-0000-0000-0000CC5E0000}"/>
    <cellStyle name="Normal 61 4 3 3" xfId="9093" xr:uid="{00000000-0005-0000-0000-0000CD5E0000}"/>
    <cellStyle name="Normal 61 4 3 3 2" xfId="18267" xr:uid="{00000000-0005-0000-0000-0000CE5E0000}"/>
    <cellStyle name="Normal 61 4 3 3 2 2" xfId="34841" xr:uid="{00000000-0005-0000-0000-0000CF5E0000}"/>
    <cellStyle name="Normal 61 4 3 3 3" xfId="26794" xr:uid="{00000000-0005-0000-0000-0000D05E0000}"/>
    <cellStyle name="Normal 61 4 3 4" xfId="14469" xr:uid="{00000000-0005-0000-0000-0000D15E0000}"/>
    <cellStyle name="Normal 61 4 3 4 2" xfId="31017" xr:uid="{00000000-0005-0000-0000-0000D25E0000}"/>
    <cellStyle name="Normal 61 4 3 5" xfId="22974" xr:uid="{00000000-0005-0000-0000-0000D35E0000}"/>
    <cellStyle name="Normal 61 4 4" xfId="5143" xr:uid="{00000000-0005-0000-0000-0000D45E0000}"/>
    <cellStyle name="Normal 61 4 4 2" xfId="9094" xr:uid="{00000000-0005-0000-0000-0000D55E0000}"/>
    <cellStyle name="Normal 61 4 4 2 2" xfId="18268" xr:uid="{00000000-0005-0000-0000-0000D65E0000}"/>
    <cellStyle name="Normal 61 4 4 2 2 2" xfId="34842" xr:uid="{00000000-0005-0000-0000-0000D75E0000}"/>
    <cellStyle name="Normal 61 4 4 2 3" xfId="26795" xr:uid="{00000000-0005-0000-0000-0000D85E0000}"/>
    <cellStyle name="Normal 61 4 4 3" xfId="14471" xr:uid="{00000000-0005-0000-0000-0000D95E0000}"/>
    <cellStyle name="Normal 61 4 4 3 2" xfId="31019" xr:uid="{00000000-0005-0000-0000-0000DA5E0000}"/>
    <cellStyle name="Normal 61 4 4 4" xfId="22976" xr:uid="{00000000-0005-0000-0000-0000DB5E0000}"/>
    <cellStyle name="Normal 61 4 5" xfId="9095" xr:uid="{00000000-0005-0000-0000-0000DC5E0000}"/>
    <cellStyle name="Normal 61 4 5 2" xfId="18269" xr:uid="{00000000-0005-0000-0000-0000DD5E0000}"/>
    <cellStyle name="Normal 61 4 5 2 2" xfId="34843" xr:uid="{00000000-0005-0000-0000-0000DE5E0000}"/>
    <cellStyle name="Normal 61 4 5 3" xfId="26796" xr:uid="{00000000-0005-0000-0000-0000DF5E0000}"/>
    <cellStyle name="Normal 61 4 6" xfId="14464" xr:uid="{00000000-0005-0000-0000-0000E05E0000}"/>
    <cellStyle name="Normal 61 4 6 2" xfId="31012" xr:uid="{00000000-0005-0000-0000-0000E15E0000}"/>
    <cellStyle name="Normal 61 4 7" xfId="22969" xr:uid="{00000000-0005-0000-0000-0000E25E0000}"/>
    <cellStyle name="Normal 61 5" xfId="5144" xr:uid="{00000000-0005-0000-0000-0000E35E0000}"/>
    <cellStyle name="Normal 61 5 2" xfId="5145" xr:uid="{00000000-0005-0000-0000-0000E45E0000}"/>
    <cellStyle name="Normal 61 5 2 2" xfId="5146" xr:uid="{00000000-0005-0000-0000-0000E55E0000}"/>
    <cellStyle name="Normal 61 5 2 2 2" xfId="5147" xr:uid="{00000000-0005-0000-0000-0000E65E0000}"/>
    <cellStyle name="Normal 61 5 2 2 2 2" xfId="9096" xr:uid="{00000000-0005-0000-0000-0000E75E0000}"/>
    <cellStyle name="Normal 61 5 2 2 2 2 2" xfId="18270" xr:uid="{00000000-0005-0000-0000-0000E85E0000}"/>
    <cellStyle name="Normal 61 5 2 2 2 2 2 2" xfId="34844" xr:uid="{00000000-0005-0000-0000-0000E95E0000}"/>
    <cellStyle name="Normal 61 5 2 2 2 2 3" xfId="26797" xr:uid="{00000000-0005-0000-0000-0000EA5E0000}"/>
    <cellStyle name="Normal 61 5 2 2 2 3" xfId="14475" xr:uid="{00000000-0005-0000-0000-0000EB5E0000}"/>
    <cellStyle name="Normal 61 5 2 2 2 3 2" xfId="31023" xr:uid="{00000000-0005-0000-0000-0000EC5E0000}"/>
    <cellStyle name="Normal 61 5 2 2 2 4" xfId="22980" xr:uid="{00000000-0005-0000-0000-0000ED5E0000}"/>
    <cellStyle name="Normal 61 5 2 2 3" xfId="9097" xr:uid="{00000000-0005-0000-0000-0000EE5E0000}"/>
    <cellStyle name="Normal 61 5 2 2 3 2" xfId="18271" xr:uid="{00000000-0005-0000-0000-0000EF5E0000}"/>
    <cellStyle name="Normal 61 5 2 2 3 2 2" xfId="34845" xr:uid="{00000000-0005-0000-0000-0000F05E0000}"/>
    <cellStyle name="Normal 61 5 2 2 3 3" xfId="26798" xr:uid="{00000000-0005-0000-0000-0000F15E0000}"/>
    <cellStyle name="Normal 61 5 2 2 4" xfId="14474" xr:uid="{00000000-0005-0000-0000-0000F25E0000}"/>
    <cellStyle name="Normal 61 5 2 2 4 2" xfId="31022" xr:uid="{00000000-0005-0000-0000-0000F35E0000}"/>
    <cellStyle name="Normal 61 5 2 2 5" xfId="22979" xr:uid="{00000000-0005-0000-0000-0000F45E0000}"/>
    <cellStyle name="Normal 61 5 2 3" xfId="5148" xr:uid="{00000000-0005-0000-0000-0000F55E0000}"/>
    <cellStyle name="Normal 61 5 2 3 2" xfId="9098" xr:uid="{00000000-0005-0000-0000-0000F65E0000}"/>
    <cellStyle name="Normal 61 5 2 3 2 2" xfId="18272" xr:uid="{00000000-0005-0000-0000-0000F75E0000}"/>
    <cellStyle name="Normal 61 5 2 3 2 2 2" xfId="34846" xr:uid="{00000000-0005-0000-0000-0000F85E0000}"/>
    <cellStyle name="Normal 61 5 2 3 2 3" xfId="26799" xr:uid="{00000000-0005-0000-0000-0000F95E0000}"/>
    <cellStyle name="Normal 61 5 2 3 3" xfId="14476" xr:uid="{00000000-0005-0000-0000-0000FA5E0000}"/>
    <cellStyle name="Normal 61 5 2 3 3 2" xfId="31024" xr:uid="{00000000-0005-0000-0000-0000FB5E0000}"/>
    <cellStyle name="Normal 61 5 2 3 4" xfId="22981" xr:uid="{00000000-0005-0000-0000-0000FC5E0000}"/>
    <cellStyle name="Normal 61 5 2 4" xfId="9099" xr:uid="{00000000-0005-0000-0000-0000FD5E0000}"/>
    <cellStyle name="Normal 61 5 2 4 2" xfId="18273" xr:uid="{00000000-0005-0000-0000-0000FE5E0000}"/>
    <cellStyle name="Normal 61 5 2 4 2 2" xfId="34847" xr:uid="{00000000-0005-0000-0000-0000FF5E0000}"/>
    <cellStyle name="Normal 61 5 2 4 3" xfId="26800" xr:uid="{00000000-0005-0000-0000-0000005F0000}"/>
    <cellStyle name="Normal 61 5 2 5" xfId="14473" xr:uid="{00000000-0005-0000-0000-0000015F0000}"/>
    <cellStyle name="Normal 61 5 2 5 2" xfId="31021" xr:uid="{00000000-0005-0000-0000-0000025F0000}"/>
    <cellStyle name="Normal 61 5 2 6" xfId="22978" xr:uid="{00000000-0005-0000-0000-0000035F0000}"/>
    <cellStyle name="Normal 61 5 3" xfId="5149" xr:uid="{00000000-0005-0000-0000-0000045F0000}"/>
    <cellStyle name="Normal 61 5 3 2" xfId="5150" xr:uid="{00000000-0005-0000-0000-0000055F0000}"/>
    <cellStyle name="Normal 61 5 3 2 2" xfId="9100" xr:uid="{00000000-0005-0000-0000-0000065F0000}"/>
    <cellStyle name="Normal 61 5 3 2 2 2" xfId="18274" xr:uid="{00000000-0005-0000-0000-0000075F0000}"/>
    <cellStyle name="Normal 61 5 3 2 2 2 2" xfId="34848" xr:uid="{00000000-0005-0000-0000-0000085F0000}"/>
    <cellStyle name="Normal 61 5 3 2 2 3" xfId="26801" xr:uid="{00000000-0005-0000-0000-0000095F0000}"/>
    <cellStyle name="Normal 61 5 3 2 3" xfId="14478" xr:uid="{00000000-0005-0000-0000-00000A5F0000}"/>
    <cellStyle name="Normal 61 5 3 2 3 2" xfId="31026" xr:uid="{00000000-0005-0000-0000-00000B5F0000}"/>
    <cellStyle name="Normal 61 5 3 2 4" xfId="22983" xr:uid="{00000000-0005-0000-0000-00000C5F0000}"/>
    <cellStyle name="Normal 61 5 3 3" xfId="9101" xr:uid="{00000000-0005-0000-0000-00000D5F0000}"/>
    <cellStyle name="Normal 61 5 3 3 2" xfId="18275" xr:uid="{00000000-0005-0000-0000-00000E5F0000}"/>
    <cellStyle name="Normal 61 5 3 3 2 2" xfId="34849" xr:uid="{00000000-0005-0000-0000-00000F5F0000}"/>
    <cellStyle name="Normal 61 5 3 3 3" xfId="26802" xr:uid="{00000000-0005-0000-0000-0000105F0000}"/>
    <cellStyle name="Normal 61 5 3 4" xfId="14477" xr:uid="{00000000-0005-0000-0000-0000115F0000}"/>
    <cellStyle name="Normal 61 5 3 4 2" xfId="31025" xr:uid="{00000000-0005-0000-0000-0000125F0000}"/>
    <cellStyle name="Normal 61 5 3 5" xfId="22982" xr:uid="{00000000-0005-0000-0000-0000135F0000}"/>
    <cellStyle name="Normal 61 5 4" xfId="5151" xr:uid="{00000000-0005-0000-0000-0000145F0000}"/>
    <cellStyle name="Normal 61 5 4 2" xfId="9102" xr:uid="{00000000-0005-0000-0000-0000155F0000}"/>
    <cellStyle name="Normal 61 5 4 2 2" xfId="18276" xr:uid="{00000000-0005-0000-0000-0000165F0000}"/>
    <cellStyle name="Normal 61 5 4 2 2 2" xfId="34850" xr:uid="{00000000-0005-0000-0000-0000175F0000}"/>
    <cellStyle name="Normal 61 5 4 2 3" xfId="26803" xr:uid="{00000000-0005-0000-0000-0000185F0000}"/>
    <cellStyle name="Normal 61 5 4 3" xfId="14479" xr:uid="{00000000-0005-0000-0000-0000195F0000}"/>
    <cellStyle name="Normal 61 5 4 3 2" xfId="31027" xr:uid="{00000000-0005-0000-0000-00001A5F0000}"/>
    <cellStyle name="Normal 61 5 4 4" xfId="22984" xr:uid="{00000000-0005-0000-0000-00001B5F0000}"/>
    <cellStyle name="Normal 61 5 5" xfId="9103" xr:uid="{00000000-0005-0000-0000-00001C5F0000}"/>
    <cellStyle name="Normal 61 5 5 2" xfId="18277" xr:uid="{00000000-0005-0000-0000-00001D5F0000}"/>
    <cellStyle name="Normal 61 5 5 2 2" xfId="34851" xr:uid="{00000000-0005-0000-0000-00001E5F0000}"/>
    <cellStyle name="Normal 61 5 5 3" xfId="26804" xr:uid="{00000000-0005-0000-0000-00001F5F0000}"/>
    <cellStyle name="Normal 61 5 6" xfId="14472" xr:uid="{00000000-0005-0000-0000-0000205F0000}"/>
    <cellStyle name="Normal 61 5 6 2" xfId="31020" xr:uid="{00000000-0005-0000-0000-0000215F0000}"/>
    <cellStyle name="Normal 61 5 7" xfId="22977" xr:uid="{00000000-0005-0000-0000-0000225F0000}"/>
    <cellStyle name="Normal 61 6" xfId="5152" xr:uid="{00000000-0005-0000-0000-0000235F0000}"/>
    <cellStyle name="Normal 61 6 2" xfId="5153" xr:uid="{00000000-0005-0000-0000-0000245F0000}"/>
    <cellStyle name="Normal 61 6 2 2" xfId="5154" xr:uid="{00000000-0005-0000-0000-0000255F0000}"/>
    <cellStyle name="Normal 61 6 2 2 2" xfId="9104" xr:uid="{00000000-0005-0000-0000-0000265F0000}"/>
    <cellStyle name="Normal 61 6 2 2 2 2" xfId="18278" xr:uid="{00000000-0005-0000-0000-0000275F0000}"/>
    <cellStyle name="Normal 61 6 2 2 2 2 2" xfId="34852" xr:uid="{00000000-0005-0000-0000-0000285F0000}"/>
    <cellStyle name="Normal 61 6 2 2 2 3" xfId="26805" xr:uid="{00000000-0005-0000-0000-0000295F0000}"/>
    <cellStyle name="Normal 61 6 2 2 3" xfId="14482" xr:uid="{00000000-0005-0000-0000-00002A5F0000}"/>
    <cellStyle name="Normal 61 6 2 2 3 2" xfId="31030" xr:uid="{00000000-0005-0000-0000-00002B5F0000}"/>
    <cellStyle name="Normal 61 6 2 2 4" xfId="22987" xr:uid="{00000000-0005-0000-0000-00002C5F0000}"/>
    <cellStyle name="Normal 61 6 2 3" xfId="9105" xr:uid="{00000000-0005-0000-0000-00002D5F0000}"/>
    <cellStyle name="Normal 61 6 2 3 2" xfId="18279" xr:uid="{00000000-0005-0000-0000-00002E5F0000}"/>
    <cellStyle name="Normal 61 6 2 3 2 2" xfId="34853" xr:uid="{00000000-0005-0000-0000-00002F5F0000}"/>
    <cellStyle name="Normal 61 6 2 3 3" xfId="26806" xr:uid="{00000000-0005-0000-0000-0000305F0000}"/>
    <cellStyle name="Normal 61 6 2 4" xfId="14481" xr:uid="{00000000-0005-0000-0000-0000315F0000}"/>
    <cellStyle name="Normal 61 6 2 4 2" xfId="31029" xr:uid="{00000000-0005-0000-0000-0000325F0000}"/>
    <cellStyle name="Normal 61 6 2 5" xfId="22986" xr:uid="{00000000-0005-0000-0000-0000335F0000}"/>
    <cellStyle name="Normal 61 6 3" xfId="5155" xr:uid="{00000000-0005-0000-0000-0000345F0000}"/>
    <cellStyle name="Normal 61 6 3 2" xfId="9106" xr:uid="{00000000-0005-0000-0000-0000355F0000}"/>
    <cellStyle name="Normal 61 6 3 2 2" xfId="18280" xr:uid="{00000000-0005-0000-0000-0000365F0000}"/>
    <cellStyle name="Normal 61 6 3 2 2 2" xfId="34854" xr:uid="{00000000-0005-0000-0000-0000375F0000}"/>
    <cellStyle name="Normal 61 6 3 2 3" xfId="26807" xr:uid="{00000000-0005-0000-0000-0000385F0000}"/>
    <cellStyle name="Normal 61 6 3 3" xfId="14483" xr:uid="{00000000-0005-0000-0000-0000395F0000}"/>
    <cellStyle name="Normal 61 6 3 3 2" xfId="31031" xr:uid="{00000000-0005-0000-0000-00003A5F0000}"/>
    <cellStyle name="Normal 61 6 3 4" xfId="22988" xr:uid="{00000000-0005-0000-0000-00003B5F0000}"/>
    <cellStyle name="Normal 61 6 4" xfId="9107" xr:uid="{00000000-0005-0000-0000-00003C5F0000}"/>
    <cellStyle name="Normal 61 6 4 2" xfId="18281" xr:uid="{00000000-0005-0000-0000-00003D5F0000}"/>
    <cellStyle name="Normal 61 6 4 2 2" xfId="34855" xr:uid="{00000000-0005-0000-0000-00003E5F0000}"/>
    <cellStyle name="Normal 61 6 4 3" xfId="26808" xr:uid="{00000000-0005-0000-0000-00003F5F0000}"/>
    <cellStyle name="Normal 61 6 5" xfId="14480" xr:uid="{00000000-0005-0000-0000-0000405F0000}"/>
    <cellStyle name="Normal 61 6 5 2" xfId="31028" xr:uid="{00000000-0005-0000-0000-0000415F0000}"/>
    <cellStyle name="Normal 61 6 6" xfId="22985" xr:uid="{00000000-0005-0000-0000-0000425F0000}"/>
    <cellStyle name="Normal 61 7" xfId="5156" xr:uid="{00000000-0005-0000-0000-0000435F0000}"/>
    <cellStyle name="Normal 61 7 2" xfId="5157" xr:uid="{00000000-0005-0000-0000-0000445F0000}"/>
    <cellStyle name="Normal 61 7 2 2" xfId="9108" xr:uid="{00000000-0005-0000-0000-0000455F0000}"/>
    <cellStyle name="Normal 61 7 2 2 2" xfId="18282" xr:uid="{00000000-0005-0000-0000-0000465F0000}"/>
    <cellStyle name="Normal 61 7 2 2 2 2" xfId="34856" xr:uid="{00000000-0005-0000-0000-0000475F0000}"/>
    <cellStyle name="Normal 61 7 2 2 3" xfId="26809" xr:uid="{00000000-0005-0000-0000-0000485F0000}"/>
    <cellStyle name="Normal 61 7 2 3" xfId="14485" xr:uid="{00000000-0005-0000-0000-0000495F0000}"/>
    <cellStyle name="Normal 61 7 2 3 2" xfId="31033" xr:uid="{00000000-0005-0000-0000-00004A5F0000}"/>
    <cellStyle name="Normal 61 7 2 4" xfId="22990" xr:uid="{00000000-0005-0000-0000-00004B5F0000}"/>
    <cellStyle name="Normal 61 7 3" xfId="9109" xr:uid="{00000000-0005-0000-0000-00004C5F0000}"/>
    <cellStyle name="Normal 61 7 3 2" xfId="18283" xr:uid="{00000000-0005-0000-0000-00004D5F0000}"/>
    <cellStyle name="Normal 61 7 3 2 2" xfId="34857" xr:uid="{00000000-0005-0000-0000-00004E5F0000}"/>
    <cellStyle name="Normal 61 7 3 3" xfId="26810" xr:uid="{00000000-0005-0000-0000-00004F5F0000}"/>
    <cellStyle name="Normal 61 7 4" xfId="14484" xr:uid="{00000000-0005-0000-0000-0000505F0000}"/>
    <cellStyle name="Normal 61 7 4 2" xfId="31032" xr:uid="{00000000-0005-0000-0000-0000515F0000}"/>
    <cellStyle name="Normal 61 7 5" xfId="22989" xr:uid="{00000000-0005-0000-0000-0000525F0000}"/>
    <cellStyle name="Normal 61 8" xfId="5158" xr:uid="{00000000-0005-0000-0000-0000535F0000}"/>
    <cellStyle name="Normal 61 8 2" xfId="9110" xr:uid="{00000000-0005-0000-0000-0000545F0000}"/>
    <cellStyle name="Normal 61 8 2 2" xfId="18284" xr:uid="{00000000-0005-0000-0000-0000555F0000}"/>
    <cellStyle name="Normal 61 8 2 2 2" xfId="34858" xr:uid="{00000000-0005-0000-0000-0000565F0000}"/>
    <cellStyle name="Normal 61 8 2 3" xfId="26811" xr:uid="{00000000-0005-0000-0000-0000575F0000}"/>
    <cellStyle name="Normal 61 8 3" xfId="14486" xr:uid="{00000000-0005-0000-0000-0000585F0000}"/>
    <cellStyle name="Normal 61 8 3 2" xfId="31034" xr:uid="{00000000-0005-0000-0000-0000595F0000}"/>
    <cellStyle name="Normal 61 8 4" xfId="22991" xr:uid="{00000000-0005-0000-0000-00005A5F0000}"/>
    <cellStyle name="Normal 61 9" xfId="9111" xr:uid="{00000000-0005-0000-0000-00005B5F0000}"/>
    <cellStyle name="Normal 61 9 2" xfId="18285" xr:uid="{00000000-0005-0000-0000-00005C5F0000}"/>
    <cellStyle name="Normal 61 9 2 2" xfId="34859" xr:uid="{00000000-0005-0000-0000-00005D5F0000}"/>
    <cellStyle name="Normal 61 9 3" xfId="26812" xr:uid="{00000000-0005-0000-0000-00005E5F0000}"/>
    <cellStyle name="Normal 62" xfId="5159" xr:uid="{00000000-0005-0000-0000-00005F5F0000}"/>
    <cellStyle name="Normal 62 10" xfId="14487" xr:uid="{00000000-0005-0000-0000-0000605F0000}"/>
    <cellStyle name="Normal 62 10 2" xfId="31035" xr:uid="{00000000-0005-0000-0000-0000615F0000}"/>
    <cellStyle name="Normal 62 11" xfId="22992" xr:uid="{00000000-0005-0000-0000-0000625F0000}"/>
    <cellStyle name="Normal 62 2" xfId="5160" xr:uid="{00000000-0005-0000-0000-0000635F0000}"/>
    <cellStyle name="Normal 62 2 2" xfId="5161" xr:uid="{00000000-0005-0000-0000-0000645F0000}"/>
    <cellStyle name="Normal 62 2 3" xfId="14488" xr:uid="{00000000-0005-0000-0000-0000655F0000}"/>
    <cellStyle name="Normal 62 2 3 2" xfId="31036" xr:uid="{00000000-0005-0000-0000-0000665F0000}"/>
    <cellStyle name="Normal 62 2 4" xfId="22993" xr:uid="{00000000-0005-0000-0000-0000675F0000}"/>
    <cellStyle name="Normal 62 3" xfId="5162" xr:uid="{00000000-0005-0000-0000-0000685F0000}"/>
    <cellStyle name="Normal 62 3 2" xfId="5163" xr:uid="{00000000-0005-0000-0000-0000695F0000}"/>
    <cellStyle name="Normal 62 3 2 2" xfId="5164" xr:uid="{00000000-0005-0000-0000-00006A5F0000}"/>
    <cellStyle name="Normal 62 3 2 2 2" xfId="5165" xr:uid="{00000000-0005-0000-0000-00006B5F0000}"/>
    <cellStyle name="Normal 62 3 2 2 2 2" xfId="9112" xr:uid="{00000000-0005-0000-0000-00006C5F0000}"/>
    <cellStyle name="Normal 62 3 2 2 2 2 2" xfId="18286" xr:uid="{00000000-0005-0000-0000-00006D5F0000}"/>
    <cellStyle name="Normal 62 3 2 2 2 2 2 2" xfId="34860" xr:uid="{00000000-0005-0000-0000-00006E5F0000}"/>
    <cellStyle name="Normal 62 3 2 2 2 2 3" xfId="26813" xr:uid="{00000000-0005-0000-0000-00006F5F0000}"/>
    <cellStyle name="Normal 62 3 2 2 2 3" xfId="14491" xr:uid="{00000000-0005-0000-0000-0000705F0000}"/>
    <cellStyle name="Normal 62 3 2 2 2 3 2" xfId="31039" xr:uid="{00000000-0005-0000-0000-0000715F0000}"/>
    <cellStyle name="Normal 62 3 2 2 2 4" xfId="22996" xr:uid="{00000000-0005-0000-0000-0000725F0000}"/>
    <cellStyle name="Normal 62 3 2 2 3" xfId="9113" xr:uid="{00000000-0005-0000-0000-0000735F0000}"/>
    <cellStyle name="Normal 62 3 2 2 3 2" xfId="18287" xr:uid="{00000000-0005-0000-0000-0000745F0000}"/>
    <cellStyle name="Normal 62 3 2 2 3 2 2" xfId="34861" xr:uid="{00000000-0005-0000-0000-0000755F0000}"/>
    <cellStyle name="Normal 62 3 2 2 3 3" xfId="26814" xr:uid="{00000000-0005-0000-0000-0000765F0000}"/>
    <cellStyle name="Normal 62 3 2 2 4" xfId="14490" xr:uid="{00000000-0005-0000-0000-0000775F0000}"/>
    <cellStyle name="Normal 62 3 2 2 4 2" xfId="31038" xr:uid="{00000000-0005-0000-0000-0000785F0000}"/>
    <cellStyle name="Normal 62 3 2 2 5" xfId="22995" xr:uid="{00000000-0005-0000-0000-0000795F0000}"/>
    <cellStyle name="Normal 62 3 2 3" xfId="5166" xr:uid="{00000000-0005-0000-0000-00007A5F0000}"/>
    <cellStyle name="Normal 62 3 2 3 2" xfId="9114" xr:uid="{00000000-0005-0000-0000-00007B5F0000}"/>
    <cellStyle name="Normal 62 3 2 3 2 2" xfId="18288" xr:uid="{00000000-0005-0000-0000-00007C5F0000}"/>
    <cellStyle name="Normal 62 3 2 3 2 2 2" xfId="34862" xr:uid="{00000000-0005-0000-0000-00007D5F0000}"/>
    <cellStyle name="Normal 62 3 2 3 2 3" xfId="26815" xr:uid="{00000000-0005-0000-0000-00007E5F0000}"/>
    <cellStyle name="Normal 62 3 2 3 3" xfId="14492" xr:uid="{00000000-0005-0000-0000-00007F5F0000}"/>
    <cellStyle name="Normal 62 3 2 3 3 2" xfId="31040" xr:uid="{00000000-0005-0000-0000-0000805F0000}"/>
    <cellStyle name="Normal 62 3 2 3 4" xfId="22997" xr:uid="{00000000-0005-0000-0000-0000815F0000}"/>
    <cellStyle name="Normal 62 3 2 4" xfId="9115" xr:uid="{00000000-0005-0000-0000-0000825F0000}"/>
    <cellStyle name="Normal 62 3 2 4 2" xfId="18289" xr:uid="{00000000-0005-0000-0000-0000835F0000}"/>
    <cellStyle name="Normal 62 3 2 4 2 2" xfId="34863" xr:uid="{00000000-0005-0000-0000-0000845F0000}"/>
    <cellStyle name="Normal 62 3 2 4 3" xfId="26816" xr:uid="{00000000-0005-0000-0000-0000855F0000}"/>
    <cellStyle name="Normal 62 3 2 5" xfId="14489" xr:uid="{00000000-0005-0000-0000-0000865F0000}"/>
    <cellStyle name="Normal 62 3 2 5 2" xfId="31037" xr:uid="{00000000-0005-0000-0000-0000875F0000}"/>
    <cellStyle name="Normal 62 3 2 6" xfId="22994" xr:uid="{00000000-0005-0000-0000-0000885F0000}"/>
    <cellStyle name="Normal 62 3 3" xfId="5167" xr:uid="{00000000-0005-0000-0000-0000895F0000}"/>
    <cellStyle name="Normal 62 3 3 2" xfId="5168" xr:uid="{00000000-0005-0000-0000-00008A5F0000}"/>
    <cellStyle name="Normal 62 3 3 2 2" xfId="9116" xr:uid="{00000000-0005-0000-0000-00008B5F0000}"/>
    <cellStyle name="Normal 62 3 3 2 2 2" xfId="18290" xr:uid="{00000000-0005-0000-0000-00008C5F0000}"/>
    <cellStyle name="Normal 62 3 3 2 2 2 2" xfId="34864" xr:uid="{00000000-0005-0000-0000-00008D5F0000}"/>
    <cellStyle name="Normal 62 3 3 2 2 3" xfId="26817" xr:uid="{00000000-0005-0000-0000-00008E5F0000}"/>
    <cellStyle name="Normal 62 3 3 2 3" xfId="14494" xr:uid="{00000000-0005-0000-0000-00008F5F0000}"/>
    <cellStyle name="Normal 62 3 3 2 3 2" xfId="31042" xr:uid="{00000000-0005-0000-0000-0000905F0000}"/>
    <cellStyle name="Normal 62 3 3 2 4" xfId="22999" xr:uid="{00000000-0005-0000-0000-0000915F0000}"/>
    <cellStyle name="Normal 62 3 3 3" xfId="9117" xr:uid="{00000000-0005-0000-0000-0000925F0000}"/>
    <cellStyle name="Normal 62 3 3 3 2" xfId="18291" xr:uid="{00000000-0005-0000-0000-0000935F0000}"/>
    <cellStyle name="Normal 62 3 3 3 2 2" xfId="34865" xr:uid="{00000000-0005-0000-0000-0000945F0000}"/>
    <cellStyle name="Normal 62 3 3 3 3" xfId="26818" xr:uid="{00000000-0005-0000-0000-0000955F0000}"/>
    <cellStyle name="Normal 62 3 3 4" xfId="14493" xr:uid="{00000000-0005-0000-0000-0000965F0000}"/>
    <cellStyle name="Normal 62 3 3 4 2" xfId="31041" xr:uid="{00000000-0005-0000-0000-0000975F0000}"/>
    <cellStyle name="Normal 62 3 3 5" xfId="22998" xr:uid="{00000000-0005-0000-0000-0000985F0000}"/>
    <cellStyle name="Normal 62 3 4" xfId="5169" xr:uid="{00000000-0005-0000-0000-0000995F0000}"/>
    <cellStyle name="Normal 62 3 4 2" xfId="9118" xr:uid="{00000000-0005-0000-0000-00009A5F0000}"/>
    <cellStyle name="Normal 62 3 4 2 2" xfId="18292" xr:uid="{00000000-0005-0000-0000-00009B5F0000}"/>
    <cellStyle name="Normal 62 3 4 2 2 2" xfId="34866" xr:uid="{00000000-0005-0000-0000-00009C5F0000}"/>
    <cellStyle name="Normal 62 3 4 2 3" xfId="26819" xr:uid="{00000000-0005-0000-0000-00009D5F0000}"/>
    <cellStyle name="Normal 62 3 4 3" xfId="14495" xr:uid="{00000000-0005-0000-0000-00009E5F0000}"/>
    <cellStyle name="Normal 62 3 4 3 2" xfId="31043" xr:uid="{00000000-0005-0000-0000-00009F5F0000}"/>
    <cellStyle name="Normal 62 3 4 4" xfId="23000" xr:uid="{00000000-0005-0000-0000-0000A05F0000}"/>
    <cellStyle name="Normal 62 3 5" xfId="5170" xr:uid="{00000000-0005-0000-0000-0000A15F0000}"/>
    <cellStyle name="Normal 62 3 5 2" xfId="14496" xr:uid="{00000000-0005-0000-0000-0000A25F0000}"/>
    <cellStyle name="Normal 62 3 5 2 2" xfId="31044" xr:uid="{00000000-0005-0000-0000-0000A35F0000}"/>
    <cellStyle name="Normal 62 3 5 3" xfId="23001" xr:uid="{00000000-0005-0000-0000-0000A45F0000}"/>
    <cellStyle name="Normal 62 4" xfId="5171" xr:uid="{00000000-0005-0000-0000-0000A55F0000}"/>
    <cellStyle name="Normal 62 4 2" xfId="5172" xr:uid="{00000000-0005-0000-0000-0000A65F0000}"/>
    <cellStyle name="Normal 62 4 2 2" xfId="5173" xr:uid="{00000000-0005-0000-0000-0000A75F0000}"/>
    <cellStyle name="Normal 62 4 2 2 2" xfId="5174" xr:uid="{00000000-0005-0000-0000-0000A85F0000}"/>
    <cellStyle name="Normal 62 4 2 2 2 2" xfId="9119" xr:uid="{00000000-0005-0000-0000-0000A95F0000}"/>
    <cellStyle name="Normal 62 4 2 2 2 2 2" xfId="18293" xr:uid="{00000000-0005-0000-0000-0000AA5F0000}"/>
    <cellStyle name="Normal 62 4 2 2 2 2 2 2" xfId="34867" xr:uid="{00000000-0005-0000-0000-0000AB5F0000}"/>
    <cellStyle name="Normal 62 4 2 2 2 2 3" xfId="26820" xr:uid="{00000000-0005-0000-0000-0000AC5F0000}"/>
    <cellStyle name="Normal 62 4 2 2 2 3" xfId="14500" xr:uid="{00000000-0005-0000-0000-0000AD5F0000}"/>
    <cellStyle name="Normal 62 4 2 2 2 3 2" xfId="31048" xr:uid="{00000000-0005-0000-0000-0000AE5F0000}"/>
    <cellStyle name="Normal 62 4 2 2 2 4" xfId="23005" xr:uid="{00000000-0005-0000-0000-0000AF5F0000}"/>
    <cellStyle name="Normal 62 4 2 2 3" xfId="9120" xr:uid="{00000000-0005-0000-0000-0000B05F0000}"/>
    <cellStyle name="Normal 62 4 2 2 3 2" xfId="18294" xr:uid="{00000000-0005-0000-0000-0000B15F0000}"/>
    <cellStyle name="Normal 62 4 2 2 3 2 2" xfId="34868" xr:uid="{00000000-0005-0000-0000-0000B25F0000}"/>
    <cellStyle name="Normal 62 4 2 2 3 3" xfId="26821" xr:uid="{00000000-0005-0000-0000-0000B35F0000}"/>
    <cellStyle name="Normal 62 4 2 2 4" xfId="14499" xr:uid="{00000000-0005-0000-0000-0000B45F0000}"/>
    <cellStyle name="Normal 62 4 2 2 4 2" xfId="31047" xr:uid="{00000000-0005-0000-0000-0000B55F0000}"/>
    <cellStyle name="Normal 62 4 2 2 5" xfId="23004" xr:uid="{00000000-0005-0000-0000-0000B65F0000}"/>
    <cellStyle name="Normal 62 4 2 3" xfId="5175" xr:uid="{00000000-0005-0000-0000-0000B75F0000}"/>
    <cellStyle name="Normal 62 4 2 3 2" xfId="9121" xr:uid="{00000000-0005-0000-0000-0000B85F0000}"/>
    <cellStyle name="Normal 62 4 2 3 2 2" xfId="18295" xr:uid="{00000000-0005-0000-0000-0000B95F0000}"/>
    <cellStyle name="Normal 62 4 2 3 2 2 2" xfId="34869" xr:uid="{00000000-0005-0000-0000-0000BA5F0000}"/>
    <cellStyle name="Normal 62 4 2 3 2 3" xfId="26822" xr:uid="{00000000-0005-0000-0000-0000BB5F0000}"/>
    <cellStyle name="Normal 62 4 2 3 3" xfId="14501" xr:uid="{00000000-0005-0000-0000-0000BC5F0000}"/>
    <cellStyle name="Normal 62 4 2 3 3 2" xfId="31049" xr:uid="{00000000-0005-0000-0000-0000BD5F0000}"/>
    <cellStyle name="Normal 62 4 2 3 4" xfId="23006" xr:uid="{00000000-0005-0000-0000-0000BE5F0000}"/>
    <cellStyle name="Normal 62 4 2 4" xfId="9122" xr:uid="{00000000-0005-0000-0000-0000BF5F0000}"/>
    <cellStyle name="Normal 62 4 2 4 2" xfId="18296" xr:uid="{00000000-0005-0000-0000-0000C05F0000}"/>
    <cellStyle name="Normal 62 4 2 4 2 2" xfId="34870" xr:uid="{00000000-0005-0000-0000-0000C15F0000}"/>
    <cellStyle name="Normal 62 4 2 4 3" xfId="26823" xr:uid="{00000000-0005-0000-0000-0000C25F0000}"/>
    <cellStyle name="Normal 62 4 2 5" xfId="14498" xr:uid="{00000000-0005-0000-0000-0000C35F0000}"/>
    <cellStyle name="Normal 62 4 2 5 2" xfId="31046" xr:uid="{00000000-0005-0000-0000-0000C45F0000}"/>
    <cellStyle name="Normal 62 4 2 6" xfId="23003" xr:uid="{00000000-0005-0000-0000-0000C55F0000}"/>
    <cellStyle name="Normal 62 4 3" xfId="5176" xr:uid="{00000000-0005-0000-0000-0000C65F0000}"/>
    <cellStyle name="Normal 62 4 3 2" xfId="5177" xr:uid="{00000000-0005-0000-0000-0000C75F0000}"/>
    <cellStyle name="Normal 62 4 3 2 2" xfId="9123" xr:uid="{00000000-0005-0000-0000-0000C85F0000}"/>
    <cellStyle name="Normal 62 4 3 2 2 2" xfId="18297" xr:uid="{00000000-0005-0000-0000-0000C95F0000}"/>
    <cellStyle name="Normal 62 4 3 2 2 2 2" xfId="34871" xr:uid="{00000000-0005-0000-0000-0000CA5F0000}"/>
    <cellStyle name="Normal 62 4 3 2 2 3" xfId="26824" xr:uid="{00000000-0005-0000-0000-0000CB5F0000}"/>
    <cellStyle name="Normal 62 4 3 2 3" xfId="14503" xr:uid="{00000000-0005-0000-0000-0000CC5F0000}"/>
    <cellStyle name="Normal 62 4 3 2 3 2" xfId="31051" xr:uid="{00000000-0005-0000-0000-0000CD5F0000}"/>
    <cellStyle name="Normal 62 4 3 2 4" xfId="23008" xr:uid="{00000000-0005-0000-0000-0000CE5F0000}"/>
    <cellStyle name="Normal 62 4 3 3" xfId="9124" xr:uid="{00000000-0005-0000-0000-0000CF5F0000}"/>
    <cellStyle name="Normal 62 4 3 3 2" xfId="18298" xr:uid="{00000000-0005-0000-0000-0000D05F0000}"/>
    <cellStyle name="Normal 62 4 3 3 2 2" xfId="34872" xr:uid="{00000000-0005-0000-0000-0000D15F0000}"/>
    <cellStyle name="Normal 62 4 3 3 3" xfId="26825" xr:uid="{00000000-0005-0000-0000-0000D25F0000}"/>
    <cellStyle name="Normal 62 4 3 4" xfId="14502" xr:uid="{00000000-0005-0000-0000-0000D35F0000}"/>
    <cellStyle name="Normal 62 4 3 4 2" xfId="31050" xr:uid="{00000000-0005-0000-0000-0000D45F0000}"/>
    <cellStyle name="Normal 62 4 3 5" xfId="23007" xr:uid="{00000000-0005-0000-0000-0000D55F0000}"/>
    <cellStyle name="Normal 62 4 4" xfId="5178" xr:uid="{00000000-0005-0000-0000-0000D65F0000}"/>
    <cellStyle name="Normal 62 4 4 2" xfId="9125" xr:uid="{00000000-0005-0000-0000-0000D75F0000}"/>
    <cellStyle name="Normal 62 4 4 2 2" xfId="18299" xr:uid="{00000000-0005-0000-0000-0000D85F0000}"/>
    <cellStyle name="Normal 62 4 4 2 2 2" xfId="34873" xr:uid="{00000000-0005-0000-0000-0000D95F0000}"/>
    <cellStyle name="Normal 62 4 4 2 3" xfId="26826" xr:uid="{00000000-0005-0000-0000-0000DA5F0000}"/>
    <cellStyle name="Normal 62 4 4 3" xfId="14504" xr:uid="{00000000-0005-0000-0000-0000DB5F0000}"/>
    <cellStyle name="Normal 62 4 4 3 2" xfId="31052" xr:uid="{00000000-0005-0000-0000-0000DC5F0000}"/>
    <cellStyle name="Normal 62 4 4 4" xfId="23009" xr:uid="{00000000-0005-0000-0000-0000DD5F0000}"/>
    <cellStyle name="Normal 62 4 5" xfId="9126" xr:uid="{00000000-0005-0000-0000-0000DE5F0000}"/>
    <cellStyle name="Normal 62 4 5 2" xfId="18300" xr:uid="{00000000-0005-0000-0000-0000DF5F0000}"/>
    <cellStyle name="Normal 62 4 5 2 2" xfId="34874" xr:uid="{00000000-0005-0000-0000-0000E05F0000}"/>
    <cellStyle name="Normal 62 4 5 3" xfId="26827" xr:uid="{00000000-0005-0000-0000-0000E15F0000}"/>
    <cellStyle name="Normal 62 4 6" xfId="14497" xr:uid="{00000000-0005-0000-0000-0000E25F0000}"/>
    <cellStyle name="Normal 62 4 6 2" xfId="31045" xr:uid="{00000000-0005-0000-0000-0000E35F0000}"/>
    <cellStyle name="Normal 62 4 7" xfId="23002" xr:uid="{00000000-0005-0000-0000-0000E45F0000}"/>
    <cellStyle name="Normal 62 5" xfId="5179" xr:uid="{00000000-0005-0000-0000-0000E55F0000}"/>
    <cellStyle name="Normal 62 5 2" xfId="5180" xr:uid="{00000000-0005-0000-0000-0000E65F0000}"/>
    <cellStyle name="Normal 62 5 2 2" xfId="5181" xr:uid="{00000000-0005-0000-0000-0000E75F0000}"/>
    <cellStyle name="Normal 62 5 2 2 2" xfId="5182" xr:uid="{00000000-0005-0000-0000-0000E85F0000}"/>
    <cellStyle name="Normal 62 5 2 2 2 2" xfId="9127" xr:uid="{00000000-0005-0000-0000-0000E95F0000}"/>
    <cellStyle name="Normal 62 5 2 2 2 2 2" xfId="18301" xr:uid="{00000000-0005-0000-0000-0000EA5F0000}"/>
    <cellStyle name="Normal 62 5 2 2 2 2 2 2" xfId="34875" xr:uid="{00000000-0005-0000-0000-0000EB5F0000}"/>
    <cellStyle name="Normal 62 5 2 2 2 2 3" xfId="26828" xr:uid="{00000000-0005-0000-0000-0000EC5F0000}"/>
    <cellStyle name="Normal 62 5 2 2 2 3" xfId="14508" xr:uid="{00000000-0005-0000-0000-0000ED5F0000}"/>
    <cellStyle name="Normal 62 5 2 2 2 3 2" xfId="31056" xr:uid="{00000000-0005-0000-0000-0000EE5F0000}"/>
    <cellStyle name="Normal 62 5 2 2 2 4" xfId="23013" xr:uid="{00000000-0005-0000-0000-0000EF5F0000}"/>
    <cellStyle name="Normal 62 5 2 2 3" xfId="9128" xr:uid="{00000000-0005-0000-0000-0000F05F0000}"/>
    <cellStyle name="Normal 62 5 2 2 3 2" xfId="18302" xr:uid="{00000000-0005-0000-0000-0000F15F0000}"/>
    <cellStyle name="Normal 62 5 2 2 3 2 2" xfId="34876" xr:uid="{00000000-0005-0000-0000-0000F25F0000}"/>
    <cellStyle name="Normal 62 5 2 2 3 3" xfId="26829" xr:uid="{00000000-0005-0000-0000-0000F35F0000}"/>
    <cellStyle name="Normal 62 5 2 2 4" xfId="14507" xr:uid="{00000000-0005-0000-0000-0000F45F0000}"/>
    <cellStyle name="Normal 62 5 2 2 4 2" xfId="31055" xr:uid="{00000000-0005-0000-0000-0000F55F0000}"/>
    <cellStyle name="Normal 62 5 2 2 5" xfId="23012" xr:uid="{00000000-0005-0000-0000-0000F65F0000}"/>
    <cellStyle name="Normal 62 5 2 3" xfId="5183" xr:uid="{00000000-0005-0000-0000-0000F75F0000}"/>
    <cellStyle name="Normal 62 5 2 3 2" xfId="9129" xr:uid="{00000000-0005-0000-0000-0000F85F0000}"/>
    <cellStyle name="Normal 62 5 2 3 2 2" xfId="18303" xr:uid="{00000000-0005-0000-0000-0000F95F0000}"/>
    <cellStyle name="Normal 62 5 2 3 2 2 2" xfId="34877" xr:uid="{00000000-0005-0000-0000-0000FA5F0000}"/>
    <cellStyle name="Normal 62 5 2 3 2 3" xfId="26830" xr:uid="{00000000-0005-0000-0000-0000FB5F0000}"/>
    <cellStyle name="Normal 62 5 2 3 3" xfId="14509" xr:uid="{00000000-0005-0000-0000-0000FC5F0000}"/>
    <cellStyle name="Normal 62 5 2 3 3 2" xfId="31057" xr:uid="{00000000-0005-0000-0000-0000FD5F0000}"/>
    <cellStyle name="Normal 62 5 2 3 4" xfId="23014" xr:uid="{00000000-0005-0000-0000-0000FE5F0000}"/>
    <cellStyle name="Normal 62 5 2 4" xfId="9130" xr:uid="{00000000-0005-0000-0000-0000FF5F0000}"/>
    <cellStyle name="Normal 62 5 2 4 2" xfId="18304" xr:uid="{00000000-0005-0000-0000-000000600000}"/>
    <cellStyle name="Normal 62 5 2 4 2 2" xfId="34878" xr:uid="{00000000-0005-0000-0000-000001600000}"/>
    <cellStyle name="Normal 62 5 2 4 3" xfId="26831" xr:uid="{00000000-0005-0000-0000-000002600000}"/>
    <cellStyle name="Normal 62 5 2 5" xfId="14506" xr:uid="{00000000-0005-0000-0000-000003600000}"/>
    <cellStyle name="Normal 62 5 2 5 2" xfId="31054" xr:uid="{00000000-0005-0000-0000-000004600000}"/>
    <cellStyle name="Normal 62 5 2 6" xfId="23011" xr:uid="{00000000-0005-0000-0000-000005600000}"/>
    <cellStyle name="Normal 62 5 3" xfId="5184" xr:uid="{00000000-0005-0000-0000-000006600000}"/>
    <cellStyle name="Normal 62 5 3 2" xfId="5185" xr:uid="{00000000-0005-0000-0000-000007600000}"/>
    <cellStyle name="Normal 62 5 3 2 2" xfId="9131" xr:uid="{00000000-0005-0000-0000-000008600000}"/>
    <cellStyle name="Normal 62 5 3 2 2 2" xfId="18305" xr:uid="{00000000-0005-0000-0000-000009600000}"/>
    <cellStyle name="Normal 62 5 3 2 2 2 2" xfId="34879" xr:uid="{00000000-0005-0000-0000-00000A600000}"/>
    <cellStyle name="Normal 62 5 3 2 2 3" xfId="26832" xr:uid="{00000000-0005-0000-0000-00000B600000}"/>
    <cellStyle name="Normal 62 5 3 2 3" xfId="14511" xr:uid="{00000000-0005-0000-0000-00000C600000}"/>
    <cellStyle name="Normal 62 5 3 2 3 2" xfId="31059" xr:uid="{00000000-0005-0000-0000-00000D600000}"/>
    <cellStyle name="Normal 62 5 3 2 4" xfId="23016" xr:uid="{00000000-0005-0000-0000-00000E600000}"/>
    <cellStyle name="Normal 62 5 3 3" xfId="9132" xr:uid="{00000000-0005-0000-0000-00000F600000}"/>
    <cellStyle name="Normal 62 5 3 3 2" xfId="18306" xr:uid="{00000000-0005-0000-0000-000010600000}"/>
    <cellStyle name="Normal 62 5 3 3 2 2" xfId="34880" xr:uid="{00000000-0005-0000-0000-000011600000}"/>
    <cellStyle name="Normal 62 5 3 3 3" xfId="26833" xr:uid="{00000000-0005-0000-0000-000012600000}"/>
    <cellStyle name="Normal 62 5 3 4" xfId="14510" xr:uid="{00000000-0005-0000-0000-000013600000}"/>
    <cellStyle name="Normal 62 5 3 4 2" xfId="31058" xr:uid="{00000000-0005-0000-0000-000014600000}"/>
    <cellStyle name="Normal 62 5 3 5" xfId="23015" xr:uid="{00000000-0005-0000-0000-000015600000}"/>
    <cellStyle name="Normal 62 5 4" xfId="5186" xr:uid="{00000000-0005-0000-0000-000016600000}"/>
    <cellStyle name="Normal 62 5 4 2" xfId="9133" xr:uid="{00000000-0005-0000-0000-000017600000}"/>
    <cellStyle name="Normal 62 5 4 2 2" xfId="18307" xr:uid="{00000000-0005-0000-0000-000018600000}"/>
    <cellStyle name="Normal 62 5 4 2 2 2" xfId="34881" xr:uid="{00000000-0005-0000-0000-000019600000}"/>
    <cellStyle name="Normal 62 5 4 2 3" xfId="26834" xr:uid="{00000000-0005-0000-0000-00001A600000}"/>
    <cellStyle name="Normal 62 5 4 3" xfId="14512" xr:uid="{00000000-0005-0000-0000-00001B600000}"/>
    <cellStyle name="Normal 62 5 4 3 2" xfId="31060" xr:uid="{00000000-0005-0000-0000-00001C600000}"/>
    <cellStyle name="Normal 62 5 4 4" xfId="23017" xr:uid="{00000000-0005-0000-0000-00001D600000}"/>
    <cellStyle name="Normal 62 5 5" xfId="9134" xr:uid="{00000000-0005-0000-0000-00001E600000}"/>
    <cellStyle name="Normal 62 5 5 2" xfId="18308" xr:uid="{00000000-0005-0000-0000-00001F600000}"/>
    <cellStyle name="Normal 62 5 5 2 2" xfId="34882" xr:uid="{00000000-0005-0000-0000-000020600000}"/>
    <cellStyle name="Normal 62 5 5 3" xfId="26835" xr:uid="{00000000-0005-0000-0000-000021600000}"/>
    <cellStyle name="Normal 62 5 6" xfId="14505" xr:uid="{00000000-0005-0000-0000-000022600000}"/>
    <cellStyle name="Normal 62 5 6 2" xfId="31053" xr:uid="{00000000-0005-0000-0000-000023600000}"/>
    <cellStyle name="Normal 62 5 7" xfId="23010" xr:uid="{00000000-0005-0000-0000-000024600000}"/>
    <cellStyle name="Normal 62 6" xfId="5187" xr:uid="{00000000-0005-0000-0000-000025600000}"/>
    <cellStyle name="Normal 62 6 2" xfId="5188" xr:uid="{00000000-0005-0000-0000-000026600000}"/>
    <cellStyle name="Normal 62 6 2 2" xfId="5189" xr:uid="{00000000-0005-0000-0000-000027600000}"/>
    <cellStyle name="Normal 62 6 2 2 2" xfId="9135" xr:uid="{00000000-0005-0000-0000-000028600000}"/>
    <cellStyle name="Normal 62 6 2 2 2 2" xfId="18309" xr:uid="{00000000-0005-0000-0000-000029600000}"/>
    <cellStyle name="Normal 62 6 2 2 2 2 2" xfId="34883" xr:uid="{00000000-0005-0000-0000-00002A600000}"/>
    <cellStyle name="Normal 62 6 2 2 2 3" xfId="26836" xr:uid="{00000000-0005-0000-0000-00002B600000}"/>
    <cellStyle name="Normal 62 6 2 2 3" xfId="14515" xr:uid="{00000000-0005-0000-0000-00002C600000}"/>
    <cellStyle name="Normal 62 6 2 2 3 2" xfId="31063" xr:uid="{00000000-0005-0000-0000-00002D600000}"/>
    <cellStyle name="Normal 62 6 2 2 4" xfId="23020" xr:uid="{00000000-0005-0000-0000-00002E600000}"/>
    <cellStyle name="Normal 62 6 2 3" xfId="9136" xr:uid="{00000000-0005-0000-0000-00002F600000}"/>
    <cellStyle name="Normal 62 6 2 3 2" xfId="18310" xr:uid="{00000000-0005-0000-0000-000030600000}"/>
    <cellStyle name="Normal 62 6 2 3 2 2" xfId="34884" xr:uid="{00000000-0005-0000-0000-000031600000}"/>
    <cellStyle name="Normal 62 6 2 3 3" xfId="26837" xr:uid="{00000000-0005-0000-0000-000032600000}"/>
    <cellStyle name="Normal 62 6 2 4" xfId="14514" xr:uid="{00000000-0005-0000-0000-000033600000}"/>
    <cellStyle name="Normal 62 6 2 4 2" xfId="31062" xr:uid="{00000000-0005-0000-0000-000034600000}"/>
    <cellStyle name="Normal 62 6 2 5" xfId="23019" xr:uid="{00000000-0005-0000-0000-000035600000}"/>
    <cellStyle name="Normal 62 6 3" xfId="5190" xr:uid="{00000000-0005-0000-0000-000036600000}"/>
    <cellStyle name="Normal 62 6 3 2" xfId="9137" xr:uid="{00000000-0005-0000-0000-000037600000}"/>
    <cellStyle name="Normal 62 6 3 2 2" xfId="18311" xr:uid="{00000000-0005-0000-0000-000038600000}"/>
    <cellStyle name="Normal 62 6 3 2 2 2" xfId="34885" xr:uid="{00000000-0005-0000-0000-000039600000}"/>
    <cellStyle name="Normal 62 6 3 2 3" xfId="26838" xr:uid="{00000000-0005-0000-0000-00003A600000}"/>
    <cellStyle name="Normal 62 6 3 3" xfId="14516" xr:uid="{00000000-0005-0000-0000-00003B600000}"/>
    <cellStyle name="Normal 62 6 3 3 2" xfId="31064" xr:uid="{00000000-0005-0000-0000-00003C600000}"/>
    <cellStyle name="Normal 62 6 3 4" xfId="23021" xr:uid="{00000000-0005-0000-0000-00003D600000}"/>
    <cellStyle name="Normal 62 6 4" xfId="9138" xr:uid="{00000000-0005-0000-0000-00003E600000}"/>
    <cellStyle name="Normal 62 6 4 2" xfId="18312" xr:uid="{00000000-0005-0000-0000-00003F600000}"/>
    <cellStyle name="Normal 62 6 4 2 2" xfId="34886" xr:uid="{00000000-0005-0000-0000-000040600000}"/>
    <cellStyle name="Normal 62 6 4 3" xfId="26839" xr:uid="{00000000-0005-0000-0000-000041600000}"/>
    <cellStyle name="Normal 62 6 5" xfId="14513" xr:uid="{00000000-0005-0000-0000-000042600000}"/>
    <cellStyle name="Normal 62 6 5 2" xfId="31061" xr:uid="{00000000-0005-0000-0000-000043600000}"/>
    <cellStyle name="Normal 62 6 6" xfId="23018" xr:uid="{00000000-0005-0000-0000-000044600000}"/>
    <cellStyle name="Normal 62 7" xfId="5191" xr:uid="{00000000-0005-0000-0000-000045600000}"/>
    <cellStyle name="Normal 62 7 2" xfId="5192" xr:uid="{00000000-0005-0000-0000-000046600000}"/>
    <cellStyle name="Normal 62 7 2 2" xfId="9139" xr:uid="{00000000-0005-0000-0000-000047600000}"/>
    <cellStyle name="Normal 62 7 2 2 2" xfId="18313" xr:uid="{00000000-0005-0000-0000-000048600000}"/>
    <cellStyle name="Normal 62 7 2 2 2 2" xfId="34887" xr:uid="{00000000-0005-0000-0000-000049600000}"/>
    <cellStyle name="Normal 62 7 2 2 3" xfId="26840" xr:uid="{00000000-0005-0000-0000-00004A600000}"/>
    <cellStyle name="Normal 62 7 2 3" xfId="14518" xr:uid="{00000000-0005-0000-0000-00004B600000}"/>
    <cellStyle name="Normal 62 7 2 3 2" xfId="31066" xr:uid="{00000000-0005-0000-0000-00004C600000}"/>
    <cellStyle name="Normal 62 7 2 4" xfId="23023" xr:uid="{00000000-0005-0000-0000-00004D600000}"/>
    <cellStyle name="Normal 62 7 3" xfId="9140" xr:uid="{00000000-0005-0000-0000-00004E600000}"/>
    <cellStyle name="Normal 62 7 3 2" xfId="18314" xr:uid="{00000000-0005-0000-0000-00004F600000}"/>
    <cellStyle name="Normal 62 7 3 2 2" xfId="34888" xr:uid="{00000000-0005-0000-0000-000050600000}"/>
    <cellStyle name="Normal 62 7 3 3" xfId="26841" xr:uid="{00000000-0005-0000-0000-000051600000}"/>
    <cellStyle name="Normal 62 7 4" xfId="14517" xr:uid="{00000000-0005-0000-0000-000052600000}"/>
    <cellStyle name="Normal 62 7 4 2" xfId="31065" xr:uid="{00000000-0005-0000-0000-000053600000}"/>
    <cellStyle name="Normal 62 7 5" xfId="23022" xr:uid="{00000000-0005-0000-0000-000054600000}"/>
    <cellStyle name="Normal 62 8" xfId="5193" xr:uid="{00000000-0005-0000-0000-000055600000}"/>
    <cellStyle name="Normal 62 8 2" xfId="9141" xr:uid="{00000000-0005-0000-0000-000056600000}"/>
    <cellStyle name="Normal 62 8 2 2" xfId="18315" xr:uid="{00000000-0005-0000-0000-000057600000}"/>
    <cellStyle name="Normal 62 8 2 2 2" xfId="34889" xr:uid="{00000000-0005-0000-0000-000058600000}"/>
    <cellStyle name="Normal 62 8 2 3" xfId="26842" xr:uid="{00000000-0005-0000-0000-000059600000}"/>
    <cellStyle name="Normal 62 8 3" xfId="14519" xr:uid="{00000000-0005-0000-0000-00005A600000}"/>
    <cellStyle name="Normal 62 8 3 2" xfId="31067" xr:uid="{00000000-0005-0000-0000-00005B600000}"/>
    <cellStyle name="Normal 62 8 4" xfId="23024" xr:uid="{00000000-0005-0000-0000-00005C600000}"/>
    <cellStyle name="Normal 62 9" xfId="9142" xr:uid="{00000000-0005-0000-0000-00005D600000}"/>
    <cellStyle name="Normal 62 9 2" xfId="18316" xr:uid="{00000000-0005-0000-0000-00005E600000}"/>
    <cellStyle name="Normal 62 9 2 2" xfId="34890" xr:uid="{00000000-0005-0000-0000-00005F600000}"/>
    <cellStyle name="Normal 62 9 3" xfId="26843" xr:uid="{00000000-0005-0000-0000-000060600000}"/>
    <cellStyle name="Normal 63" xfId="5194" xr:uid="{00000000-0005-0000-0000-000061600000}"/>
    <cellStyle name="Normal 63 10" xfId="14520" xr:uid="{00000000-0005-0000-0000-000062600000}"/>
    <cellStyle name="Normal 63 10 2" xfId="31068" xr:uid="{00000000-0005-0000-0000-000063600000}"/>
    <cellStyle name="Normal 63 11" xfId="23025" xr:uid="{00000000-0005-0000-0000-000064600000}"/>
    <cellStyle name="Normal 63 2" xfId="5195" xr:uid="{00000000-0005-0000-0000-000065600000}"/>
    <cellStyle name="Normal 63 2 2" xfId="5196" xr:uid="{00000000-0005-0000-0000-000066600000}"/>
    <cellStyle name="Normal 63 2 3" xfId="14521" xr:uid="{00000000-0005-0000-0000-000067600000}"/>
    <cellStyle name="Normal 63 2 3 2" xfId="31069" xr:uid="{00000000-0005-0000-0000-000068600000}"/>
    <cellStyle name="Normal 63 2 4" xfId="23026" xr:uid="{00000000-0005-0000-0000-000069600000}"/>
    <cellStyle name="Normal 63 3" xfId="5197" xr:uid="{00000000-0005-0000-0000-00006A600000}"/>
    <cellStyle name="Normal 63 3 2" xfId="5198" xr:uid="{00000000-0005-0000-0000-00006B600000}"/>
    <cellStyle name="Normal 63 3 2 2" xfId="5199" xr:uid="{00000000-0005-0000-0000-00006C600000}"/>
    <cellStyle name="Normal 63 3 2 2 2" xfId="5200" xr:uid="{00000000-0005-0000-0000-00006D600000}"/>
    <cellStyle name="Normal 63 3 2 2 2 2" xfId="9143" xr:uid="{00000000-0005-0000-0000-00006E600000}"/>
    <cellStyle name="Normal 63 3 2 2 2 2 2" xfId="18317" xr:uid="{00000000-0005-0000-0000-00006F600000}"/>
    <cellStyle name="Normal 63 3 2 2 2 2 2 2" xfId="34891" xr:uid="{00000000-0005-0000-0000-000070600000}"/>
    <cellStyle name="Normal 63 3 2 2 2 2 3" xfId="26844" xr:uid="{00000000-0005-0000-0000-000071600000}"/>
    <cellStyle name="Normal 63 3 2 2 2 3" xfId="14524" xr:uid="{00000000-0005-0000-0000-000072600000}"/>
    <cellStyle name="Normal 63 3 2 2 2 3 2" xfId="31072" xr:uid="{00000000-0005-0000-0000-000073600000}"/>
    <cellStyle name="Normal 63 3 2 2 2 4" xfId="23029" xr:uid="{00000000-0005-0000-0000-000074600000}"/>
    <cellStyle name="Normal 63 3 2 2 3" xfId="9144" xr:uid="{00000000-0005-0000-0000-000075600000}"/>
    <cellStyle name="Normal 63 3 2 2 3 2" xfId="18318" xr:uid="{00000000-0005-0000-0000-000076600000}"/>
    <cellStyle name="Normal 63 3 2 2 3 2 2" xfId="34892" xr:uid="{00000000-0005-0000-0000-000077600000}"/>
    <cellStyle name="Normal 63 3 2 2 3 3" xfId="26845" xr:uid="{00000000-0005-0000-0000-000078600000}"/>
    <cellStyle name="Normal 63 3 2 2 4" xfId="14523" xr:uid="{00000000-0005-0000-0000-000079600000}"/>
    <cellStyle name="Normal 63 3 2 2 4 2" xfId="31071" xr:uid="{00000000-0005-0000-0000-00007A600000}"/>
    <cellStyle name="Normal 63 3 2 2 5" xfId="23028" xr:uid="{00000000-0005-0000-0000-00007B600000}"/>
    <cellStyle name="Normal 63 3 2 3" xfId="5201" xr:uid="{00000000-0005-0000-0000-00007C600000}"/>
    <cellStyle name="Normal 63 3 2 3 2" xfId="9145" xr:uid="{00000000-0005-0000-0000-00007D600000}"/>
    <cellStyle name="Normal 63 3 2 3 2 2" xfId="18319" xr:uid="{00000000-0005-0000-0000-00007E600000}"/>
    <cellStyle name="Normal 63 3 2 3 2 2 2" xfId="34893" xr:uid="{00000000-0005-0000-0000-00007F600000}"/>
    <cellStyle name="Normal 63 3 2 3 2 3" xfId="26846" xr:uid="{00000000-0005-0000-0000-000080600000}"/>
    <cellStyle name="Normal 63 3 2 3 3" xfId="14525" xr:uid="{00000000-0005-0000-0000-000081600000}"/>
    <cellStyle name="Normal 63 3 2 3 3 2" xfId="31073" xr:uid="{00000000-0005-0000-0000-000082600000}"/>
    <cellStyle name="Normal 63 3 2 3 4" xfId="23030" xr:uid="{00000000-0005-0000-0000-000083600000}"/>
    <cellStyle name="Normal 63 3 2 4" xfId="9146" xr:uid="{00000000-0005-0000-0000-000084600000}"/>
    <cellStyle name="Normal 63 3 2 4 2" xfId="18320" xr:uid="{00000000-0005-0000-0000-000085600000}"/>
    <cellStyle name="Normal 63 3 2 4 2 2" xfId="34894" xr:uid="{00000000-0005-0000-0000-000086600000}"/>
    <cellStyle name="Normal 63 3 2 4 3" xfId="26847" xr:uid="{00000000-0005-0000-0000-000087600000}"/>
    <cellStyle name="Normal 63 3 2 5" xfId="14522" xr:uid="{00000000-0005-0000-0000-000088600000}"/>
    <cellStyle name="Normal 63 3 2 5 2" xfId="31070" xr:uid="{00000000-0005-0000-0000-000089600000}"/>
    <cellStyle name="Normal 63 3 2 6" xfId="23027" xr:uid="{00000000-0005-0000-0000-00008A600000}"/>
    <cellStyle name="Normal 63 3 3" xfId="5202" xr:uid="{00000000-0005-0000-0000-00008B600000}"/>
    <cellStyle name="Normal 63 3 3 2" xfId="5203" xr:uid="{00000000-0005-0000-0000-00008C600000}"/>
    <cellStyle name="Normal 63 3 3 2 2" xfId="9147" xr:uid="{00000000-0005-0000-0000-00008D600000}"/>
    <cellStyle name="Normal 63 3 3 2 2 2" xfId="18321" xr:uid="{00000000-0005-0000-0000-00008E600000}"/>
    <cellStyle name="Normal 63 3 3 2 2 2 2" xfId="34895" xr:uid="{00000000-0005-0000-0000-00008F600000}"/>
    <cellStyle name="Normal 63 3 3 2 2 3" xfId="26848" xr:uid="{00000000-0005-0000-0000-000090600000}"/>
    <cellStyle name="Normal 63 3 3 2 3" xfId="14527" xr:uid="{00000000-0005-0000-0000-000091600000}"/>
    <cellStyle name="Normal 63 3 3 2 3 2" xfId="31075" xr:uid="{00000000-0005-0000-0000-000092600000}"/>
    <cellStyle name="Normal 63 3 3 2 4" xfId="23032" xr:uid="{00000000-0005-0000-0000-000093600000}"/>
    <cellStyle name="Normal 63 3 3 3" xfId="9148" xr:uid="{00000000-0005-0000-0000-000094600000}"/>
    <cellStyle name="Normal 63 3 3 3 2" xfId="18322" xr:uid="{00000000-0005-0000-0000-000095600000}"/>
    <cellStyle name="Normal 63 3 3 3 2 2" xfId="34896" xr:uid="{00000000-0005-0000-0000-000096600000}"/>
    <cellStyle name="Normal 63 3 3 3 3" xfId="26849" xr:uid="{00000000-0005-0000-0000-000097600000}"/>
    <cellStyle name="Normal 63 3 3 4" xfId="14526" xr:uid="{00000000-0005-0000-0000-000098600000}"/>
    <cellStyle name="Normal 63 3 3 4 2" xfId="31074" xr:uid="{00000000-0005-0000-0000-000099600000}"/>
    <cellStyle name="Normal 63 3 3 5" xfId="23031" xr:uid="{00000000-0005-0000-0000-00009A600000}"/>
    <cellStyle name="Normal 63 3 4" xfId="5204" xr:uid="{00000000-0005-0000-0000-00009B600000}"/>
    <cellStyle name="Normal 63 3 4 2" xfId="9149" xr:uid="{00000000-0005-0000-0000-00009C600000}"/>
    <cellStyle name="Normal 63 3 4 2 2" xfId="18323" xr:uid="{00000000-0005-0000-0000-00009D600000}"/>
    <cellStyle name="Normal 63 3 4 2 2 2" xfId="34897" xr:uid="{00000000-0005-0000-0000-00009E600000}"/>
    <cellStyle name="Normal 63 3 4 2 3" xfId="26850" xr:uid="{00000000-0005-0000-0000-00009F600000}"/>
    <cellStyle name="Normal 63 3 4 3" xfId="14528" xr:uid="{00000000-0005-0000-0000-0000A0600000}"/>
    <cellStyle name="Normal 63 3 4 3 2" xfId="31076" xr:uid="{00000000-0005-0000-0000-0000A1600000}"/>
    <cellStyle name="Normal 63 3 4 4" xfId="23033" xr:uid="{00000000-0005-0000-0000-0000A2600000}"/>
    <cellStyle name="Normal 63 3 5" xfId="5205" xr:uid="{00000000-0005-0000-0000-0000A3600000}"/>
    <cellStyle name="Normal 63 3 5 2" xfId="14529" xr:uid="{00000000-0005-0000-0000-0000A4600000}"/>
    <cellStyle name="Normal 63 3 5 2 2" xfId="31077" xr:uid="{00000000-0005-0000-0000-0000A5600000}"/>
    <cellStyle name="Normal 63 3 5 3" xfId="23034" xr:uid="{00000000-0005-0000-0000-0000A6600000}"/>
    <cellStyle name="Normal 63 4" xfId="5206" xr:uid="{00000000-0005-0000-0000-0000A7600000}"/>
    <cellStyle name="Normal 63 4 2" xfId="5207" xr:uid="{00000000-0005-0000-0000-0000A8600000}"/>
    <cellStyle name="Normal 63 4 2 2" xfId="5208" xr:uid="{00000000-0005-0000-0000-0000A9600000}"/>
    <cellStyle name="Normal 63 4 2 2 2" xfId="5209" xr:uid="{00000000-0005-0000-0000-0000AA600000}"/>
    <cellStyle name="Normal 63 4 2 2 2 2" xfId="9150" xr:uid="{00000000-0005-0000-0000-0000AB600000}"/>
    <cellStyle name="Normal 63 4 2 2 2 2 2" xfId="18324" xr:uid="{00000000-0005-0000-0000-0000AC600000}"/>
    <cellStyle name="Normal 63 4 2 2 2 2 2 2" xfId="34898" xr:uid="{00000000-0005-0000-0000-0000AD600000}"/>
    <cellStyle name="Normal 63 4 2 2 2 2 3" xfId="26851" xr:uid="{00000000-0005-0000-0000-0000AE600000}"/>
    <cellStyle name="Normal 63 4 2 2 2 3" xfId="14533" xr:uid="{00000000-0005-0000-0000-0000AF600000}"/>
    <cellStyle name="Normal 63 4 2 2 2 3 2" xfId="31081" xr:uid="{00000000-0005-0000-0000-0000B0600000}"/>
    <cellStyle name="Normal 63 4 2 2 2 4" xfId="23038" xr:uid="{00000000-0005-0000-0000-0000B1600000}"/>
    <cellStyle name="Normal 63 4 2 2 3" xfId="9151" xr:uid="{00000000-0005-0000-0000-0000B2600000}"/>
    <cellStyle name="Normal 63 4 2 2 3 2" xfId="18325" xr:uid="{00000000-0005-0000-0000-0000B3600000}"/>
    <cellStyle name="Normal 63 4 2 2 3 2 2" xfId="34899" xr:uid="{00000000-0005-0000-0000-0000B4600000}"/>
    <cellStyle name="Normal 63 4 2 2 3 3" xfId="26852" xr:uid="{00000000-0005-0000-0000-0000B5600000}"/>
    <cellStyle name="Normal 63 4 2 2 4" xfId="14532" xr:uid="{00000000-0005-0000-0000-0000B6600000}"/>
    <cellStyle name="Normal 63 4 2 2 4 2" xfId="31080" xr:uid="{00000000-0005-0000-0000-0000B7600000}"/>
    <cellStyle name="Normal 63 4 2 2 5" xfId="23037" xr:uid="{00000000-0005-0000-0000-0000B8600000}"/>
    <cellStyle name="Normal 63 4 2 3" xfId="5210" xr:uid="{00000000-0005-0000-0000-0000B9600000}"/>
    <cellStyle name="Normal 63 4 2 3 2" xfId="9152" xr:uid="{00000000-0005-0000-0000-0000BA600000}"/>
    <cellStyle name="Normal 63 4 2 3 2 2" xfId="18326" xr:uid="{00000000-0005-0000-0000-0000BB600000}"/>
    <cellStyle name="Normal 63 4 2 3 2 2 2" xfId="34900" xr:uid="{00000000-0005-0000-0000-0000BC600000}"/>
    <cellStyle name="Normal 63 4 2 3 2 3" xfId="26853" xr:uid="{00000000-0005-0000-0000-0000BD600000}"/>
    <cellStyle name="Normal 63 4 2 3 3" xfId="14534" xr:uid="{00000000-0005-0000-0000-0000BE600000}"/>
    <cellStyle name="Normal 63 4 2 3 3 2" xfId="31082" xr:uid="{00000000-0005-0000-0000-0000BF600000}"/>
    <cellStyle name="Normal 63 4 2 3 4" xfId="23039" xr:uid="{00000000-0005-0000-0000-0000C0600000}"/>
    <cellStyle name="Normal 63 4 2 4" xfId="9153" xr:uid="{00000000-0005-0000-0000-0000C1600000}"/>
    <cellStyle name="Normal 63 4 2 4 2" xfId="18327" xr:uid="{00000000-0005-0000-0000-0000C2600000}"/>
    <cellStyle name="Normal 63 4 2 4 2 2" xfId="34901" xr:uid="{00000000-0005-0000-0000-0000C3600000}"/>
    <cellStyle name="Normal 63 4 2 4 3" xfId="26854" xr:uid="{00000000-0005-0000-0000-0000C4600000}"/>
    <cellStyle name="Normal 63 4 2 5" xfId="14531" xr:uid="{00000000-0005-0000-0000-0000C5600000}"/>
    <cellStyle name="Normal 63 4 2 5 2" xfId="31079" xr:uid="{00000000-0005-0000-0000-0000C6600000}"/>
    <cellStyle name="Normal 63 4 2 6" xfId="23036" xr:uid="{00000000-0005-0000-0000-0000C7600000}"/>
    <cellStyle name="Normal 63 4 3" xfId="5211" xr:uid="{00000000-0005-0000-0000-0000C8600000}"/>
    <cellStyle name="Normal 63 4 3 2" xfId="5212" xr:uid="{00000000-0005-0000-0000-0000C9600000}"/>
    <cellStyle name="Normal 63 4 3 2 2" xfId="9154" xr:uid="{00000000-0005-0000-0000-0000CA600000}"/>
    <cellStyle name="Normal 63 4 3 2 2 2" xfId="18328" xr:uid="{00000000-0005-0000-0000-0000CB600000}"/>
    <cellStyle name="Normal 63 4 3 2 2 2 2" xfId="34902" xr:uid="{00000000-0005-0000-0000-0000CC600000}"/>
    <cellStyle name="Normal 63 4 3 2 2 3" xfId="26855" xr:uid="{00000000-0005-0000-0000-0000CD600000}"/>
    <cellStyle name="Normal 63 4 3 2 3" xfId="14536" xr:uid="{00000000-0005-0000-0000-0000CE600000}"/>
    <cellStyle name="Normal 63 4 3 2 3 2" xfId="31084" xr:uid="{00000000-0005-0000-0000-0000CF600000}"/>
    <cellStyle name="Normal 63 4 3 2 4" xfId="23041" xr:uid="{00000000-0005-0000-0000-0000D0600000}"/>
    <cellStyle name="Normal 63 4 3 3" xfId="9155" xr:uid="{00000000-0005-0000-0000-0000D1600000}"/>
    <cellStyle name="Normal 63 4 3 3 2" xfId="18329" xr:uid="{00000000-0005-0000-0000-0000D2600000}"/>
    <cellStyle name="Normal 63 4 3 3 2 2" xfId="34903" xr:uid="{00000000-0005-0000-0000-0000D3600000}"/>
    <cellStyle name="Normal 63 4 3 3 3" xfId="26856" xr:uid="{00000000-0005-0000-0000-0000D4600000}"/>
    <cellStyle name="Normal 63 4 3 4" xfId="14535" xr:uid="{00000000-0005-0000-0000-0000D5600000}"/>
    <cellStyle name="Normal 63 4 3 4 2" xfId="31083" xr:uid="{00000000-0005-0000-0000-0000D6600000}"/>
    <cellStyle name="Normal 63 4 3 5" xfId="23040" xr:uid="{00000000-0005-0000-0000-0000D7600000}"/>
    <cellStyle name="Normal 63 4 4" xfId="5213" xr:uid="{00000000-0005-0000-0000-0000D8600000}"/>
    <cellStyle name="Normal 63 4 4 2" xfId="9156" xr:uid="{00000000-0005-0000-0000-0000D9600000}"/>
    <cellStyle name="Normal 63 4 4 2 2" xfId="18330" xr:uid="{00000000-0005-0000-0000-0000DA600000}"/>
    <cellStyle name="Normal 63 4 4 2 2 2" xfId="34904" xr:uid="{00000000-0005-0000-0000-0000DB600000}"/>
    <cellStyle name="Normal 63 4 4 2 3" xfId="26857" xr:uid="{00000000-0005-0000-0000-0000DC600000}"/>
    <cellStyle name="Normal 63 4 4 3" xfId="14537" xr:uid="{00000000-0005-0000-0000-0000DD600000}"/>
    <cellStyle name="Normal 63 4 4 3 2" xfId="31085" xr:uid="{00000000-0005-0000-0000-0000DE600000}"/>
    <cellStyle name="Normal 63 4 4 4" xfId="23042" xr:uid="{00000000-0005-0000-0000-0000DF600000}"/>
    <cellStyle name="Normal 63 4 5" xfId="9157" xr:uid="{00000000-0005-0000-0000-0000E0600000}"/>
    <cellStyle name="Normal 63 4 5 2" xfId="18331" xr:uid="{00000000-0005-0000-0000-0000E1600000}"/>
    <cellStyle name="Normal 63 4 5 2 2" xfId="34905" xr:uid="{00000000-0005-0000-0000-0000E2600000}"/>
    <cellStyle name="Normal 63 4 5 3" xfId="26858" xr:uid="{00000000-0005-0000-0000-0000E3600000}"/>
    <cellStyle name="Normal 63 4 6" xfId="14530" xr:uid="{00000000-0005-0000-0000-0000E4600000}"/>
    <cellStyle name="Normal 63 4 6 2" xfId="31078" xr:uid="{00000000-0005-0000-0000-0000E5600000}"/>
    <cellStyle name="Normal 63 4 7" xfId="23035" xr:uid="{00000000-0005-0000-0000-0000E6600000}"/>
    <cellStyle name="Normal 63 5" xfId="5214" xr:uid="{00000000-0005-0000-0000-0000E7600000}"/>
    <cellStyle name="Normal 63 5 2" xfId="5215" xr:uid="{00000000-0005-0000-0000-0000E8600000}"/>
    <cellStyle name="Normal 63 5 2 2" xfId="5216" xr:uid="{00000000-0005-0000-0000-0000E9600000}"/>
    <cellStyle name="Normal 63 5 2 2 2" xfId="5217" xr:uid="{00000000-0005-0000-0000-0000EA600000}"/>
    <cellStyle name="Normal 63 5 2 2 2 2" xfId="9158" xr:uid="{00000000-0005-0000-0000-0000EB600000}"/>
    <cellStyle name="Normal 63 5 2 2 2 2 2" xfId="18332" xr:uid="{00000000-0005-0000-0000-0000EC600000}"/>
    <cellStyle name="Normal 63 5 2 2 2 2 2 2" xfId="34906" xr:uid="{00000000-0005-0000-0000-0000ED600000}"/>
    <cellStyle name="Normal 63 5 2 2 2 2 3" xfId="26859" xr:uid="{00000000-0005-0000-0000-0000EE600000}"/>
    <cellStyle name="Normal 63 5 2 2 2 3" xfId="14541" xr:uid="{00000000-0005-0000-0000-0000EF600000}"/>
    <cellStyle name="Normal 63 5 2 2 2 3 2" xfId="31089" xr:uid="{00000000-0005-0000-0000-0000F0600000}"/>
    <cellStyle name="Normal 63 5 2 2 2 4" xfId="23046" xr:uid="{00000000-0005-0000-0000-0000F1600000}"/>
    <cellStyle name="Normal 63 5 2 2 3" xfId="9159" xr:uid="{00000000-0005-0000-0000-0000F2600000}"/>
    <cellStyle name="Normal 63 5 2 2 3 2" xfId="18333" xr:uid="{00000000-0005-0000-0000-0000F3600000}"/>
    <cellStyle name="Normal 63 5 2 2 3 2 2" xfId="34907" xr:uid="{00000000-0005-0000-0000-0000F4600000}"/>
    <cellStyle name="Normal 63 5 2 2 3 3" xfId="26860" xr:uid="{00000000-0005-0000-0000-0000F5600000}"/>
    <cellStyle name="Normal 63 5 2 2 4" xfId="14540" xr:uid="{00000000-0005-0000-0000-0000F6600000}"/>
    <cellStyle name="Normal 63 5 2 2 4 2" xfId="31088" xr:uid="{00000000-0005-0000-0000-0000F7600000}"/>
    <cellStyle name="Normal 63 5 2 2 5" xfId="23045" xr:uid="{00000000-0005-0000-0000-0000F8600000}"/>
    <cellStyle name="Normal 63 5 2 3" xfId="5218" xr:uid="{00000000-0005-0000-0000-0000F9600000}"/>
    <cellStyle name="Normal 63 5 2 3 2" xfId="9160" xr:uid="{00000000-0005-0000-0000-0000FA600000}"/>
    <cellStyle name="Normal 63 5 2 3 2 2" xfId="18334" xr:uid="{00000000-0005-0000-0000-0000FB600000}"/>
    <cellStyle name="Normal 63 5 2 3 2 2 2" xfId="34908" xr:uid="{00000000-0005-0000-0000-0000FC600000}"/>
    <cellStyle name="Normal 63 5 2 3 2 3" xfId="26861" xr:uid="{00000000-0005-0000-0000-0000FD600000}"/>
    <cellStyle name="Normal 63 5 2 3 3" xfId="14542" xr:uid="{00000000-0005-0000-0000-0000FE600000}"/>
    <cellStyle name="Normal 63 5 2 3 3 2" xfId="31090" xr:uid="{00000000-0005-0000-0000-0000FF600000}"/>
    <cellStyle name="Normal 63 5 2 3 4" xfId="23047" xr:uid="{00000000-0005-0000-0000-000000610000}"/>
    <cellStyle name="Normal 63 5 2 4" xfId="9161" xr:uid="{00000000-0005-0000-0000-000001610000}"/>
    <cellStyle name="Normal 63 5 2 4 2" xfId="18335" xr:uid="{00000000-0005-0000-0000-000002610000}"/>
    <cellStyle name="Normal 63 5 2 4 2 2" xfId="34909" xr:uid="{00000000-0005-0000-0000-000003610000}"/>
    <cellStyle name="Normal 63 5 2 4 3" xfId="26862" xr:uid="{00000000-0005-0000-0000-000004610000}"/>
    <cellStyle name="Normal 63 5 2 5" xfId="14539" xr:uid="{00000000-0005-0000-0000-000005610000}"/>
    <cellStyle name="Normal 63 5 2 5 2" xfId="31087" xr:uid="{00000000-0005-0000-0000-000006610000}"/>
    <cellStyle name="Normal 63 5 2 6" xfId="23044" xr:uid="{00000000-0005-0000-0000-000007610000}"/>
    <cellStyle name="Normal 63 5 3" xfId="5219" xr:uid="{00000000-0005-0000-0000-000008610000}"/>
    <cellStyle name="Normal 63 5 3 2" xfId="5220" xr:uid="{00000000-0005-0000-0000-000009610000}"/>
    <cellStyle name="Normal 63 5 3 2 2" xfId="9162" xr:uid="{00000000-0005-0000-0000-00000A610000}"/>
    <cellStyle name="Normal 63 5 3 2 2 2" xfId="18336" xr:uid="{00000000-0005-0000-0000-00000B610000}"/>
    <cellStyle name="Normal 63 5 3 2 2 2 2" xfId="34910" xr:uid="{00000000-0005-0000-0000-00000C610000}"/>
    <cellStyle name="Normal 63 5 3 2 2 3" xfId="26863" xr:uid="{00000000-0005-0000-0000-00000D610000}"/>
    <cellStyle name="Normal 63 5 3 2 3" xfId="14544" xr:uid="{00000000-0005-0000-0000-00000E610000}"/>
    <cellStyle name="Normal 63 5 3 2 3 2" xfId="31092" xr:uid="{00000000-0005-0000-0000-00000F610000}"/>
    <cellStyle name="Normal 63 5 3 2 4" xfId="23049" xr:uid="{00000000-0005-0000-0000-000010610000}"/>
    <cellStyle name="Normal 63 5 3 3" xfId="9163" xr:uid="{00000000-0005-0000-0000-000011610000}"/>
    <cellStyle name="Normal 63 5 3 3 2" xfId="18337" xr:uid="{00000000-0005-0000-0000-000012610000}"/>
    <cellStyle name="Normal 63 5 3 3 2 2" xfId="34911" xr:uid="{00000000-0005-0000-0000-000013610000}"/>
    <cellStyle name="Normal 63 5 3 3 3" xfId="26864" xr:uid="{00000000-0005-0000-0000-000014610000}"/>
    <cellStyle name="Normal 63 5 3 4" xfId="14543" xr:uid="{00000000-0005-0000-0000-000015610000}"/>
    <cellStyle name="Normal 63 5 3 4 2" xfId="31091" xr:uid="{00000000-0005-0000-0000-000016610000}"/>
    <cellStyle name="Normal 63 5 3 5" xfId="23048" xr:uid="{00000000-0005-0000-0000-000017610000}"/>
    <cellStyle name="Normal 63 5 4" xfId="5221" xr:uid="{00000000-0005-0000-0000-000018610000}"/>
    <cellStyle name="Normal 63 5 4 2" xfId="9164" xr:uid="{00000000-0005-0000-0000-000019610000}"/>
    <cellStyle name="Normal 63 5 4 2 2" xfId="18338" xr:uid="{00000000-0005-0000-0000-00001A610000}"/>
    <cellStyle name="Normal 63 5 4 2 2 2" xfId="34912" xr:uid="{00000000-0005-0000-0000-00001B610000}"/>
    <cellStyle name="Normal 63 5 4 2 3" xfId="26865" xr:uid="{00000000-0005-0000-0000-00001C610000}"/>
    <cellStyle name="Normal 63 5 4 3" xfId="14545" xr:uid="{00000000-0005-0000-0000-00001D610000}"/>
    <cellStyle name="Normal 63 5 4 3 2" xfId="31093" xr:uid="{00000000-0005-0000-0000-00001E610000}"/>
    <cellStyle name="Normal 63 5 4 4" xfId="23050" xr:uid="{00000000-0005-0000-0000-00001F610000}"/>
    <cellStyle name="Normal 63 5 5" xfId="9165" xr:uid="{00000000-0005-0000-0000-000020610000}"/>
    <cellStyle name="Normal 63 5 5 2" xfId="18339" xr:uid="{00000000-0005-0000-0000-000021610000}"/>
    <cellStyle name="Normal 63 5 5 2 2" xfId="34913" xr:uid="{00000000-0005-0000-0000-000022610000}"/>
    <cellStyle name="Normal 63 5 5 3" xfId="26866" xr:uid="{00000000-0005-0000-0000-000023610000}"/>
    <cellStyle name="Normal 63 5 6" xfId="14538" xr:uid="{00000000-0005-0000-0000-000024610000}"/>
    <cellStyle name="Normal 63 5 6 2" xfId="31086" xr:uid="{00000000-0005-0000-0000-000025610000}"/>
    <cellStyle name="Normal 63 5 7" xfId="23043" xr:uid="{00000000-0005-0000-0000-000026610000}"/>
    <cellStyle name="Normal 63 6" xfId="5222" xr:uid="{00000000-0005-0000-0000-000027610000}"/>
    <cellStyle name="Normal 63 6 2" xfId="5223" xr:uid="{00000000-0005-0000-0000-000028610000}"/>
    <cellStyle name="Normal 63 6 2 2" xfId="5224" xr:uid="{00000000-0005-0000-0000-000029610000}"/>
    <cellStyle name="Normal 63 6 2 2 2" xfId="9166" xr:uid="{00000000-0005-0000-0000-00002A610000}"/>
    <cellStyle name="Normal 63 6 2 2 2 2" xfId="18340" xr:uid="{00000000-0005-0000-0000-00002B610000}"/>
    <cellStyle name="Normal 63 6 2 2 2 2 2" xfId="34914" xr:uid="{00000000-0005-0000-0000-00002C610000}"/>
    <cellStyle name="Normal 63 6 2 2 2 3" xfId="26867" xr:uid="{00000000-0005-0000-0000-00002D610000}"/>
    <cellStyle name="Normal 63 6 2 2 3" xfId="14548" xr:uid="{00000000-0005-0000-0000-00002E610000}"/>
    <cellStyle name="Normal 63 6 2 2 3 2" xfId="31096" xr:uid="{00000000-0005-0000-0000-00002F610000}"/>
    <cellStyle name="Normal 63 6 2 2 4" xfId="23053" xr:uid="{00000000-0005-0000-0000-000030610000}"/>
    <cellStyle name="Normal 63 6 2 3" xfId="9167" xr:uid="{00000000-0005-0000-0000-000031610000}"/>
    <cellStyle name="Normal 63 6 2 3 2" xfId="18341" xr:uid="{00000000-0005-0000-0000-000032610000}"/>
    <cellStyle name="Normal 63 6 2 3 2 2" xfId="34915" xr:uid="{00000000-0005-0000-0000-000033610000}"/>
    <cellStyle name="Normal 63 6 2 3 3" xfId="26868" xr:uid="{00000000-0005-0000-0000-000034610000}"/>
    <cellStyle name="Normal 63 6 2 4" xfId="14547" xr:uid="{00000000-0005-0000-0000-000035610000}"/>
    <cellStyle name="Normal 63 6 2 4 2" xfId="31095" xr:uid="{00000000-0005-0000-0000-000036610000}"/>
    <cellStyle name="Normal 63 6 2 5" xfId="23052" xr:uid="{00000000-0005-0000-0000-000037610000}"/>
    <cellStyle name="Normal 63 6 3" xfId="5225" xr:uid="{00000000-0005-0000-0000-000038610000}"/>
    <cellStyle name="Normal 63 6 3 2" xfId="9168" xr:uid="{00000000-0005-0000-0000-000039610000}"/>
    <cellStyle name="Normal 63 6 3 2 2" xfId="18342" xr:uid="{00000000-0005-0000-0000-00003A610000}"/>
    <cellStyle name="Normal 63 6 3 2 2 2" xfId="34916" xr:uid="{00000000-0005-0000-0000-00003B610000}"/>
    <cellStyle name="Normal 63 6 3 2 3" xfId="26869" xr:uid="{00000000-0005-0000-0000-00003C610000}"/>
    <cellStyle name="Normal 63 6 3 3" xfId="14549" xr:uid="{00000000-0005-0000-0000-00003D610000}"/>
    <cellStyle name="Normal 63 6 3 3 2" xfId="31097" xr:uid="{00000000-0005-0000-0000-00003E610000}"/>
    <cellStyle name="Normal 63 6 3 4" xfId="23054" xr:uid="{00000000-0005-0000-0000-00003F610000}"/>
    <cellStyle name="Normal 63 6 4" xfId="9169" xr:uid="{00000000-0005-0000-0000-000040610000}"/>
    <cellStyle name="Normal 63 6 4 2" xfId="18343" xr:uid="{00000000-0005-0000-0000-000041610000}"/>
    <cellStyle name="Normal 63 6 4 2 2" xfId="34917" xr:uid="{00000000-0005-0000-0000-000042610000}"/>
    <cellStyle name="Normal 63 6 4 3" xfId="26870" xr:uid="{00000000-0005-0000-0000-000043610000}"/>
    <cellStyle name="Normal 63 6 5" xfId="14546" xr:uid="{00000000-0005-0000-0000-000044610000}"/>
    <cellStyle name="Normal 63 6 5 2" xfId="31094" xr:uid="{00000000-0005-0000-0000-000045610000}"/>
    <cellStyle name="Normal 63 6 6" xfId="23051" xr:uid="{00000000-0005-0000-0000-000046610000}"/>
    <cellStyle name="Normal 63 7" xfId="5226" xr:uid="{00000000-0005-0000-0000-000047610000}"/>
    <cellStyle name="Normal 63 7 2" xfId="5227" xr:uid="{00000000-0005-0000-0000-000048610000}"/>
    <cellStyle name="Normal 63 7 2 2" xfId="9170" xr:uid="{00000000-0005-0000-0000-000049610000}"/>
    <cellStyle name="Normal 63 7 2 2 2" xfId="18344" xr:uid="{00000000-0005-0000-0000-00004A610000}"/>
    <cellStyle name="Normal 63 7 2 2 2 2" xfId="34918" xr:uid="{00000000-0005-0000-0000-00004B610000}"/>
    <cellStyle name="Normal 63 7 2 2 3" xfId="26871" xr:uid="{00000000-0005-0000-0000-00004C610000}"/>
    <cellStyle name="Normal 63 7 2 3" xfId="14551" xr:uid="{00000000-0005-0000-0000-00004D610000}"/>
    <cellStyle name="Normal 63 7 2 3 2" xfId="31099" xr:uid="{00000000-0005-0000-0000-00004E610000}"/>
    <cellStyle name="Normal 63 7 2 4" xfId="23056" xr:uid="{00000000-0005-0000-0000-00004F610000}"/>
    <cellStyle name="Normal 63 7 3" xfId="9171" xr:uid="{00000000-0005-0000-0000-000050610000}"/>
    <cellStyle name="Normal 63 7 3 2" xfId="18345" xr:uid="{00000000-0005-0000-0000-000051610000}"/>
    <cellStyle name="Normal 63 7 3 2 2" xfId="34919" xr:uid="{00000000-0005-0000-0000-000052610000}"/>
    <cellStyle name="Normal 63 7 3 3" xfId="26872" xr:uid="{00000000-0005-0000-0000-000053610000}"/>
    <cellStyle name="Normal 63 7 4" xfId="14550" xr:uid="{00000000-0005-0000-0000-000054610000}"/>
    <cellStyle name="Normal 63 7 4 2" xfId="31098" xr:uid="{00000000-0005-0000-0000-000055610000}"/>
    <cellStyle name="Normal 63 7 5" xfId="23055" xr:uid="{00000000-0005-0000-0000-000056610000}"/>
    <cellStyle name="Normal 63 8" xfId="5228" xr:uid="{00000000-0005-0000-0000-000057610000}"/>
    <cellStyle name="Normal 63 8 2" xfId="9172" xr:uid="{00000000-0005-0000-0000-000058610000}"/>
    <cellStyle name="Normal 63 8 2 2" xfId="18346" xr:uid="{00000000-0005-0000-0000-000059610000}"/>
    <cellStyle name="Normal 63 8 2 2 2" xfId="34920" xr:uid="{00000000-0005-0000-0000-00005A610000}"/>
    <cellStyle name="Normal 63 8 2 3" xfId="26873" xr:uid="{00000000-0005-0000-0000-00005B610000}"/>
    <cellStyle name="Normal 63 8 3" xfId="14552" xr:uid="{00000000-0005-0000-0000-00005C610000}"/>
    <cellStyle name="Normal 63 8 3 2" xfId="31100" xr:uid="{00000000-0005-0000-0000-00005D610000}"/>
    <cellStyle name="Normal 63 8 4" xfId="23057" xr:uid="{00000000-0005-0000-0000-00005E610000}"/>
    <cellStyle name="Normal 63 9" xfId="9173" xr:uid="{00000000-0005-0000-0000-00005F610000}"/>
    <cellStyle name="Normal 63 9 2" xfId="18347" xr:uid="{00000000-0005-0000-0000-000060610000}"/>
    <cellStyle name="Normal 63 9 2 2" xfId="34921" xr:uid="{00000000-0005-0000-0000-000061610000}"/>
    <cellStyle name="Normal 63 9 3" xfId="26874" xr:uid="{00000000-0005-0000-0000-000062610000}"/>
    <cellStyle name="Normal 64" xfId="5229" xr:uid="{00000000-0005-0000-0000-000063610000}"/>
    <cellStyle name="Normal 64 10" xfId="14553" xr:uid="{00000000-0005-0000-0000-000064610000}"/>
    <cellStyle name="Normal 64 10 2" xfId="31101" xr:uid="{00000000-0005-0000-0000-000065610000}"/>
    <cellStyle name="Normal 64 11" xfId="23058" xr:uid="{00000000-0005-0000-0000-000066610000}"/>
    <cellStyle name="Normal 64 2" xfId="5230" xr:uid="{00000000-0005-0000-0000-000067610000}"/>
    <cellStyle name="Normal 64 2 2" xfId="5231" xr:uid="{00000000-0005-0000-0000-000068610000}"/>
    <cellStyle name="Normal 64 2 3" xfId="14554" xr:uid="{00000000-0005-0000-0000-000069610000}"/>
    <cellStyle name="Normal 64 2 3 2" xfId="31102" xr:uid="{00000000-0005-0000-0000-00006A610000}"/>
    <cellStyle name="Normal 64 2 4" xfId="23059" xr:uid="{00000000-0005-0000-0000-00006B610000}"/>
    <cellStyle name="Normal 64 3" xfId="5232" xr:uid="{00000000-0005-0000-0000-00006C610000}"/>
    <cellStyle name="Normal 64 3 2" xfId="5233" xr:uid="{00000000-0005-0000-0000-00006D610000}"/>
    <cellStyle name="Normal 64 3 2 2" xfId="5234" xr:uid="{00000000-0005-0000-0000-00006E610000}"/>
    <cellStyle name="Normal 64 3 2 2 2" xfId="5235" xr:uid="{00000000-0005-0000-0000-00006F610000}"/>
    <cellStyle name="Normal 64 3 2 2 2 2" xfId="9174" xr:uid="{00000000-0005-0000-0000-000070610000}"/>
    <cellStyle name="Normal 64 3 2 2 2 2 2" xfId="18348" xr:uid="{00000000-0005-0000-0000-000071610000}"/>
    <cellStyle name="Normal 64 3 2 2 2 2 2 2" xfId="34922" xr:uid="{00000000-0005-0000-0000-000072610000}"/>
    <cellStyle name="Normal 64 3 2 2 2 2 3" xfId="26875" xr:uid="{00000000-0005-0000-0000-000073610000}"/>
    <cellStyle name="Normal 64 3 2 2 2 3" xfId="14557" xr:uid="{00000000-0005-0000-0000-000074610000}"/>
    <cellStyle name="Normal 64 3 2 2 2 3 2" xfId="31105" xr:uid="{00000000-0005-0000-0000-000075610000}"/>
    <cellStyle name="Normal 64 3 2 2 2 4" xfId="23062" xr:uid="{00000000-0005-0000-0000-000076610000}"/>
    <cellStyle name="Normal 64 3 2 2 3" xfId="9175" xr:uid="{00000000-0005-0000-0000-000077610000}"/>
    <cellStyle name="Normal 64 3 2 2 3 2" xfId="18349" xr:uid="{00000000-0005-0000-0000-000078610000}"/>
    <cellStyle name="Normal 64 3 2 2 3 2 2" xfId="34923" xr:uid="{00000000-0005-0000-0000-000079610000}"/>
    <cellStyle name="Normal 64 3 2 2 3 3" xfId="26876" xr:uid="{00000000-0005-0000-0000-00007A610000}"/>
    <cellStyle name="Normal 64 3 2 2 4" xfId="14556" xr:uid="{00000000-0005-0000-0000-00007B610000}"/>
    <cellStyle name="Normal 64 3 2 2 4 2" xfId="31104" xr:uid="{00000000-0005-0000-0000-00007C610000}"/>
    <cellStyle name="Normal 64 3 2 2 5" xfId="23061" xr:uid="{00000000-0005-0000-0000-00007D610000}"/>
    <cellStyle name="Normal 64 3 2 3" xfId="5236" xr:uid="{00000000-0005-0000-0000-00007E610000}"/>
    <cellStyle name="Normal 64 3 2 3 2" xfId="9176" xr:uid="{00000000-0005-0000-0000-00007F610000}"/>
    <cellStyle name="Normal 64 3 2 3 2 2" xfId="18350" xr:uid="{00000000-0005-0000-0000-000080610000}"/>
    <cellStyle name="Normal 64 3 2 3 2 2 2" xfId="34924" xr:uid="{00000000-0005-0000-0000-000081610000}"/>
    <cellStyle name="Normal 64 3 2 3 2 3" xfId="26877" xr:uid="{00000000-0005-0000-0000-000082610000}"/>
    <cellStyle name="Normal 64 3 2 3 3" xfId="14558" xr:uid="{00000000-0005-0000-0000-000083610000}"/>
    <cellStyle name="Normal 64 3 2 3 3 2" xfId="31106" xr:uid="{00000000-0005-0000-0000-000084610000}"/>
    <cellStyle name="Normal 64 3 2 3 4" xfId="23063" xr:uid="{00000000-0005-0000-0000-000085610000}"/>
    <cellStyle name="Normal 64 3 2 4" xfId="9177" xr:uid="{00000000-0005-0000-0000-000086610000}"/>
    <cellStyle name="Normal 64 3 2 4 2" xfId="18351" xr:uid="{00000000-0005-0000-0000-000087610000}"/>
    <cellStyle name="Normal 64 3 2 4 2 2" xfId="34925" xr:uid="{00000000-0005-0000-0000-000088610000}"/>
    <cellStyle name="Normal 64 3 2 4 3" xfId="26878" xr:uid="{00000000-0005-0000-0000-000089610000}"/>
    <cellStyle name="Normal 64 3 2 5" xfId="14555" xr:uid="{00000000-0005-0000-0000-00008A610000}"/>
    <cellStyle name="Normal 64 3 2 5 2" xfId="31103" xr:uid="{00000000-0005-0000-0000-00008B610000}"/>
    <cellStyle name="Normal 64 3 2 6" xfId="23060" xr:uid="{00000000-0005-0000-0000-00008C610000}"/>
    <cellStyle name="Normal 64 3 3" xfId="5237" xr:uid="{00000000-0005-0000-0000-00008D610000}"/>
    <cellStyle name="Normal 64 3 3 2" xfId="5238" xr:uid="{00000000-0005-0000-0000-00008E610000}"/>
    <cellStyle name="Normal 64 3 3 2 2" xfId="9178" xr:uid="{00000000-0005-0000-0000-00008F610000}"/>
    <cellStyle name="Normal 64 3 3 2 2 2" xfId="18352" xr:uid="{00000000-0005-0000-0000-000090610000}"/>
    <cellStyle name="Normal 64 3 3 2 2 2 2" xfId="34926" xr:uid="{00000000-0005-0000-0000-000091610000}"/>
    <cellStyle name="Normal 64 3 3 2 2 3" xfId="26879" xr:uid="{00000000-0005-0000-0000-000092610000}"/>
    <cellStyle name="Normal 64 3 3 2 3" xfId="14560" xr:uid="{00000000-0005-0000-0000-000093610000}"/>
    <cellStyle name="Normal 64 3 3 2 3 2" xfId="31108" xr:uid="{00000000-0005-0000-0000-000094610000}"/>
    <cellStyle name="Normal 64 3 3 2 4" xfId="23065" xr:uid="{00000000-0005-0000-0000-000095610000}"/>
    <cellStyle name="Normal 64 3 3 3" xfId="9179" xr:uid="{00000000-0005-0000-0000-000096610000}"/>
    <cellStyle name="Normal 64 3 3 3 2" xfId="18353" xr:uid="{00000000-0005-0000-0000-000097610000}"/>
    <cellStyle name="Normal 64 3 3 3 2 2" xfId="34927" xr:uid="{00000000-0005-0000-0000-000098610000}"/>
    <cellStyle name="Normal 64 3 3 3 3" xfId="26880" xr:uid="{00000000-0005-0000-0000-000099610000}"/>
    <cellStyle name="Normal 64 3 3 4" xfId="14559" xr:uid="{00000000-0005-0000-0000-00009A610000}"/>
    <cellStyle name="Normal 64 3 3 4 2" xfId="31107" xr:uid="{00000000-0005-0000-0000-00009B610000}"/>
    <cellStyle name="Normal 64 3 3 5" xfId="23064" xr:uid="{00000000-0005-0000-0000-00009C610000}"/>
    <cellStyle name="Normal 64 3 4" xfId="5239" xr:uid="{00000000-0005-0000-0000-00009D610000}"/>
    <cellStyle name="Normal 64 3 4 2" xfId="9180" xr:uid="{00000000-0005-0000-0000-00009E610000}"/>
    <cellStyle name="Normal 64 3 4 2 2" xfId="18354" xr:uid="{00000000-0005-0000-0000-00009F610000}"/>
    <cellStyle name="Normal 64 3 4 2 2 2" xfId="34928" xr:uid="{00000000-0005-0000-0000-0000A0610000}"/>
    <cellStyle name="Normal 64 3 4 2 3" xfId="26881" xr:uid="{00000000-0005-0000-0000-0000A1610000}"/>
    <cellStyle name="Normal 64 3 4 3" xfId="14561" xr:uid="{00000000-0005-0000-0000-0000A2610000}"/>
    <cellStyle name="Normal 64 3 4 3 2" xfId="31109" xr:uid="{00000000-0005-0000-0000-0000A3610000}"/>
    <cellStyle name="Normal 64 3 4 4" xfId="23066" xr:uid="{00000000-0005-0000-0000-0000A4610000}"/>
    <cellStyle name="Normal 64 3 5" xfId="5240" xr:uid="{00000000-0005-0000-0000-0000A5610000}"/>
    <cellStyle name="Normal 64 3 5 2" xfId="14562" xr:uid="{00000000-0005-0000-0000-0000A6610000}"/>
    <cellStyle name="Normal 64 3 5 2 2" xfId="31110" xr:uid="{00000000-0005-0000-0000-0000A7610000}"/>
    <cellStyle name="Normal 64 3 5 3" xfId="23067" xr:uid="{00000000-0005-0000-0000-0000A8610000}"/>
    <cellStyle name="Normal 64 4" xfId="5241" xr:uid="{00000000-0005-0000-0000-0000A9610000}"/>
    <cellStyle name="Normal 64 4 2" xfId="5242" xr:uid="{00000000-0005-0000-0000-0000AA610000}"/>
    <cellStyle name="Normal 64 4 2 2" xfId="5243" xr:uid="{00000000-0005-0000-0000-0000AB610000}"/>
    <cellStyle name="Normal 64 4 2 2 2" xfId="5244" xr:uid="{00000000-0005-0000-0000-0000AC610000}"/>
    <cellStyle name="Normal 64 4 2 2 2 2" xfId="9181" xr:uid="{00000000-0005-0000-0000-0000AD610000}"/>
    <cellStyle name="Normal 64 4 2 2 2 2 2" xfId="18355" xr:uid="{00000000-0005-0000-0000-0000AE610000}"/>
    <cellStyle name="Normal 64 4 2 2 2 2 2 2" xfId="34929" xr:uid="{00000000-0005-0000-0000-0000AF610000}"/>
    <cellStyle name="Normal 64 4 2 2 2 2 3" xfId="26882" xr:uid="{00000000-0005-0000-0000-0000B0610000}"/>
    <cellStyle name="Normal 64 4 2 2 2 3" xfId="14566" xr:uid="{00000000-0005-0000-0000-0000B1610000}"/>
    <cellStyle name="Normal 64 4 2 2 2 3 2" xfId="31114" xr:uid="{00000000-0005-0000-0000-0000B2610000}"/>
    <cellStyle name="Normal 64 4 2 2 2 4" xfId="23071" xr:uid="{00000000-0005-0000-0000-0000B3610000}"/>
    <cellStyle name="Normal 64 4 2 2 3" xfId="9182" xr:uid="{00000000-0005-0000-0000-0000B4610000}"/>
    <cellStyle name="Normal 64 4 2 2 3 2" xfId="18356" xr:uid="{00000000-0005-0000-0000-0000B5610000}"/>
    <cellStyle name="Normal 64 4 2 2 3 2 2" xfId="34930" xr:uid="{00000000-0005-0000-0000-0000B6610000}"/>
    <cellStyle name="Normal 64 4 2 2 3 3" xfId="26883" xr:uid="{00000000-0005-0000-0000-0000B7610000}"/>
    <cellStyle name="Normal 64 4 2 2 4" xfId="14565" xr:uid="{00000000-0005-0000-0000-0000B8610000}"/>
    <cellStyle name="Normal 64 4 2 2 4 2" xfId="31113" xr:uid="{00000000-0005-0000-0000-0000B9610000}"/>
    <cellStyle name="Normal 64 4 2 2 5" xfId="23070" xr:uid="{00000000-0005-0000-0000-0000BA610000}"/>
    <cellStyle name="Normal 64 4 2 3" xfId="5245" xr:uid="{00000000-0005-0000-0000-0000BB610000}"/>
    <cellStyle name="Normal 64 4 2 3 2" xfId="9183" xr:uid="{00000000-0005-0000-0000-0000BC610000}"/>
    <cellStyle name="Normal 64 4 2 3 2 2" xfId="18357" xr:uid="{00000000-0005-0000-0000-0000BD610000}"/>
    <cellStyle name="Normal 64 4 2 3 2 2 2" xfId="34931" xr:uid="{00000000-0005-0000-0000-0000BE610000}"/>
    <cellStyle name="Normal 64 4 2 3 2 3" xfId="26884" xr:uid="{00000000-0005-0000-0000-0000BF610000}"/>
    <cellStyle name="Normal 64 4 2 3 3" xfId="14567" xr:uid="{00000000-0005-0000-0000-0000C0610000}"/>
    <cellStyle name="Normal 64 4 2 3 3 2" xfId="31115" xr:uid="{00000000-0005-0000-0000-0000C1610000}"/>
    <cellStyle name="Normal 64 4 2 3 4" xfId="23072" xr:uid="{00000000-0005-0000-0000-0000C2610000}"/>
    <cellStyle name="Normal 64 4 2 4" xfId="9184" xr:uid="{00000000-0005-0000-0000-0000C3610000}"/>
    <cellStyle name="Normal 64 4 2 4 2" xfId="18358" xr:uid="{00000000-0005-0000-0000-0000C4610000}"/>
    <cellStyle name="Normal 64 4 2 4 2 2" xfId="34932" xr:uid="{00000000-0005-0000-0000-0000C5610000}"/>
    <cellStyle name="Normal 64 4 2 4 3" xfId="26885" xr:uid="{00000000-0005-0000-0000-0000C6610000}"/>
    <cellStyle name="Normal 64 4 2 5" xfId="14564" xr:uid="{00000000-0005-0000-0000-0000C7610000}"/>
    <cellStyle name="Normal 64 4 2 5 2" xfId="31112" xr:uid="{00000000-0005-0000-0000-0000C8610000}"/>
    <cellStyle name="Normal 64 4 2 6" xfId="23069" xr:uid="{00000000-0005-0000-0000-0000C9610000}"/>
    <cellStyle name="Normal 64 4 3" xfId="5246" xr:uid="{00000000-0005-0000-0000-0000CA610000}"/>
    <cellStyle name="Normal 64 4 3 2" xfId="5247" xr:uid="{00000000-0005-0000-0000-0000CB610000}"/>
    <cellStyle name="Normal 64 4 3 2 2" xfId="9185" xr:uid="{00000000-0005-0000-0000-0000CC610000}"/>
    <cellStyle name="Normal 64 4 3 2 2 2" xfId="18359" xr:uid="{00000000-0005-0000-0000-0000CD610000}"/>
    <cellStyle name="Normal 64 4 3 2 2 2 2" xfId="34933" xr:uid="{00000000-0005-0000-0000-0000CE610000}"/>
    <cellStyle name="Normal 64 4 3 2 2 3" xfId="26886" xr:uid="{00000000-0005-0000-0000-0000CF610000}"/>
    <cellStyle name="Normal 64 4 3 2 3" xfId="14569" xr:uid="{00000000-0005-0000-0000-0000D0610000}"/>
    <cellStyle name="Normal 64 4 3 2 3 2" xfId="31117" xr:uid="{00000000-0005-0000-0000-0000D1610000}"/>
    <cellStyle name="Normal 64 4 3 2 4" xfId="23074" xr:uid="{00000000-0005-0000-0000-0000D2610000}"/>
    <cellStyle name="Normal 64 4 3 3" xfId="9186" xr:uid="{00000000-0005-0000-0000-0000D3610000}"/>
    <cellStyle name="Normal 64 4 3 3 2" xfId="18360" xr:uid="{00000000-0005-0000-0000-0000D4610000}"/>
    <cellStyle name="Normal 64 4 3 3 2 2" xfId="34934" xr:uid="{00000000-0005-0000-0000-0000D5610000}"/>
    <cellStyle name="Normal 64 4 3 3 3" xfId="26887" xr:uid="{00000000-0005-0000-0000-0000D6610000}"/>
    <cellStyle name="Normal 64 4 3 4" xfId="14568" xr:uid="{00000000-0005-0000-0000-0000D7610000}"/>
    <cellStyle name="Normal 64 4 3 4 2" xfId="31116" xr:uid="{00000000-0005-0000-0000-0000D8610000}"/>
    <cellStyle name="Normal 64 4 3 5" xfId="23073" xr:uid="{00000000-0005-0000-0000-0000D9610000}"/>
    <cellStyle name="Normal 64 4 4" xfId="5248" xr:uid="{00000000-0005-0000-0000-0000DA610000}"/>
    <cellStyle name="Normal 64 4 4 2" xfId="9187" xr:uid="{00000000-0005-0000-0000-0000DB610000}"/>
    <cellStyle name="Normal 64 4 4 2 2" xfId="18361" xr:uid="{00000000-0005-0000-0000-0000DC610000}"/>
    <cellStyle name="Normal 64 4 4 2 2 2" xfId="34935" xr:uid="{00000000-0005-0000-0000-0000DD610000}"/>
    <cellStyle name="Normal 64 4 4 2 3" xfId="26888" xr:uid="{00000000-0005-0000-0000-0000DE610000}"/>
    <cellStyle name="Normal 64 4 4 3" xfId="14570" xr:uid="{00000000-0005-0000-0000-0000DF610000}"/>
    <cellStyle name="Normal 64 4 4 3 2" xfId="31118" xr:uid="{00000000-0005-0000-0000-0000E0610000}"/>
    <cellStyle name="Normal 64 4 4 4" xfId="23075" xr:uid="{00000000-0005-0000-0000-0000E1610000}"/>
    <cellStyle name="Normal 64 4 5" xfId="9188" xr:uid="{00000000-0005-0000-0000-0000E2610000}"/>
    <cellStyle name="Normal 64 4 5 2" xfId="18362" xr:uid="{00000000-0005-0000-0000-0000E3610000}"/>
    <cellStyle name="Normal 64 4 5 2 2" xfId="34936" xr:uid="{00000000-0005-0000-0000-0000E4610000}"/>
    <cellStyle name="Normal 64 4 5 3" xfId="26889" xr:uid="{00000000-0005-0000-0000-0000E5610000}"/>
    <cellStyle name="Normal 64 4 6" xfId="14563" xr:uid="{00000000-0005-0000-0000-0000E6610000}"/>
    <cellStyle name="Normal 64 4 6 2" xfId="31111" xr:uid="{00000000-0005-0000-0000-0000E7610000}"/>
    <cellStyle name="Normal 64 4 7" xfId="23068" xr:uid="{00000000-0005-0000-0000-0000E8610000}"/>
    <cellStyle name="Normal 64 5" xfId="5249" xr:uid="{00000000-0005-0000-0000-0000E9610000}"/>
    <cellStyle name="Normal 64 5 2" xfId="5250" xr:uid="{00000000-0005-0000-0000-0000EA610000}"/>
    <cellStyle name="Normal 64 5 2 2" xfId="5251" xr:uid="{00000000-0005-0000-0000-0000EB610000}"/>
    <cellStyle name="Normal 64 5 2 2 2" xfId="5252" xr:uid="{00000000-0005-0000-0000-0000EC610000}"/>
    <cellStyle name="Normal 64 5 2 2 2 2" xfId="9189" xr:uid="{00000000-0005-0000-0000-0000ED610000}"/>
    <cellStyle name="Normal 64 5 2 2 2 2 2" xfId="18363" xr:uid="{00000000-0005-0000-0000-0000EE610000}"/>
    <cellStyle name="Normal 64 5 2 2 2 2 2 2" xfId="34937" xr:uid="{00000000-0005-0000-0000-0000EF610000}"/>
    <cellStyle name="Normal 64 5 2 2 2 2 3" xfId="26890" xr:uid="{00000000-0005-0000-0000-0000F0610000}"/>
    <cellStyle name="Normal 64 5 2 2 2 3" xfId="14574" xr:uid="{00000000-0005-0000-0000-0000F1610000}"/>
    <cellStyle name="Normal 64 5 2 2 2 3 2" xfId="31122" xr:uid="{00000000-0005-0000-0000-0000F2610000}"/>
    <cellStyle name="Normal 64 5 2 2 2 4" xfId="23079" xr:uid="{00000000-0005-0000-0000-0000F3610000}"/>
    <cellStyle name="Normal 64 5 2 2 3" xfId="9190" xr:uid="{00000000-0005-0000-0000-0000F4610000}"/>
    <cellStyle name="Normal 64 5 2 2 3 2" xfId="18364" xr:uid="{00000000-0005-0000-0000-0000F5610000}"/>
    <cellStyle name="Normal 64 5 2 2 3 2 2" xfId="34938" xr:uid="{00000000-0005-0000-0000-0000F6610000}"/>
    <cellStyle name="Normal 64 5 2 2 3 3" xfId="26891" xr:uid="{00000000-0005-0000-0000-0000F7610000}"/>
    <cellStyle name="Normal 64 5 2 2 4" xfId="14573" xr:uid="{00000000-0005-0000-0000-0000F8610000}"/>
    <cellStyle name="Normal 64 5 2 2 4 2" xfId="31121" xr:uid="{00000000-0005-0000-0000-0000F9610000}"/>
    <cellStyle name="Normal 64 5 2 2 5" xfId="23078" xr:uid="{00000000-0005-0000-0000-0000FA610000}"/>
    <cellStyle name="Normal 64 5 2 3" xfId="5253" xr:uid="{00000000-0005-0000-0000-0000FB610000}"/>
    <cellStyle name="Normal 64 5 2 3 2" xfId="9191" xr:uid="{00000000-0005-0000-0000-0000FC610000}"/>
    <cellStyle name="Normal 64 5 2 3 2 2" xfId="18365" xr:uid="{00000000-0005-0000-0000-0000FD610000}"/>
    <cellStyle name="Normal 64 5 2 3 2 2 2" xfId="34939" xr:uid="{00000000-0005-0000-0000-0000FE610000}"/>
    <cellStyle name="Normal 64 5 2 3 2 3" xfId="26892" xr:uid="{00000000-0005-0000-0000-0000FF610000}"/>
    <cellStyle name="Normal 64 5 2 3 3" xfId="14575" xr:uid="{00000000-0005-0000-0000-000000620000}"/>
    <cellStyle name="Normal 64 5 2 3 3 2" xfId="31123" xr:uid="{00000000-0005-0000-0000-000001620000}"/>
    <cellStyle name="Normal 64 5 2 3 4" xfId="23080" xr:uid="{00000000-0005-0000-0000-000002620000}"/>
    <cellStyle name="Normal 64 5 2 4" xfId="9192" xr:uid="{00000000-0005-0000-0000-000003620000}"/>
    <cellStyle name="Normal 64 5 2 4 2" xfId="18366" xr:uid="{00000000-0005-0000-0000-000004620000}"/>
    <cellStyle name="Normal 64 5 2 4 2 2" xfId="34940" xr:uid="{00000000-0005-0000-0000-000005620000}"/>
    <cellStyle name="Normal 64 5 2 4 3" xfId="26893" xr:uid="{00000000-0005-0000-0000-000006620000}"/>
    <cellStyle name="Normal 64 5 2 5" xfId="14572" xr:uid="{00000000-0005-0000-0000-000007620000}"/>
    <cellStyle name="Normal 64 5 2 5 2" xfId="31120" xr:uid="{00000000-0005-0000-0000-000008620000}"/>
    <cellStyle name="Normal 64 5 2 6" xfId="23077" xr:uid="{00000000-0005-0000-0000-000009620000}"/>
    <cellStyle name="Normal 64 5 3" xfId="5254" xr:uid="{00000000-0005-0000-0000-00000A620000}"/>
    <cellStyle name="Normal 64 5 3 2" xfId="5255" xr:uid="{00000000-0005-0000-0000-00000B620000}"/>
    <cellStyle name="Normal 64 5 3 2 2" xfId="9193" xr:uid="{00000000-0005-0000-0000-00000C620000}"/>
    <cellStyle name="Normal 64 5 3 2 2 2" xfId="18367" xr:uid="{00000000-0005-0000-0000-00000D620000}"/>
    <cellStyle name="Normal 64 5 3 2 2 2 2" xfId="34941" xr:uid="{00000000-0005-0000-0000-00000E620000}"/>
    <cellStyle name="Normal 64 5 3 2 2 3" xfId="26894" xr:uid="{00000000-0005-0000-0000-00000F620000}"/>
    <cellStyle name="Normal 64 5 3 2 3" xfId="14577" xr:uid="{00000000-0005-0000-0000-000010620000}"/>
    <cellStyle name="Normal 64 5 3 2 3 2" xfId="31125" xr:uid="{00000000-0005-0000-0000-000011620000}"/>
    <cellStyle name="Normal 64 5 3 2 4" xfId="23082" xr:uid="{00000000-0005-0000-0000-000012620000}"/>
    <cellStyle name="Normal 64 5 3 3" xfId="9194" xr:uid="{00000000-0005-0000-0000-000013620000}"/>
    <cellStyle name="Normal 64 5 3 3 2" xfId="18368" xr:uid="{00000000-0005-0000-0000-000014620000}"/>
    <cellStyle name="Normal 64 5 3 3 2 2" xfId="34942" xr:uid="{00000000-0005-0000-0000-000015620000}"/>
    <cellStyle name="Normal 64 5 3 3 3" xfId="26895" xr:uid="{00000000-0005-0000-0000-000016620000}"/>
    <cellStyle name="Normal 64 5 3 4" xfId="14576" xr:uid="{00000000-0005-0000-0000-000017620000}"/>
    <cellStyle name="Normal 64 5 3 4 2" xfId="31124" xr:uid="{00000000-0005-0000-0000-000018620000}"/>
    <cellStyle name="Normal 64 5 3 5" xfId="23081" xr:uid="{00000000-0005-0000-0000-000019620000}"/>
    <cellStyle name="Normal 64 5 4" xfId="5256" xr:uid="{00000000-0005-0000-0000-00001A620000}"/>
    <cellStyle name="Normal 64 5 4 2" xfId="9195" xr:uid="{00000000-0005-0000-0000-00001B620000}"/>
    <cellStyle name="Normal 64 5 4 2 2" xfId="18369" xr:uid="{00000000-0005-0000-0000-00001C620000}"/>
    <cellStyle name="Normal 64 5 4 2 2 2" xfId="34943" xr:uid="{00000000-0005-0000-0000-00001D620000}"/>
    <cellStyle name="Normal 64 5 4 2 3" xfId="26896" xr:uid="{00000000-0005-0000-0000-00001E620000}"/>
    <cellStyle name="Normal 64 5 4 3" xfId="14578" xr:uid="{00000000-0005-0000-0000-00001F620000}"/>
    <cellStyle name="Normal 64 5 4 3 2" xfId="31126" xr:uid="{00000000-0005-0000-0000-000020620000}"/>
    <cellStyle name="Normal 64 5 4 4" xfId="23083" xr:uid="{00000000-0005-0000-0000-000021620000}"/>
    <cellStyle name="Normal 64 5 5" xfId="9196" xr:uid="{00000000-0005-0000-0000-000022620000}"/>
    <cellStyle name="Normal 64 5 5 2" xfId="18370" xr:uid="{00000000-0005-0000-0000-000023620000}"/>
    <cellStyle name="Normal 64 5 5 2 2" xfId="34944" xr:uid="{00000000-0005-0000-0000-000024620000}"/>
    <cellStyle name="Normal 64 5 5 3" xfId="26897" xr:uid="{00000000-0005-0000-0000-000025620000}"/>
    <cellStyle name="Normal 64 5 6" xfId="14571" xr:uid="{00000000-0005-0000-0000-000026620000}"/>
    <cellStyle name="Normal 64 5 6 2" xfId="31119" xr:uid="{00000000-0005-0000-0000-000027620000}"/>
    <cellStyle name="Normal 64 5 7" xfId="23076" xr:uid="{00000000-0005-0000-0000-000028620000}"/>
    <cellStyle name="Normal 64 6" xfId="5257" xr:uid="{00000000-0005-0000-0000-000029620000}"/>
    <cellStyle name="Normal 64 6 2" xfId="5258" xr:uid="{00000000-0005-0000-0000-00002A620000}"/>
    <cellStyle name="Normal 64 6 2 2" xfId="5259" xr:uid="{00000000-0005-0000-0000-00002B620000}"/>
    <cellStyle name="Normal 64 6 2 2 2" xfId="9197" xr:uid="{00000000-0005-0000-0000-00002C620000}"/>
    <cellStyle name="Normal 64 6 2 2 2 2" xfId="18371" xr:uid="{00000000-0005-0000-0000-00002D620000}"/>
    <cellStyle name="Normal 64 6 2 2 2 2 2" xfId="34945" xr:uid="{00000000-0005-0000-0000-00002E620000}"/>
    <cellStyle name="Normal 64 6 2 2 2 3" xfId="26898" xr:uid="{00000000-0005-0000-0000-00002F620000}"/>
    <cellStyle name="Normal 64 6 2 2 3" xfId="14581" xr:uid="{00000000-0005-0000-0000-000030620000}"/>
    <cellStyle name="Normal 64 6 2 2 3 2" xfId="31129" xr:uid="{00000000-0005-0000-0000-000031620000}"/>
    <cellStyle name="Normal 64 6 2 2 4" xfId="23086" xr:uid="{00000000-0005-0000-0000-000032620000}"/>
    <cellStyle name="Normal 64 6 2 3" xfId="9198" xr:uid="{00000000-0005-0000-0000-000033620000}"/>
    <cellStyle name="Normal 64 6 2 3 2" xfId="18372" xr:uid="{00000000-0005-0000-0000-000034620000}"/>
    <cellStyle name="Normal 64 6 2 3 2 2" xfId="34946" xr:uid="{00000000-0005-0000-0000-000035620000}"/>
    <cellStyle name="Normal 64 6 2 3 3" xfId="26899" xr:uid="{00000000-0005-0000-0000-000036620000}"/>
    <cellStyle name="Normal 64 6 2 4" xfId="14580" xr:uid="{00000000-0005-0000-0000-000037620000}"/>
    <cellStyle name="Normal 64 6 2 4 2" xfId="31128" xr:uid="{00000000-0005-0000-0000-000038620000}"/>
    <cellStyle name="Normal 64 6 2 5" xfId="23085" xr:uid="{00000000-0005-0000-0000-000039620000}"/>
    <cellStyle name="Normal 64 6 3" xfId="5260" xr:uid="{00000000-0005-0000-0000-00003A620000}"/>
    <cellStyle name="Normal 64 6 3 2" xfId="9199" xr:uid="{00000000-0005-0000-0000-00003B620000}"/>
    <cellStyle name="Normal 64 6 3 2 2" xfId="18373" xr:uid="{00000000-0005-0000-0000-00003C620000}"/>
    <cellStyle name="Normal 64 6 3 2 2 2" xfId="34947" xr:uid="{00000000-0005-0000-0000-00003D620000}"/>
    <cellStyle name="Normal 64 6 3 2 3" xfId="26900" xr:uid="{00000000-0005-0000-0000-00003E620000}"/>
    <cellStyle name="Normal 64 6 3 3" xfId="14582" xr:uid="{00000000-0005-0000-0000-00003F620000}"/>
    <cellStyle name="Normal 64 6 3 3 2" xfId="31130" xr:uid="{00000000-0005-0000-0000-000040620000}"/>
    <cellStyle name="Normal 64 6 3 4" xfId="23087" xr:uid="{00000000-0005-0000-0000-000041620000}"/>
    <cellStyle name="Normal 64 6 4" xfId="9200" xr:uid="{00000000-0005-0000-0000-000042620000}"/>
    <cellStyle name="Normal 64 6 4 2" xfId="18374" xr:uid="{00000000-0005-0000-0000-000043620000}"/>
    <cellStyle name="Normal 64 6 4 2 2" xfId="34948" xr:uid="{00000000-0005-0000-0000-000044620000}"/>
    <cellStyle name="Normal 64 6 4 3" xfId="26901" xr:uid="{00000000-0005-0000-0000-000045620000}"/>
    <cellStyle name="Normal 64 6 5" xfId="14579" xr:uid="{00000000-0005-0000-0000-000046620000}"/>
    <cellStyle name="Normal 64 6 5 2" xfId="31127" xr:uid="{00000000-0005-0000-0000-000047620000}"/>
    <cellStyle name="Normal 64 6 6" xfId="23084" xr:uid="{00000000-0005-0000-0000-000048620000}"/>
    <cellStyle name="Normal 64 7" xfId="5261" xr:uid="{00000000-0005-0000-0000-000049620000}"/>
    <cellStyle name="Normal 64 7 2" xfId="5262" xr:uid="{00000000-0005-0000-0000-00004A620000}"/>
    <cellStyle name="Normal 64 7 2 2" xfId="9201" xr:uid="{00000000-0005-0000-0000-00004B620000}"/>
    <cellStyle name="Normal 64 7 2 2 2" xfId="18375" xr:uid="{00000000-0005-0000-0000-00004C620000}"/>
    <cellStyle name="Normal 64 7 2 2 2 2" xfId="34949" xr:uid="{00000000-0005-0000-0000-00004D620000}"/>
    <cellStyle name="Normal 64 7 2 2 3" xfId="26902" xr:uid="{00000000-0005-0000-0000-00004E620000}"/>
    <cellStyle name="Normal 64 7 2 3" xfId="14584" xr:uid="{00000000-0005-0000-0000-00004F620000}"/>
    <cellStyle name="Normal 64 7 2 3 2" xfId="31132" xr:uid="{00000000-0005-0000-0000-000050620000}"/>
    <cellStyle name="Normal 64 7 2 4" xfId="23089" xr:uid="{00000000-0005-0000-0000-000051620000}"/>
    <cellStyle name="Normal 64 7 3" xfId="9202" xr:uid="{00000000-0005-0000-0000-000052620000}"/>
    <cellStyle name="Normal 64 7 3 2" xfId="18376" xr:uid="{00000000-0005-0000-0000-000053620000}"/>
    <cellStyle name="Normal 64 7 3 2 2" xfId="34950" xr:uid="{00000000-0005-0000-0000-000054620000}"/>
    <cellStyle name="Normal 64 7 3 3" xfId="26903" xr:uid="{00000000-0005-0000-0000-000055620000}"/>
    <cellStyle name="Normal 64 7 4" xfId="14583" xr:uid="{00000000-0005-0000-0000-000056620000}"/>
    <cellStyle name="Normal 64 7 4 2" xfId="31131" xr:uid="{00000000-0005-0000-0000-000057620000}"/>
    <cellStyle name="Normal 64 7 5" xfId="23088" xr:uid="{00000000-0005-0000-0000-000058620000}"/>
    <cellStyle name="Normal 64 8" xfId="5263" xr:uid="{00000000-0005-0000-0000-000059620000}"/>
    <cellStyle name="Normal 64 8 2" xfId="9203" xr:uid="{00000000-0005-0000-0000-00005A620000}"/>
    <cellStyle name="Normal 64 8 2 2" xfId="18377" xr:uid="{00000000-0005-0000-0000-00005B620000}"/>
    <cellStyle name="Normal 64 8 2 2 2" xfId="34951" xr:uid="{00000000-0005-0000-0000-00005C620000}"/>
    <cellStyle name="Normal 64 8 2 3" xfId="26904" xr:uid="{00000000-0005-0000-0000-00005D620000}"/>
    <cellStyle name="Normal 64 8 3" xfId="14585" xr:uid="{00000000-0005-0000-0000-00005E620000}"/>
    <cellStyle name="Normal 64 8 3 2" xfId="31133" xr:uid="{00000000-0005-0000-0000-00005F620000}"/>
    <cellStyle name="Normal 64 8 4" xfId="23090" xr:uid="{00000000-0005-0000-0000-000060620000}"/>
    <cellStyle name="Normal 64 9" xfId="9204" xr:uid="{00000000-0005-0000-0000-000061620000}"/>
    <cellStyle name="Normal 64 9 2" xfId="18378" xr:uid="{00000000-0005-0000-0000-000062620000}"/>
    <cellStyle name="Normal 64 9 2 2" xfId="34952" xr:uid="{00000000-0005-0000-0000-000063620000}"/>
    <cellStyle name="Normal 64 9 3" xfId="26905" xr:uid="{00000000-0005-0000-0000-000064620000}"/>
    <cellStyle name="Normal 65" xfId="5264" xr:uid="{00000000-0005-0000-0000-000065620000}"/>
    <cellStyle name="Normal 65 10" xfId="14586" xr:uid="{00000000-0005-0000-0000-000066620000}"/>
    <cellStyle name="Normal 65 10 2" xfId="31134" xr:uid="{00000000-0005-0000-0000-000067620000}"/>
    <cellStyle name="Normal 65 11" xfId="23091" xr:uid="{00000000-0005-0000-0000-000068620000}"/>
    <cellStyle name="Normal 65 2" xfId="5265" xr:uid="{00000000-0005-0000-0000-000069620000}"/>
    <cellStyle name="Normal 65 2 2" xfId="5266" xr:uid="{00000000-0005-0000-0000-00006A620000}"/>
    <cellStyle name="Normal 65 2 3" xfId="14587" xr:uid="{00000000-0005-0000-0000-00006B620000}"/>
    <cellStyle name="Normal 65 2 3 2" xfId="31135" xr:uid="{00000000-0005-0000-0000-00006C620000}"/>
    <cellStyle name="Normal 65 2 4" xfId="23092" xr:uid="{00000000-0005-0000-0000-00006D620000}"/>
    <cellStyle name="Normal 65 3" xfId="5267" xr:uid="{00000000-0005-0000-0000-00006E620000}"/>
    <cellStyle name="Normal 65 3 2" xfId="5268" xr:uid="{00000000-0005-0000-0000-00006F620000}"/>
    <cellStyle name="Normal 65 3 2 2" xfId="5269" xr:uid="{00000000-0005-0000-0000-000070620000}"/>
    <cellStyle name="Normal 65 3 2 2 2" xfId="5270" xr:uid="{00000000-0005-0000-0000-000071620000}"/>
    <cellStyle name="Normal 65 3 2 2 2 2" xfId="9205" xr:uid="{00000000-0005-0000-0000-000072620000}"/>
    <cellStyle name="Normal 65 3 2 2 2 2 2" xfId="18379" xr:uid="{00000000-0005-0000-0000-000073620000}"/>
    <cellStyle name="Normal 65 3 2 2 2 2 2 2" xfId="34953" xr:uid="{00000000-0005-0000-0000-000074620000}"/>
    <cellStyle name="Normal 65 3 2 2 2 2 3" xfId="26906" xr:uid="{00000000-0005-0000-0000-000075620000}"/>
    <cellStyle name="Normal 65 3 2 2 2 3" xfId="14590" xr:uid="{00000000-0005-0000-0000-000076620000}"/>
    <cellStyle name="Normal 65 3 2 2 2 3 2" xfId="31138" xr:uid="{00000000-0005-0000-0000-000077620000}"/>
    <cellStyle name="Normal 65 3 2 2 2 4" xfId="23095" xr:uid="{00000000-0005-0000-0000-000078620000}"/>
    <cellStyle name="Normal 65 3 2 2 3" xfId="9206" xr:uid="{00000000-0005-0000-0000-000079620000}"/>
    <cellStyle name="Normal 65 3 2 2 3 2" xfId="18380" xr:uid="{00000000-0005-0000-0000-00007A620000}"/>
    <cellStyle name="Normal 65 3 2 2 3 2 2" xfId="34954" xr:uid="{00000000-0005-0000-0000-00007B620000}"/>
    <cellStyle name="Normal 65 3 2 2 3 3" xfId="26907" xr:uid="{00000000-0005-0000-0000-00007C620000}"/>
    <cellStyle name="Normal 65 3 2 2 4" xfId="14589" xr:uid="{00000000-0005-0000-0000-00007D620000}"/>
    <cellStyle name="Normal 65 3 2 2 4 2" xfId="31137" xr:uid="{00000000-0005-0000-0000-00007E620000}"/>
    <cellStyle name="Normal 65 3 2 2 5" xfId="23094" xr:uid="{00000000-0005-0000-0000-00007F620000}"/>
    <cellStyle name="Normal 65 3 2 3" xfId="5271" xr:uid="{00000000-0005-0000-0000-000080620000}"/>
    <cellStyle name="Normal 65 3 2 3 2" xfId="9207" xr:uid="{00000000-0005-0000-0000-000081620000}"/>
    <cellStyle name="Normal 65 3 2 3 2 2" xfId="18381" xr:uid="{00000000-0005-0000-0000-000082620000}"/>
    <cellStyle name="Normal 65 3 2 3 2 2 2" xfId="34955" xr:uid="{00000000-0005-0000-0000-000083620000}"/>
    <cellStyle name="Normal 65 3 2 3 2 3" xfId="26908" xr:uid="{00000000-0005-0000-0000-000084620000}"/>
    <cellStyle name="Normal 65 3 2 3 3" xfId="14591" xr:uid="{00000000-0005-0000-0000-000085620000}"/>
    <cellStyle name="Normal 65 3 2 3 3 2" xfId="31139" xr:uid="{00000000-0005-0000-0000-000086620000}"/>
    <cellStyle name="Normal 65 3 2 3 4" xfId="23096" xr:uid="{00000000-0005-0000-0000-000087620000}"/>
    <cellStyle name="Normal 65 3 2 4" xfId="9208" xr:uid="{00000000-0005-0000-0000-000088620000}"/>
    <cellStyle name="Normal 65 3 2 4 2" xfId="18382" xr:uid="{00000000-0005-0000-0000-000089620000}"/>
    <cellStyle name="Normal 65 3 2 4 2 2" xfId="34956" xr:uid="{00000000-0005-0000-0000-00008A620000}"/>
    <cellStyle name="Normal 65 3 2 4 3" xfId="26909" xr:uid="{00000000-0005-0000-0000-00008B620000}"/>
    <cellStyle name="Normal 65 3 2 5" xfId="14588" xr:uid="{00000000-0005-0000-0000-00008C620000}"/>
    <cellStyle name="Normal 65 3 2 5 2" xfId="31136" xr:uid="{00000000-0005-0000-0000-00008D620000}"/>
    <cellStyle name="Normal 65 3 2 6" xfId="23093" xr:uid="{00000000-0005-0000-0000-00008E620000}"/>
    <cellStyle name="Normal 65 3 3" xfId="5272" xr:uid="{00000000-0005-0000-0000-00008F620000}"/>
    <cellStyle name="Normal 65 3 3 2" xfId="5273" xr:uid="{00000000-0005-0000-0000-000090620000}"/>
    <cellStyle name="Normal 65 3 3 2 2" xfId="9209" xr:uid="{00000000-0005-0000-0000-000091620000}"/>
    <cellStyle name="Normal 65 3 3 2 2 2" xfId="18383" xr:uid="{00000000-0005-0000-0000-000092620000}"/>
    <cellStyle name="Normal 65 3 3 2 2 2 2" xfId="34957" xr:uid="{00000000-0005-0000-0000-000093620000}"/>
    <cellStyle name="Normal 65 3 3 2 2 3" xfId="26910" xr:uid="{00000000-0005-0000-0000-000094620000}"/>
    <cellStyle name="Normal 65 3 3 2 3" xfId="14593" xr:uid="{00000000-0005-0000-0000-000095620000}"/>
    <cellStyle name="Normal 65 3 3 2 3 2" xfId="31141" xr:uid="{00000000-0005-0000-0000-000096620000}"/>
    <cellStyle name="Normal 65 3 3 2 4" xfId="23098" xr:uid="{00000000-0005-0000-0000-000097620000}"/>
    <cellStyle name="Normal 65 3 3 3" xfId="9210" xr:uid="{00000000-0005-0000-0000-000098620000}"/>
    <cellStyle name="Normal 65 3 3 3 2" xfId="18384" xr:uid="{00000000-0005-0000-0000-000099620000}"/>
    <cellStyle name="Normal 65 3 3 3 2 2" xfId="34958" xr:uid="{00000000-0005-0000-0000-00009A620000}"/>
    <cellStyle name="Normal 65 3 3 3 3" xfId="26911" xr:uid="{00000000-0005-0000-0000-00009B620000}"/>
    <cellStyle name="Normal 65 3 3 4" xfId="14592" xr:uid="{00000000-0005-0000-0000-00009C620000}"/>
    <cellStyle name="Normal 65 3 3 4 2" xfId="31140" xr:uid="{00000000-0005-0000-0000-00009D620000}"/>
    <cellStyle name="Normal 65 3 3 5" xfId="23097" xr:uid="{00000000-0005-0000-0000-00009E620000}"/>
    <cellStyle name="Normal 65 3 4" xfId="5274" xr:uid="{00000000-0005-0000-0000-00009F620000}"/>
    <cellStyle name="Normal 65 3 4 2" xfId="9211" xr:uid="{00000000-0005-0000-0000-0000A0620000}"/>
    <cellStyle name="Normal 65 3 4 2 2" xfId="18385" xr:uid="{00000000-0005-0000-0000-0000A1620000}"/>
    <cellStyle name="Normal 65 3 4 2 2 2" xfId="34959" xr:uid="{00000000-0005-0000-0000-0000A2620000}"/>
    <cellStyle name="Normal 65 3 4 2 3" xfId="26912" xr:uid="{00000000-0005-0000-0000-0000A3620000}"/>
    <cellStyle name="Normal 65 3 4 3" xfId="14594" xr:uid="{00000000-0005-0000-0000-0000A4620000}"/>
    <cellStyle name="Normal 65 3 4 3 2" xfId="31142" xr:uid="{00000000-0005-0000-0000-0000A5620000}"/>
    <cellStyle name="Normal 65 3 4 4" xfId="23099" xr:uid="{00000000-0005-0000-0000-0000A6620000}"/>
    <cellStyle name="Normal 65 3 5" xfId="5275" xr:uid="{00000000-0005-0000-0000-0000A7620000}"/>
    <cellStyle name="Normal 65 3 5 2" xfId="14595" xr:uid="{00000000-0005-0000-0000-0000A8620000}"/>
    <cellStyle name="Normal 65 3 5 2 2" xfId="31143" xr:uid="{00000000-0005-0000-0000-0000A9620000}"/>
    <cellStyle name="Normal 65 3 5 3" xfId="23100" xr:uid="{00000000-0005-0000-0000-0000AA620000}"/>
    <cellStyle name="Normal 65 4" xfId="5276" xr:uid="{00000000-0005-0000-0000-0000AB620000}"/>
    <cellStyle name="Normal 65 4 2" xfId="5277" xr:uid="{00000000-0005-0000-0000-0000AC620000}"/>
    <cellStyle name="Normal 65 4 2 2" xfId="5278" xr:uid="{00000000-0005-0000-0000-0000AD620000}"/>
    <cellStyle name="Normal 65 4 2 2 2" xfId="5279" xr:uid="{00000000-0005-0000-0000-0000AE620000}"/>
    <cellStyle name="Normal 65 4 2 2 2 2" xfId="9212" xr:uid="{00000000-0005-0000-0000-0000AF620000}"/>
    <cellStyle name="Normal 65 4 2 2 2 2 2" xfId="18386" xr:uid="{00000000-0005-0000-0000-0000B0620000}"/>
    <cellStyle name="Normal 65 4 2 2 2 2 2 2" xfId="34960" xr:uid="{00000000-0005-0000-0000-0000B1620000}"/>
    <cellStyle name="Normal 65 4 2 2 2 2 3" xfId="26913" xr:uid="{00000000-0005-0000-0000-0000B2620000}"/>
    <cellStyle name="Normal 65 4 2 2 2 3" xfId="14599" xr:uid="{00000000-0005-0000-0000-0000B3620000}"/>
    <cellStyle name="Normal 65 4 2 2 2 3 2" xfId="31147" xr:uid="{00000000-0005-0000-0000-0000B4620000}"/>
    <cellStyle name="Normal 65 4 2 2 2 4" xfId="23104" xr:uid="{00000000-0005-0000-0000-0000B5620000}"/>
    <cellStyle name="Normal 65 4 2 2 3" xfId="9213" xr:uid="{00000000-0005-0000-0000-0000B6620000}"/>
    <cellStyle name="Normal 65 4 2 2 3 2" xfId="18387" xr:uid="{00000000-0005-0000-0000-0000B7620000}"/>
    <cellStyle name="Normal 65 4 2 2 3 2 2" xfId="34961" xr:uid="{00000000-0005-0000-0000-0000B8620000}"/>
    <cellStyle name="Normal 65 4 2 2 3 3" xfId="26914" xr:uid="{00000000-0005-0000-0000-0000B9620000}"/>
    <cellStyle name="Normal 65 4 2 2 4" xfId="14598" xr:uid="{00000000-0005-0000-0000-0000BA620000}"/>
    <cellStyle name="Normal 65 4 2 2 4 2" xfId="31146" xr:uid="{00000000-0005-0000-0000-0000BB620000}"/>
    <cellStyle name="Normal 65 4 2 2 5" xfId="23103" xr:uid="{00000000-0005-0000-0000-0000BC620000}"/>
    <cellStyle name="Normal 65 4 2 3" xfId="5280" xr:uid="{00000000-0005-0000-0000-0000BD620000}"/>
    <cellStyle name="Normal 65 4 2 3 2" xfId="9214" xr:uid="{00000000-0005-0000-0000-0000BE620000}"/>
    <cellStyle name="Normal 65 4 2 3 2 2" xfId="18388" xr:uid="{00000000-0005-0000-0000-0000BF620000}"/>
    <cellStyle name="Normal 65 4 2 3 2 2 2" xfId="34962" xr:uid="{00000000-0005-0000-0000-0000C0620000}"/>
    <cellStyle name="Normal 65 4 2 3 2 3" xfId="26915" xr:uid="{00000000-0005-0000-0000-0000C1620000}"/>
    <cellStyle name="Normal 65 4 2 3 3" xfId="14600" xr:uid="{00000000-0005-0000-0000-0000C2620000}"/>
    <cellStyle name="Normal 65 4 2 3 3 2" xfId="31148" xr:uid="{00000000-0005-0000-0000-0000C3620000}"/>
    <cellStyle name="Normal 65 4 2 3 4" xfId="23105" xr:uid="{00000000-0005-0000-0000-0000C4620000}"/>
    <cellStyle name="Normal 65 4 2 4" xfId="9215" xr:uid="{00000000-0005-0000-0000-0000C5620000}"/>
    <cellStyle name="Normal 65 4 2 4 2" xfId="18389" xr:uid="{00000000-0005-0000-0000-0000C6620000}"/>
    <cellStyle name="Normal 65 4 2 4 2 2" xfId="34963" xr:uid="{00000000-0005-0000-0000-0000C7620000}"/>
    <cellStyle name="Normal 65 4 2 4 3" xfId="26916" xr:uid="{00000000-0005-0000-0000-0000C8620000}"/>
    <cellStyle name="Normal 65 4 2 5" xfId="14597" xr:uid="{00000000-0005-0000-0000-0000C9620000}"/>
    <cellStyle name="Normal 65 4 2 5 2" xfId="31145" xr:uid="{00000000-0005-0000-0000-0000CA620000}"/>
    <cellStyle name="Normal 65 4 2 6" xfId="23102" xr:uid="{00000000-0005-0000-0000-0000CB620000}"/>
    <cellStyle name="Normal 65 4 3" xfId="5281" xr:uid="{00000000-0005-0000-0000-0000CC620000}"/>
    <cellStyle name="Normal 65 4 3 2" xfId="5282" xr:uid="{00000000-0005-0000-0000-0000CD620000}"/>
    <cellStyle name="Normal 65 4 3 2 2" xfId="9216" xr:uid="{00000000-0005-0000-0000-0000CE620000}"/>
    <cellStyle name="Normal 65 4 3 2 2 2" xfId="18390" xr:uid="{00000000-0005-0000-0000-0000CF620000}"/>
    <cellStyle name="Normal 65 4 3 2 2 2 2" xfId="34964" xr:uid="{00000000-0005-0000-0000-0000D0620000}"/>
    <cellStyle name="Normal 65 4 3 2 2 3" xfId="26917" xr:uid="{00000000-0005-0000-0000-0000D1620000}"/>
    <cellStyle name="Normal 65 4 3 2 3" xfId="14602" xr:uid="{00000000-0005-0000-0000-0000D2620000}"/>
    <cellStyle name="Normal 65 4 3 2 3 2" xfId="31150" xr:uid="{00000000-0005-0000-0000-0000D3620000}"/>
    <cellStyle name="Normal 65 4 3 2 4" xfId="23107" xr:uid="{00000000-0005-0000-0000-0000D4620000}"/>
    <cellStyle name="Normal 65 4 3 3" xfId="9217" xr:uid="{00000000-0005-0000-0000-0000D5620000}"/>
    <cellStyle name="Normal 65 4 3 3 2" xfId="18391" xr:uid="{00000000-0005-0000-0000-0000D6620000}"/>
    <cellStyle name="Normal 65 4 3 3 2 2" xfId="34965" xr:uid="{00000000-0005-0000-0000-0000D7620000}"/>
    <cellStyle name="Normal 65 4 3 3 3" xfId="26918" xr:uid="{00000000-0005-0000-0000-0000D8620000}"/>
    <cellStyle name="Normal 65 4 3 4" xfId="14601" xr:uid="{00000000-0005-0000-0000-0000D9620000}"/>
    <cellStyle name="Normal 65 4 3 4 2" xfId="31149" xr:uid="{00000000-0005-0000-0000-0000DA620000}"/>
    <cellStyle name="Normal 65 4 3 5" xfId="23106" xr:uid="{00000000-0005-0000-0000-0000DB620000}"/>
    <cellStyle name="Normal 65 4 4" xfId="5283" xr:uid="{00000000-0005-0000-0000-0000DC620000}"/>
    <cellStyle name="Normal 65 4 4 2" xfId="9218" xr:uid="{00000000-0005-0000-0000-0000DD620000}"/>
    <cellStyle name="Normal 65 4 4 2 2" xfId="18392" xr:uid="{00000000-0005-0000-0000-0000DE620000}"/>
    <cellStyle name="Normal 65 4 4 2 2 2" xfId="34966" xr:uid="{00000000-0005-0000-0000-0000DF620000}"/>
    <cellStyle name="Normal 65 4 4 2 3" xfId="26919" xr:uid="{00000000-0005-0000-0000-0000E0620000}"/>
    <cellStyle name="Normal 65 4 4 3" xfId="14603" xr:uid="{00000000-0005-0000-0000-0000E1620000}"/>
    <cellStyle name="Normal 65 4 4 3 2" xfId="31151" xr:uid="{00000000-0005-0000-0000-0000E2620000}"/>
    <cellStyle name="Normal 65 4 4 4" xfId="23108" xr:uid="{00000000-0005-0000-0000-0000E3620000}"/>
    <cellStyle name="Normal 65 4 5" xfId="9219" xr:uid="{00000000-0005-0000-0000-0000E4620000}"/>
    <cellStyle name="Normal 65 4 5 2" xfId="18393" xr:uid="{00000000-0005-0000-0000-0000E5620000}"/>
    <cellStyle name="Normal 65 4 5 2 2" xfId="34967" xr:uid="{00000000-0005-0000-0000-0000E6620000}"/>
    <cellStyle name="Normal 65 4 5 3" xfId="26920" xr:uid="{00000000-0005-0000-0000-0000E7620000}"/>
    <cellStyle name="Normal 65 4 6" xfId="14596" xr:uid="{00000000-0005-0000-0000-0000E8620000}"/>
    <cellStyle name="Normal 65 4 6 2" xfId="31144" xr:uid="{00000000-0005-0000-0000-0000E9620000}"/>
    <cellStyle name="Normal 65 4 7" xfId="23101" xr:uid="{00000000-0005-0000-0000-0000EA620000}"/>
    <cellStyle name="Normal 65 5" xfId="5284" xr:uid="{00000000-0005-0000-0000-0000EB620000}"/>
    <cellStyle name="Normal 65 5 2" xfId="5285" xr:uid="{00000000-0005-0000-0000-0000EC620000}"/>
    <cellStyle name="Normal 65 5 2 2" xfId="5286" xr:uid="{00000000-0005-0000-0000-0000ED620000}"/>
    <cellStyle name="Normal 65 5 2 2 2" xfId="5287" xr:uid="{00000000-0005-0000-0000-0000EE620000}"/>
    <cellStyle name="Normal 65 5 2 2 2 2" xfId="9220" xr:uid="{00000000-0005-0000-0000-0000EF620000}"/>
    <cellStyle name="Normal 65 5 2 2 2 2 2" xfId="18394" xr:uid="{00000000-0005-0000-0000-0000F0620000}"/>
    <cellStyle name="Normal 65 5 2 2 2 2 2 2" xfId="34968" xr:uid="{00000000-0005-0000-0000-0000F1620000}"/>
    <cellStyle name="Normal 65 5 2 2 2 2 3" xfId="26921" xr:uid="{00000000-0005-0000-0000-0000F2620000}"/>
    <cellStyle name="Normal 65 5 2 2 2 3" xfId="14607" xr:uid="{00000000-0005-0000-0000-0000F3620000}"/>
    <cellStyle name="Normal 65 5 2 2 2 3 2" xfId="31155" xr:uid="{00000000-0005-0000-0000-0000F4620000}"/>
    <cellStyle name="Normal 65 5 2 2 2 4" xfId="23112" xr:uid="{00000000-0005-0000-0000-0000F5620000}"/>
    <cellStyle name="Normal 65 5 2 2 3" xfId="9221" xr:uid="{00000000-0005-0000-0000-0000F6620000}"/>
    <cellStyle name="Normal 65 5 2 2 3 2" xfId="18395" xr:uid="{00000000-0005-0000-0000-0000F7620000}"/>
    <cellStyle name="Normal 65 5 2 2 3 2 2" xfId="34969" xr:uid="{00000000-0005-0000-0000-0000F8620000}"/>
    <cellStyle name="Normal 65 5 2 2 3 3" xfId="26922" xr:uid="{00000000-0005-0000-0000-0000F9620000}"/>
    <cellStyle name="Normal 65 5 2 2 4" xfId="14606" xr:uid="{00000000-0005-0000-0000-0000FA620000}"/>
    <cellStyle name="Normal 65 5 2 2 4 2" xfId="31154" xr:uid="{00000000-0005-0000-0000-0000FB620000}"/>
    <cellStyle name="Normal 65 5 2 2 5" xfId="23111" xr:uid="{00000000-0005-0000-0000-0000FC620000}"/>
    <cellStyle name="Normal 65 5 2 3" xfId="5288" xr:uid="{00000000-0005-0000-0000-0000FD620000}"/>
    <cellStyle name="Normal 65 5 2 3 2" xfId="9222" xr:uid="{00000000-0005-0000-0000-0000FE620000}"/>
    <cellStyle name="Normal 65 5 2 3 2 2" xfId="18396" xr:uid="{00000000-0005-0000-0000-0000FF620000}"/>
    <cellStyle name="Normal 65 5 2 3 2 2 2" xfId="34970" xr:uid="{00000000-0005-0000-0000-000000630000}"/>
    <cellStyle name="Normal 65 5 2 3 2 3" xfId="26923" xr:uid="{00000000-0005-0000-0000-000001630000}"/>
    <cellStyle name="Normal 65 5 2 3 3" xfId="14608" xr:uid="{00000000-0005-0000-0000-000002630000}"/>
    <cellStyle name="Normal 65 5 2 3 3 2" xfId="31156" xr:uid="{00000000-0005-0000-0000-000003630000}"/>
    <cellStyle name="Normal 65 5 2 3 4" xfId="23113" xr:uid="{00000000-0005-0000-0000-000004630000}"/>
    <cellStyle name="Normal 65 5 2 4" xfId="9223" xr:uid="{00000000-0005-0000-0000-000005630000}"/>
    <cellStyle name="Normal 65 5 2 4 2" xfId="18397" xr:uid="{00000000-0005-0000-0000-000006630000}"/>
    <cellStyle name="Normal 65 5 2 4 2 2" xfId="34971" xr:uid="{00000000-0005-0000-0000-000007630000}"/>
    <cellStyle name="Normal 65 5 2 4 3" xfId="26924" xr:uid="{00000000-0005-0000-0000-000008630000}"/>
    <cellStyle name="Normal 65 5 2 5" xfId="14605" xr:uid="{00000000-0005-0000-0000-000009630000}"/>
    <cellStyle name="Normal 65 5 2 5 2" xfId="31153" xr:uid="{00000000-0005-0000-0000-00000A630000}"/>
    <cellStyle name="Normal 65 5 2 6" xfId="23110" xr:uid="{00000000-0005-0000-0000-00000B630000}"/>
    <cellStyle name="Normal 65 5 3" xfId="5289" xr:uid="{00000000-0005-0000-0000-00000C630000}"/>
    <cellStyle name="Normal 65 5 3 2" xfId="5290" xr:uid="{00000000-0005-0000-0000-00000D630000}"/>
    <cellStyle name="Normal 65 5 3 2 2" xfId="9224" xr:uid="{00000000-0005-0000-0000-00000E630000}"/>
    <cellStyle name="Normal 65 5 3 2 2 2" xfId="18398" xr:uid="{00000000-0005-0000-0000-00000F630000}"/>
    <cellStyle name="Normal 65 5 3 2 2 2 2" xfId="34972" xr:uid="{00000000-0005-0000-0000-000010630000}"/>
    <cellStyle name="Normal 65 5 3 2 2 3" xfId="26925" xr:uid="{00000000-0005-0000-0000-000011630000}"/>
    <cellStyle name="Normal 65 5 3 2 3" xfId="14610" xr:uid="{00000000-0005-0000-0000-000012630000}"/>
    <cellStyle name="Normal 65 5 3 2 3 2" xfId="31158" xr:uid="{00000000-0005-0000-0000-000013630000}"/>
    <cellStyle name="Normal 65 5 3 2 4" xfId="23115" xr:uid="{00000000-0005-0000-0000-000014630000}"/>
    <cellStyle name="Normal 65 5 3 3" xfId="9225" xr:uid="{00000000-0005-0000-0000-000015630000}"/>
    <cellStyle name="Normal 65 5 3 3 2" xfId="18399" xr:uid="{00000000-0005-0000-0000-000016630000}"/>
    <cellStyle name="Normal 65 5 3 3 2 2" xfId="34973" xr:uid="{00000000-0005-0000-0000-000017630000}"/>
    <cellStyle name="Normal 65 5 3 3 3" xfId="26926" xr:uid="{00000000-0005-0000-0000-000018630000}"/>
    <cellStyle name="Normal 65 5 3 4" xfId="14609" xr:uid="{00000000-0005-0000-0000-000019630000}"/>
    <cellStyle name="Normal 65 5 3 4 2" xfId="31157" xr:uid="{00000000-0005-0000-0000-00001A630000}"/>
    <cellStyle name="Normal 65 5 3 5" xfId="23114" xr:uid="{00000000-0005-0000-0000-00001B630000}"/>
    <cellStyle name="Normal 65 5 4" xfId="5291" xr:uid="{00000000-0005-0000-0000-00001C630000}"/>
    <cellStyle name="Normal 65 5 4 2" xfId="9226" xr:uid="{00000000-0005-0000-0000-00001D630000}"/>
    <cellStyle name="Normal 65 5 4 2 2" xfId="18400" xr:uid="{00000000-0005-0000-0000-00001E630000}"/>
    <cellStyle name="Normal 65 5 4 2 2 2" xfId="34974" xr:uid="{00000000-0005-0000-0000-00001F630000}"/>
    <cellStyle name="Normal 65 5 4 2 3" xfId="26927" xr:uid="{00000000-0005-0000-0000-000020630000}"/>
    <cellStyle name="Normal 65 5 4 3" xfId="14611" xr:uid="{00000000-0005-0000-0000-000021630000}"/>
    <cellStyle name="Normal 65 5 4 3 2" xfId="31159" xr:uid="{00000000-0005-0000-0000-000022630000}"/>
    <cellStyle name="Normal 65 5 4 4" xfId="23116" xr:uid="{00000000-0005-0000-0000-000023630000}"/>
    <cellStyle name="Normal 65 5 5" xfId="9227" xr:uid="{00000000-0005-0000-0000-000024630000}"/>
    <cellStyle name="Normal 65 5 5 2" xfId="18401" xr:uid="{00000000-0005-0000-0000-000025630000}"/>
    <cellStyle name="Normal 65 5 5 2 2" xfId="34975" xr:uid="{00000000-0005-0000-0000-000026630000}"/>
    <cellStyle name="Normal 65 5 5 3" xfId="26928" xr:uid="{00000000-0005-0000-0000-000027630000}"/>
    <cellStyle name="Normal 65 5 6" xfId="14604" xr:uid="{00000000-0005-0000-0000-000028630000}"/>
    <cellStyle name="Normal 65 5 6 2" xfId="31152" xr:uid="{00000000-0005-0000-0000-000029630000}"/>
    <cellStyle name="Normal 65 5 7" xfId="23109" xr:uid="{00000000-0005-0000-0000-00002A630000}"/>
    <cellStyle name="Normal 65 6" xfId="5292" xr:uid="{00000000-0005-0000-0000-00002B630000}"/>
    <cellStyle name="Normal 65 6 2" xfId="5293" xr:uid="{00000000-0005-0000-0000-00002C630000}"/>
    <cellStyle name="Normal 65 6 2 2" xfId="5294" xr:uid="{00000000-0005-0000-0000-00002D630000}"/>
    <cellStyle name="Normal 65 6 2 2 2" xfId="9228" xr:uid="{00000000-0005-0000-0000-00002E630000}"/>
    <cellStyle name="Normal 65 6 2 2 2 2" xfId="18402" xr:uid="{00000000-0005-0000-0000-00002F630000}"/>
    <cellStyle name="Normal 65 6 2 2 2 2 2" xfId="34976" xr:uid="{00000000-0005-0000-0000-000030630000}"/>
    <cellStyle name="Normal 65 6 2 2 2 3" xfId="26929" xr:uid="{00000000-0005-0000-0000-000031630000}"/>
    <cellStyle name="Normal 65 6 2 2 3" xfId="14614" xr:uid="{00000000-0005-0000-0000-000032630000}"/>
    <cellStyle name="Normal 65 6 2 2 3 2" xfId="31162" xr:uid="{00000000-0005-0000-0000-000033630000}"/>
    <cellStyle name="Normal 65 6 2 2 4" xfId="23119" xr:uid="{00000000-0005-0000-0000-000034630000}"/>
    <cellStyle name="Normal 65 6 2 3" xfId="9229" xr:uid="{00000000-0005-0000-0000-000035630000}"/>
    <cellStyle name="Normal 65 6 2 3 2" xfId="18403" xr:uid="{00000000-0005-0000-0000-000036630000}"/>
    <cellStyle name="Normal 65 6 2 3 2 2" xfId="34977" xr:uid="{00000000-0005-0000-0000-000037630000}"/>
    <cellStyle name="Normal 65 6 2 3 3" xfId="26930" xr:uid="{00000000-0005-0000-0000-000038630000}"/>
    <cellStyle name="Normal 65 6 2 4" xfId="14613" xr:uid="{00000000-0005-0000-0000-000039630000}"/>
    <cellStyle name="Normal 65 6 2 4 2" xfId="31161" xr:uid="{00000000-0005-0000-0000-00003A630000}"/>
    <cellStyle name="Normal 65 6 2 5" xfId="23118" xr:uid="{00000000-0005-0000-0000-00003B630000}"/>
    <cellStyle name="Normal 65 6 3" xfId="5295" xr:uid="{00000000-0005-0000-0000-00003C630000}"/>
    <cellStyle name="Normal 65 6 3 2" xfId="9230" xr:uid="{00000000-0005-0000-0000-00003D630000}"/>
    <cellStyle name="Normal 65 6 3 2 2" xfId="18404" xr:uid="{00000000-0005-0000-0000-00003E630000}"/>
    <cellStyle name="Normal 65 6 3 2 2 2" xfId="34978" xr:uid="{00000000-0005-0000-0000-00003F630000}"/>
    <cellStyle name="Normal 65 6 3 2 3" xfId="26931" xr:uid="{00000000-0005-0000-0000-000040630000}"/>
    <cellStyle name="Normal 65 6 3 3" xfId="14615" xr:uid="{00000000-0005-0000-0000-000041630000}"/>
    <cellStyle name="Normal 65 6 3 3 2" xfId="31163" xr:uid="{00000000-0005-0000-0000-000042630000}"/>
    <cellStyle name="Normal 65 6 3 4" xfId="23120" xr:uid="{00000000-0005-0000-0000-000043630000}"/>
    <cellStyle name="Normal 65 6 4" xfId="9231" xr:uid="{00000000-0005-0000-0000-000044630000}"/>
    <cellStyle name="Normal 65 6 4 2" xfId="18405" xr:uid="{00000000-0005-0000-0000-000045630000}"/>
    <cellStyle name="Normal 65 6 4 2 2" xfId="34979" xr:uid="{00000000-0005-0000-0000-000046630000}"/>
    <cellStyle name="Normal 65 6 4 3" xfId="26932" xr:uid="{00000000-0005-0000-0000-000047630000}"/>
    <cellStyle name="Normal 65 6 5" xfId="14612" xr:uid="{00000000-0005-0000-0000-000048630000}"/>
    <cellStyle name="Normal 65 6 5 2" xfId="31160" xr:uid="{00000000-0005-0000-0000-000049630000}"/>
    <cellStyle name="Normal 65 6 6" xfId="23117" xr:uid="{00000000-0005-0000-0000-00004A630000}"/>
    <cellStyle name="Normal 65 7" xfId="5296" xr:uid="{00000000-0005-0000-0000-00004B630000}"/>
    <cellStyle name="Normal 65 7 2" xfId="5297" xr:uid="{00000000-0005-0000-0000-00004C630000}"/>
    <cellStyle name="Normal 65 7 2 2" xfId="9232" xr:uid="{00000000-0005-0000-0000-00004D630000}"/>
    <cellStyle name="Normal 65 7 2 2 2" xfId="18406" xr:uid="{00000000-0005-0000-0000-00004E630000}"/>
    <cellStyle name="Normal 65 7 2 2 2 2" xfId="34980" xr:uid="{00000000-0005-0000-0000-00004F630000}"/>
    <cellStyle name="Normal 65 7 2 2 3" xfId="26933" xr:uid="{00000000-0005-0000-0000-000050630000}"/>
    <cellStyle name="Normal 65 7 2 3" xfId="14617" xr:uid="{00000000-0005-0000-0000-000051630000}"/>
    <cellStyle name="Normal 65 7 2 3 2" xfId="31165" xr:uid="{00000000-0005-0000-0000-000052630000}"/>
    <cellStyle name="Normal 65 7 2 4" xfId="23122" xr:uid="{00000000-0005-0000-0000-000053630000}"/>
    <cellStyle name="Normal 65 7 3" xfId="9233" xr:uid="{00000000-0005-0000-0000-000054630000}"/>
    <cellStyle name="Normal 65 7 3 2" xfId="18407" xr:uid="{00000000-0005-0000-0000-000055630000}"/>
    <cellStyle name="Normal 65 7 3 2 2" xfId="34981" xr:uid="{00000000-0005-0000-0000-000056630000}"/>
    <cellStyle name="Normal 65 7 3 3" xfId="26934" xr:uid="{00000000-0005-0000-0000-000057630000}"/>
    <cellStyle name="Normal 65 7 4" xfId="14616" xr:uid="{00000000-0005-0000-0000-000058630000}"/>
    <cellStyle name="Normal 65 7 4 2" xfId="31164" xr:uid="{00000000-0005-0000-0000-000059630000}"/>
    <cellStyle name="Normal 65 7 5" xfId="23121" xr:uid="{00000000-0005-0000-0000-00005A630000}"/>
    <cellStyle name="Normal 65 8" xfId="5298" xr:uid="{00000000-0005-0000-0000-00005B630000}"/>
    <cellStyle name="Normal 65 8 2" xfId="9234" xr:uid="{00000000-0005-0000-0000-00005C630000}"/>
    <cellStyle name="Normal 65 8 2 2" xfId="18408" xr:uid="{00000000-0005-0000-0000-00005D630000}"/>
    <cellStyle name="Normal 65 8 2 2 2" xfId="34982" xr:uid="{00000000-0005-0000-0000-00005E630000}"/>
    <cellStyle name="Normal 65 8 2 3" xfId="26935" xr:uid="{00000000-0005-0000-0000-00005F630000}"/>
    <cellStyle name="Normal 65 8 3" xfId="14618" xr:uid="{00000000-0005-0000-0000-000060630000}"/>
    <cellStyle name="Normal 65 8 3 2" xfId="31166" xr:uid="{00000000-0005-0000-0000-000061630000}"/>
    <cellStyle name="Normal 65 8 4" xfId="23123" xr:uid="{00000000-0005-0000-0000-000062630000}"/>
    <cellStyle name="Normal 65 9" xfId="9235" xr:uid="{00000000-0005-0000-0000-000063630000}"/>
    <cellStyle name="Normal 65 9 2" xfId="18409" xr:uid="{00000000-0005-0000-0000-000064630000}"/>
    <cellStyle name="Normal 65 9 2 2" xfId="34983" xr:uid="{00000000-0005-0000-0000-000065630000}"/>
    <cellStyle name="Normal 65 9 3" xfId="26936" xr:uid="{00000000-0005-0000-0000-000066630000}"/>
    <cellStyle name="Normal 66" xfId="5299" xr:uid="{00000000-0005-0000-0000-000067630000}"/>
    <cellStyle name="Normal 66 10" xfId="14619" xr:uid="{00000000-0005-0000-0000-000068630000}"/>
    <cellStyle name="Normal 66 10 2" xfId="31167" xr:uid="{00000000-0005-0000-0000-000069630000}"/>
    <cellStyle name="Normal 66 11" xfId="23124" xr:uid="{00000000-0005-0000-0000-00006A630000}"/>
    <cellStyle name="Normal 66 2" xfId="5300" xr:uid="{00000000-0005-0000-0000-00006B630000}"/>
    <cellStyle name="Normal 66 2 2" xfId="5301" xr:uid="{00000000-0005-0000-0000-00006C630000}"/>
    <cellStyle name="Normal 66 2 3" xfId="14620" xr:uid="{00000000-0005-0000-0000-00006D630000}"/>
    <cellStyle name="Normal 66 2 3 2" xfId="31168" xr:uid="{00000000-0005-0000-0000-00006E630000}"/>
    <cellStyle name="Normal 66 2 4" xfId="23125" xr:uid="{00000000-0005-0000-0000-00006F630000}"/>
    <cellStyle name="Normal 66 3" xfId="5302" xr:uid="{00000000-0005-0000-0000-000070630000}"/>
    <cellStyle name="Normal 66 3 2" xfId="5303" xr:uid="{00000000-0005-0000-0000-000071630000}"/>
    <cellStyle name="Normal 66 3 2 2" xfId="5304" xr:uid="{00000000-0005-0000-0000-000072630000}"/>
    <cellStyle name="Normal 66 3 2 2 2" xfId="5305" xr:uid="{00000000-0005-0000-0000-000073630000}"/>
    <cellStyle name="Normal 66 3 2 2 2 2" xfId="9236" xr:uid="{00000000-0005-0000-0000-000074630000}"/>
    <cellStyle name="Normal 66 3 2 2 2 2 2" xfId="18410" xr:uid="{00000000-0005-0000-0000-000075630000}"/>
    <cellStyle name="Normal 66 3 2 2 2 2 2 2" xfId="34984" xr:uid="{00000000-0005-0000-0000-000076630000}"/>
    <cellStyle name="Normal 66 3 2 2 2 2 3" xfId="26937" xr:uid="{00000000-0005-0000-0000-000077630000}"/>
    <cellStyle name="Normal 66 3 2 2 2 3" xfId="14623" xr:uid="{00000000-0005-0000-0000-000078630000}"/>
    <cellStyle name="Normal 66 3 2 2 2 3 2" xfId="31171" xr:uid="{00000000-0005-0000-0000-000079630000}"/>
    <cellStyle name="Normal 66 3 2 2 2 4" xfId="23128" xr:uid="{00000000-0005-0000-0000-00007A630000}"/>
    <cellStyle name="Normal 66 3 2 2 3" xfId="9237" xr:uid="{00000000-0005-0000-0000-00007B630000}"/>
    <cellStyle name="Normal 66 3 2 2 3 2" xfId="18411" xr:uid="{00000000-0005-0000-0000-00007C630000}"/>
    <cellStyle name="Normal 66 3 2 2 3 2 2" xfId="34985" xr:uid="{00000000-0005-0000-0000-00007D630000}"/>
    <cellStyle name="Normal 66 3 2 2 3 3" xfId="26938" xr:uid="{00000000-0005-0000-0000-00007E630000}"/>
    <cellStyle name="Normal 66 3 2 2 4" xfId="14622" xr:uid="{00000000-0005-0000-0000-00007F630000}"/>
    <cellStyle name="Normal 66 3 2 2 4 2" xfId="31170" xr:uid="{00000000-0005-0000-0000-000080630000}"/>
    <cellStyle name="Normal 66 3 2 2 5" xfId="23127" xr:uid="{00000000-0005-0000-0000-000081630000}"/>
    <cellStyle name="Normal 66 3 2 3" xfId="5306" xr:uid="{00000000-0005-0000-0000-000082630000}"/>
    <cellStyle name="Normal 66 3 2 3 2" xfId="9238" xr:uid="{00000000-0005-0000-0000-000083630000}"/>
    <cellStyle name="Normal 66 3 2 3 2 2" xfId="18412" xr:uid="{00000000-0005-0000-0000-000084630000}"/>
    <cellStyle name="Normal 66 3 2 3 2 2 2" xfId="34986" xr:uid="{00000000-0005-0000-0000-000085630000}"/>
    <cellStyle name="Normal 66 3 2 3 2 3" xfId="26939" xr:uid="{00000000-0005-0000-0000-000086630000}"/>
    <cellStyle name="Normal 66 3 2 3 3" xfId="14624" xr:uid="{00000000-0005-0000-0000-000087630000}"/>
    <cellStyle name="Normal 66 3 2 3 3 2" xfId="31172" xr:uid="{00000000-0005-0000-0000-000088630000}"/>
    <cellStyle name="Normal 66 3 2 3 4" xfId="23129" xr:uid="{00000000-0005-0000-0000-000089630000}"/>
    <cellStyle name="Normal 66 3 2 4" xfId="9239" xr:uid="{00000000-0005-0000-0000-00008A630000}"/>
    <cellStyle name="Normal 66 3 2 4 2" xfId="18413" xr:uid="{00000000-0005-0000-0000-00008B630000}"/>
    <cellStyle name="Normal 66 3 2 4 2 2" xfId="34987" xr:uid="{00000000-0005-0000-0000-00008C630000}"/>
    <cellStyle name="Normal 66 3 2 4 3" xfId="26940" xr:uid="{00000000-0005-0000-0000-00008D630000}"/>
    <cellStyle name="Normal 66 3 2 5" xfId="14621" xr:uid="{00000000-0005-0000-0000-00008E630000}"/>
    <cellStyle name="Normal 66 3 2 5 2" xfId="31169" xr:uid="{00000000-0005-0000-0000-00008F630000}"/>
    <cellStyle name="Normal 66 3 2 6" xfId="23126" xr:uid="{00000000-0005-0000-0000-000090630000}"/>
    <cellStyle name="Normal 66 3 3" xfId="5307" xr:uid="{00000000-0005-0000-0000-000091630000}"/>
    <cellStyle name="Normal 66 3 3 2" xfId="5308" xr:uid="{00000000-0005-0000-0000-000092630000}"/>
    <cellStyle name="Normal 66 3 3 2 2" xfId="9240" xr:uid="{00000000-0005-0000-0000-000093630000}"/>
    <cellStyle name="Normal 66 3 3 2 2 2" xfId="18414" xr:uid="{00000000-0005-0000-0000-000094630000}"/>
    <cellStyle name="Normal 66 3 3 2 2 2 2" xfId="34988" xr:uid="{00000000-0005-0000-0000-000095630000}"/>
    <cellStyle name="Normal 66 3 3 2 2 3" xfId="26941" xr:uid="{00000000-0005-0000-0000-000096630000}"/>
    <cellStyle name="Normal 66 3 3 2 3" xfId="14626" xr:uid="{00000000-0005-0000-0000-000097630000}"/>
    <cellStyle name="Normal 66 3 3 2 3 2" xfId="31174" xr:uid="{00000000-0005-0000-0000-000098630000}"/>
    <cellStyle name="Normal 66 3 3 2 4" xfId="23131" xr:uid="{00000000-0005-0000-0000-000099630000}"/>
    <cellStyle name="Normal 66 3 3 3" xfId="9241" xr:uid="{00000000-0005-0000-0000-00009A630000}"/>
    <cellStyle name="Normal 66 3 3 3 2" xfId="18415" xr:uid="{00000000-0005-0000-0000-00009B630000}"/>
    <cellStyle name="Normal 66 3 3 3 2 2" xfId="34989" xr:uid="{00000000-0005-0000-0000-00009C630000}"/>
    <cellStyle name="Normal 66 3 3 3 3" xfId="26942" xr:uid="{00000000-0005-0000-0000-00009D630000}"/>
    <cellStyle name="Normal 66 3 3 4" xfId="14625" xr:uid="{00000000-0005-0000-0000-00009E630000}"/>
    <cellStyle name="Normal 66 3 3 4 2" xfId="31173" xr:uid="{00000000-0005-0000-0000-00009F630000}"/>
    <cellStyle name="Normal 66 3 3 5" xfId="23130" xr:uid="{00000000-0005-0000-0000-0000A0630000}"/>
    <cellStyle name="Normal 66 3 4" xfId="5309" xr:uid="{00000000-0005-0000-0000-0000A1630000}"/>
    <cellStyle name="Normal 66 3 4 2" xfId="9242" xr:uid="{00000000-0005-0000-0000-0000A2630000}"/>
    <cellStyle name="Normal 66 3 4 2 2" xfId="18416" xr:uid="{00000000-0005-0000-0000-0000A3630000}"/>
    <cellStyle name="Normal 66 3 4 2 2 2" xfId="34990" xr:uid="{00000000-0005-0000-0000-0000A4630000}"/>
    <cellStyle name="Normal 66 3 4 2 3" xfId="26943" xr:uid="{00000000-0005-0000-0000-0000A5630000}"/>
    <cellStyle name="Normal 66 3 4 3" xfId="14627" xr:uid="{00000000-0005-0000-0000-0000A6630000}"/>
    <cellStyle name="Normal 66 3 4 3 2" xfId="31175" xr:uid="{00000000-0005-0000-0000-0000A7630000}"/>
    <cellStyle name="Normal 66 3 4 4" xfId="23132" xr:uid="{00000000-0005-0000-0000-0000A8630000}"/>
    <cellStyle name="Normal 66 3 5" xfId="5310" xr:uid="{00000000-0005-0000-0000-0000A9630000}"/>
    <cellStyle name="Normal 66 3 5 2" xfId="14628" xr:uid="{00000000-0005-0000-0000-0000AA630000}"/>
    <cellStyle name="Normal 66 3 5 2 2" xfId="31176" xr:uid="{00000000-0005-0000-0000-0000AB630000}"/>
    <cellStyle name="Normal 66 3 5 3" xfId="23133" xr:uid="{00000000-0005-0000-0000-0000AC630000}"/>
    <cellStyle name="Normal 66 4" xfId="5311" xr:uid="{00000000-0005-0000-0000-0000AD630000}"/>
    <cellStyle name="Normal 66 4 2" xfId="5312" xr:uid="{00000000-0005-0000-0000-0000AE630000}"/>
    <cellStyle name="Normal 66 4 2 2" xfId="5313" xr:uid="{00000000-0005-0000-0000-0000AF630000}"/>
    <cellStyle name="Normal 66 4 2 2 2" xfId="5314" xr:uid="{00000000-0005-0000-0000-0000B0630000}"/>
    <cellStyle name="Normal 66 4 2 2 2 2" xfId="9243" xr:uid="{00000000-0005-0000-0000-0000B1630000}"/>
    <cellStyle name="Normal 66 4 2 2 2 2 2" xfId="18417" xr:uid="{00000000-0005-0000-0000-0000B2630000}"/>
    <cellStyle name="Normal 66 4 2 2 2 2 2 2" xfId="34991" xr:uid="{00000000-0005-0000-0000-0000B3630000}"/>
    <cellStyle name="Normal 66 4 2 2 2 2 3" xfId="26944" xr:uid="{00000000-0005-0000-0000-0000B4630000}"/>
    <cellStyle name="Normal 66 4 2 2 2 3" xfId="14632" xr:uid="{00000000-0005-0000-0000-0000B5630000}"/>
    <cellStyle name="Normal 66 4 2 2 2 3 2" xfId="31180" xr:uid="{00000000-0005-0000-0000-0000B6630000}"/>
    <cellStyle name="Normal 66 4 2 2 2 4" xfId="23137" xr:uid="{00000000-0005-0000-0000-0000B7630000}"/>
    <cellStyle name="Normal 66 4 2 2 3" xfId="9244" xr:uid="{00000000-0005-0000-0000-0000B8630000}"/>
    <cellStyle name="Normal 66 4 2 2 3 2" xfId="18418" xr:uid="{00000000-0005-0000-0000-0000B9630000}"/>
    <cellStyle name="Normal 66 4 2 2 3 2 2" xfId="34992" xr:uid="{00000000-0005-0000-0000-0000BA630000}"/>
    <cellStyle name="Normal 66 4 2 2 3 3" xfId="26945" xr:uid="{00000000-0005-0000-0000-0000BB630000}"/>
    <cellStyle name="Normal 66 4 2 2 4" xfId="14631" xr:uid="{00000000-0005-0000-0000-0000BC630000}"/>
    <cellStyle name="Normal 66 4 2 2 4 2" xfId="31179" xr:uid="{00000000-0005-0000-0000-0000BD630000}"/>
    <cellStyle name="Normal 66 4 2 2 5" xfId="23136" xr:uid="{00000000-0005-0000-0000-0000BE630000}"/>
    <cellStyle name="Normal 66 4 2 3" xfId="5315" xr:uid="{00000000-0005-0000-0000-0000BF630000}"/>
    <cellStyle name="Normal 66 4 2 3 2" xfId="9245" xr:uid="{00000000-0005-0000-0000-0000C0630000}"/>
    <cellStyle name="Normal 66 4 2 3 2 2" xfId="18419" xr:uid="{00000000-0005-0000-0000-0000C1630000}"/>
    <cellStyle name="Normal 66 4 2 3 2 2 2" xfId="34993" xr:uid="{00000000-0005-0000-0000-0000C2630000}"/>
    <cellStyle name="Normal 66 4 2 3 2 3" xfId="26946" xr:uid="{00000000-0005-0000-0000-0000C3630000}"/>
    <cellStyle name="Normal 66 4 2 3 3" xfId="14633" xr:uid="{00000000-0005-0000-0000-0000C4630000}"/>
    <cellStyle name="Normal 66 4 2 3 3 2" xfId="31181" xr:uid="{00000000-0005-0000-0000-0000C5630000}"/>
    <cellStyle name="Normal 66 4 2 3 4" xfId="23138" xr:uid="{00000000-0005-0000-0000-0000C6630000}"/>
    <cellStyle name="Normal 66 4 2 4" xfId="9246" xr:uid="{00000000-0005-0000-0000-0000C7630000}"/>
    <cellStyle name="Normal 66 4 2 4 2" xfId="18420" xr:uid="{00000000-0005-0000-0000-0000C8630000}"/>
    <cellStyle name="Normal 66 4 2 4 2 2" xfId="34994" xr:uid="{00000000-0005-0000-0000-0000C9630000}"/>
    <cellStyle name="Normal 66 4 2 4 3" xfId="26947" xr:uid="{00000000-0005-0000-0000-0000CA630000}"/>
    <cellStyle name="Normal 66 4 2 5" xfId="14630" xr:uid="{00000000-0005-0000-0000-0000CB630000}"/>
    <cellStyle name="Normal 66 4 2 5 2" xfId="31178" xr:uid="{00000000-0005-0000-0000-0000CC630000}"/>
    <cellStyle name="Normal 66 4 2 6" xfId="23135" xr:uid="{00000000-0005-0000-0000-0000CD630000}"/>
    <cellStyle name="Normal 66 4 3" xfId="5316" xr:uid="{00000000-0005-0000-0000-0000CE630000}"/>
    <cellStyle name="Normal 66 4 3 2" xfId="5317" xr:uid="{00000000-0005-0000-0000-0000CF630000}"/>
    <cellStyle name="Normal 66 4 3 2 2" xfId="9247" xr:uid="{00000000-0005-0000-0000-0000D0630000}"/>
    <cellStyle name="Normal 66 4 3 2 2 2" xfId="18421" xr:uid="{00000000-0005-0000-0000-0000D1630000}"/>
    <cellStyle name="Normal 66 4 3 2 2 2 2" xfId="34995" xr:uid="{00000000-0005-0000-0000-0000D2630000}"/>
    <cellStyle name="Normal 66 4 3 2 2 3" xfId="26948" xr:uid="{00000000-0005-0000-0000-0000D3630000}"/>
    <cellStyle name="Normal 66 4 3 2 3" xfId="14635" xr:uid="{00000000-0005-0000-0000-0000D4630000}"/>
    <cellStyle name="Normal 66 4 3 2 3 2" xfId="31183" xr:uid="{00000000-0005-0000-0000-0000D5630000}"/>
    <cellStyle name="Normal 66 4 3 2 4" xfId="23140" xr:uid="{00000000-0005-0000-0000-0000D6630000}"/>
    <cellStyle name="Normal 66 4 3 3" xfId="9248" xr:uid="{00000000-0005-0000-0000-0000D7630000}"/>
    <cellStyle name="Normal 66 4 3 3 2" xfId="18422" xr:uid="{00000000-0005-0000-0000-0000D8630000}"/>
    <cellStyle name="Normal 66 4 3 3 2 2" xfId="34996" xr:uid="{00000000-0005-0000-0000-0000D9630000}"/>
    <cellStyle name="Normal 66 4 3 3 3" xfId="26949" xr:uid="{00000000-0005-0000-0000-0000DA630000}"/>
    <cellStyle name="Normal 66 4 3 4" xfId="14634" xr:uid="{00000000-0005-0000-0000-0000DB630000}"/>
    <cellStyle name="Normal 66 4 3 4 2" xfId="31182" xr:uid="{00000000-0005-0000-0000-0000DC630000}"/>
    <cellStyle name="Normal 66 4 3 5" xfId="23139" xr:uid="{00000000-0005-0000-0000-0000DD630000}"/>
    <cellStyle name="Normal 66 4 4" xfId="5318" xr:uid="{00000000-0005-0000-0000-0000DE630000}"/>
    <cellStyle name="Normal 66 4 4 2" xfId="9249" xr:uid="{00000000-0005-0000-0000-0000DF630000}"/>
    <cellStyle name="Normal 66 4 4 2 2" xfId="18423" xr:uid="{00000000-0005-0000-0000-0000E0630000}"/>
    <cellStyle name="Normal 66 4 4 2 2 2" xfId="34997" xr:uid="{00000000-0005-0000-0000-0000E1630000}"/>
    <cellStyle name="Normal 66 4 4 2 3" xfId="26950" xr:uid="{00000000-0005-0000-0000-0000E2630000}"/>
    <cellStyle name="Normal 66 4 4 3" xfId="14636" xr:uid="{00000000-0005-0000-0000-0000E3630000}"/>
    <cellStyle name="Normal 66 4 4 3 2" xfId="31184" xr:uid="{00000000-0005-0000-0000-0000E4630000}"/>
    <cellStyle name="Normal 66 4 4 4" xfId="23141" xr:uid="{00000000-0005-0000-0000-0000E5630000}"/>
    <cellStyle name="Normal 66 4 5" xfId="9250" xr:uid="{00000000-0005-0000-0000-0000E6630000}"/>
    <cellStyle name="Normal 66 4 5 2" xfId="18424" xr:uid="{00000000-0005-0000-0000-0000E7630000}"/>
    <cellStyle name="Normal 66 4 5 2 2" xfId="34998" xr:uid="{00000000-0005-0000-0000-0000E8630000}"/>
    <cellStyle name="Normal 66 4 5 3" xfId="26951" xr:uid="{00000000-0005-0000-0000-0000E9630000}"/>
    <cellStyle name="Normal 66 4 6" xfId="14629" xr:uid="{00000000-0005-0000-0000-0000EA630000}"/>
    <cellStyle name="Normal 66 4 6 2" xfId="31177" xr:uid="{00000000-0005-0000-0000-0000EB630000}"/>
    <cellStyle name="Normal 66 4 7" xfId="23134" xr:uid="{00000000-0005-0000-0000-0000EC630000}"/>
    <cellStyle name="Normal 66 5" xfId="5319" xr:uid="{00000000-0005-0000-0000-0000ED630000}"/>
    <cellStyle name="Normal 66 5 2" xfId="5320" xr:uid="{00000000-0005-0000-0000-0000EE630000}"/>
    <cellStyle name="Normal 66 5 2 2" xfId="5321" xr:uid="{00000000-0005-0000-0000-0000EF630000}"/>
    <cellStyle name="Normal 66 5 2 2 2" xfId="5322" xr:uid="{00000000-0005-0000-0000-0000F0630000}"/>
    <cellStyle name="Normal 66 5 2 2 2 2" xfId="9251" xr:uid="{00000000-0005-0000-0000-0000F1630000}"/>
    <cellStyle name="Normal 66 5 2 2 2 2 2" xfId="18425" xr:uid="{00000000-0005-0000-0000-0000F2630000}"/>
    <cellStyle name="Normal 66 5 2 2 2 2 2 2" xfId="34999" xr:uid="{00000000-0005-0000-0000-0000F3630000}"/>
    <cellStyle name="Normal 66 5 2 2 2 2 3" xfId="26952" xr:uid="{00000000-0005-0000-0000-0000F4630000}"/>
    <cellStyle name="Normal 66 5 2 2 2 3" xfId="14640" xr:uid="{00000000-0005-0000-0000-0000F5630000}"/>
    <cellStyle name="Normal 66 5 2 2 2 3 2" xfId="31188" xr:uid="{00000000-0005-0000-0000-0000F6630000}"/>
    <cellStyle name="Normal 66 5 2 2 2 4" xfId="23145" xr:uid="{00000000-0005-0000-0000-0000F7630000}"/>
    <cellStyle name="Normal 66 5 2 2 3" xfId="9252" xr:uid="{00000000-0005-0000-0000-0000F8630000}"/>
    <cellStyle name="Normal 66 5 2 2 3 2" xfId="18426" xr:uid="{00000000-0005-0000-0000-0000F9630000}"/>
    <cellStyle name="Normal 66 5 2 2 3 2 2" xfId="35000" xr:uid="{00000000-0005-0000-0000-0000FA630000}"/>
    <cellStyle name="Normal 66 5 2 2 3 3" xfId="26953" xr:uid="{00000000-0005-0000-0000-0000FB630000}"/>
    <cellStyle name="Normal 66 5 2 2 4" xfId="14639" xr:uid="{00000000-0005-0000-0000-0000FC630000}"/>
    <cellStyle name="Normal 66 5 2 2 4 2" xfId="31187" xr:uid="{00000000-0005-0000-0000-0000FD630000}"/>
    <cellStyle name="Normal 66 5 2 2 5" xfId="23144" xr:uid="{00000000-0005-0000-0000-0000FE630000}"/>
    <cellStyle name="Normal 66 5 2 3" xfId="5323" xr:uid="{00000000-0005-0000-0000-0000FF630000}"/>
    <cellStyle name="Normal 66 5 2 3 2" xfId="9253" xr:uid="{00000000-0005-0000-0000-000000640000}"/>
    <cellStyle name="Normal 66 5 2 3 2 2" xfId="18427" xr:uid="{00000000-0005-0000-0000-000001640000}"/>
    <cellStyle name="Normal 66 5 2 3 2 2 2" xfId="35001" xr:uid="{00000000-0005-0000-0000-000002640000}"/>
    <cellStyle name="Normal 66 5 2 3 2 3" xfId="26954" xr:uid="{00000000-0005-0000-0000-000003640000}"/>
    <cellStyle name="Normal 66 5 2 3 3" xfId="14641" xr:uid="{00000000-0005-0000-0000-000004640000}"/>
    <cellStyle name="Normal 66 5 2 3 3 2" xfId="31189" xr:uid="{00000000-0005-0000-0000-000005640000}"/>
    <cellStyle name="Normal 66 5 2 3 4" xfId="23146" xr:uid="{00000000-0005-0000-0000-000006640000}"/>
    <cellStyle name="Normal 66 5 2 4" xfId="9254" xr:uid="{00000000-0005-0000-0000-000007640000}"/>
    <cellStyle name="Normal 66 5 2 4 2" xfId="18428" xr:uid="{00000000-0005-0000-0000-000008640000}"/>
    <cellStyle name="Normal 66 5 2 4 2 2" xfId="35002" xr:uid="{00000000-0005-0000-0000-000009640000}"/>
    <cellStyle name="Normal 66 5 2 4 3" xfId="26955" xr:uid="{00000000-0005-0000-0000-00000A640000}"/>
    <cellStyle name="Normal 66 5 2 5" xfId="14638" xr:uid="{00000000-0005-0000-0000-00000B640000}"/>
    <cellStyle name="Normal 66 5 2 5 2" xfId="31186" xr:uid="{00000000-0005-0000-0000-00000C640000}"/>
    <cellStyle name="Normal 66 5 2 6" xfId="23143" xr:uid="{00000000-0005-0000-0000-00000D640000}"/>
    <cellStyle name="Normal 66 5 3" xfId="5324" xr:uid="{00000000-0005-0000-0000-00000E640000}"/>
    <cellStyle name="Normal 66 5 3 2" xfId="5325" xr:uid="{00000000-0005-0000-0000-00000F640000}"/>
    <cellStyle name="Normal 66 5 3 2 2" xfId="9255" xr:uid="{00000000-0005-0000-0000-000010640000}"/>
    <cellStyle name="Normal 66 5 3 2 2 2" xfId="18429" xr:uid="{00000000-0005-0000-0000-000011640000}"/>
    <cellStyle name="Normal 66 5 3 2 2 2 2" xfId="35003" xr:uid="{00000000-0005-0000-0000-000012640000}"/>
    <cellStyle name="Normal 66 5 3 2 2 3" xfId="26956" xr:uid="{00000000-0005-0000-0000-000013640000}"/>
    <cellStyle name="Normal 66 5 3 2 3" xfId="14643" xr:uid="{00000000-0005-0000-0000-000014640000}"/>
    <cellStyle name="Normal 66 5 3 2 3 2" xfId="31191" xr:uid="{00000000-0005-0000-0000-000015640000}"/>
    <cellStyle name="Normal 66 5 3 2 4" xfId="23148" xr:uid="{00000000-0005-0000-0000-000016640000}"/>
    <cellStyle name="Normal 66 5 3 3" xfId="9256" xr:uid="{00000000-0005-0000-0000-000017640000}"/>
    <cellStyle name="Normal 66 5 3 3 2" xfId="18430" xr:uid="{00000000-0005-0000-0000-000018640000}"/>
    <cellStyle name="Normal 66 5 3 3 2 2" xfId="35004" xr:uid="{00000000-0005-0000-0000-000019640000}"/>
    <cellStyle name="Normal 66 5 3 3 3" xfId="26957" xr:uid="{00000000-0005-0000-0000-00001A640000}"/>
    <cellStyle name="Normal 66 5 3 4" xfId="14642" xr:uid="{00000000-0005-0000-0000-00001B640000}"/>
    <cellStyle name="Normal 66 5 3 4 2" xfId="31190" xr:uid="{00000000-0005-0000-0000-00001C640000}"/>
    <cellStyle name="Normal 66 5 3 5" xfId="23147" xr:uid="{00000000-0005-0000-0000-00001D640000}"/>
    <cellStyle name="Normal 66 5 4" xfId="5326" xr:uid="{00000000-0005-0000-0000-00001E640000}"/>
    <cellStyle name="Normal 66 5 4 2" xfId="9257" xr:uid="{00000000-0005-0000-0000-00001F640000}"/>
    <cellStyle name="Normal 66 5 4 2 2" xfId="18431" xr:uid="{00000000-0005-0000-0000-000020640000}"/>
    <cellStyle name="Normal 66 5 4 2 2 2" xfId="35005" xr:uid="{00000000-0005-0000-0000-000021640000}"/>
    <cellStyle name="Normal 66 5 4 2 3" xfId="26958" xr:uid="{00000000-0005-0000-0000-000022640000}"/>
    <cellStyle name="Normal 66 5 4 3" xfId="14644" xr:uid="{00000000-0005-0000-0000-000023640000}"/>
    <cellStyle name="Normal 66 5 4 3 2" xfId="31192" xr:uid="{00000000-0005-0000-0000-000024640000}"/>
    <cellStyle name="Normal 66 5 4 4" xfId="23149" xr:uid="{00000000-0005-0000-0000-000025640000}"/>
    <cellStyle name="Normal 66 5 5" xfId="9258" xr:uid="{00000000-0005-0000-0000-000026640000}"/>
    <cellStyle name="Normal 66 5 5 2" xfId="18432" xr:uid="{00000000-0005-0000-0000-000027640000}"/>
    <cellStyle name="Normal 66 5 5 2 2" xfId="35006" xr:uid="{00000000-0005-0000-0000-000028640000}"/>
    <cellStyle name="Normal 66 5 5 3" xfId="26959" xr:uid="{00000000-0005-0000-0000-000029640000}"/>
    <cellStyle name="Normal 66 5 6" xfId="14637" xr:uid="{00000000-0005-0000-0000-00002A640000}"/>
    <cellStyle name="Normal 66 5 6 2" xfId="31185" xr:uid="{00000000-0005-0000-0000-00002B640000}"/>
    <cellStyle name="Normal 66 5 7" xfId="23142" xr:uid="{00000000-0005-0000-0000-00002C640000}"/>
    <cellStyle name="Normal 66 6" xfId="5327" xr:uid="{00000000-0005-0000-0000-00002D640000}"/>
    <cellStyle name="Normal 66 6 2" xfId="5328" xr:uid="{00000000-0005-0000-0000-00002E640000}"/>
    <cellStyle name="Normal 66 6 2 2" xfId="5329" xr:uid="{00000000-0005-0000-0000-00002F640000}"/>
    <cellStyle name="Normal 66 6 2 2 2" xfId="9259" xr:uid="{00000000-0005-0000-0000-000030640000}"/>
    <cellStyle name="Normal 66 6 2 2 2 2" xfId="18433" xr:uid="{00000000-0005-0000-0000-000031640000}"/>
    <cellStyle name="Normal 66 6 2 2 2 2 2" xfId="35007" xr:uid="{00000000-0005-0000-0000-000032640000}"/>
    <cellStyle name="Normal 66 6 2 2 2 3" xfId="26960" xr:uid="{00000000-0005-0000-0000-000033640000}"/>
    <cellStyle name="Normal 66 6 2 2 3" xfId="14647" xr:uid="{00000000-0005-0000-0000-000034640000}"/>
    <cellStyle name="Normal 66 6 2 2 3 2" xfId="31195" xr:uid="{00000000-0005-0000-0000-000035640000}"/>
    <cellStyle name="Normal 66 6 2 2 4" xfId="23152" xr:uid="{00000000-0005-0000-0000-000036640000}"/>
    <cellStyle name="Normal 66 6 2 3" xfId="9260" xr:uid="{00000000-0005-0000-0000-000037640000}"/>
    <cellStyle name="Normal 66 6 2 3 2" xfId="18434" xr:uid="{00000000-0005-0000-0000-000038640000}"/>
    <cellStyle name="Normal 66 6 2 3 2 2" xfId="35008" xr:uid="{00000000-0005-0000-0000-000039640000}"/>
    <cellStyle name="Normal 66 6 2 3 3" xfId="26961" xr:uid="{00000000-0005-0000-0000-00003A640000}"/>
    <cellStyle name="Normal 66 6 2 4" xfId="14646" xr:uid="{00000000-0005-0000-0000-00003B640000}"/>
    <cellStyle name="Normal 66 6 2 4 2" xfId="31194" xr:uid="{00000000-0005-0000-0000-00003C640000}"/>
    <cellStyle name="Normal 66 6 2 5" xfId="23151" xr:uid="{00000000-0005-0000-0000-00003D640000}"/>
    <cellStyle name="Normal 66 6 3" xfId="5330" xr:uid="{00000000-0005-0000-0000-00003E640000}"/>
    <cellStyle name="Normal 66 6 3 2" xfId="9261" xr:uid="{00000000-0005-0000-0000-00003F640000}"/>
    <cellStyle name="Normal 66 6 3 2 2" xfId="18435" xr:uid="{00000000-0005-0000-0000-000040640000}"/>
    <cellStyle name="Normal 66 6 3 2 2 2" xfId="35009" xr:uid="{00000000-0005-0000-0000-000041640000}"/>
    <cellStyle name="Normal 66 6 3 2 3" xfId="26962" xr:uid="{00000000-0005-0000-0000-000042640000}"/>
    <cellStyle name="Normal 66 6 3 3" xfId="14648" xr:uid="{00000000-0005-0000-0000-000043640000}"/>
    <cellStyle name="Normal 66 6 3 3 2" xfId="31196" xr:uid="{00000000-0005-0000-0000-000044640000}"/>
    <cellStyle name="Normal 66 6 3 4" xfId="23153" xr:uid="{00000000-0005-0000-0000-000045640000}"/>
    <cellStyle name="Normal 66 6 4" xfId="9262" xr:uid="{00000000-0005-0000-0000-000046640000}"/>
    <cellStyle name="Normal 66 6 4 2" xfId="18436" xr:uid="{00000000-0005-0000-0000-000047640000}"/>
    <cellStyle name="Normal 66 6 4 2 2" xfId="35010" xr:uid="{00000000-0005-0000-0000-000048640000}"/>
    <cellStyle name="Normal 66 6 4 3" xfId="26963" xr:uid="{00000000-0005-0000-0000-000049640000}"/>
    <cellStyle name="Normal 66 6 5" xfId="14645" xr:uid="{00000000-0005-0000-0000-00004A640000}"/>
    <cellStyle name="Normal 66 6 5 2" xfId="31193" xr:uid="{00000000-0005-0000-0000-00004B640000}"/>
    <cellStyle name="Normal 66 6 6" xfId="23150" xr:uid="{00000000-0005-0000-0000-00004C640000}"/>
    <cellStyle name="Normal 66 7" xfId="5331" xr:uid="{00000000-0005-0000-0000-00004D640000}"/>
    <cellStyle name="Normal 66 7 2" xfId="5332" xr:uid="{00000000-0005-0000-0000-00004E640000}"/>
    <cellStyle name="Normal 66 7 2 2" xfId="9263" xr:uid="{00000000-0005-0000-0000-00004F640000}"/>
    <cellStyle name="Normal 66 7 2 2 2" xfId="18437" xr:uid="{00000000-0005-0000-0000-000050640000}"/>
    <cellStyle name="Normal 66 7 2 2 2 2" xfId="35011" xr:uid="{00000000-0005-0000-0000-000051640000}"/>
    <cellStyle name="Normal 66 7 2 2 3" xfId="26964" xr:uid="{00000000-0005-0000-0000-000052640000}"/>
    <cellStyle name="Normal 66 7 2 3" xfId="14650" xr:uid="{00000000-0005-0000-0000-000053640000}"/>
    <cellStyle name="Normal 66 7 2 3 2" xfId="31198" xr:uid="{00000000-0005-0000-0000-000054640000}"/>
    <cellStyle name="Normal 66 7 2 4" xfId="23155" xr:uid="{00000000-0005-0000-0000-000055640000}"/>
    <cellStyle name="Normal 66 7 3" xfId="9264" xr:uid="{00000000-0005-0000-0000-000056640000}"/>
    <cellStyle name="Normal 66 7 3 2" xfId="18438" xr:uid="{00000000-0005-0000-0000-000057640000}"/>
    <cellStyle name="Normal 66 7 3 2 2" xfId="35012" xr:uid="{00000000-0005-0000-0000-000058640000}"/>
    <cellStyle name="Normal 66 7 3 3" xfId="26965" xr:uid="{00000000-0005-0000-0000-000059640000}"/>
    <cellStyle name="Normal 66 7 4" xfId="14649" xr:uid="{00000000-0005-0000-0000-00005A640000}"/>
    <cellStyle name="Normal 66 7 4 2" xfId="31197" xr:uid="{00000000-0005-0000-0000-00005B640000}"/>
    <cellStyle name="Normal 66 7 5" xfId="23154" xr:uid="{00000000-0005-0000-0000-00005C640000}"/>
    <cellStyle name="Normal 66 8" xfId="5333" xr:uid="{00000000-0005-0000-0000-00005D640000}"/>
    <cellStyle name="Normal 66 8 2" xfId="9265" xr:uid="{00000000-0005-0000-0000-00005E640000}"/>
    <cellStyle name="Normal 66 8 2 2" xfId="18439" xr:uid="{00000000-0005-0000-0000-00005F640000}"/>
    <cellStyle name="Normal 66 8 2 2 2" xfId="35013" xr:uid="{00000000-0005-0000-0000-000060640000}"/>
    <cellStyle name="Normal 66 8 2 3" xfId="26966" xr:uid="{00000000-0005-0000-0000-000061640000}"/>
    <cellStyle name="Normal 66 8 3" xfId="14651" xr:uid="{00000000-0005-0000-0000-000062640000}"/>
    <cellStyle name="Normal 66 8 3 2" xfId="31199" xr:uid="{00000000-0005-0000-0000-000063640000}"/>
    <cellStyle name="Normal 66 8 4" xfId="23156" xr:uid="{00000000-0005-0000-0000-000064640000}"/>
    <cellStyle name="Normal 66 9" xfId="9266" xr:uid="{00000000-0005-0000-0000-000065640000}"/>
    <cellStyle name="Normal 66 9 2" xfId="18440" xr:uid="{00000000-0005-0000-0000-000066640000}"/>
    <cellStyle name="Normal 66 9 2 2" xfId="35014" xr:uid="{00000000-0005-0000-0000-000067640000}"/>
    <cellStyle name="Normal 66 9 3" xfId="26967" xr:uid="{00000000-0005-0000-0000-000068640000}"/>
    <cellStyle name="Normal 67" xfId="5334" xr:uid="{00000000-0005-0000-0000-000069640000}"/>
    <cellStyle name="Normal 67 10" xfId="14652" xr:uid="{00000000-0005-0000-0000-00006A640000}"/>
    <cellStyle name="Normal 67 10 2" xfId="31200" xr:uid="{00000000-0005-0000-0000-00006B640000}"/>
    <cellStyle name="Normal 67 11" xfId="23157" xr:uid="{00000000-0005-0000-0000-00006C640000}"/>
    <cellStyle name="Normal 67 2" xfId="5335" xr:uid="{00000000-0005-0000-0000-00006D640000}"/>
    <cellStyle name="Normal 67 2 2" xfId="5336" xr:uid="{00000000-0005-0000-0000-00006E640000}"/>
    <cellStyle name="Normal 67 2 3" xfId="14653" xr:uid="{00000000-0005-0000-0000-00006F640000}"/>
    <cellStyle name="Normal 67 2 3 2" xfId="31201" xr:uid="{00000000-0005-0000-0000-000070640000}"/>
    <cellStyle name="Normal 67 2 4" xfId="23158" xr:uid="{00000000-0005-0000-0000-000071640000}"/>
    <cellStyle name="Normal 67 3" xfId="5337" xr:uid="{00000000-0005-0000-0000-000072640000}"/>
    <cellStyle name="Normal 67 3 2" xfId="5338" xr:uid="{00000000-0005-0000-0000-000073640000}"/>
    <cellStyle name="Normal 67 3 2 2" xfId="5339" xr:uid="{00000000-0005-0000-0000-000074640000}"/>
    <cellStyle name="Normal 67 3 2 2 2" xfId="5340" xr:uid="{00000000-0005-0000-0000-000075640000}"/>
    <cellStyle name="Normal 67 3 2 2 2 2" xfId="9267" xr:uid="{00000000-0005-0000-0000-000076640000}"/>
    <cellStyle name="Normal 67 3 2 2 2 2 2" xfId="18441" xr:uid="{00000000-0005-0000-0000-000077640000}"/>
    <cellStyle name="Normal 67 3 2 2 2 2 2 2" xfId="35015" xr:uid="{00000000-0005-0000-0000-000078640000}"/>
    <cellStyle name="Normal 67 3 2 2 2 2 3" xfId="26968" xr:uid="{00000000-0005-0000-0000-000079640000}"/>
    <cellStyle name="Normal 67 3 2 2 2 3" xfId="14656" xr:uid="{00000000-0005-0000-0000-00007A640000}"/>
    <cellStyle name="Normal 67 3 2 2 2 3 2" xfId="31204" xr:uid="{00000000-0005-0000-0000-00007B640000}"/>
    <cellStyle name="Normal 67 3 2 2 2 4" xfId="23161" xr:uid="{00000000-0005-0000-0000-00007C640000}"/>
    <cellStyle name="Normal 67 3 2 2 3" xfId="9268" xr:uid="{00000000-0005-0000-0000-00007D640000}"/>
    <cellStyle name="Normal 67 3 2 2 3 2" xfId="18442" xr:uid="{00000000-0005-0000-0000-00007E640000}"/>
    <cellStyle name="Normal 67 3 2 2 3 2 2" xfId="35016" xr:uid="{00000000-0005-0000-0000-00007F640000}"/>
    <cellStyle name="Normal 67 3 2 2 3 3" xfId="26969" xr:uid="{00000000-0005-0000-0000-000080640000}"/>
    <cellStyle name="Normal 67 3 2 2 4" xfId="14655" xr:uid="{00000000-0005-0000-0000-000081640000}"/>
    <cellStyle name="Normal 67 3 2 2 4 2" xfId="31203" xr:uid="{00000000-0005-0000-0000-000082640000}"/>
    <cellStyle name="Normal 67 3 2 2 5" xfId="23160" xr:uid="{00000000-0005-0000-0000-000083640000}"/>
    <cellStyle name="Normal 67 3 2 3" xfId="5341" xr:uid="{00000000-0005-0000-0000-000084640000}"/>
    <cellStyle name="Normal 67 3 2 3 2" xfId="9269" xr:uid="{00000000-0005-0000-0000-000085640000}"/>
    <cellStyle name="Normal 67 3 2 3 2 2" xfId="18443" xr:uid="{00000000-0005-0000-0000-000086640000}"/>
    <cellStyle name="Normal 67 3 2 3 2 2 2" xfId="35017" xr:uid="{00000000-0005-0000-0000-000087640000}"/>
    <cellStyle name="Normal 67 3 2 3 2 3" xfId="26970" xr:uid="{00000000-0005-0000-0000-000088640000}"/>
    <cellStyle name="Normal 67 3 2 3 3" xfId="14657" xr:uid="{00000000-0005-0000-0000-000089640000}"/>
    <cellStyle name="Normal 67 3 2 3 3 2" xfId="31205" xr:uid="{00000000-0005-0000-0000-00008A640000}"/>
    <cellStyle name="Normal 67 3 2 3 4" xfId="23162" xr:uid="{00000000-0005-0000-0000-00008B640000}"/>
    <cellStyle name="Normal 67 3 2 4" xfId="9270" xr:uid="{00000000-0005-0000-0000-00008C640000}"/>
    <cellStyle name="Normal 67 3 2 4 2" xfId="18444" xr:uid="{00000000-0005-0000-0000-00008D640000}"/>
    <cellStyle name="Normal 67 3 2 4 2 2" xfId="35018" xr:uid="{00000000-0005-0000-0000-00008E640000}"/>
    <cellStyle name="Normal 67 3 2 4 3" xfId="26971" xr:uid="{00000000-0005-0000-0000-00008F640000}"/>
    <cellStyle name="Normal 67 3 2 5" xfId="14654" xr:uid="{00000000-0005-0000-0000-000090640000}"/>
    <cellStyle name="Normal 67 3 2 5 2" xfId="31202" xr:uid="{00000000-0005-0000-0000-000091640000}"/>
    <cellStyle name="Normal 67 3 2 6" xfId="23159" xr:uid="{00000000-0005-0000-0000-000092640000}"/>
    <cellStyle name="Normal 67 3 3" xfId="5342" xr:uid="{00000000-0005-0000-0000-000093640000}"/>
    <cellStyle name="Normal 67 3 3 2" xfId="5343" xr:uid="{00000000-0005-0000-0000-000094640000}"/>
    <cellStyle name="Normal 67 3 3 2 2" xfId="9271" xr:uid="{00000000-0005-0000-0000-000095640000}"/>
    <cellStyle name="Normal 67 3 3 2 2 2" xfId="18445" xr:uid="{00000000-0005-0000-0000-000096640000}"/>
    <cellStyle name="Normal 67 3 3 2 2 2 2" xfId="35019" xr:uid="{00000000-0005-0000-0000-000097640000}"/>
    <cellStyle name="Normal 67 3 3 2 2 3" xfId="26972" xr:uid="{00000000-0005-0000-0000-000098640000}"/>
    <cellStyle name="Normal 67 3 3 2 3" xfId="14659" xr:uid="{00000000-0005-0000-0000-000099640000}"/>
    <cellStyle name="Normal 67 3 3 2 3 2" xfId="31207" xr:uid="{00000000-0005-0000-0000-00009A640000}"/>
    <cellStyle name="Normal 67 3 3 2 4" xfId="23164" xr:uid="{00000000-0005-0000-0000-00009B640000}"/>
    <cellStyle name="Normal 67 3 3 3" xfId="9272" xr:uid="{00000000-0005-0000-0000-00009C640000}"/>
    <cellStyle name="Normal 67 3 3 3 2" xfId="18446" xr:uid="{00000000-0005-0000-0000-00009D640000}"/>
    <cellStyle name="Normal 67 3 3 3 2 2" xfId="35020" xr:uid="{00000000-0005-0000-0000-00009E640000}"/>
    <cellStyle name="Normal 67 3 3 3 3" xfId="26973" xr:uid="{00000000-0005-0000-0000-00009F640000}"/>
    <cellStyle name="Normal 67 3 3 4" xfId="14658" xr:uid="{00000000-0005-0000-0000-0000A0640000}"/>
    <cellStyle name="Normal 67 3 3 4 2" xfId="31206" xr:uid="{00000000-0005-0000-0000-0000A1640000}"/>
    <cellStyle name="Normal 67 3 3 5" xfId="23163" xr:uid="{00000000-0005-0000-0000-0000A2640000}"/>
    <cellStyle name="Normal 67 3 4" xfId="5344" xr:uid="{00000000-0005-0000-0000-0000A3640000}"/>
    <cellStyle name="Normal 67 3 4 2" xfId="9273" xr:uid="{00000000-0005-0000-0000-0000A4640000}"/>
    <cellStyle name="Normal 67 3 4 2 2" xfId="18447" xr:uid="{00000000-0005-0000-0000-0000A5640000}"/>
    <cellStyle name="Normal 67 3 4 2 2 2" xfId="35021" xr:uid="{00000000-0005-0000-0000-0000A6640000}"/>
    <cellStyle name="Normal 67 3 4 2 3" xfId="26974" xr:uid="{00000000-0005-0000-0000-0000A7640000}"/>
    <cellStyle name="Normal 67 3 4 3" xfId="14660" xr:uid="{00000000-0005-0000-0000-0000A8640000}"/>
    <cellStyle name="Normal 67 3 4 3 2" xfId="31208" xr:uid="{00000000-0005-0000-0000-0000A9640000}"/>
    <cellStyle name="Normal 67 3 4 4" xfId="23165" xr:uid="{00000000-0005-0000-0000-0000AA640000}"/>
    <cellStyle name="Normal 67 3 5" xfId="5345" xr:uid="{00000000-0005-0000-0000-0000AB640000}"/>
    <cellStyle name="Normal 67 3 5 2" xfId="14661" xr:uid="{00000000-0005-0000-0000-0000AC640000}"/>
    <cellStyle name="Normal 67 3 5 2 2" xfId="31209" xr:uid="{00000000-0005-0000-0000-0000AD640000}"/>
    <cellStyle name="Normal 67 3 5 3" xfId="23166" xr:uid="{00000000-0005-0000-0000-0000AE640000}"/>
    <cellStyle name="Normal 67 4" xfId="5346" xr:uid="{00000000-0005-0000-0000-0000AF640000}"/>
    <cellStyle name="Normal 67 4 2" xfId="5347" xr:uid="{00000000-0005-0000-0000-0000B0640000}"/>
    <cellStyle name="Normal 67 4 2 2" xfId="5348" xr:uid="{00000000-0005-0000-0000-0000B1640000}"/>
    <cellStyle name="Normal 67 4 2 2 2" xfId="5349" xr:uid="{00000000-0005-0000-0000-0000B2640000}"/>
    <cellStyle name="Normal 67 4 2 2 2 2" xfId="9274" xr:uid="{00000000-0005-0000-0000-0000B3640000}"/>
    <cellStyle name="Normal 67 4 2 2 2 2 2" xfId="18448" xr:uid="{00000000-0005-0000-0000-0000B4640000}"/>
    <cellStyle name="Normal 67 4 2 2 2 2 2 2" xfId="35022" xr:uid="{00000000-0005-0000-0000-0000B5640000}"/>
    <cellStyle name="Normal 67 4 2 2 2 2 3" xfId="26975" xr:uid="{00000000-0005-0000-0000-0000B6640000}"/>
    <cellStyle name="Normal 67 4 2 2 2 3" xfId="14665" xr:uid="{00000000-0005-0000-0000-0000B7640000}"/>
    <cellStyle name="Normal 67 4 2 2 2 3 2" xfId="31213" xr:uid="{00000000-0005-0000-0000-0000B8640000}"/>
    <cellStyle name="Normal 67 4 2 2 2 4" xfId="23170" xr:uid="{00000000-0005-0000-0000-0000B9640000}"/>
    <cellStyle name="Normal 67 4 2 2 3" xfId="9275" xr:uid="{00000000-0005-0000-0000-0000BA640000}"/>
    <cellStyle name="Normal 67 4 2 2 3 2" xfId="18449" xr:uid="{00000000-0005-0000-0000-0000BB640000}"/>
    <cellStyle name="Normal 67 4 2 2 3 2 2" xfId="35023" xr:uid="{00000000-0005-0000-0000-0000BC640000}"/>
    <cellStyle name="Normal 67 4 2 2 3 3" xfId="26976" xr:uid="{00000000-0005-0000-0000-0000BD640000}"/>
    <cellStyle name="Normal 67 4 2 2 4" xfId="14664" xr:uid="{00000000-0005-0000-0000-0000BE640000}"/>
    <cellStyle name="Normal 67 4 2 2 4 2" xfId="31212" xr:uid="{00000000-0005-0000-0000-0000BF640000}"/>
    <cellStyle name="Normal 67 4 2 2 5" xfId="23169" xr:uid="{00000000-0005-0000-0000-0000C0640000}"/>
    <cellStyle name="Normal 67 4 2 3" xfId="5350" xr:uid="{00000000-0005-0000-0000-0000C1640000}"/>
    <cellStyle name="Normal 67 4 2 3 2" xfId="9276" xr:uid="{00000000-0005-0000-0000-0000C2640000}"/>
    <cellStyle name="Normal 67 4 2 3 2 2" xfId="18450" xr:uid="{00000000-0005-0000-0000-0000C3640000}"/>
    <cellStyle name="Normal 67 4 2 3 2 2 2" xfId="35024" xr:uid="{00000000-0005-0000-0000-0000C4640000}"/>
    <cellStyle name="Normal 67 4 2 3 2 3" xfId="26977" xr:uid="{00000000-0005-0000-0000-0000C5640000}"/>
    <cellStyle name="Normal 67 4 2 3 3" xfId="14666" xr:uid="{00000000-0005-0000-0000-0000C6640000}"/>
    <cellStyle name="Normal 67 4 2 3 3 2" xfId="31214" xr:uid="{00000000-0005-0000-0000-0000C7640000}"/>
    <cellStyle name="Normal 67 4 2 3 4" xfId="23171" xr:uid="{00000000-0005-0000-0000-0000C8640000}"/>
    <cellStyle name="Normal 67 4 2 4" xfId="9277" xr:uid="{00000000-0005-0000-0000-0000C9640000}"/>
    <cellStyle name="Normal 67 4 2 4 2" xfId="18451" xr:uid="{00000000-0005-0000-0000-0000CA640000}"/>
    <cellStyle name="Normal 67 4 2 4 2 2" xfId="35025" xr:uid="{00000000-0005-0000-0000-0000CB640000}"/>
    <cellStyle name="Normal 67 4 2 4 3" xfId="26978" xr:uid="{00000000-0005-0000-0000-0000CC640000}"/>
    <cellStyle name="Normal 67 4 2 5" xfId="14663" xr:uid="{00000000-0005-0000-0000-0000CD640000}"/>
    <cellStyle name="Normal 67 4 2 5 2" xfId="31211" xr:uid="{00000000-0005-0000-0000-0000CE640000}"/>
    <cellStyle name="Normal 67 4 2 6" xfId="23168" xr:uid="{00000000-0005-0000-0000-0000CF640000}"/>
    <cellStyle name="Normal 67 4 3" xfId="5351" xr:uid="{00000000-0005-0000-0000-0000D0640000}"/>
    <cellStyle name="Normal 67 4 3 2" xfId="5352" xr:uid="{00000000-0005-0000-0000-0000D1640000}"/>
    <cellStyle name="Normal 67 4 3 2 2" xfId="9278" xr:uid="{00000000-0005-0000-0000-0000D2640000}"/>
    <cellStyle name="Normal 67 4 3 2 2 2" xfId="18452" xr:uid="{00000000-0005-0000-0000-0000D3640000}"/>
    <cellStyle name="Normal 67 4 3 2 2 2 2" xfId="35026" xr:uid="{00000000-0005-0000-0000-0000D4640000}"/>
    <cellStyle name="Normal 67 4 3 2 2 3" xfId="26979" xr:uid="{00000000-0005-0000-0000-0000D5640000}"/>
    <cellStyle name="Normal 67 4 3 2 3" xfId="14668" xr:uid="{00000000-0005-0000-0000-0000D6640000}"/>
    <cellStyle name="Normal 67 4 3 2 3 2" xfId="31216" xr:uid="{00000000-0005-0000-0000-0000D7640000}"/>
    <cellStyle name="Normal 67 4 3 2 4" xfId="23173" xr:uid="{00000000-0005-0000-0000-0000D8640000}"/>
    <cellStyle name="Normal 67 4 3 3" xfId="9279" xr:uid="{00000000-0005-0000-0000-0000D9640000}"/>
    <cellStyle name="Normal 67 4 3 3 2" xfId="18453" xr:uid="{00000000-0005-0000-0000-0000DA640000}"/>
    <cellStyle name="Normal 67 4 3 3 2 2" xfId="35027" xr:uid="{00000000-0005-0000-0000-0000DB640000}"/>
    <cellStyle name="Normal 67 4 3 3 3" xfId="26980" xr:uid="{00000000-0005-0000-0000-0000DC640000}"/>
    <cellStyle name="Normal 67 4 3 4" xfId="14667" xr:uid="{00000000-0005-0000-0000-0000DD640000}"/>
    <cellStyle name="Normal 67 4 3 4 2" xfId="31215" xr:uid="{00000000-0005-0000-0000-0000DE640000}"/>
    <cellStyle name="Normal 67 4 3 5" xfId="23172" xr:uid="{00000000-0005-0000-0000-0000DF640000}"/>
    <cellStyle name="Normal 67 4 4" xfId="5353" xr:uid="{00000000-0005-0000-0000-0000E0640000}"/>
    <cellStyle name="Normal 67 4 4 2" xfId="9280" xr:uid="{00000000-0005-0000-0000-0000E1640000}"/>
    <cellStyle name="Normal 67 4 4 2 2" xfId="18454" xr:uid="{00000000-0005-0000-0000-0000E2640000}"/>
    <cellStyle name="Normal 67 4 4 2 2 2" xfId="35028" xr:uid="{00000000-0005-0000-0000-0000E3640000}"/>
    <cellStyle name="Normal 67 4 4 2 3" xfId="26981" xr:uid="{00000000-0005-0000-0000-0000E4640000}"/>
    <cellStyle name="Normal 67 4 4 3" xfId="14669" xr:uid="{00000000-0005-0000-0000-0000E5640000}"/>
    <cellStyle name="Normal 67 4 4 3 2" xfId="31217" xr:uid="{00000000-0005-0000-0000-0000E6640000}"/>
    <cellStyle name="Normal 67 4 4 4" xfId="23174" xr:uid="{00000000-0005-0000-0000-0000E7640000}"/>
    <cellStyle name="Normal 67 4 5" xfId="9281" xr:uid="{00000000-0005-0000-0000-0000E8640000}"/>
    <cellStyle name="Normal 67 4 5 2" xfId="18455" xr:uid="{00000000-0005-0000-0000-0000E9640000}"/>
    <cellStyle name="Normal 67 4 5 2 2" xfId="35029" xr:uid="{00000000-0005-0000-0000-0000EA640000}"/>
    <cellStyle name="Normal 67 4 5 3" xfId="26982" xr:uid="{00000000-0005-0000-0000-0000EB640000}"/>
    <cellStyle name="Normal 67 4 6" xfId="14662" xr:uid="{00000000-0005-0000-0000-0000EC640000}"/>
    <cellStyle name="Normal 67 4 6 2" xfId="31210" xr:uid="{00000000-0005-0000-0000-0000ED640000}"/>
    <cellStyle name="Normal 67 4 7" xfId="23167" xr:uid="{00000000-0005-0000-0000-0000EE640000}"/>
    <cellStyle name="Normal 67 5" xfId="5354" xr:uid="{00000000-0005-0000-0000-0000EF640000}"/>
    <cellStyle name="Normal 67 5 2" xfId="5355" xr:uid="{00000000-0005-0000-0000-0000F0640000}"/>
    <cellStyle name="Normal 67 5 2 2" xfId="5356" xr:uid="{00000000-0005-0000-0000-0000F1640000}"/>
    <cellStyle name="Normal 67 5 2 2 2" xfId="5357" xr:uid="{00000000-0005-0000-0000-0000F2640000}"/>
    <cellStyle name="Normal 67 5 2 2 2 2" xfId="9282" xr:uid="{00000000-0005-0000-0000-0000F3640000}"/>
    <cellStyle name="Normal 67 5 2 2 2 2 2" xfId="18456" xr:uid="{00000000-0005-0000-0000-0000F4640000}"/>
    <cellStyle name="Normal 67 5 2 2 2 2 2 2" xfId="35030" xr:uid="{00000000-0005-0000-0000-0000F5640000}"/>
    <cellStyle name="Normal 67 5 2 2 2 2 3" xfId="26983" xr:uid="{00000000-0005-0000-0000-0000F6640000}"/>
    <cellStyle name="Normal 67 5 2 2 2 3" xfId="14673" xr:uid="{00000000-0005-0000-0000-0000F7640000}"/>
    <cellStyle name="Normal 67 5 2 2 2 3 2" xfId="31221" xr:uid="{00000000-0005-0000-0000-0000F8640000}"/>
    <cellStyle name="Normal 67 5 2 2 2 4" xfId="23178" xr:uid="{00000000-0005-0000-0000-0000F9640000}"/>
    <cellStyle name="Normal 67 5 2 2 3" xfId="9283" xr:uid="{00000000-0005-0000-0000-0000FA640000}"/>
    <cellStyle name="Normal 67 5 2 2 3 2" xfId="18457" xr:uid="{00000000-0005-0000-0000-0000FB640000}"/>
    <cellStyle name="Normal 67 5 2 2 3 2 2" xfId="35031" xr:uid="{00000000-0005-0000-0000-0000FC640000}"/>
    <cellStyle name="Normal 67 5 2 2 3 3" xfId="26984" xr:uid="{00000000-0005-0000-0000-0000FD640000}"/>
    <cellStyle name="Normal 67 5 2 2 4" xfId="14672" xr:uid="{00000000-0005-0000-0000-0000FE640000}"/>
    <cellStyle name="Normal 67 5 2 2 4 2" xfId="31220" xr:uid="{00000000-0005-0000-0000-0000FF640000}"/>
    <cellStyle name="Normal 67 5 2 2 5" xfId="23177" xr:uid="{00000000-0005-0000-0000-000000650000}"/>
    <cellStyle name="Normal 67 5 2 3" xfId="5358" xr:uid="{00000000-0005-0000-0000-000001650000}"/>
    <cellStyle name="Normal 67 5 2 3 2" xfId="9284" xr:uid="{00000000-0005-0000-0000-000002650000}"/>
    <cellStyle name="Normal 67 5 2 3 2 2" xfId="18458" xr:uid="{00000000-0005-0000-0000-000003650000}"/>
    <cellStyle name="Normal 67 5 2 3 2 2 2" xfId="35032" xr:uid="{00000000-0005-0000-0000-000004650000}"/>
    <cellStyle name="Normal 67 5 2 3 2 3" xfId="26985" xr:uid="{00000000-0005-0000-0000-000005650000}"/>
    <cellStyle name="Normal 67 5 2 3 3" xfId="14674" xr:uid="{00000000-0005-0000-0000-000006650000}"/>
    <cellStyle name="Normal 67 5 2 3 3 2" xfId="31222" xr:uid="{00000000-0005-0000-0000-000007650000}"/>
    <cellStyle name="Normal 67 5 2 3 4" xfId="23179" xr:uid="{00000000-0005-0000-0000-000008650000}"/>
    <cellStyle name="Normal 67 5 2 4" xfId="9285" xr:uid="{00000000-0005-0000-0000-000009650000}"/>
    <cellStyle name="Normal 67 5 2 4 2" xfId="18459" xr:uid="{00000000-0005-0000-0000-00000A650000}"/>
    <cellStyle name="Normal 67 5 2 4 2 2" xfId="35033" xr:uid="{00000000-0005-0000-0000-00000B650000}"/>
    <cellStyle name="Normal 67 5 2 4 3" xfId="26986" xr:uid="{00000000-0005-0000-0000-00000C650000}"/>
    <cellStyle name="Normal 67 5 2 5" xfId="14671" xr:uid="{00000000-0005-0000-0000-00000D650000}"/>
    <cellStyle name="Normal 67 5 2 5 2" xfId="31219" xr:uid="{00000000-0005-0000-0000-00000E650000}"/>
    <cellStyle name="Normal 67 5 2 6" xfId="23176" xr:uid="{00000000-0005-0000-0000-00000F650000}"/>
    <cellStyle name="Normal 67 5 3" xfId="5359" xr:uid="{00000000-0005-0000-0000-000010650000}"/>
    <cellStyle name="Normal 67 5 3 2" xfId="5360" xr:uid="{00000000-0005-0000-0000-000011650000}"/>
    <cellStyle name="Normal 67 5 3 2 2" xfId="9286" xr:uid="{00000000-0005-0000-0000-000012650000}"/>
    <cellStyle name="Normal 67 5 3 2 2 2" xfId="18460" xr:uid="{00000000-0005-0000-0000-000013650000}"/>
    <cellStyle name="Normal 67 5 3 2 2 2 2" xfId="35034" xr:uid="{00000000-0005-0000-0000-000014650000}"/>
    <cellStyle name="Normal 67 5 3 2 2 3" xfId="26987" xr:uid="{00000000-0005-0000-0000-000015650000}"/>
    <cellStyle name="Normal 67 5 3 2 3" xfId="14676" xr:uid="{00000000-0005-0000-0000-000016650000}"/>
    <cellStyle name="Normal 67 5 3 2 3 2" xfId="31224" xr:uid="{00000000-0005-0000-0000-000017650000}"/>
    <cellStyle name="Normal 67 5 3 2 4" xfId="23181" xr:uid="{00000000-0005-0000-0000-000018650000}"/>
    <cellStyle name="Normal 67 5 3 3" xfId="9287" xr:uid="{00000000-0005-0000-0000-000019650000}"/>
    <cellStyle name="Normal 67 5 3 3 2" xfId="18461" xr:uid="{00000000-0005-0000-0000-00001A650000}"/>
    <cellStyle name="Normal 67 5 3 3 2 2" xfId="35035" xr:uid="{00000000-0005-0000-0000-00001B650000}"/>
    <cellStyle name="Normal 67 5 3 3 3" xfId="26988" xr:uid="{00000000-0005-0000-0000-00001C650000}"/>
    <cellStyle name="Normal 67 5 3 4" xfId="14675" xr:uid="{00000000-0005-0000-0000-00001D650000}"/>
    <cellStyle name="Normal 67 5 3 4 2" xfId="31223" xr:uid="{00000000-0005-0000-0000-00001E650000}"/>
    <cellStyle name="Normal 67 5 3 5" xfId="23180" xr:uid="{00000000-0005-0000-0000-00001F650000}"/>
    <cellStyle name="Normal 67 5 4" xfId="5361" xr:uid="{00000000-0005-0000-0000-000020650000}"/>
    <cellStyle name="Normal 67 5 4 2" xfId="9288" xr:uid="{00000000-0005-0000-0000-000021650000}"/>
    <cellStyle name="Normal 67 5 4 2 2" xfId="18462" xr:uid="{00000000-0005-0000-0000-000022650000}"/>
    <cellStyle name="Normal 67 5 4 2 2 2" xfId="35036" xr:uid="{00000000-0005-0000-0000-000023650000}"/>
    <cellStyle name="Normal 67 5 4 2 3" xfId="26989" xr:uid="{00000000-0005-0000-0000-000024650000}"/>
    <cellStyle name="Normal 67 5 4 3" xfId="14677" xr:uid="{00000000-0005-0000-0000-000025650000}"/>
    <cellStyle name="Normal 67 5 4 3 2" xfId="31225" xr:uid="{00000000-0005-0000-0000-000026650000}"/>
    <cellStyle name="Normal 67 5 4 4" xfId="23182" xr:uid="{00000000-0005-0000-0000-000027650000}"/>
    <cellStyle name="Normal 67 5 5" xfId="9289" xr:uid="{00000000-0005-0000-0000-000028650000}"/>
    <cellStyle name="Normal 67 5 5 2" xfId="18463" xr:uid="{00000000-0005-0000-0000-000029650000}"/>
    <cellStyle name="Normal 67 5 5 2 2" xfId="35037" xr:uid="{00000000-0005-0000-0000-00002A650000}"/>
    <cellStyle name="Normal 67 5 5 3" xfId="26990" xr:uid="{00000000-0005-0000-0000-00002B650000}"/>
    <cellStyle name="Normal 67 5 6" xfId="14670" xr:uid="{00000000-0005-0000-0000-00002C650000}"/>
    <cellStyle name="Normal 67 5 6 2" xfId="31218" xr:uid="{00000000-0005-0000-0000-00002D650000}"/>
    <cellStyle name="Normal 67 5 7" xfId="23175" xr:uid="{00000000-0005-0000-0000-00002E650000}"/>
    <cellStyle name="Normal 67 6" xfId="5362" xr:uid="{00000000-0005-0000-0000-00002F650000}"/>
    <cellStyle name="Normal 67 6 2" xfId="5363" xr:uid="{00000000-0005-0000-0000-000030650000}"/>
    <cellStyle name="Normal 67 6 2 2" xfId="5364" xr:uid="{00000000-0005-0000-0000-000031650000}"/>
    <cellStyle name="Normal 67 6 2 2 2" xfId="9290" xr:uid="{00000000-0005-0000-0000-000032650000}"/>
    <cellStyle name="Normal 67 6 2 2 2 2" xfId="18464" xr:uid="{00000000-0005-0000-0000-000033650000}"/>
    <cellStyle name="Normal 67 6 2 2 2 2 2" xfId="35038" xr:uid="{00000000-0005-0000-0000-000034650000}"/>
    <cellStyle name="Normal 67 6 2 2 2 3" xfId="26991" xr:uid="{00000000-0005-0000-0000-000035650000}"/>
    <cellStyle name="Normal 67 6 2 2 3" xfId="14680" xr:uid="{00000000-0005-0000-0000-000036650000}"/>
    <cellStyle name="Normal 67 6 2 2 3 2" xfId="31228" xr:uid="{00000000-0005-0000-0000-000037650000}"/>
    <cellStyle name="Normal 67 6 2 2 4" xfId="23185" xr:uid="{00000000-0005-0000-0000-000038650000}"/>
    <cellStyle name="Normal 67 6 2 3" xfId="9291" xr:uid="{00000000-0005-0000-0000-000039650000}"/>
    <cellStyle name="Normal 67 6 2 3 2" xfId="18465" xr:uid="{00000000-0005-0000-0000-00003A650000}"/>
    <cellStyle name="Normal 67 6 2 3 2 2" xfId="35039" xr:uid="{00000000-0005-0000-0000-00003B650000}"/>
    <cellStyle name="Normal 67 6 2 3 3" xfId="26992" xr:uid="{00000000-0005-0000-0000-00003C650000}"/>
    <cellStyle name="Normal 67 6 2 4" xfId="14679" xr:uid="{00000000-0005-0000-0000-00003D650000}"/>
    <cellStyle name="Normal 67 6 2 4 2" xfId="31227" xr:uid="{00000000-0005-0000-0000-00003E650000}"/>
    <cellStyle name="Normal 67 6 2 5" xfId="23184" xr:uid="{00000000-0005-0000-0000-00003F650000}"/>
    <cellStyle name="Normal 67 6 3" xfId="5365" xr:uid="{00000000-0005-0000-0000-000040650000}"/>
    <cellStyle name="Normal 67 6 3 2" xfId="9292" xr:uid="{00000000-0005-0000-0000-000041650000}"/>
    <cellStyle name="Normal 67 6 3 2 2" xfId="18466" xr:uid="{00000000-0005-0000-0000-000042650000}"/>
    <cellStyle name="Normal 67 6 3 2 2 2" xfId="35040" xr:uid="{00000000-0005-0000-0000-000043650000}"/>
    <cellStyle name="Normal 67 6 3 2 3" xfId="26993" xr:uid="{00000000-0005-0000-0000-000044650000}"/>
    <cellStyle name="Normal 67 6 3 3" xfId="14681" xr:uid="{00000000-0005-0000-0000-000045650000}"/>
    <cellStyle name="Normal 67 6 3 3 2" xfId="31229" xr:uid="{00000000-0005-0000-0000-000046650000}"/>
    <cellStyle name="Normal 67 6 3 4" xfId="23186" xr:uid="{00000000-0005-0000-0000-000047650000}"/>
    <cellStyle name="Normal 67 6 4" xfId="9293" xr:uid="{00000000-0005-0000-0000-000048650000}"/>
    <cellStyle name="Normal 67 6 4 2" xfId="18467" xr:uid="{00000000-0005-0000-0000-000049650000}"/>
    <cellStyle name="Normal 67 6 4 2 2" xfId="35041" xr:uid="{00000000-0005-0000-0000-00004A650000}"/>
    <cellStyle name="Normal 67 6 4 3" xfId="26994" xr:uid="{00000000-0005-0000-0000-00004B650000}"/>
    <cellStyle name="Normal 67 6 5" xfId="14678" xr:uid="{00000000-0005-0000-0000-00004C650000}"/>
    <cellStyle name="Normal 67 6 5 2" xfId="31226" xr:uid="{00000000-0005-0000-0000-00004D650000}"/>
    <cellStyle name="Normal 67 6 6" xfId="23183" xr:uid="{00000000-0005-0000-0000-00004E650000}"/>
    <cellStyle name="Normal 67 7" xfId="5366" xr:uid="{00000000-0005-0000-0000-00004F650000}"/>
    <cellStyle name="Normal 67 7 2" xfId="5367" xr:uid="{00000000-0005-0000-0000-000050650000}"/>
    <cellStyle name="Normal 67 7 2 2" xfId="9294" xr:uid="{00000000-0005-0000-0000-000051650000}"/>
    <cellStyle name="Normal 67 7 2 2 2" xfId="18468" xr:uid="{00000000-0005-0000-0000-000052650000}"/>
    <cellStyle name="Normal 67 7 2 2 2 2" xfId="35042" xr:uid="{00000000-0005-0000-0000-000053650000}"/>
    <cellStyle name="Normal 67 7 2 2 3" xfId="26995" xr:uid="{00000000-0005-0000-0000-000054650000}"/>
    <cellStyle name="Normal 67 7 2 3" xfId="14683" xr:uid="{00000000-0005-0000-0000-000055650000}"/>
    <cellStyle name="Normal 67 7 2 3 2" xfId="31231" xr:uid="{00000000-0005-0000-0000-000056650000}"/>
    <cellStyle name="Normal 67 7 2 4" xfId="23188" xr:uid="{00000000-0005-0000-0000-000057650000}"/>
    <cellStyle name="Normal 67 7 3" xfId="9295" xr:uid="{00000000-0005-0000-0000-000058650000}"/>
    <cellStyle name="Normal 67 7 3 2" xfId="18469" xr:uid="{00000000-0005-0000-0000-000059650000}"/>
    <cellStyle name="Normal 67 7 3 2 2" xfId="35043" xr:uid="{00000000-0005-0000-0000-00005A650000}"/>
    <cellStyle name="Normal 67 7 3 3" xfId="26996" xr:uid="{00000000-0005-0000-0000-00005B650000}"/>
    <cellStyle name="Normal 67 7 4" xfId="14682" xr:uid="{00000000-0005-0000-0000-00005C650000}"/>
    <cellStyle name="Normal 67 7 4 2" xfId="31230" xr:uid="{00000000-0005-0000-0000-00005D650000}"/>
    <cellStyle name="Normal 67 7 5" xfId="23187" xr:uid="{00000000-0005-0000-0000-00005E650000}"/>
    <cellStyle name="Normal 67 8" xfId="5368" xr:uid="{00000000-0005-0000-0000-00005F650000}"/>
    <cellStyle name="Normal 67 8 2" xfId="9296" xr:uid="{00000000-0005-0000-0000-000060650000}"/>
    <cellStyle name="Normal 67 8 2 2" xfId="18470" xr:uid="{00000000-0005-0000-0000-000061650000}"/>
    <cellStyle name="Normal 67 8 2 2 2" xfId="35044" xr:uid="{00000000-0005-0000-0000-000062650000}"/>
    <cellStyle name="Normal 67 8 2 3" xfId="26997" xr:uid="{00000000-0005-0000-0000-000063650000}"/>
    <cellStyle name="Normal 67 8 3" xfId="14684" xr:uid="{00000000-0005-0000-0000-000064650000}"/>
    <cellStyle name="Normal 67 8 3 2" xfId="31232" xr:uid="{00000000-0005-0000-0000-000065650000}"/>
    <cellStyle name="Normal 67 8 4" xfId="23189" xr:uid="{00000000-0005-0000-0000-000066650000}"/>
    <cellStyle name="Normal 67 9" xfId="9297" xr:uid="{00000000-0005-0000-0000-000067650000}"/>
    <cellStyle name="Normal 67 9 2" xfId="18471" xr:uid="{00000000-0005-0000-0000-000068650000}"/>
    <cellStyle name="Normal 67 9 2 2" xfId="35045" xr:uid="{00000000-0005-0000-0000-000069650000}"/>
    <cellStyle name="Normal 67 9 3" xfId="26998" xr:uid="{00000000-0005-0000-0000-00006A650000}"/>
    <cellStyle name="Normal 68" xfId="5369" xr:uid="{00000000-0005-0000-0000-00006B650000}"/>
    <cellStyle name="Normal 68 10" xfId="14685" xr:uid="{00000000-0005-0000-0000-00006C650000}"/>
    <cellStyle name="Normal 68 10 2" xfId="31233" xr:uid="{00000000-0005-0000-0000-00006D650000}"/>
    <cellStyle name="Normal 68 11" xfId="23190" xr:uid="{00000000-0005-0000-0000-00006E650000}"/>
    <cellStyle name="Normal 68 2" xfId="5370" xr:uid="{00000000-0005-0000-0000-00006F650000}"/>
    <cellStyle name="Normal 68 2 2" xfId="5371" xr:uid="{00000000-0005-0000-0000-000070650000}"/>
    <cellStyle name="Normal 68 2 3" xfId="14686" xr:uid="{00000000-0005-0000-0000-000071650000}"/>
    <cellStyle name="Normal 68 2 3 2" xfId="31234" xr:uid="{00000000-0005-0000-0000-000072650000}"/>
    <cellStyle name="Normal 68 2 4" xfId="23191" xr:uid="{00000000-0005-0000-0000-000073650000}"/>
    <cellStyle name="Normal 68 3" xfId="5372" xr:uid="{00000000-0005-0000-0000-000074650000}"/>
    <cellStyle name="Normal 68 3 2" xfId="5373" xr:uid="{00000000-0005-0000-0000-000075650000}"/>
    <cellStyle name="Normal 68 3 2 2" xfId="5374" xr:uid="{00000000-0005-0000-0000-000076650000}"/>
    <cellStyle name="Normal 68 3 2 2 2" xfId="5375" xr:uid="{00000000-0005-0000-0000-000077650000}"/>
    <cellStyle name="Normal 68 3 2 2 2 2" xfId="9298" xr:uid="{00000000-0005-0000-0000-000078650000}"/>
    <cellStyle name="Normal 68 3 2 2 2 2 2" xfId="18472" xr:uid="{00000000-0005-0000-0000-000079650000}"/>
    <cellStyle name="Normal 68 3 2 2 2 2 2 2" xfId="35046" xr:uid="{00000000-0005-0000-0000-00007A650000}"/>
    <cellStyle name="Normal 68 3 2 2 2 2 3" xfId="26999" xr:uid="{00000000-0005-0000-0000-00007B650000}"/>
    <cellStyle name="Normal 68 3 2 2 2 3" xfId="14689" xr:uid="{00000000-0005-0000-0000-00007C650000}"/>
    <cellStyle name="Normal 68 3 2 2 2 3 2" xfId="31237" xr:uid="{00000000-0005-0000-0000-00007D650000}"/>
    <cellStyle name="Normal 68 3 2 2 2 4" xfId="23194" xr:uid="{00000000-0005-0000-0000-00007E650000}"/>
    <cellStyle name="Normal 68 3 2 2 3" xfId="9299" xr:uid="{00000000-0005-0000-0000-00007F650000}"/>
    <cellStyle name="Normal 68 3 2 2 3 2" xfId="18473" xr:uid="{00000000-0005-0000-0000-000080650000}"/>
    <cellStyle name="Normal 68 3 2 2 3 2 2" xfId="35047" xr:uid="{00000000-0005-0000-0000-000081650000}"/>
    <cellStyle name="Normal 68 3 2 2 3 3" xfId="27000" xr:uid="{00000000-0005-0000-0000-000082650000}"/>
    <cellStyle name="Normal 68 3 2 2 4" xfId="14688" xr:uid="{00000000-0005-0000-0000-000083650000}"/>
    <cellStyle name="Normal 68 3 2 2 4 2" xfId="31236" xr:uid="{00000000-0005-0000-0000-000084650000}"/>
    <cellStyle name="Normal 68 3 2 2 5" xfId="23193" xr:uid="{00000000-0005-0000-0000-000085650000}"/>
    <cellStyle name="Normal 68 3 2 3" xfId="5376" xr:uid="{00000000-0005-0000-0000-000086650000}"/>
    <cellStyle name="Normal 68 3 2 3 2" xfId="9300" xr:uid="{00000000-0005-0000-0000-000087650000}"/>
    <cellStyle name="Normal 68 3 2 3 2 2" xfId="18474" xr:uid="{00000000-0005-0000-0000-000088650000}"/>
    <cellStyle name="Normal 68 3 2 3 2 2 2" xfId="35048" xr:uid="{00000000-0005-0000-0000-000089650000}"/>
    <cellStyle name="Normal 68 3 2 3 2 3" xfId="27001" xr:uid="{00000000-0005-0000-0000-00008A650000}"/>
    <cellStyle name="Normal 68 3 2 3 3" xfId="14690" xr:uid="{00000000-0005-0000-0000-00008B650000}"/>
    <cellStyle name="Normal 68 3 2 3 3 2" xfId="31238" xr:uid="{00000000-0005-0000-0000-00008C650000}"/>
    <cellStyle name="Normal 68 3 2 3 4" xfId="23195" xr:uid="{00000000-0005-0000-0000-00008D650000}"/>
    <cellStyle name="Normal 68 3 2 4" xfId="9301" xr:uid="{00000000-0005-0000-0000-00008E650000}"/>
    <cellStyle name="Normal 68 3 2 4 2" xfId="18475" xr:uid="{00000000-0005-0000-0000-00008F650000}"/>
    <cellStyle name="Normal 68 3 2 4 2 2" xfId="35049" xr:uid="{00000000-0005-0000-0000-000090650000}"/>
    <cellStyle name="Normal 68 3 2 4 3" xfId="27002" xr:uid="{00000000-0005-0000-0000-000091650000}"/>
    <cellStyle name="Normal 68 3 2 5" xfId="14687" xr:uid="{00000000-0005-0000-0000-000092650000}"/>
    <cellStyle name="Normal 68 3 2 5 2" xfId="31235" xr:uid="{00000000-0005-0000-0000-000093650000}"/>
    <cellStyle name="Normal 68 3 2 6" xfId="23192" xr:uid="{00000000-0005-0000-0000-000094650000}"/>
    <cellStyle name="Normal 68 3 3" xfId="5377" xr:uid="{00000000-0005-0000-0000-000095650000}"/>
    <cellStyle name="Normal 68 3 3 2" xfId="5378" xr:uid="{00000000-0005-0000-0000-000096650000}"/>
    <cellStyle name="Normal 68 3 3 2 2" xfId="9302" xr:uid="{00000000-0005-0000-0000-000097650000}"/>
    <cellStyle name="Normal 68 3 3 2 2 2" xfId="18476" xr:uid="{00000000-0005-0000-0000-000098650000}"/>
    <cellStyle name="Normal 68 3 3 2 2 2 2" xfId="35050" xr:uid="{00000000-0005-0000-0000-000099650000}"/>
    <cellStyle name="Normal 68 3 3 2 2 3" xfId="27003" xr:uid="{00000000-0005-0000-0000-00009A650000}"/>
    <cellStyle name="Normal 68 3 3 2 3" xfId="14692" xr:uid="{00000000-0005-0000-0000-00009B650000}"/>
    <cellStyle name="Normal 68 3 3 2 3 2" xfId="31240" xr:uid="{00000000-0005-0000-0000-00009C650000}"/>
    <cellStyle name="Normal 68 3 3 2 4" xfId="23197" xr:uid="{00000000-0005-0000-0000-00009D650000}"/>
    <cellStyle name="Normal 68 3 3 3" xfId="9303" xr:uid="{00000000-0005-0000-0000-00009E650000}"/>
    <cellStyle name="Normal 68 3 3 3 2" xfId="18477" xr:uid="{00000000-0005-0000-0000-00009F650000}"/>
    <cellStyle name="Normal 68 3 3 3 2 2" xfId="35051" xr:uid="{00000000-0005-0000-0000-0000A0650000}"/>
    <cellStyle name="Normal 68 3 3 3 3" xfId="27004" xr:uid="{00000000-0005-0000-0000-0000A1650000}"/>
    <cellStyle name="Normal 68 3 3 4" xfId="14691" xr:uid="{00000000-0005-0000-0000-0000A2650000}"/>
    <cellStyle name="Normal 68 3 3 4 2" xfId="31239" xr:uid="{00000000-0005-0000-0000-0000A3650000}"/>
    <cellStyle name="Normal 68 3 3 5" xfId="23196" xr:uid="{00000000-0005-0000-0000-0000A4650000}"/>
    <cellStyle name="Normal 68 3 4" xfId="5379" xr:uid="{00000000-0005-0000-0000-0000A5650000}"/>
    <cellStyle name="Normal 68 3 4 2" xfId="9304" xr:uid="{00000000-0005-0000-0000-0000A6650000}"/>
    <cellStyle name="Normal 68 3 4 2 2" xfId="18478" xr:uid="{00000000-0005-0000-0000-0000A7650000}"/>
    <cellStyle name="Normal 68 3 4 2 2 2" xfId="35052" xr:uid="{00000000-0005-0000-0000-0000A8650000}"/>
    <cellStyle name="Normal 68 3 4 2 3" xfId="27005" xr:uid="{00000000-0005-0000-0000-0000A9650000}"/>
    <cellStyle name="Normal 68 3 4 3" xfId="14693" xr:uid="{00000000-0005-0000-0000-0000AA650000}"/>
    <cellStyle name="Normal 68 3 4 3 2" xfId="31241" xr:uid="{00000000-0005-0000-0000-0000AB650000}"/>
    <cellStyle name="Normal 68 3 4 4" xfId="23198" xr:uid="{00000000-0005-0000-0000-0000AC650000}"/>
    <cellStyle name="Normal 68 3 5" xfId="5380" xr:uid="{00000000-0005-0000-0000-0000AD650000}"/>
    <cellStyle name="Normal 68 3 5 2" xfId="14694" xr:uid="{00000000-0005-0000-0000-0000AE650000}"/>
    <cellStyle name="Normal 68 3 5 2 2" xfId="31242" xr:uid="{00000000-0005-0000-0000-0000AF650000}"/>
    <cellStyle name="Normal 68 3 5 3" xfId="23199" xr:uid="{00000000-0005-0000-0000-0000B0650000}"/>
    <cellStyle name="Normal 68 4" xfId="5381" xr:uid="{00000000-0005-0000-0000-0000B1650000}"/>
    <cellStyle name="Normal 68 4 2" xfId="5382" xr:uid="{00000000-0005-0000-0000-0000B2650000}"/>
    <cellStyle name="Normal 68 4 2 2" xfId="5383" xr:uid="{00000000-0005-0000-0000-0000B3650000}"/>
    <cellStyle name="Normal 68 4 2 2 2" xfId="5384" xr:uid="{00000000-0005-0000-0000-0000B4650000}"/>
    <cellStyle name="Normal 68 4 2 2 2 2" xfId="9305" xr:uid="{00000000-0005-0000-0000-0000B5650000}"/>
    <cellStyle name="Normal 68 4 2 2 2 2 2" xfId="18479" xr:uid="{00000000-0005-0000-0000-0000B6650000}"/>
    <cellStyle name="Normal 68 4 2 2 2 2 2 2" xfId="35053" xr:uid="{00000000-0005-0000-0000-0000B7650000}"/>
    <cellStyle name="Normal 68 4 2 2 2 2 3" xfId="27006" xr:uid="{00000000-0005-0000-0000-0000B8650000}"/>
    <cellStyle name="Normal 68 4 2 2 2 3" xfId="14698" xr:uid="{00000000-0005-0000-0000-0000B9650000}"/>
    <cellStyle name="Normal 68 4 2 2 2 3 2" xfId="31246" xr:uid="{00000000-0005-0000-0000-0000BA650000}"/>
    <cellStyle name="Normal 68 4 2 2 2 4" xfId="23203" xr:uid="{00000000-0005-0000-0000-0000BB650000}"/>
    <cellStyle name="Normal 68 4 2 2 3" xfId="9306" xr:uid="{00000000-0005-0000-0000-0000BC650000}"/>
    <cellStyle name="Normal 68 4 2 2 3 2" xfId="18480" xr:uid="{00000000-0005-0000-0000-0000BD650000}"/>
    <cellStyle name="Normal 68 4 2 2 3 2 2" xfId="35054" xr:uid="{00000000-0005-0000-0000-0000BE650000}"/>
    <cellStyle name="Normal 68 4 2 2 3 3" xfId="27007" xr:uid="{00000000-0005-0000-0000-0000BF650000}"/>
    <cellStyle name="Normal 68 4 2 2 4" xfId="14697" xr:uid="{00000000-0005-0000-0000-0000C0650000}"/>
    <cellStyle name="Normal 68 4 2 2 4 2" xfId="31245" xr:uid="{00000000-0005-0000-0000-0000C1650000}"/>
    <cellStyle name="Normal 68 4 2 2 5" xfId="23202" xr:uid="{00000000-0005-0000-0000-0000C2650000}"/>
    <cellStyle name="Normal 68 4 2 3" xfId="5385" xr:uid="{00000000-0005-0000-0000-0000C3650000}"/>
    <cellStyle name="Normal 68 4 2 3 2" xfId="9307" xr:uid="{00000000-0005-0000-0000-0000C4650000}"/>
    <cellStyle name="Normal 68 4 2 3 2 2" xfId="18481" xr:uid="{00000000-0005-0000-0000-0000C5650000}"/>
    <cellStyle name="Normal 68 4 2 3 2 2 2" xfId="35055" xr:uid="{00000000-0005-0000-0000-0000C6650000}"/>
    <cellStyle name="Normal 68 4 2 3 2 3" xfId="27008" xr:uid="{00000000-0005-0000-0000-0000C7650000}"/>
    <cellStyle name="Normal 68 4 2 3 3" xfId="14699" xr:uid="{00000000-0005-0000-0000-0000C8650000}"/>
    <cellStyle name="Normal 68 4 2 3 3 2" xfId="31247" xr:uid="{00000000-0005-0000-0000-0000C9650000}"/>
    <cellStyle name="Normal 68 4 2 3 4" xfId="23204" xr:uid="{00000000-0005-0000-0000-0000CA650000}"/>
    <cellStyle name="Normal 68 4 2 4" xfId="9308" xr:uid="{00000000-0005-0000-0000-0000CB650000}"/>
    <cellStyle name="Normal 68 4 2 4 2" xfId="18482" xr:uid="{00000000-0005-0000-0000-0000CC650000}"/>
    <cellStyle name="Normal 68 4 2 4 2 2" xfId="35056" xr:uid="{00000000-0005-0000-0000-0000CD650000}"/>
    <cellStyle name="Normal 68 4 2 4 3" xfId="27009" xr:uid="{00000000-0005-0000-0000-0000CE650000}"/>
    <cellStyle name="Normal 68 4 2 5" xfId="14696" xr:uid="{00000000-0005-0000-0000-0000CF650000}"/>
    <cellStyle name="Normal 68 4 2 5 2" xfId="31244" xr:uid="{00000000-0005-0000-0000-0000D0650000}"/>
    <cellStyle name="Normal 68 4 2 6" xfId="23201" xr:uid="{00000000-0005-0000-0000-0000D1650000}"/>
    <cellStyle name="Normal 68 4 3" xfId="5386" xr:uid="{00000000-0005-0000-0000-0000D2650000}"/>
    <cellStyle name="Normal 68 4 3 2" xfId="5387" xr:uid="{00000000-0005-0000-0000-0000D3650000}"/>
    <cellStyle name="Normal 68 4 3 2 2" xfId="9309" xr:uid="{00000000-0005-0000-0000-0000D4650000}"/>
    <cellStyle name="Normal 68 4 3 2 2 2" xfId="18483" xr:uid="{00000000-0005-0000-0000-0000D5650000}"/>
    <cellStyle name="Normal 68 4 3 2 2 2 2" xfId="35057" xr:uid="{00000000-0005-0000-0000-0000D6650000}"/>
    <cellStyle name="Normal 68 4 3 2 2 3" xfId="27010" xr:uid="{00000000-0005-0000-0000-0000D7650000}"/>
    <cellStyle name="Normal 68 4 3 2 3" xfId="14701" xr:uid="{00000000-0005-0000-0000-0000D8650000}"/>
    <cellStyle name="Normal 68 4 3 2 3 2" xfId="31249" xr:uid="{00000000-0005-0000-0000-0000D9650000}"/>
    <cellStyle name="Normal 68 4 3 2 4" xfId="23206" xr:uid="{00000000-0005-0000-0000-0000DA650000}"/>
    <cellStyle name="Normal 68 4 3 3" xfId="9310" xr:uid="{00000000-0005-0000-0000-0000DB650000}"/>
    <cellStyle name="Normal 68 4 3 3 2" xfId="18484" xr:uid="{00000000-0005-0000-0000-0000DC650000}"/>
    <cellStyle name="Normal 68 4 3 3 2 2" xfId="35058" xr:uid="{00000000-0005-0000-0000-0000DD650000}"/>
    <cellStyle name="Normal 68 4 3 3 3" xfId="27011" xr:uid="{00000000-0005-0000-0000-0000DE650000}"/>
    <cellStyle name="Normal 68 4 3 4" xfId="14700" xr:uid="{00000000-0005-0000-0000-0000DF650000}"/>
    <cellStyle name="Normal 68 4 3 4 2" xfId="31248" xr:uid="{00000000-0005-0000-0000-0000E0650000}"/>
    <cellStyle name="Normal 68 4 3 5" xfId="23205" xr:uid="{00000000-0005-0000-0000-0000E1650000}"/>
    <cellStyle name="Normal 68 4 4" xfId="5388" xr:uid="{00000000-0005-0000-0000-0000E2650000}"/>
    <cellStyle name="Normal 68 4 4 2" xfId="9311" xr:uid="{00000000-0005-0000-0000-0000E3650000}"/>
    <cellStyle name="Normal 68 4 4 2 2" xfId="18485" xr:uid="{00000000-0005-0000-0000-0000E4650000}"/>
    <cellStyle name="Normal 68 4 4 2 2 2" xfId="35059" xr:uid="{00000000-0005-0000-0000-0000E5650000}"/>
    <cellStyle name="Normal 68 4 4 2 3" xfId="27012" xr:uid="{00000000-0005-0000-0000-0000E6650000}"/>
    <cellStyle name="Normal 68 4 4 3" xfId="14702" xr:uid="{00000000-0005-0000-0000-0000E7650000}"/>
    <cellStyle name="Normal 68 4 4 3 2" xfId="31250" xr:uid="{00000000-0005-0000-0000-0000E8650000}"/>
    <cellStyle name="Normal 68 4 4 4" xfId="23207" xr:uid="{00000000-0005-0000-0000-0000E9650000}"/>
    <cellStyle name="Normal 68 4 5" xfId="9312" xr:uid="{00000000-0005-0000-0000-0000EA650000}"/>
    <cellStyle name="Normal 68 4 5 2" xfId="18486" xr:uid="{00000000-0005-0000-0000-0000EB650000}"/>
    <cellStyle name="Normal 68 4 5 2 2" xfId="35060" xr:uid="{00000000-0005-0000-0000-0000EC650000}"/>
    <cellStyle name="Normal 68 4 5 3" xfId="27013" xr:uid="{00000000-0005-0000-0000-0000ED650000}"/>
    <cellStyle name="Normal 68 4 6" xfId="14695" xr:uid="{00000000-0005-0000-0000-0000EE650000}"/>
    <cellStyle name="Normal 68 4 6 2" xfId="31243" xr:uid="{00000000-0005-0000-0000-0000EF650000}"/>
    <cellStyle name="Normal 68 4 7" xfId="23200" xr:uid="{00000000-0005-0000-0000-0000F0650000}"/>
    <cellStyle name="Normal 68 5" xfId="5389" xr:uid="{00000000-0005-0000-0000-0000F1650000}"/>
    <cellStyle name="Normal 68 5 2" xfId="5390" xr:uid="{00000000-0005-0000-0000-0000F2650000}"/>
    <cellStyle name="Normal 68 5 2 2" xfId="5391" xr:uid="{00000000-0005-0000-0000-0000F3650000}"/>
    <cellStyle name="Normal 68 5 2 2 2" xfId="5392" xr:uid="{00000000-0005-0000-0000-0000F4650000}"/>
    <cellStyle name="Normal 68 5 2 2 2 2" xfId="9313" xr:uid="{00000000-0005-0000-0000-0000F5650000}"/>
    <cellStyle name="Normal 68 5 2 2 2 2 2" xfId="18487" xr:uid="{00000000-0005-0000-0000-0000F6650000}"/>
    <cellStyle name="Normal 68 5 2 2 2 2 2 2" xfId="35061" xr:uid="{00000000-0005-0000-0000-0000F7650000}"/>
    <cellStyle name="Normal 68 5 2 2 2 2 3" xfId="27014" xr:uid="{00000000-0005-0000-0000-0000F8650000}"/>
    <cellStyle name="Normal 68 5 2 2 2 3" xfId="14706" xr:uid="{00000000-0005-0000-0000-0000F9650000}"/>
    <cellStyle name="Normal 68 5 2 2 2 3 2" xfId="31254" xr:uid="{00000000-0005-0000-0000-0000FA650000}"/>
    <cellStyle name="Normal 68 5 2 2 2 4" xfId="23211" xr:uid="{00000000-0005-0000-0000-0000FB650000}"/>
    <cellStyle name="Normal 68 5 2 2 3" xfId="9314" xr:uid="{00000000-0005-0000-0000-0000FC650000}"/>
    <cellStyle name="Normal 68 5 2 2 3 2" xfId="18488" xr:uid="{00000000-0005-0000-0000-0000FD650000}"/>
    <cellStyle name="Normal 68 5 2 2 3 2 2" xfId="35062" xr:uid="{00000000-0005-0000-0000-0000FE650000}"/>
    <cellStyle name="Normal 68 5 2 2 3 3" xfId="27015" xr:uid="{00000000-0005-0000-0000-0000FF650000}"/>
    <cellStyle name="Normal 68 5 2 2 4" xfId="14705" xr:uid="{00000000-0005-0000-0000-000000660000}"/>
    <cellStyle name="Normal 68 5 2 2 4 2" xfId="31253" xr:uid="{00000000-0005-0000-0000-000001660000}"/>
    <cellStyle name="Normal 68 5 2 2 5" xfId="23210" xr:uid="{00000000-0005-0000-0000-000002660000}"/>
    <cellStyle name="Normal 68 5 2 3" xfId="5393" xr:uid="{00000000-0005-0000-0000-000003660000}"/>
    <cellStyle name="Normal 68 5 2 3 2" xfId="9315" xr:uid="{00000000-0005-0000-0000-000004660000}"/>
    <cellStyle name="Normal 68 5 2 3 2 2" xfId="18489" xr:uid="{00000000-0005-0000-0000-000005660000}"/>
    <cellStyle name="Normal 68 5 2 3 2 2 2" xfId="35063" xr:uid="{00000000-0005-0000-0000-000006660000}"/>
    <cellStyle name="Normal 68 5 2 3 2 3" xfId="27016" xr:uid="{00000000-0005-0000-0000-000007660000}"/>
    <cellStyle name="Normal 68 5 2 3 3" xfId="14707" xr:uid="{00000000-0005-0000-0000-000008660000}"/>
    <cellStyle name="Normal 68 5 2 3 3 2" xfId="31255" xr:uid="{00000000-0005-0000-0000-000009660000}"/>
    <cellStyle name="Normal 68 5 2 3 4" xfId="23212" xr:uid="{00000000-0005-0000-0000-00000A660000}"/>
    <cellStyle name="Normal 68 5 2 4" xfId="9316" xr:uid="{00000000-0005-0000-0000-00000B660000}"/>
    <cellStyle name="Normal 68 5 2 4 2" xfId="18490" xr:uid="{00000000-0005-0000-0000-00000C660000}"/>
    <cellStyle name="Normal 68 5 2 4 2 2" xfId="35064" xr:uid="{00000000-0005-0000-0000-00000D660000}"/>
    <cellStyle name="Normal 68 5 2 4 3" xfId="27017" xr:uid="{00000000-0005-0000-0000-00000E660000}"/>
    <cellStyle name="Normal 68 5 2 5" xfId="14704" xr:uid="{00000000-0005-0000-0000-00000F660000}"/>
    <cellStyle name="Normal 68 5 2 5 2" xfId="31252" xr:uid="{00000000-0005-0000-0000-000010660000}"/>
    <cellStyle name="Normal 68 5 2 6" xfId="23209" xr:uid="{00000000-0005-0000-0000-000011660000}"/>
    <cellStyle name="Normal 68 5 3" xfId="5394" xr:uid="{00000000-0005-0000-0000-000012660000}"/>
    <cellStyle name="Normal 68 5 3 2" xfId="5395" xr:uid="{00000000-0005-0000-0000-000013660000}"/>
    <cellStyle name="Normal 68 5 3 2 2" xfId="9317" xr:uid="{00000000-0005-0000-0000-000014660000}"/>
    <cellStyle name="Normal 68 5 3 2 2 2" xfId="18491" xr:uid="{00000000-0005-0000-0000-000015660000}"/>
    <cellStyle name="Normal 68 5 3 2 2 2 2" xfId="35065" xr:uid="{00000000-0005-0000-0000-000016660000}"/>
    <cellStyle name="Normal 68 5 3 2 2 3" xfId="27018" xr:uid="{00000000-0005-0000-0000-000017660000}"/>
    <cellStyle name="Normal 68 5 3 2 3" xfId="14709" xr:uid="{00000000-0005-0000-0000-000018660000}"/>
    <cellStyle name="Normal 68 5 3 2 3 2" xfId="31257" xr:uid="{00000000-0005-0000-0000-000019660000}"/>
    <cellStyle name="Normal 68 5 3 2 4" xfId="23214" xr:uid="{00000000-0005-0000-0000-00001A660000}"/>
    <cellStyle name="Normal 68 5 3 3" xfId="9318" xr:uid="{00000000-0005-0000-0000-00001B660000}"/>
    <cellStyle name="Normal 68 5 3 3 2" xfId="18492" xr:uid="{00000000-0005-0000-0000-00001C660000}"/>
    <cellStyle name="Normal 68 5 3 3 2 2" xfId="35066" xr:uid="{00000000-0005-0000-0000-00001D660000}"/>
    <cellStyle name="Normal 68 5 3 3 3" xfId="27019" xr:uid="{00000000-0005-0000-0000-00001E660000}"/>
    <cellStyle name="Normal 68 5 3 4" xfId="14708" xr:uid="{00000000-0005-0000-0000-00001F660000}"/>
    <cellStyle name="Normal 68 5 3 4 2" xfId="31256" xr:uid="{00000000-0005-0000-0000-000020660000}"/>
    <cellStyle name="Normal 68 5 3 5" xfId="23213" xr:uid="{00000000-0005-0000-0000-000021660000}"/>
    <cellStyle name="Normal 68 5 4" xfId="5396" xr:uid="{00000000-0005-0000-0000-000022660000}"/>
    <cellStyle name="Normal 68 5 4 2" xfId="9319" xr:uid="{00000000-0005-0000-0000-000023660000}"/>
    <cellStyle name="Normal 68 5 4 2 2" xfId="18493" xr:uid="{00000000-0005-0000-0000-000024660000}"/>
    <cellStyle name="Normal 68 5 4 2 2 2" xfId="35067" xr:uid="{00000000-0005-0000-0000-000025660000}"/>
    <cellStyle name="Normal 68 5 4 2 3" xfId="27020" xr:uid="{00000000-0005-0000-0000-000026660000}"/>
    <cellStyle name="Normal 68 5 4 3" xfId="14710" xr:uid="{00000000-0005-0000-0000-000027660000}"/>
    <cellStyle name="Normal 68 5 4 3 2" xfId="31258" xr:uid="{00000000-0005-0000-0000-000028660000}"/>
    <cellStyle name="Normal 68 5 4 4" xfId="23215" xr:uid="{00000000-0005-0000-0000-000029660000}"/>
    <cellStyle name="Normal 68 5 5" xfId="9320" xr:uid="{00000000-0005-0000-0000-00002A660000}"/>
    <cellStyle name="Normal 68 5 5 2" xfId="18494" xr:uid="{00000000-0005-0000-0000-00002B660000}"/>
    <cellStyle name="Normal 68 5 5 2 2" xfId="35068" xr:uid="{00000000-0005-0000-0000-00002C660000}"/>
    <cellStyle name="Normal 68 5 5 3" xfId="27021" xr:uid="{00000000-0005-0000-0000-00002D660000}"/>
    <cellStyle name="Normal 68 5 6" xfId="14703" xr:uid="{00000000-0005-0000-0000-00002E660000}"/>
    <cellStyle name="Normal 68 5 6 2" xfId="31251" xr:uid="{00000000-0005-0000-0000-00002F660000}"/>
    <cellStyle name="Normal 68 5 7" xfId="23208" xr:uid="{00000000-0005-0000-0000-000030660000}"/>
    <cellStyle name="Normal 68 6" xfId="5397" xr:uid="{00000000-0005-0000-0000-000031660000}"/>
    <cellStyle name="Normal 68 6 2" xfId="5398" xr:uid="{00000000-0005-0000-0000-000032660000}"/>
    <cellStyle name="Normal 68 6 2 2" xfId="5399" xr:uid="{00000000-0005-0000-0000-000033660000}"/>
    <cellStyle name="Normal 68 6 2 2 2" xfId="9321" xr:uid="{00000000-0005-0000-0000-000034660000}"/>
    <cellStyle name="Normal 68 6 2 2 2 2" xfId="18495" xr:uid="{00000000-0005-0000-0000-000035660000}"/>
    <cellStyle name="Normal 68 6 2 2 2 2 2" xfId="35069" xr:uid="{00000000-0005-0000-0000-000036660000}"/>
    <cellStyle name="Normal 68 6 2 2 2 3" xfId="27022" xr:uid="{00000000-0005-0000-0000-000037660000}"/>
    <cellStyle name="Normal 68 6 2 2 3" xfId="14713" xr:uid="{00000000-0005-0000-0000-000038660000}"/>
    <cellStyle name="Normal 68 6 2 2 3 2" xfId="31261" xr:uid="{00000000-0005-0000-0000-000039660000}"/>
    <cellStyle name="Normal 68 6 2 2 4" xfId="23218" xr:uid="{00000000-0005-0000-0000-00003A660000}"/>
    <cellStyle name="Normal 68 6 2 3" xfId="9322" xr:uid="{00000000-0005-0000-0000-00003B660000}"/>
    <cellStyle name="Normal 68 6 2 3 2" xfId="18496" xr:uid="{00000000-0005-0000-0000-00003C660000}"/>
    <cellStyle name="Normal 68 6 2 3 2 2" xfId="35070" xr:uid="{00000000-0005-0000-0000-00003D660000}"/>
    <cellStyle name="Normal 68 6 2 3 3" xfId="27023" xr:uid="{00000000-0005-0000-0000-00003E660000}"/>
    <cellStyle name="Normal 68 6 2 4" xfId="14712" xr:uid="{00000000-0005-0000-0000-00003F660000}"/>
    <cellStyle name="Normal 68 6 2 4 2" xfId="31260" xr:uid="{00000000-0005-0000-0000-000040660000}"/>
    <cellStyle name="Normal 68 6 2 5" xfId="23217" xr:uid="{00000000-0005-0000-0000-000041660000}"/>
    <cellStyle name="Normal 68 6 3" xfId="5400" xr:uid="{00000000-0005-0000-0000-000042660000}"/>
    <cellStyle name="Normal 68 6 3 2" xfId="9323" xr:uid="{00000000-0005-0000-0000-000043660000}"/>
    <cellStyle name="Normal 68 6 3 2 2" xfId="18497" xr:uid="{00000000-0005-0000-0000-000044660000}"/>
    <cellStyle name="Normal 68 6 3 2 2 2" xfId="35071" xr:uid="{00000000-0005-0000-0000-000045660000}"/>
    <cellStyle name="Normal 68 6 3 2 3" xfId="27024" xr:uid="{00000000-0005-0000-0000-000046660000}"/>
    <cellStyle name="Normal 68 6 3 3" xfId="14714" xr:uid="{00000000-0005-0000-0000-000047660000}"/>
    <cellStyle name="Normal 68 6 3 3 2" xfId="31262" xr:uid="{00000000-0005-0000-0000-000048660000}"/>
    <cellStyle name="Normal 68 6 3 4" xfId="23219" xr:uid="{00000000-0005-0000-0000-000049660000}"/>
    <cellStyle name="Normal 68 6 4" xfId="9324" xr:uid="{00000000-0005-0000-0000-00004A660000}"/>
    <cellStyle name="Normal 68 6 4 2" xfId="18498" xr:uid="{00000000-0005-0000-0000-00004B660000}"/>
    <cellStyle name="Normal 68 6 4 2 2" xfId="35072" xr:uid="{00000000-0005-0000-0000-00004C660000}"/>
    <cellStyle name="Normal 68 6 4 3" xfId="27025" xr:uid="{00000000-0005-0000-0000-00004D660000}"/>
    <cellStyle name="Normal 68 6 5" xfId="14711" xr:uid="{00000000-0005-0000-0000-00004E660000}"/>
    <cellStyle name="Normal 68 6 5 2" xfId="31259" xr:uid="{00000000-0005-0000-0000-00004F660000}"/>
    <cellStyle name="Normal 68 6 6" xfId="23216" xr:uid="{00000000-0005-0000-0000-000050660000}"/>
    <cellStyle name="Normal 68 7" xfId="5401" xr:uid="{00000000-0005-0000-0000-000051660000}"/>
    <cellStyle name="Normal 68 7 2" xfId="5402" xr:uid="{00000000-0005-0000-0000-000052660000}"/>
    <cellStyle name="Normal 68 7 2 2" xfId="9325" xr:uid="{00000000-0005-0000-0000-000053660000}"/>
    <cellStyle name="Normal 68 7 2 2 2" xfId="18499" xr:uid="{00000000-0005-0000-0000-000054660000}"/>
    <cellStyle name="Normal 68 7 2 2 2 2" xfId="35073" xr:uid="{00000000-0005-0000-0000-000055660000}"/>
    <cellStyle name="Normal 68 7 2 2 3" xfId="27026" xr:uid="{00000000-0005-0000-0000-000056660000}"/>
    <cellStyle name="Normal 68 7 2 3" xfId="14716" xr:uid="{00000000-0005-0000-0000-000057660000}"/>
    <cellStyle name="Normal 68 7 2 3 2" xfId="31264" xr:uid="{00000000-0005-0000-0000-000058660000}"/>
    <cellStyle name="Normal 68 7 2 4" xfId="23221" xr:uid="{00000000-0005-0000-0000-000059660000}"/>
    <cellStyle name="Normal 68 7 3" xfId="9326" xr:uid="{00000000-0005-0000-0000-00005A660000}"/>
    <cellStyle name="Normal 68 7 3 2" xfId="18500" xr:uid="{00000000-0005-0000-0000-00005B660000}"/>
    <cellStyle name="Normal 68 7 3 2 2" xfId="35074" xr:uid="{00000000-0005-0000-0000-00005C660000}"/>
    <cellStyle name="Normal 68 7 3 3" xfId="27027" xr:uid="{00000000-0005-0000-0000-00005D660000}"/>
    <cellStyle name="Normal 68 7 4" xfId="14715" xr:uid="{00000000-0005-0000-0000-00005E660000}"/>
    <cellStyle name="Normal 68 7 4 2" xfId="31263" xr:uid="{00000000-0005-0000-0000-00005F660000}"/>
    <cellStyle name="Normal 68 7 5" xfId="23220" xr:uid="{00000000-0005-0000-0000-000060660000}"/>
    <cellStyle name="Normal 68 8" xfId="5403" xr:uid="{00000000-0005-0000-0000-000061660000}"/>
    <cellStyle name="Normal 68 8 2" xfId="9327" xr:uid="{00000000-0005-0000-0000-000062660000}"/>
    <cellStyle name="Normal 68 8 2 2" xfId="18501" xr:uid="{00000000-0005-0000-0000-000063660000}"/>
    <cellStyle name="Normal 68 8 2 2 2" xfId="35075" xr:uid="{00000000-0005-0000-0000-000064660000}"/>
    <cellStyle name="Normal 68 8 2 3" xfId="27028" xr:uid="{00000000-0005-0000-0000-000065660000}"/>
    <cellStyle name="Normal 68 8 3" xfId="14717" xr:uid="{00000000-0005-0000-0000-000066660000}"/>
    <cellStyle name="Normal 68 8 3 2" xfId="31265" xr:uid="{00000000-0005-0000-0000-000067660000}"/>
    <cellStyle name="Normal 68 8 4" xfId="23222" xr:uid="{00000000-0005-0000-0000-000068660000}"/>
    <cellStyle name="Normal 68 9" xfId="9328" xr:uid="{00000000-0005-0000-0000-000069660000}"/>
    <cellStyle name="Normal 68 9 2" xfId="18502" xr:uid="{00000000-0005-0000-0000-00006A660000}"/>
    <cellStyle name="Normal 68 9 2 2" xfId="35076" xr:uid="{00000000-0005-0000-0000-00006B660000}"/>
    <cellStyle name="Normal 68 9 3" xfId="27029" xr:uid="{00000000-0005-0000-0000-00006C660000}"/>
    <cellStyle name="Normal 69" xfId="5404" xr:uid="{00000000-0005-0000-0000-00006D660000}"/>
    <cellStyle name="Normal 69 10" xfId="14718" xr:uid="{00000000-0005-0000-0000-00006E660000}"/>
    <cellStyle name="Normal 69 10 2" xfId="31266" xr:uid="{00000000-0005-0000-0000-00006F660000}"/>
    <cellStyle name="Normal 69 11" xfId="23223" xr:uid="{00000000-0005-0000-0000-000070660000}"/>
    <cellStyle name="Normal 69 2" xfId="5405" xr:uid="{00000000-0005-0000-0000-000071660000}"/>
    <cellStyle name="Normal 69 2 2" xfId="5406" xr:uid="{00000000-0005-0000-0000-000072660000}"/>
    <cellStyle name="Normal 69 2 3" xfId="14719" xr:uid="{00000000-0005-0000-0000-000073660000}"/>
    <cellStyle name="Normal 69 2 3 2" xfId="31267" xr:uid="{00000000-0005-0000-0000-000074660000}"/>
    <cellStyle name="Normal 69 2 4" xfId="23224" xr:uid="{00000000-0005-0000-0000-000075660000}"/>
    <cellStyle name="Normal 69 3" xfId="5407" xr:uid="{00000000-0005-0000-0000-000076660000}"/>
    <cellStyle name="Normal 69 3 2" xfId="5408" xr:uid="{00000000-0005-0000-0000-000077660000}"/>
    <cellStyle name="Normal 69 3 2 2" xfId="5409" xr:uid="{00000000-0005-0000-0000-000078660000}"/>
    <cellStyle name="Normal 69 3 2 2 2" xfId="5410" xr:uid="{00000000-0005-0000-0000-000079660000}"/>
    <cellStyle name="Normal 69 3 2 2 2 2" xfId="9329" xr:uid="{00000000-0005-0000-0000-00007A660000}"/>
    <cellStyle name="Normal 69 3 2 2 2 2 2" xfId="18503" xr:uid="{00000000-0005-0000-0000-00007B660000}"/>
    <cellStyle name="Normal 69 3 2 2 2 2 2 2" xfId="35077" xr:uid="{00000000-0005-0000-0000-00007C660000}"/>
    <cellStyle name="Normal 69 3 2 2 2 2 3" xfId="27030" xr:uid="{00000000-0005-0000-0000-00007D660000}"/>
    <cellStyle name="Normal 69 3 2 2 2 3" xfId="14722" xr:uid="{00000000-0005-0000-0000-00007E660000}"/>
    <cellStyle name="Normal 69 3 2 2 2 3 2" xfId="31270" xr:uid="{00000000-0005-0000-0000-00007F660000}"/>
    <cellStyle name="Normal 69 3 2 2 2 4" xfId="23227" xr:uid="{00000000-0005-0000-0000-000080660000}"/>
    <cellStyle name="Normal 69 3 2 2 3" xfId="9330" xr:uid="{00000000-0005-0000-0000-000081660000}"/>
    <cellStyle name="Normal 69 3 2 2 3 2" xfId="18504" xr:uid="{00000000-0005-0000-0000-000082660000}"/>
    <cellStyle name="Normal 69 3 2 2 3 2 2" xfId="35078" xr:uid="{00000000-0005-0000-0000-000083660000}"/>
    <cellStyle name="Normal 69 3 2 2 3 3" xfId="27031" xr:uid="{00000000-0005-0000-0000-000084660000}"/>
    <cellStyle name="Normal 69 3 2 2 4" xfId="14721" xr:uid="{00000000-0005-0000-0000-000085660000}"/>
    <cellStyle name="Normal 69 3 2 2 4 2" xfId="31269" xr:uid="{00000000-0005-0000-0000-000086660000}"/>
    <cellStyle name="Normal 69 3 2 2 5" xfId="23226" xr:uid="{00000000-0005-0000-0000-000087660000}"/>
    <cellStyle name="Normal 69 3 2 3" xfId="5411" xr:uid="{00000000-0005-0000-0000-000088660000}"/>
    <cellStyle name="Normal 69 3 2 3 2" xfId="9331" xr:uid="{00000000-0005-0000-0000-000089660000}"/>
    <cellStyle name="Normal 69 3 2 3 2 2" xfId="18505" xr:uid="{00000000-0005-0000-0000-00008A660000}"/>
    <cellStyle name="Normal 69 3 2 3 2 2 2" xfId="35079" xr:uid="{00000000-0005-0000-0000-00008B660000}"/>
    <cellStyle name="Normal 69 3 2 3 2 3" xfId="27032" xr:uid="{00000000-0005-0000-0000-00008C660000}"/>
    <cellStyle name="Normal 69 3 2 3 3" xfId="14723" xr:uid="{00000000-0005-0000-0000-00008D660000}"/>
    <cellStyle name="Normal 69 3 2 3 3 2" xfId="31271" xr:uid="{00000000-0005-0000-0000-00008E660000}"/>
    <cellStyle name="Normal 69 3 2 3 4" xfId="23228" xr:uid="{00000000-0005-0000-0000-00008F660000}"/>
    <cellStyle name="Normal 69 3 2 4" xfId="9332" xr:uid="{00000000-0005-0000-0000-000090660000}"/>
    <cellStyle name="Normal 69 3 2 4 2" xfId="18506" xr:uid="{00000000-0005-0000-0000-000091660000}"/>
    <cellStyle name="Normal 69 3 2 4 2 2" xfId="35080" xr:uid="{00000000-0005-0000-0000-000092660000}"/>
    <cellStyle name="Normal 69 3 2 4 3" xfId="27033" xr:uid="{00000000-0005-0000-0000-000093660000}"/>
    <cellStyle name="Normal 69 3 2 5" xfId="14720" xr:uid="{00000000-0005-0000-0000-000094660000}"/>
    <cellStyle name="Normal 69 3 2 5 2" xfId="31268" xr:uid="{00000000-0005-0000-0000-000095660000}"/>
    <cellStyle name="Normal 69 3 2 6" xfId="23225" xr:uid="{00000000-0005-0000-0000-000096660000}"/>
    <cellStyle name="Normal 69 3 3" xfId="5412" xr:uid="{00000000-0005-0000-0000-000097660000}"/>
    <cellStyle name="Normal 69 3 3 2" xfId="5413" xr:uid="{00000000-0005-0000-0000-000098660000}"/>
    <cellStyle name="Normal 69 3 3 2 2" xfId="9333" xr:uid="{00000000-0005-0000-0000-000099660000}"/>
    <cellStyle name="Normal 69 3 3 2 2 2" xfId="18507" xr:uid="{00000000-0005-0000-0000-00009A660000}"/>
    <cellStyle name="Normal 69 3 3 2 2 2 2" xfId="35081" xr:uid="{00000000-0005-0000-0000-00009B660000}"/>
    <cellStyle name="Normal 69 3 3 2 2 3" xfId="27034" xr:uid="{00000000-0005-0000-0000-00009C660000}"/>
    <cellStyle name="Normal 69 3 3 2 3" xfId="14725" xr:uid="{00000000-0005-0000-0000-00009D660000}"/>
    <cellStyle name="Normal 69 3 3 2 3 2" xfId="31273" xr:uid="{00000000-0005-0000-0000-00009E660000}"/>
    <cellStyle name="Normal 69 3 3 2 4" xfId="23230" xr:uid="{00000000-0005-0000-0000-00009F660000}"/>
    <cellStyle name="Normal 69 3 3 3" xfId="9334" xr:uid="{00000000-0005-0000-0000-0000A0660000}"/>
    <cellStyle name="Normal 69 3 3 3 2" xfId="18508" xr:uid="{00000000-0005-0000-0000-0000A1660000}"/>
    <cellStyle name="Normal 69 3 3 3 2 2" xfId="35082" xr:uid="{00000000-0005-0000-0000-0000A2660000}"/>
    <cellStyle name="Normal 69 3 3 3 3" xfId="27035" xr:uid="{00000000-0005-0000-0000-0000A3660000}"/>
    <cellStyle name="Normal 69 3 3 4" xfId="14724" xr:uid="{00000000-0005-0000-0000-0000A4660000}"/>
    <cellStyle name="Normal 69 3 3 4 2" xfId="31272" xr:uid="{00000000-0005-0000-0000-0000A5660000}"/>
    <cellStyle name="Normal 69 3 3 5" xfId="23229" xr:uid="{00000000-0005-0000-0000-0000A6660000}"/>
    <cellStyle name="Normal 69 3 4" xfId="5414" xr:uid="{00000000-0005-0000-0000-0000A7660000}"/>
    <cellStyle name="Normal 69 3 4 2" xfId="9335" xr:uid="{00000000-0005-0000-0000-0000A8660000}"/>
    <cellStyle name="Normal 69 3 4 2 2" xfId="18509" xr:uid="{00000000-0005-0000-0000-0000A9660000}"/>
    <cellStyle name="Normal 69 3 4 2 2 2" xfId="35083" xr:uid="{00000000-0005-0000-0000-0000AA660000}"/>
    <cellStyle name="Normal 69 3 4 2 3" xfId="27036" xr:uid="{00000000-0005-0000-0000-0000AB660000}"/>
    <cellStyle name="Normal 69 3 4 3" xfId="14726" xr:uid="{00000000-0005-0000-0000-0000AC660000}"/>
    <cellStyle name="Normal 69 3 4 3 2" xfId="31274" xr:uid="{00000000-0005-0000-0000-0000AD660000}"/>
    <cellStyle name="Normal 69 3 4 4" xfId="23231" xr:uid="{00000000-0005-0000-0000-0000AE660000}"/>
    <cellStyle name="Normal 69 3 5" xfId="5415" xr:uid="{00000000-0005-0000-0000-0000AF660000}"/>
    <cellStyle name="Normal 69 3 5 2" xfId="14727" xr:uid="{00000000-0005-0000-0000-0000B0660000}"/>
    <cellStyle name="Normal 69 3 5 2 2" xfId="31275" xr:uid="{00000000-0005-0000-0000-0000B1660000}"/>
    <cellStyle name="Normal 69 3 5 3" xfId="23232" xr:uid="{00000000-0005-0000-0000-0000B2660000}"/>
    <cellStyle name="Normal 69 4" xfId="5416" xr:uid="{00000000-0005-0000-0000-0000B3660000}"/>
    <cellStyle name="Normal 69 4 2" xfId="5417" xr:uid="{00000000-0005-0000-0000-0000B4660000}"/>
    <cellStyle name="Normal 69 4 2 2" xfId="5418" xr:uid="{00000000-0005-0000-0000-0000B5660000}"/>
    <cellStyle name="Normal 69 4 2 2 2" xfId="5419" xr:uid="{00000000-0005-0000-0000-0000B6660000}"/>
    <cellStyle name="Normal 69 4 2 2 2 2" xfId="9336" xr:uid="{00000000-0005-0000-0000-0000B7660000}"/>
    <cellStyle name="Normal 69 4 2 2 2 2 2" xfId="18510" xr:uid="{00000000-0005-0000-0000-0000B8660000}"/>
    <cellStyle name="Normal 69 4 2 2 2 2 2 2" xfId="35084" xr:uid="{00000000-0005-0000-0000-0000B9660000}"/>
    <cellStyle name="Normal 69 4 2 2 2 2 3" xfId="27037" xr:uid="{00000000-0005-0000-0000-0000BA660000}"/>
    <cellStyle name="Normal 69 4 2 2 2 3" xfId="14731" xr:uid="{00000000-0005-0000-0000-0000BB660000}"/>
    <cellStyle name="Normal 69 4 2 2 2 3 2" xfId="31279" xr:uid="{00000000-0005-0000-0000-0000BC660000}"/>
    <cellStyle name="Normal 69 4 2 2 2 4" xfId="23236" xr:uid="{00000000-0005-0000-0000-0000BD660000}"/>
    <cellStyle name="Normal 69 4 2 2 3" xfId="9337" xr:uid="{00000000-0005-0000-0000-0000BE660000}"/>
    <cellStyle name="Normal 69 4 2 2 3 2" xfId="18511" xr:uid="{00000000-0005-0000-0000-0000BF660000}"/>
    <cellStyle name="Normal 69 4 2 2 3 2 2" xfId="35085" xr:uid="{00000000-0005-0000-0000-0000C0660000}"/>
    <cellStyle name="Normal 69 4 2 2 3 3" xfId="27038" xr:uid="{00000000-0005-0000-0000-0000C1660000}"/>
    <cellStyle name="Normal 69 4 2 2 4" xfId="14730" xr:uid="{00000000-0005-0000-0000-0000C2660000}"/>
    <cellStyle name="Normal 69 4 2 2 4 2" xfId="31278" xr:uid="{00000000-0005-0000-0000-0000C3660000}"/>
    <cellStyle name="Normal 69 4 2 2 5" xfId="23235" xr:uid="{00000000-0005-0000-0000-0000C4660000}"/>
    <cellStyle name="Normal 69 4 2 3" xfId="5420" xr:uid="{00000000-0005-0000-0000-0000C5660000}"/>
    <cellStyle name="Normal 69 4 2 3 2" xfId="9338" xr:uid="{00000000-0005-0000-0000-0000C6660000}"/>
    <cellStyle name="Normal 69 4 2 3 2 2" xfId="18512" xr:uid="{00000000-0005-0000-0000-0000C7660000}"/>
    <cellStyle name="Normal 69 4 2 3 2 2 2" xfId="35086" xr:uid="{00000000-0005-0000-0000-0000C8660000}"/>
    <cellStyle name="Normal 69 4 2 3 2 3" xfId="27039" xr:uid="{00000000-0005-0000-0000-0000C9660000}"/>
    <cellStyle name="Normal 69 4 2 3 3" xfId="14732" xr:uid="{00000000-0005-0000-0000-0000CA660000}"/>
    <cellStyle name="Normal 69 4 2 3 3 2" xfId="31280" xr:uid="{00000000-0005-0000-0000-0000CB660000}"/>
    <cellStyle name="Normal 69 4 2 3 4" xfId="23237" xr:uid="{00000000-0005-0000-0000-0000CC660000}"/>
    <cellStyle name="Normal 69 4 2 4" xfId="9339" xr:uid="{00000000-0005-0000-0000-0000CD660000}"/>
    <cellStyle name="Normal 69 4 2 4 2" xfId="18513" xr:uid="{00000000-0005-0000-0000-0000CE660000}"/>
    <cellStyle name="Normal 69 4 2 4 2 2" xfId="35087" xr:uid="{00000000-0005-0000-0000-0000CF660000}"/>
    <cellStyle name="Normal 69 4 2 4 3" xfId="27040" xr:uid="{00000000-0005-0000-0000-0000D0660000}"/>
    <cellStyle name="Normal 69 4 2 5" xfId="14729" xr:uid="{00000000-0005-0000-0000-0000D1660000}"/>
    <cellStyle name="Normal 69 4 2 5 2" xfId="31277" xr:uid="{00000000-0005-0000-0000-0000D2660000}"/>
    <cellStyle name="Normal 69 4 2 6" xfId="23234" xr:uid="{00000000-0005-0000-0000-0000D3660000}"/>
    <cellStyle name="Normal 69 4 3" xfId="5421" xr:uid="{00000000-0005-0000-0000-0000D4660000}"/>
    <cellStyle name="Normal 69 4 3 2" xfId="5422" xr:uid="{00000000-0005-0000-0000-0000D5660000}"/>
    <cellStyle name="Normal 69 4 3 2 2" xfId="9340" xr:uid="{00000000-0005-0000-0000-0000D6660000}"/>
    <cellStyle name="Normal 69 4 3 2 2 2" xfId="18514" xr:uid="{00000000-0005-0000-0000-0000D7660000}"/>
    <cellStyle name="Normal 69 4 3 2 2 2 2" xfId="35088" xr:uid="{00000000-0005-0000-0000-0000D8660000}"/>
    <cellStyle name="Normal 69 4 3 2 2 3" xfId="27041" xr:uid="{00000000-0005-0000-0000-0000D9660000}"/>
    <cellStyle name="Normal 69 4 3 2 3" xfId="14734" xr:uid="{00000000-0005-0000-0000-0000DA660000}"/>
    <cellStyle name="Normal 69 4 3 2 3 2" xfId="31282" xr:uid="{00000000-0005-0000-0000-0000DB660000}"/>
    <cellStyle name="Normal 69 4 3 2 4" xfId="23239" xr:uid="{00000000-0005-0000-0000-0000DC660000}"/>
    <cellStyle name="Normal 69 4 3 3" xfId="9341" xr:uid="{00000000-0005-0000-0000-0000DD660000}"/>
    <cellStyle name="Normal 69 4 3 3 2" xfId="18515" xr:uid="{00000000-0005-0000-0000-0000DE660000}"/>
    <cellStyle name="Normal 69 4 3 3 2 2" xfId="35089" xr:uid="{00000000-0005-0000-0000-0000DF660000}"/>
    <cellStyle name="Normal 69 4 3 3 3" xfId="27042" xr:uid="{00000000-0005-0000-0000-0000E0660000}"/>
    <cellStyle name="Normal 69 4 3 4" xfId="14733" xr:uid="{00000000-0005-0000-0000-0000E1660000}"/>
    <cellStyle name="Normal 69 4 3 4 2" xfId="31281" xr:uid="{00000000-0005-0000-0000-0000E2660000}"/>
    <cellStyle name="Normal 69 4 3 5" xfId="23238" xr:uid="{00000000-0005-0000-0000-0000E3660000}"/>
    <cellStyle name="Normal 69 4 4" xfId="5423" xr:uid="{00000000-0005-0000-0000-0000E4660000}"/>
    <cellStyle name="Normal 69 4 4 2" xfId="9342" xr:uid="{00000000-0005-0000-0000-0000E5660000}"/>
    <cellStyle name="Normal 69 4 4 2 2" xfId="18516" xr:uid="{00000000-0005-0000-0000-0000E6660000}"/>
    <cellStyle name="Normal 69 4 4 2 2 2" xfId="35090" xr:uid="{00000000-0005-0000-0000-0000E7660000}"/>
    <cellStyle name="Normal 69 4 4 2 3" xfId="27043" xr:uid="{00000000-0005-0000-0000-0000E8660000}"/>
    <cellStyle name="Normal 69 4 4 3" xfId="14735" xr:uid="{00000000-0005-0000-0000-0000E9660000}"/>
    <cellStyle name="Normal 69 4 4 3 2" xfId="31283" xr:uid="{00000000-0005-0000-0000-0000EA660000}"/>
    <cellStyle name="Normal 69 4 4 4" xfId="23240" xr:uid="{00000000-0005-0000-0000-0000EB660000}"/>
    <cellStyle name="Normal 69 4 5" xfId="9343" xr:uid="{00000000-0005-0000-0000-0000EC660000}"/>
    <cellStyle name="Normal 69 4 5 2" xfId="18517" xr:uid="{00000000-0005-0000-0000-0000ED660000}"/>
    <cellStyle name="Normal 69 4 5 2 2" xfId="35091" xr:uid="{00000000-0005-0000-0000-0000EE660000}"/>
    <cellStyle name="Normal 69 4 5 3" xfId="27044" xr:uid="{00000000-0005-0000-0000-0000EF660000}"/>
    <cellStyle name="Normal 69 4 6" xfId="14728" xr:uid="{00000000-0005-0000-0000-0000F0660000}"/>
    <cellStyle name="Normal 69 4 6 2" xfId="31276" xr:uid="{00000000-0005-0000-0000-0000F1660000}"/>
    <cellStyle name="Normal 69 4 7" xfId="23233" xr:uid="{00000000-0005-0000-0000-0000F2660000}"/>
    <cellStyle name="Normal 69 5" xfId="5424" xr:uid="{00000000-0005-0000-0000-0000F3660000}"/>
    <cellStyle name="Normal 69 5 2" xfId="5425" xr:uid="{00000000-0005-0000-0000-0000F4660000}"/>
    <cellStyle name="Normal 69 5 2 2" xfId="5426" xr:uid="{00000000-0005-0000-0000-0000F5660000}"/>
    <cellStyle name="Normal 69 5 2 2 2" xfId="5427" xr:uid="{00000000-0005-0000-0000-0000F6660000}"/>
    <cellStyle name="Normal 69 5 2 2 2 2" xfId="9344" xr:uid="{00000000-0005-0000-0000-0000F7660000}"/>
    <cellStyle name="Normal 69 5 2 2 2 2 2" xfId="18518" xr:uid="{00000000-0005-0000-0000-0000F8660000}"/>
    <cellStyle name="Normal 69 5 2 2 2 2 2 2" xfId="35092" xr:uid="{00000000-0005-0000-0000-0000F9660000}"/>
    <cellStyle name="Normal 69 5 2 2 2 2 3" xfId="27045" xr:uid="{00000000-0005-0000-0000-0000FA660000}"/>
    <cellStyle name="Normal 69 5 2 2 2 3" xfId="14739" xr:uid="{00000000-0005-0000-0000-0000FB660000}"/>
    <cellStyle name="Normal 69 5 2 2 2 3 2" xfId="31287" xr:uid="{00000000-0005-0000-0000-0000FC660000}"/>
    <cellStyle name="Normal 69 5 2 2 2 4" xfId="23244" xr:uid="{00000000-0005-0000-0000-0000FD660000}"/>
    <cellStyle name="Normal 69 5 2 2 3" xfId="9345" xr:uid="{00000000-0005-0000-0000-0000FE660000}"/>
    <cellStyle name="Normal 69 5 2 2 3 2" xfId="18519" xr:uid="{00000000-0005-0000-0000-0000FF660000}"/>
    <cellStyle name="Normal 69 5 2 2 3 2 2" xfId="35093" xr:uid="{00000000-0005-0000-0000-000000670000}"/>
    <cellStyle name="Normal 69 5 2 2 3 3" xfId="27046" xr:uid="{00000000-0005-0000-0000-000001670000}"/>
    <cellStyle name="Normal 69 5 2 2 4" xfId="14738" xr:uid="{00000000-0005-0000-0000-000002670000}"/>
    <cellStyle name="Normal 69 5 2 2 4 2" xfId="31286" xr:uid="{00000000-0005-0000-0000-000003670000}"/>
    <cellStyle name="Normal 69 5 2 2 5" xfId="23243" xr:uid="{00000000-0005-0000-0000-000004670000}"/>
    <cellStyle name="Normal 69 5 2 3" xfId="5428" xr:uid="{00000000-0005-0000-0000-000005670000}"/>
    <cellStyle name="Normal 69 5 2 3 2" xfId="9346" xr:uid="{00000000-0005-0000-0000-000006670000}"/>
    <cellStyle name="Normal 69 5 2 3 2 2" xfId="18520" xr:uid="{00000000-0005-0000-0000-000007670000}"/>
    <cellStyle name="Normal 69 5 2 3 2 2 2" xfId="35094" xr:uid="{00000000-0005-0000-0000-000008670000}"/>
    <cellStyle name="Normal 69 5 2 3 2 3" xfId="27047" xr:uid="{00000000-0005-0000-0000-000009670000}"/>
    <cellStyle name="Normal 69 5 2 3 3" xfId="14740" xr:uid="{00000000-0005-0000-0000-00000A670000}"/>
    <cellStyle name="Normal 69 5 2 3 3 2" xfId="31288" xr:uid="{00000000-0005-0000-0000-00000B670000}"/>
    <cellStyle name="Normal 69 5 2 3 4" xfId="23245" xr:uid="{00000000-0005-0000-0000-00000C670000}"/>
    <cellStyle name="Normal 69 5 2 4" xfId="9347" xr:uid="{00000000-0005-0000-0000-00000D670000}"/>
    <cellStyle name="Normal 69 5 2 4 2" xfId="18521" xr:uid="{00000000-0005-0000-0000-00000E670000}"/>
    <cellStyle name="Normal 69 5 2 4 2 2" xfId="35095" xr:uid="{00000000-0005-0000-0000-00000F670000}"/>
    <cellStyle name="Normal 69 5 2 4 3" xfId="27048" xr:uid="{00000000-0005-0000-0000-000010670000}"/>
    <cellStyle name="Normal 69 5 2 5" xfId="14737" xr:uid="{00000000-0005-0000-0000-000011670000}"/>
    <cellStyle name="Normal 69 5 2 5 2" xfId="31285" xr:uid="{00000000-0005-0000-0000-000012670000}"/>
    <cellStyle name="Normal 69 5 2 6" xfId="23242" xr:uid="{00000000-0005-0000-0000-000013670000}"/>
    <cellStyle name="Normal 69 5 3" xfId="5429" xr:uid="{00000000-0005-0000-0000-000014670000}"/>
    <cellStyle name="Normal 69 5 3 2" xfId="5430" xr:uid="{00000000-0005-0000-0000-000015670000}"/>
    <cellStyle name="Normal 69 5 3 2 2" xfId="9348" xr:uid="{00000000-0005-0000-0000-000016670000}"/>
    <cellStyle name="Normal 69 5 3 2 2 2" xfId="18522" xr:uid="{00000000-0005-0000-0000-000017670000}"/>
    <cellStyle name="Normal 69 5 3 2 2 2 2" xfId="35096" xr:uid="{00000000-0005-0000-0000-000018670000}"/>
    <cellStyle name="Normal 69 5 3 2 2 3" xfId="27049" xr:uid="{00000000-0005-0000-0000-000019670000}"/>
    <cellStyle name="Normal 69 5 3 2 3" xfId="14742" xr:uid="{00000000-0005-0000-0000-00001A670000}"/>
    <cellStyle name="Normal 69 5 3 2 3 2" xfId="31290" xr:uid="{00000000-0005-0000-0000-00001B670000}"/>
    <cellStyle name="Normal 69 5 3 2 4" xfId="23247" xr:uid="{00000000-0005-0000-0000-00001C670000}"/>
    <cellStyle name="Normal 69 5 3 3" xfId="9349" xr:uid="{00000000-0005-0000-0000-00001D670000}"/>
    <cellStyle name="Normal 69 5 3 3 2" xfId="18523" xr:uid="{00000000-0005-0000-0000-00001E670000}"/>
    <cellStyle name="Normal 69 5 3 3 2 2" xfId="35097" xr:uid="{00000000-0005-0000-0000-00001F670000}"/>
    <cellStyle name="Normal 69 5 3 3 3" xfId="27050" xr:uid="{00000000-0005-0000-0000-000020670000}"/>
    <cellStyle name="Normal 69 5 3 4" xfId="14741" xr:uid="{00000000-0005-0000-0000-000021670000}"/>
    <cellStyle name="Normal 69 5 3 4 2" xfId="31289" xr:uid="{00000000-0005-0000-0000-000022670000}"/>
    <cellStyle name="Normal 69 5 3 5" xfId="23246" xr:uid="{00000000-0005-0000-0000-000023670000}"/>
    <cellStyle name="Normal 69 5 4" xfId="5431" xr:uid="{00000000-0005-0000-0000-000024670000}"/>
    <cellStyle name="Normal 69 5 4 2" xfId="9350" xr:uid="{00000000-0005-0000-0000-000025670000}"/>
    <cellStyle name="Normal 69 5 4 2 2" xfId="18524" xr:uid="{00000000-0005-0000-0000-000026670000}"/>
    <cellStyle name="Normal 69 5 4 2 2 2" xfId="35098" xr:uid="{00000000-0005-0000-0000-000027670000}"/>
    <cellStyle name="Normal 69 5 4 2 3" xfId="27051" xr:uid="{00000000-0005-0000-0000-000028670000}"/>
    <cellStyle name="Normal 69 5 4 3" xfId="14743" xr:uid="{00000000-0005-0000-0000-000029670000}"/>
    <cellStyle name="Normal 69 5 4 3 2" xfId="31291" xr:uid="{00000000-0005-0000-0000-00002A670000}"/>
    <cellStyle name="Normal 69 5 4 4" xfId="23248" xr:uid="{00000000-0005-0000-0000-00002B670000}"/>
    <cellStyle name="Normal 69 5 5" xfId="9351" xr:uid="{00000000-0005-0000-0000-00002C670000}"/>
    <cellStyle name="Normal 69 5 5 2" xfId="18525" xr:uid="{00000000-0005-0000-0000-00002D670000}"/>
    <cellStyle name="Normal 69 5 5 2 2" xfId="35099" xr:uid="{00000000-0005-0000-0000-00002E670000}"/>
    <cellStyle name="Normal 69 5 5 3" xfId="27052" xr:uid="{00000000-0005-0000-0000-00002F670000}"/>
    <cellStyle name="Normal 69 5 6" xfId="14736" xr:uid="{00000000-0005-0000-0000-000030670000}"/>
    <cellStyle name="Normal 69 5 6 2" xfId="31284" xr:uid="{00000000-0005-0000-0000-000031670000}"/>
    <cellStyle name="Normal 69 5 7" xfId="23241" xr:uid="{00000000-0005-0000-0000-000032670000}"/>
    <cellStyle name="Normal 69 6" xfId="5432" xr:uid="{00000000-0005-0000-0000-000033670000}"/>
    <cellStyle name="Normal 69 6 2" xfId="5433" xr:uid="{00000000-0005-0000-0000-000034670000}"/>
    <cellStyle name="Normal 69 6 2 2" xfId="5434" xr:uid="{00000000-0005-0000-0000-000035670000}"/>
    <cellStyle name="Normal 69 6 2 2 2" xfId="9352" xr:uid="{00000000-0005-0000-0000-000036670000}"/>
    <cellStyle name="Normal 69 6 2 2 2 2" xfId="18526" xr:uid="{00000000-0005-0000-0000-000037670000}"/>
    <cellStyle name="Normal 69 6 2 2 2 2 2" xfId="35100" xr:uid="{00000000-0005-0000-0000-000038670000}"/>
    <cellStyle name="Normal 69 6 2 2 2 3" xfId="27053" xr:uid="{00000000-0005-0000-0000-000039670000}"/>
    <cellStyle name="Normal 69 6 2 2 3" xfId="14746" xr:uid="{00000000-0005-0000-0000-00003A670000}"/>
    <cellStyle name="Normal 69 6 2 2 3 2" xfId="31294" xr:uid="{00000000-0005-0000-0000-00003B670000}"/>
    <cellStyle name="Normal 69 6 2 2 4" xfId="23251" xr:uid="{00000000-0005-0000-0000-00003C670000}"/>
    <cellStyle name="Normal 69 6 2 3" xfId="9353" xr:uid="{00000000-0005-0000-0000-00003D670000}"/>
    <cellStyle name="Normal 69 6 2 3 2" xfId="18527" xr:uid="{00000000-0005-0000-0000-00003E670000}"/>
    <cellStyle name="Normal 69 6 2 3 2 2" xfId="35101" xr:uid="{00000000-0005-0000-0000-00003F670000}"/>
    <cellStyle name="Normal 69 6 2 3 3" xfId="27054" xr:uid="{00000000-0005-0000-0000-000040670000}"/>
    <cellStyle name="Normal 69 6 2 4" xfId="14745" xr:uid="{00000000-0005-0000-0000-000041670000}"/>
    <cellStyle name="Normal 69 6 2 4 2" xfId="31293" xr:uid="{00000000-0005-0000-0000-000042670000}"/>
    <cellStyle name="Normal 69 6 2 5" xfId="23250" xr:uid="{00000000-0005-0000-0000-000043670000}"/>
    <cellStyle name="Normal 69 6 3" xfId="5435" xr:uid="{00000000-0005-0000-0000-000044670000}"/>
    <cellStyle name="Normal 69 6 3 2" xfId="9354" xr:uid="{00000000-0005-0000-0000-000045670000}"/>
    <cellStyle name="Normal 69 6 3 2 2" xfId="18528" xr:uid="{00000000-0005-0000-0000-000046670000}"/>
    <cellStyle name="Normal 69 6 3 2 2 2" xfId="35102" xr:uid="{00000000-0005-0000-0000-000047670000}"/>
    <cellStyle name="Normal 69 6 3 2 3" xfId="27055" xr:uid="{00000000-0005-0000-0000-000048670000}"/>
    <cellStyle name="Normal 69 6 3 3" xfId="14747" xr:uid="{00000000-0005-0000-0000-000049670000}"/>
    <cellStyle name="Normal 69 6 3 3 2" xfId="31295" xr:uid="{00000000-0005-0000-0000-00004A670000}"/>
    <cellStyle name="Normal 69 6 3 4" xfId="23252" xr:uid="{00000000-0005-0000-0000-00004B670000}"/>
    <cellStyle name="Normal 69 6 4" xfId="9355" xr:uid="{00000000-0005-0000-0000-00004C670000}"/>
    <cellStyle name="Normal 69 6 4 2" xfId="18529" xr:uid="{00000000-0005-0000-0000-00004D670000}"/>
    <cellStyle name="Normal 69 6 4 2 2" xfId="35103" xr:uid="{00000000-0005-0000-0000-00004E670000}"/>
    <cellStyle name="Normal 69 6 4 3" xfId="27056" xr:uid="{00000000-0005-0000-0000-00004F670000}"/>
    <cellStyle name="Normal 69 6 5" xfId="14744" xr:uid="{00000000-0005-0000-0000-000050670000}"/>
    <cellStyle name="Normal 69 6 5 2" xfId="31292" xr:uid="{00000000-0005-0000-0000-000051670000}"/>
    <cellStyle name="Normal 69 6 6" xfId="23249" xr:uid="{00000000-0005-0000-0000-000052670000}"/>
    <cellStyle name="Normal 69 7" xfId="5436" xr:uid="{00000000-0005-0000-0000-000053670000}"/>
    <cellStyle name="Normal 69 7 2" xfId="5437" xr:uid="{00000000-0005-0000-0000-000054670000}"/>
    <cellStyle name="Normal 69 7 2 2" xfId="9356" xr:uid="{00000000-0005-0000-0000-000055670000}"/>
    <cellStyle name="Normal 69 7 2 2 2" xfId="18530" xr:uid="{00000000-0005-0000-0000-000056670000}"/>
    <cellStyle name="Normal 69 7 2 2 2 2" xfId="35104" xr:uid="{00000000-0005-0000-0000-000057670000}"/>
    <cellStyle name="Normal 69 7 2 2 3" xfId="27057" xr:uid="{00000000-0005-0000-0000-000058670000}"/>
    <cellStyle name="Normal 69 7 2 3" xfId="14749" xr:uid="{00000000-0005-0000-0000-000059670000}"/>
    <cellStyle name="Normal 69 7 2 3 2" xfId="31297" xr:uid="{00000000-0005-0000-0000-00005A670000}"/>
    <cellStyle name="Normal 69 7 2 4" xfId="23254" xr:uid="{00000000-0005-0000-0000-00005B670000}"/>
    <cellStyle name="Normal 69 7 3" xfId="9357" xr:uid="{00000000-0005-0000-0000-00005C670000}"/>
    <cellStyle name="Normal 69 7 3 2" xfId="18531" xr:uid="{00000000-0005-0000-0000-00005D670000}"/>
    <cellStyle name="Normal 69 7 3 2 2" xfId="35105" xr:uid="{00000000-0005-0000-0000-00005E670000}"/>
    <cellStyle name="Normal 69 7 3 3" xfId="27058" xr:uid="{00000000-0005-0000-0000-00005F670000}"/>
    <cellStyle name="Normal 69 7 4" xfId="14748" xr:uid="{00000000-0005-0000-0000-000060670000}"/>
    <cellStyle name="Normal 69 7 4 2" xfId="31296" xr:uid="{00000000-0005-0000-0000-000061670000}"/>
    <cellStyle name="Normal 69 7 5" xfId="23253" xr:uid="{00000000-0005-0000-0000-000062670000}"/>
    <cellStyle name="Normal 69 8" xfId="5438" xr:uid="{00000000-0005-0000-0000-000063670000}"/>
    <cellStyle name="Normal 69 8 2" xfId="9358" xr:uid="{00000000-0005-0000-0000-000064670000}"/>
    <cellStyle name="Normal 69 8 2 2" xfId="18532" xr:uid="{00000000-0005-0000-0000-000065670000}"/>
    <cellStyle name="Normal 69 8 2 2 2" xfId="35106" xr:uid="{00000000-0005-0000-0000-000066670000}"/>
    <cellStyle name="Normal 69 8 2 3" xfId="27059" xr:uid="{00000000-0005-0000-0000-000067670000}"/>
    <cellStyle name="Normal 69 8 3" xfId="14750" xr:uid="{00000000-0005-0000-0000-000068670000}"/>
    <cellStyle name="Normal 69 8 3 2" xfId="31298" xr:uid="{00000000-0005-0000-0000-000069670000}"/>
    <cellStyle name="Normal 69 8 4" xfId="23255" xr:uid="{00000000-0005-0000-0000-00006A670000}"/>
    <cellStyle name="Normal 69 9" xfId="9359" xr:uid="{00000000-0005-0000-0000-00006B670000}"/>
    <cellStyle name="Normal 69 9 2" xfId="18533" xr:uid="{00000000-0005-0000-0000-00006C670000}"/>
    <cellStyle name="Normal 69 9 2 2" xfId="35107" xr:uid="{00000000-0005-0000-0000-00006D670000}"/>
    <cellStyle name="Normal 69 9 3" xfId="27060" xr:uid="{00000000-0005-0000-0000-00006E670000}"/>
    <cellStyle name="Normal 7" xfId="6" xr:uid="{00000000-0005-0000-0000-00006F670000}"/>
    <cellStyle name="Normal 7 10" xfId="14751" xr:uid="{00000000-0005-0000-0000-000070670000}"/>
    <cellStyle name="Normal 7 10 2" xfId="31299" xr:uid="{00000000-0005-0000-0000-000071670000}"/>
    <cellStyle name="Normal 7 11" xfId="23256" xr:uid="{00000000-0005-0000-0000-000072670000}"/>
    <cellStyle name="Normal 7 2" xfId="285" xr:uid="{00000000-0005-0000-0000-000073670000}"/>
    <cellStyle name="Normal 7 2 2" xfId="286" xr:uid="{00000000-0005-0000-0000-000074670000}"/>
    <cellStyle name="Normal 7 2 2 2" xfId="5440" xr:uid="{00000000-0005-0000-0000-000075670000}"/>
    <cellStyle name="Normal 7 2 2 2 2" xfId="5441" xr:uid="{00000000-0005-0000-0000-000076670000}"/>
    <cellStyle name="Normal 7 2 2 2 2 2" xfId="9360" xr:uid="{00000000-0005-0000-0000-000077670000}"/>
    <cellStyle name="Normal 7 2 2 2 2 2 2" xfId="18534" xr:uid="{00000000-0005-0000-0000-000078670000}"/>
    <cellStyle name="Normal 7 2 2 2 2 2 2 2" xfId="35108" xr:uid="{00000000-0005-0000-0000-000079670000}"/>
    <cellStyle name="Normal 7 2 2 2 2 2 3" xfId="27061" xr:uid="{00000000-0005-0000-0000-00007A670000}"/>
    <cellStyle name="Normal 7 2 2 2 2 3" xfId="14754" xr:uid="{00000000-0005-0000-0000-00007B670000}"/>
    <cellStyle name="Normal 7 2 2 2 2 3 2" xfId="31302" xr:uid="{00000000-0005-0000-0000-00007C670000}"/>
    <cellStyle name="Normal 7 2 2 2 2 4" xfId="23259" xr:uid="{00000000-0005-0000-0000-00007D670000}"/>
    <cellStyle name="Normal 7 2 2 2 3" xfId="9361" xr:uid="{00000000-0005-0000-0000-00007E670000}"/>
    <cellStyle name="Normal 7 2 2 2 3 2" xfId="18535" xr:uid="{00000000-0005-0000-0000-00007F670000}"/>
    <cellStyle name="Normal 7 2 2 2 3 2 2" xfId="35109" xr:uid="{00000000-0005-0000-0000-000080670000}"/>
    <cellStyle name="Normal 7 2 2 2 3 3" xfId="27062" xr:uid="{00000000-0005-0000-0000-000081670000}"/>
    <cellStyle name="Normal 7 2 2 2 4" xfId="14753" xr:uid="{00000000-0005-0000-0000-000082670000}"/>
    <cellStyle name="Normal 7 2 2 2 4 2" xfId="31301" xr:uid="{00000000-0005-0000-0000-000083670000}"/>
    <cellStyle name="Normal 7 2 2 2 5" xfId="23258" xr:uid="{00000000-0005-0000-0000-000084670000}"/>
    <cellStyle name="Normal 7 2 2 3" xfId="5442" xr:uid="{00000000-0005-0000-0000-000085670000}"/>
    <cellStyle name="Normal 7 2 2 3 2" xfId="9362" xr:uid="{00000000-0005-0000-0000-000086670000}"/>
    <cellStyle name="Normal 7 2 2 3 2 2" xfId="18536" xr:uid="{00000000-0005-0000-0000-000087670000}"/>
    <cellStyle name="Normal 7 2 2 3 2 2 2" xfId="35110" xr:uid="{00000000-0005-0000-0000-000088670000}"/>
    <cellStyle name="Normal 7 2 2 3 2 3" xfId="27063" xr:uid="{00000000-0005-0000-0000-000089670000}"/>
    <cellStyle name="Normal 7 2 2 3 3" xfId="14755" xr:uid="{00000000-0005-0000-0000-00008A670000}"/>
    <cellStyle name="Normal 7 2 2 3 3 2" xfId="31303" xr:uid="{00000000-0005-0000-0000-00008B670000}"/>
    <cellStyle name="Normal 7 2 2 3 4" xfId="23260" xr:uid="{00000000-0005-0000-0000-00008C670000}"/>
    <cellStyle name="Normal 7 2 2 4" xfId="9363" xr:uid="{00000000-0005-0000-0000-00008D670000}"/>
    <cellStyle name="Normal 7 2 2 4 2" xfId="18537" xr:uid="{00000000-0005-0000-0000-00008E670000}"/>
    <cellStyle name="Normal 7 2 2 4 2 2" xfId="35111" xr:uid="{00000000-0005-0000-0000-00008F670000}"/>
    <cellStyle name="Normal 7 2 2 4 3" xfId="27064" xr:uid="{00000000-0005-0000-0000-000090670000}"/>
    <cellStyle name="Normal 7 2 2 5" xfId="14752" xr:uid="{00000000-0005-0000-0000-000091670000}"/>
    <cellStyle name="Normal 7 2 2 5 2" xfId="31300" xr:uid="{00000000-0005-0000-0000-000092670000}"/>
    <cellStyle name="Normal 7 2 2 6" xfId="23257" xr:uid="{00000000-0005-0000-0000-000093670000}"/>
    <cellStyle name="Normal 7 2 3" xfId="383" xr:uid="{00000000-0005-0000-0000-000094670000}"/>
    <cellStyle name="Normal 7 2 3 2" xfId="5443" xr:uid="{00000000-0005-0000-0000-000095670000}"/>
    <cellStyle name="Normal 7 2 3 2 2" xfId="9364" xr:uid="{00000000-0005-0000-0000-000096670000}"/>
    <cellStyle name="Normal 7 2 3 2 2 2" xfId="18538" xr:uid="{00000000-0005-0000-0000-000097670000}"/>
    <cellStyle name="Normal 7 2 3 2 2 2 2" xfId="35112" xr:uid="{00000000-0005-0000-0000-000098670000}"/>
    <cellStyle name="Normal 7 2 3 2 2 3" xfId="27065" xr:uid="{00000000-0005-0000-0000-000099670000}"/>
    <cellStyle name="Normal 7 2 3 2 3" xfId="14757" xr:uid="{00000000-0005-0000-0000-00009A670000}"/>
    <cellStyle name="Normal 7 2 3 2 3 2" xfId="31305" xr:uid="{00000000-0005-0000-0000-00009B670000}"/>
    <cellStyle name="Normal 7 2 3 2 4" xfId="23262" xr:uid="{00000000-0005-0000-0000-00009C670000}"/>
    <cellStyle name="Normal 7 2 3 3" xfId="9365" xr:uid="{00000000-0005-0000-0000-00009D670000}"/>
    <cellStyle name="Normal 7 2 3 3 2" xfId="18539" xr:uid="{00000000-0005-0000-0000-00009E670000}"/>
    <cellStyle name="Normal 7 2 3 3 2 2" xfId="35113" xr:uid="{00000000-0005-0000-0000-00009F670000}"/>
    <cellStyle name="Normal 7 2 3 3 3" xfId="27066" xr:uid="{00000000-0005-0000-0000-0000A0670000}"/>
    <cellStyle name="Normal 7 2 3 4" xfId="14756" xr:uid="{00000000-0005-0000-0000-0000A1670000}"/>
    <cellStyle name="Normal 7 2 3 4 2" xfId="31304" xr:uid="{00000000-0005-0000-0000-0000A2670000}"/>
    <cellStyle name="Normal 7 2 3 5" xfId="23261" xr:uid="{00000000-0005-0000-0000-0000A3670000}"/>
    <cellStyle name="Normal 7 2 4" xfId="1722" xr:uid="{00000000-0005-0000-0000-0000A4670000}"/>
    <cellStyle name="Normal 7 2 4 2" xfId="9366" xr:uid="{00000000-0005-0000-0000-0000A5670000}"/>
    <cellStyle name="Normal 7 2 4 2 2" xfId="18540" xr:uid="{00000000-0005-0000-0000-0000A6670000}"/>
    <cellStyle name="Normal 7 2 4 2 2 2" xfId="35114" xr:uid="{00000000-0005-0000-0000-0000A7670000}"/>
    <cellStyle name="Normal 7 2 4 2 3" xfId="27067" xr:uid="{00000000-0005-0000-0000-0000A8670000}"/>
    <cellStyle name="Normal 7 2 4 3" xfId="5444" xr:uid="{00000000-0005-0000-0000-0000A9670000}"/>
    <cellStyle name="Normal 7 2 4 3 2" xfId="31306" xr:uid="{00000000-0005-0000-0000-0000AA670000}"/>
    <cellStyle name="Normal 7 2 4 4" xfId="23263" xr:uid="{00000000-0005-0000-0000-0000AB670000}"/>
    <cellStyle name="Normal 7 2 5" xfId="9367" xr:uid="{00000000-0005-0000-0000-0000AC670000}"/>
    <cellStyle name="Normal 7 2 5 2" xfId="18541" xr:uid="{00000000-0005-0000-0000-0000AD670000}"/>
    <cellStyle name="Normal 7 2 5 2 2" xfId="35115" xr:uid="{00000000-0005-0000-0000-0000AE670000}"/>
    <cellStyle name="Normal 7 2 5 3" xfId="27068" xr:uid="{00000000-0005-0000-0000-0000AF670000}"/>
    <cellStyle name="Normal 7 2 6" xfId="5439" xr:uid="{00000000-0005-0000-0000-0000B0670000}"/>
    <cellStyle name="Normal 7 3" xfId="287" xr:uid="{00000000-0005-0000-0000-0000B1670000}"/>
    <cellStyle name="Normal 7 3 2" xfId="5445" xr:uid="{00000000-0005-0000-0000-0000B2670000}"/>
    <cellStyle name="Normal 7 3 2 2" xfId="5446" xr:uid="{00000000-0005-0000-0000-0000B3670000}"/>
    <cellStyle name="Normal 7 3 2 2 2" xfId="5447" xr:uid="{00000000-0005-0000-0000-0000B4670000}"/>
    <cellStyle name="Normal 7 3 2 2 2 2" xfId="9368" xr:uid="{00000000-0005-0000-0000-0000B5670000}"/>
    <cellStyle name="Normal 7 3 2 2 2 2 2" xfId="18542" xr:uid="{00000000-0005-0000-0000-0000B6670000}"/>
    <cellStyle name="Normal 7 3 2 2 2 2 2 2" xfId="35116" xr:uid="{00000000-0005-0000-0000-0000B7670000}"/>
    <cellStyle name="Normal 7 3 2 2 2 2 3" xfId="27069" xr:uid="{00000000-0005-0000-0000-0000B8670000}"/>
    <cellStyle name="Normal 7 3 2 2 2 3" xfId="14761" xr:uid="{00000000-0005-0000-0000-0000B9670000}"/>
    <cellStyle name="Normal 7 3 2 2 2 3 2" xfId="31310" xr:uid="{00000000-0005-0000-0000-0000BA670000}"/>
    <cellStyle name="Normal 7 3 2 2 2 4" xfId="23267" xr:uid="{00000000-0005-0000-0000-0000BB670000}"/>
    <cellStyle name="Normal 7 3 2 2 3" xfId="9369" xr:uid="{00000000-0005-0000-0000-0000BC670000}"/>
    <cellStyle name="Normal 7 3 2 2 3 2" xfId="18543" xr:uid="{00000000-0005-0000-0000-0000BD670000}"/>
    <cellStyle name="Normal 7 3 2 2 3 2 2" xfId="35117" xr:uid="{00000000-0005-0000-0000-0000BE670000}"/>
    <cellStyle name="Normal 7 3 2 2 3 3" xfId="27070" xr:uid="{00000000-0005-0000-0000-0000BF670000}"/>
    <cellStyle name="Normal 7 3 2 2 4" xfId="14760" xr:uid="{00000000-0005-0000-0000-0000C0670000}"/>
    <cellStyle name="Normal 7 3 2 2 4 2" xfId="31309" xr:uid="{00000000-0005-0000-0000-0000C1670000}"/>
    <cellStyle name="Normal 7 3 2 2 5" xfId="23266" xr:uid="{00000000-0005-0000-0000-0000C2670000}"/>
    <cellStyle name="Normal 7 3 2 3" xfId="5448" xr:uid="{00000000-0005-0000-0000-0000C3670000}"/>
    <cellStyle name="Normal 7 3 2 3 2" xfId="9370" xr:uid="{00000000-0005-0000-0000-0000C4670000}"/>
    <cellStyle name="Normal 7 3 2 3 2 2" xfId="18544" xr:uid="{00000000-0005-0000-0000-0000C5670000}"/>
    <cellStyle name="Normal 7 3 2 3 2 2 2" xfId="35118" xr:uid="{00000000-0005-0000-0000-0000C6670000}"/>
    <cellStyle name="Normal 7 3 2 3 2 3" xfId="27071" xr:uid="{00000000-0005-0000-0000-0000C7670000}"/>
    <cellStyle name="Normal 7 3 2 3 3" xfId="14762" xr:uid="{00000000-0005-0000-0000-0000C8670000}"/>
    <cellStyle name="Normal 7 3 2 3 3 2" xfId="31311" xr:uid="{00000000-0005-0000-0000-0000C9670000}"/>
    <cellStyle name="Normal 7 3 2 3 4" xfId="23268" xr:uid="{00000000-0005-0000-0000-0000CA670000}"/>
    <cellStyle name="Normal 7 3 2 4" xfId="9371" xr:uid="{00000000-0005-0000-0000-0000CB670000}"/>
    <cellStyle name="Normal 7 3 2 4 2" xfId="18545" xr:uid="{00000000-0005-0000-0000-0000CC670000}"/>
    <cellStyle name="Normal 7 3 2 4 2 2" xfId="35119" xr:uid="{00000000-0005-0000-0000-0000CD670000}"/>
    <cellStyle name="Normal 7 3 2 4 3" xfId="27072" xr:uid="{00000000-0005-0000-0000-0000CE670000}"/>
    <cellStyle name="Normal 7 3 2 5" xfId="14759" xr:uid="{00000000-0005-0000-0000-0000CF670000}"/>
    <cellStyle name="Normal 7 3 2 5 2" xfId="31308" xr:uid="{00000000-0005-0000-0000-0000D0670000}"/>
    <cellStyle name="Normal 7 3 2 6" xfId="23265" xr:uid="{00000000-0005-0000-0000-0000D1670000}"/>
    <cellStyle name="Normal 7 3 3" xfId="5449" xr:uid="{00000000-0005-0000-0000-0000D2670000}"/>
    <cellStyle name="Normal 7 3 3 2" xfId="5450" xr:uid="{00000000-0005-0000-0000-0000D3670000}"/>
    <cellStyle name="Normal 7 3 3 2 2" xfId="9372" xr:uid="{00000000-0005-0000-0000-0000D4670000}"/>
    <cellStyle name="Normal 7 3 3 2 2 2" xfId="18546" xr:uid="{00000000-0005-0000-0000-0000D5670000}"/>
    <cellStyle name="Normal 7 3 3 2 2 2 2" xfId="35120" xr:uid="{00000000-0005-0000-0000-0000D6670000}"/>
    <cellStyle name="Normal 7 3 3 2 2 3" xfId="27073" xr:uid="{00000000-0005-0000-0000-0000D7670000}"/>
    <cellStyle name="Normal 7 3 3 2 3" xfId="14764" xr:uid="{00000000-0005-0000-0000-0000D8670000}"/>
    <cellStyle name="Normal 7 3 3 2 3 2" xfId="31313" xr:uid="{00000000-0005-0000-0000-0000D9670000}"/>
    <cellStyle name="Normal 7 3 3 2 4" xfId="23270" xr:uid="{00000000-0005-0000-0000-0000DA670000}"/>
    <cellStyle name="Normal 7 3 3 3" xfId="9373" xr:uid="{00000000-0005-0000-0000-0000DB670000}"/>
    <cellStyle name="Normal 7 3 3 3 2" xfId="18547" xr:uid="{00000000-0005-0000-0000-0000DC670000}"/>
    <cellStyle name="Normal 7 3 3 3 2 2" xfId="35121" xr:uid="{00000000-0005-0000-0000-0000DD670000}"/>
    <cellStyle name="Normal 7 3 3 3 3" xfId="27074" xr:uid="{00000000-0005-0000-0000-0000DE670000}"/>
    <cellStyle name="Normal 7 3 3 4" xfId="14763" xr:uid="{00000000-0005-0000-0000-0000DF670000}"/>
    <cellStyle name="Normal 7 3 3 4 2" xfId="31312" xr:uid="{00000000-0005-0000-0000-0000E0670000}"/>
    <cellStyle name="Normal 7 3 3 5" xfId="23269" xr:uid="{00000000-0005-0000-0000-0000E1670000}"/>
    <cellStyle name="Normal 7 3 4" xfId="5451" xr:uid="{00000000-0005-0000-0000-0000E2670000}"/>
    <cellStyle name="Normal 7 3 4 2" xfId="9374" xr:uid="{00000000-0005-0000-0000-0000E3670000}"/>
    <cellStyle name="Normal 7 3 4 2 2" xfId="18548" xr:uid="{00000000-0005-0000-0000-0000E4670000}"/>
    <cellStyle name="Normal 7 3 4 2 2 2" xfId="35122" xr:uid="{00000000-0005-0000-0000-0000E5670000}"/>
    <cellStyle name="Normal 7 3 4 2 3" xfId="27075" xr:uid="{00000000-0005-0000-0000-0000E6670000}"/>
    <cellStyle name="Normal 7 3 4 3" xfId="14765" xr:uid="{00000000-0005-0000-0000-0000E7670000}"/>
    <cellStyle name="Normal 7 3 4 3 2" xfId="31314" xr:uid="{00000000-0005-0000-0000-0000E8670000}"/>
    <cellStyle name="Normal 7 3 4 4" xfId="23271" xr:uid="{00000000-0005-0000-0000-0000E9670000}"/>
    <cellStyle name="Normal 7 3 5" xfId="9375" xr:uid="{00000000-0005-0000-0000-0000EA670000}"/>
    <cellStyle name="Normal 7 3 5 2" xfId="18549" xr:uid="{00000000-0005-0000-0000-0000EB670000}"/>
    <cellStyle name="Normal 7 3 5 2 2" xfId="35123" xr:uid="{00000000-0005-0000-0000-0000EC670000}"/>
    <cellStyle name="Normal 7 3 5 3" xfId="27076" xr:uid="{00000000-0005-0000-0000-0000ED670000}"/>
    <cellStyle name="Normal 7 3 6" xfId="14758" xr:uid="{00000000-0005-0000-0000-0000EE670000}"/>
    <cellStyle name="Normal 7 3 6 2" xfId="31307" xr:uid="{00000000-0005-0000-0000-0000EF670000}"/>
    <cellStyle name="Normal 7 3 7" xfId="23264" xr:uid="{00000000-0005-0000-0000-0000F0670000}"/>
    <cellStyle name="Normal 7 4" xfId="1721" xr:uid="{00000000-0005-0000-0000-0000F1670000}"/>
    <cellStyle name="Normal 7 4 2" xfId="5452" xr:uid="{00000000-0005-0000-0000-0000F2670000}"/>
    <cellStyle name="Normal 7 4 2 2" xfId="5453" xr:uid="{00000000-0005-0000-0000-0000F3670000}"/>
    <cellStyle name="Normal 7 4 2 2 2" xfId="5454" xr:uid="{00000000-0005-0000-0000-0000F4670000}"/>
    <cellStyle name="Normal 7 4 2 2 2 2" xfId="5455" xr:uid="{00000000-0005-0000-0000-0000F5670000}"/>
    <cellStyle name="Normal 7 4 2 2 2 2 2" xfId="14770" xr:uid="{00000000-0005-0000-0000-0000F6670000}"/>
    <cellStyle name="Normal 7 4 2 2 2 2 2 2" xfId="31319" xr:uid="{00000000-0005-0000-0000-0000F7670000}"/>
    <cellStyle name="Normal 7 4 2 2 2 2 3" xfId="23276" xr:uid="{00000000-0005-0000-0000-0000F8670000}"/>
    <cellStyle name="Normal 7 4 2 2 2 3" xfId="14769" xr:uid="{00000000-0005-0000-0000-0000F9670000}"/>
    <cellStyle name="Normal 7 4 2 2 2 3 2" xfId="31318" xr:uid="{00000000-0005-0000-0000-0000FA670000}"/>
    <cellStyle name="Normal 7 4 2 2 2 4" xfId="23275" xr:uid="{00000000-0005-0000-0000-0000FB670000}"/>
    <cellStyle name="Normal 7 4 2 2 3" xfId="9376" xr:uid="{00000000-0005-0000-0000-0000FC670000}"/>
    <cellStyle name="Normal 7 4 2 2 3 2" xfId="18550" xr:uid="{00000000-0005-0000-0000-0000FD670000}"/>
    <cellStyle name="Normal 7 4 2 2 3 2 2" xfId="35124" xr:uid="{00000000-0005-0000-0000-0000FE670000}"/>
    <cellStyle name="Normal 7 4 2 2 3 3" xfId="27077" xr:uid="{00000000-0005-0000-0000-0000FF670000}"/>
    <cellStyle name="Normal 7 4 2 2 4" xfId="14768" xr:uid="{00000000-0005-0000-0000-000000680000}"/>
    <cellStyle name="Normal 7 4 2 2 4 2" xfId="31317" xr:uid="{00000000-0005-0000-0000-000001680000}"/>
    <cellStyle name="Normal 7 4 2 2 5" xfId="23274" xr:uid="{00000000-0005-0000-0000-000002680000}"/>
    <cellStyle name="Normal 7 4 2 3" xfId="5456" xr:uid="{00000000-0005-0000-0000-000003680000}"/>
    <cellStyle name="Normal 7 4 2 3 2" xfId="9377" xr:uid="{00000000-0005-0000-0000-000004680000}"/>
    <cellStyle name="Normal 7 4 2 3 2 2" xfId="18551" xr:uid="{00000000-0005-0000-0000-000005680000}"/>
    <cellStyle name="Normal 7 4 2 3 2 2 2" xfId="35125" xr:uid="{00000000-0005-0000-0000-000006680000}"/>
    <cellStyle name="Normal 7 4 2 3 2 3" xfId="27078" xr:uid="{00000000-0005-0000-0000-000007680000}"/>
    <cellStyle name="Normal 7 4 2 3 3" xfId="14771" xr:uid="{00000000-0005-0000-0000-000008680000}"/>
    <cellStyle name="Normal 7 4 2 3 3 2" xfId="31320" xr:uid="{00000000-0005-0000-0000-000009680000}"/>
    <cellStyle name="Normal 7 4 2 3 4" xfId="23277" xr:uid="{00000000-0005-0000-0000-00000A680000}"/>
    <cellStyle name="Normal 7 4 2 4" xfId="9378" xr:uid="{00000000-0005-0000-0000-00000B680000}"/>
    <cellStyle name="Normal 7 4 2 4 2" xfId="18552" xr:uid="{00000000-0005-0000-0000-00000C680000}"/>
    <cellStyle name="Normal 7 4 2 4 2 2" xfId="35126" xr:uid="{00000000-0005-0000-0000-00000D680000}"/>
    <cellStyle name="Normal 7 4 2 4 3" xfId="27079" xr:uid="{00000000-0005-0000-0000-00000E680000}"/>
    <cellStyle name="Normal 7 4 2 5" xfId="14767" xr:uid="{00000000-0005-0000-0000-00000F680000}"/>
    <cellStyle name="Normal 7 4 2 5 2" xfId="31316" xr:uid="{00000000-0005-0000-0000-000010680000}"/>
    <cellStyle name="Normal 7 4 2 6" xfId="23273" xr:uid="{00000000-0005-0000-0000-000011680000}"/>
    <cellStyle name="Normal 7 4 3" xfId="5457" xr:uid="{00000000-0005-0000-0000-000012680000}"/>
    <cellStyle name="Normal 7 4 3 2" xfId="5458" xr:uid="{00000000-0005-0000-0000-000013680000}"/>
    <cellStyle name="Normal 7 4 3 2 2" xfId="9379" xr:uid="{00000000-0005-0000-0000-000014680000}"/>
    <cellStyle name="Normal 7 4 3 2 2 2" xfId="18553" xr:uid="{00000000-0005-0000-0000-000015680000}"/>
    <cellStyle name="Normal 7 4 3 2 2 2 2" xfId="35127" xr:uid="{00000000-0005-0000-0000-000016680000}"/>
    <cellStyle name="Normal 7 4 3 2 2 3" xfId="27080" xr:uid="{00000000-0005-0000-0000-000017680000}"/>
    <cellStyle name="Normal 7 4 3 2 3" xfId="14773" xr:uid="{00000000-0005-0000-0000-000018680000}"/>
    <cellStyle name="Normal 7 4 3 2 3 2" xfId="31322" xr:uid="{00000000-0005-0000-0000-000019680000}"/>
    <cellStyle name="Normal 7 4 3 2 4" xfId="23279" xr:uid="{00000000-0005-0000-0000-00001A680000}"/>
    <cellStyle name="Normal 7 4 3 3" xfId="9380" xr:uid="{00000000-0005-0000-0000-00001B680000}"/>
    <cellStyle name="Normal 7 4 3 3 2" xfId="18554" xr:uid="{00000000-0005-0000-0000-00001C680000}"/>
    <cellStyle name="Normal 7 4 3 3 2 2" xfId="35128" xr:uid="{00000000-0005-0000-0000-00001D680000}"/>
    <cellStyle name="Normal 7 4 3 3 3" xfId="27081" xr:uid="{00000000-0005-0000-0000-00001E680000}"/>
    <cellStyle name="Normal 7 4 3 4" xfId="14772" xr:uid="{00000000-0005-0000-0000-00001F680000}"/>
    <cellStyle name="Normal 7 4 3 4 2" xfId="31321" xr:uid="{00000000-0005-0000-0000-000020680000}"/>
    <cellStyle name="Normal 7 4 3 5" xfId="23278" xr:uid="{00000000-0005-0000-0000-000021680000}"/>
    <cellStyle name="Normal 7 4 4" xfId="5459" xr:uid="{00000000-0005-0000-0000-000022680000}"/>
    <cellStyle name="Normal 7 4 4 2" xfId="9381" xr:uid="{00000000-0005-0000-0000-000023680000}"/>
    <cellStyle name="Normal 7 4 4 2 2" xfId="18555" xr:uid="{00000000-0005-0000-0000-000024680000}"/>
    <cellStyle name="Normal 7 4 4 2 2 2" xfId="35129" xr:uid="{00000000-0005-0000-0000-000025680000}"/>
    <cellStyle name="Normal 7 4 4 2 3" xfId="27082" xr:uid="{00000000-0005-0000-0000-000026680000}"/>
    <cellStyle name="Normal 7 4 4 3" xfId="14774" xr:uid="{00000000-0005-0000-0000-000027680000}"/>
    <cellStyle name="Normal 7 4 4 3 2" xfId="31323" xr:uid="{00000000-0005-0000-0000-000028680000}"/>
    <cellStyle name="Normal 7 4 4 4" xfId="23280" xr:uid="{00000000-0005-0000-0000-000029680000}"/>
    <cellStyle name="Normal 7 4 5" xfId="9382" xr:uid="{00000000-0005-0000-0000-00002A680000}"/>
    <cellStyle name="Normal 7 4 5 2" xfId="18556" xr:uid="{00000000-0005-0000-0000-00002B680000}"/>
    <cellStyle name="Normal 7 4 5 2 2" xfId="35130" xr:uid="{00000000-0005-0000-0000-00002C680000}"/>
    <cellStyle name="Normal 7 4 5 3" xfId="27083" xr:uid="{00000000-0005-0000-0000-00002D680000}"/>
    <cellStyle name="Normal 7 4 6" xfId="14766" xr:uid="{00000000-0005-0000-0000-00002E680000}"/>
    <cellStyle name="Normal 7 4 6 2" xfId="31315" xr:uid="{00000000-0005-0000-0000-00002F680000}"/>
    <cellStyle name="Normal 7 4 7" xfId="23272" xr:uid="{00000000-0005-0000-0000-000030680000}"/>
    <cellStyle name="Normal 7 5" xfId="1678" xr:uid="{00000000-0005-0000-0000-000031680000}"/>
    <cellStyle name="Normal 7 5 2" xfId="5461" xr:uid="{00000000-0005-0000-0000-000032680000}"/>
    <cellStyle name="Normal 7 5 2 2" xfId="5462" xr:uid="{00000000-0005-0000-0000-000033680000}"/>
    <cellStyle name="Normal 7 5 2 2 2" xfId="9383" xr:uid="{00000000-0005-0000-0000-000034680000}"/>
    <cellStyle name="Normal 7 5 2 2 2 2" xfId="18557" xr:uid="{00000000-0005-0000-0000-000035680000}"/>
    <cellStyle name="Normal 7 5 2 2 2 2 2" xfId="35131" xr:uid="{00000000-0005-0000-0000-000036680000}"/>
    <cellStyle name="Normal 7 5 2 2 2 3" xfId="27084" xr:uid="{00000000-0005-0000-0000-000037680000}"/>
    <cellStyle name="Normal 7 5 2 2 3" xfId="14776" xr:uid="{00000000-0005-0000-0000-000038680000}"/>
    <cellStyle name="Normal 7 5 2 2 3 2" xfId="31326" xr:uid="{00000000-0005-0000-0000-000039680000}"/>
    <cellStyle name="Normal 7 5 2 2 4" xfId="23283" xr:uid="{00000000-0005-0000-0000-00003A680000}"/>
    <cellStyle name="Normal 7 5 2 3" xfId="9384" xr:uid="{00000000-0005-0000-0000-00003B680000}"/>
    <cellStyle name="Normal 7 5 2 3 2" xfId="18558" xr:uid="{00000000-0005-0000-0000-00003C680000}"/>
    <cellStyle name="Normal 7 5 2 3 2 2" xfId="35132" xr:uid="{00000000-0005-0000-0000-00003D680000}"/>
    <cellStyle name="Normal 7 5 2 3 3" xfId="27085" xr:uid="{00000000-0005-0000-0000-00003E680000}"/>
    <cellStyle name="Normal 7 5 2 4" xfId="14775" xr:uid="{00000000-0005-0000-0000-00003F680000}"/>
    <cellStyle name="Normal 7 5 2 4 2" xfId="31325" xr:uid="{00000000-0005-0000-0000-000040680000}"/>
    <cellStyle name="Normal 7 5 2 5" xfId="23282" xr:uid="{00000000-0005-0000-0000-000041680000}"/>
    <cellStyle name="Normal 7 5 3" xfId="5463" xr:uid="{00000000-0005-0000-0000-000042680000}"/>
    <cellStyle name="Normal 7 5 3 2" xfId="9385" xr:uid="{00000000-0005-0000-0000-000043680000}"/>
    <cellStyle name="Normal 7 5 3 2 2" xfId="18559" xr:uid="{00000000-0005-0000-0000-000044680000}"/>
    <cellStyle name="Normal 7 5 3 2 2 2" xfId="35133" xr:uid="{00000000-0005-0000-0000-000045680000}"/>
    <cellStyle name="Normal 7 5 3 2 3" xfId="27086" xr:uid="{00000000-0005-0000-0000-000046680000}"/>
    <cellStyle name="Normal 7 5 3 3" xfId="14777" xr:uid="{00000000-0005-0000-0000-000047680000}"/>
    <cellStyle name="Normal 7 5 3 3 2" xfId="31327" xr:uid="{00000000-0005-0000-0000-000048680000}"/>
    <cellStyle name="Normal 7 5 3 4" xfId="23284" xr:uid="{00000000-0005-0000-0000-000049680000}"/>
    <cellStyle name="Normal 7 5 4" xfId="9386" xr:uid="{00000000-0005-0000-0000-00004A680000}"/>
    <cellStyle name="Normal 7 5 4 2" xfId="18560" xr:uid="{00000000-0005-0000-0000-00004B680000}"/>
    <cellStyle name="Normal 7 5 4 2 2" xfId="35134" xr:uid="{00000000-0005-0000-0000-00004C680000}"/>
    <cellStyle name="Normal 7 5 4 3" xfId="27087" xr:uid="{00000000-0005-0000-0000-00004D680000}"/>
    <cellStyle name="Normal 7 5 5" xfId="5460" xr:uid="{00000000-0005-0000-0000-00004E680000}"/>
    <cellStyle name="Normal 7 5 5 2" xfId="31324" xr:uid="{00000000-0005-0000-0000-00004F680000}"/>
    <cellStyle name="Normal 7 5 6" xfId="23281" xr:uid="{00000000-0005-0000-0000-000050680000}"/>
    <cellStyle name="Normal 7 6" xfId="5464" xr:uid="{00000000-0005-0000-0000-000051680000}"/>
    <cellStyle name="Normal 7 6 2" xfId="5465" xr:uid="{00000000-0005-0000-0000-000052680000}"/>
    <cellStyle name="Normal 7 6 2 2" xfId="9387" xr:uid="{00000000-0005-0000-0000-000053680000}"/>
    <cellStyle name="Normal 7 6 2 2 2" xfId="18561" xr:uid="{00000000-0005-0000-0000-000054680000}"/>
    <cellStyle name="Normal 7 6 2 2 2 2" xfId="35135" xr:uid="{00000000-0005-0000-0000-000055680000}"/>
    <cellStyle name="Normal 7 6 2 2 3" xfId="27088" xr:uid="{00000000-0005-0000-0000-000056680000}"/>
    <cellStyle name="Normal 7 6 2 3" xfId="14779" xr:uid="{00000000-0005-0000-0000-000057680000}"/>
    <cellStyle name="Normal 7 6 2 3 2" xfId="31329" xr:uid="{00000000-0005-0000-0000-000058680000}"/>
    <cellStyle name="Normal 7 6 2 4" xfId="23286" xr:uid="{00000000-0005-0000-0000-000059680000}"/>
    <cellStyle name="Normal 7 6 3" xfId="9388" xr:uid="{00000000-0005-0000-0000-00005A680000}"/>
    <cellStyle name="Normal 7 6 3 2" xfId="18562" xr:uid="{00000000-0005-0000-0000-00005B680000}"/>
    <cellStyle name="Normal 7 6 3 2 2" xfId="35136" xr:uid="{00000000-0005-0000-0000-00005C680000}"/>
    <cellStyle name="Normal 7 6 3 3" xfId="27089" xr:uid="{00000000-0005-0000-0000-00005D680000}"/>
    <cellStyle name="Normal 7 6 4" xfId="14778" xr:uid="{00000000-0005-0000-0000-00005E680000}"/>
    <cellStyle name="Normal 7 6 4 2" xfId="31328" xr:uid="{00000000-0005-0000-0000-00005F680000}"/>
    <cellStyle name="Normal 7 6 5" xfId="23285" xr:uid="{00000000-0005-0000-0000-000060680000}"/>
    <cellStyle name="Normal 7 7" xfId="5466" xr:uid="{00000000-0005-0000-0000-000061680000}"/>
    <cellStyle name="Normal 7 7 2" xfId="9389" xr:uid="{00000000-0005-0000-0000-000062680000}"/>
    <cellStyle name="Normal 7 7 2 2" xfId="18563" xr:uid="{00000000-0005-0000-0000-000063680000}"/>
    <cellStyle name="Normal 7 7 2 2 2" xfId="35137" xr:uid="{00000000-0005-0000-0000-000064680000}"/>
    <cellStyle name="Normal 7 7 2 3" xfId="27090" xr:uid="{00000000-0005-0000-0000-000065680000}"/>
    <cellStyle name="Normal 7 7 3" xfId="14780" xr:uid="{00000000-0005-0000-0000-000066680000}"/>
    <cellStyle name="Normal 7 7 3 2" xfId="31330" xr:uid="{00000000-0005-0000-0000-000067680000}"/>
    <cellStyle name="Normal 7 7 4" xfId="23287" xr:uid="{00000000-0005-0000-0000-000068680000}"/>
    <cellStyle name="Normal 7 8" xfId="9390" xr:uid="{00000000-0005-0000-0000-000069680000}"/>
    <cellStyle name="Normal 7 8 2" xfId="18564" xr:uid="{00000000-0005-0000-0000-00006A680000}"/>
    <cellStyle name="Normal 7 8 2 2" xfId="35138" xr:uid="{00000000-0005-0000-0000-00006B680000}"/>
    <cellStyle name="Normal 7 8 3" xfId="27091" xr:uid="{00000000-0005-0000-0000-00006C680000}"/>
    <cellStyle name="Normal 7 9" xfId="10402" xr:uid="{00000000-0005-0000-0000-00006D680000}"/>
    <cellStyle name="Normal 7 9 2" xfId="19565" xr:uid="{00000000-0005-0000-0000-00006E680000}"/>
    <cellStyle name="Normal 7 9 2 2" xfId="36142" xr:uid="{00000000-0005-0000-0000-00006F680000}"/>
    <cellStyle name="Normal 7 9 3" xfId="28096" xr:uid="{00000000-0005-0000-0000-000070680000}"/>
    <cellStyle name="Normal 70" xfId="5467" xr:uid="{00000000-0005-0000-0000-000071680000}"/>
    <cellStyle name="Normal 70 10" xfId="14781" xr:uid="{00000000-0005-0000-0000-000072680000}"/>
    <cellStyle name="Normal 70 10 2" xfId="31331" xr:uid="{00000000-0005-0000-0000-000073680000}"/>
    <cellStyle name="Normal 70 11" xfId="23288" xr:uid="{00000000-0005-0000-0000-000074680000}"/>
    <cellStyle name="Normal 70 2" xfId="5468" xr:uid="{00000000-0005-0000-0000-000075680000}"/>
    <cellStyle name="Normal 70 2 2" xfId="5469" xr:uid="{00000000-0005-0000-0000-000076680000}"/>
    <cellStyle name="Normal 70 2 3" xfId="14782" xr:uid="{00000000-0005-0000-0000-000077680000}"/>
    <cellStyle name="Normal 70 2 3 2" xfId="31332" xr:uid="{00000000-0005-0000-0000-000078680000}"/>
    <cellStyle name="Normal 70 2 4" xfId="23289" xr:uid="{00000000-0005-0000-0000-000079680000}"/>
    <cellStyle name="Normal 70 3" xfId="5470" xr:uid="{00000000-0005-0000-0000-00007A680000}"/>
    <cellStyle name="Normal 70 3 2" xfId="5471" xr:uid="{00000000-0005-0000-0000-00007B680000}"/>
    <cellStyle name="Normal 70 3 2 2" xfId="5472" xr:uid="{00000000-0005-0000-0000-00007C680000}"/>
    <cellStyle name="Normal 70 3 2 2 2" xfId="5473" xr:uid="{00000000-0005-0000-0000-00007D680000}"/>
    <cellStyle name="Normal 70 3 2 2 2 2" xfId="9391" xr:uid="{00000000-0005-0000-0000-00007E680000}"/>
    <cellStyle name="Normal 70 3 2 2 2 2 2" xfId="18565" xr:uid="{00000000-0005-0000-0000-00007F680000}"/>
    <cellStyle name="Normal 70 3 2 2 2 2 2 2" xfId="35139" xr:uid="{00000000-0005-0000-0000-000080680000}"/>
    <cellStyle name="Normal 70 3 2 2 2 2 3" xfId="27092" xr:uid="{00000000-0005-0000-0000-000081680000}"/>
    <cellStyle name="Normal 70 3 2 2 2 3" xfId="14785" xr:uid="{00000000-0005-0000-0000-000082680000}"/>
    <cellStyle name="Normal 70 3 2 2 2 3 2" xfId="31335" xr:uid="{00000000-0005-0000-0000-000083680000}"/>
    <cellStyle name="Normal 70 3 2 2 2 4" xfId="23292" xr:uid="{00000000-0005-0000-0000-000084680000}"/>
    <cellStyle name="Normal 70 3 2 2 3" xfId="9392" xr:uid="{00000000-0005-0000-0000-000085680000}"/>
    <cellStyle name="Normal 70 3 2 2 3 2" xfId="18566" xr:uid="{00000000-0005-0000-0000-000086680000}"/>
    <cellStyle name="Normal 70 3 2 2 3 2 2" xfId="35140" xr:uid="{00000000-0005-0000-0000-000087680000}"/>
    <cellStyle name="Normal 70 3 2 2 3 3" xfId="27093" xr:uid="{00000000-0005-0000-0000-000088680000}"/>
    <cellStyle name="Normal 70 3 2 2 4" xfId="14784" xr:uid="{00000000-0005-0000-0000-000089680000}"/>
    <cellStyle name="Normal 70 3 2 2 4 2" xfId="31334" xr:uid="{00000000-0005-0000-0000-00008A680000}"/>
    <cellStyle name="Normal 70 3 2 2 5" xfId="23291" xr:uid="{00000000-0005-0000-0000-00008B680000}"/>
    <cellStyle name="Normal 70 3 2 3" xfId="5474" xr:uid="{00000000-0005-0000-0000-00008C680000}"/>
    <cellStyle name="Normal 70 3 2 3 2" xfId="9393" xr:uid="{00000000-0005-0000-0000-00008D680000}"/>
    <cellStyle name="Normal 70 3 2 3 2 2" xfId="18567" xr:uid="{00000000-0005-0000-0000-00008E680000}"/>
    <cellStyle name="Normal 70 3 2 3 2 2 2" xfId="35141" xr:uid="{00000000-0005-0000-0000-00008F680000}"/>
    <cellStyle name="Normal 70 3 2 3 2 3" xfId="27094" xr:uid="{00000000-0005-0000-0000-000090680000}"/>
    <cellStyle name="Normal 70 3 2 3 3" xfId="14786" xr:uid="{00000000-0005-0000-0000-000091680000}"/>
    <cellStyle name="Normal 70 3 2 3 3 2" xfId="31336" xr:uid="{00000000-0005-0000-0000-000092680000}"/>
    <cellStyle name="Normal 70 3 2 3 4" xfId="23293" xr:uid="{00000000-0005-0000-0000-000093680000}"/>
    <cellStyle name="Normal 70 3 2 4" xfId="9394" xr:uid="{00000000-0005-0000-0000-000094680000}"/>
    <cellStyle name="Normal 70 3 2 4 2" xfId="18568" xr:uid="{00000000-0005-0000-0000-000095680000}"/>
    <cellStyle name="Normal 70 3 2 4 2 2" xfId="35142" xr:uid="{00000000-0005-0000-0000-000096680000}"/>
    <cellStyle name="Normal 70 3 2 4 3" xfId="27095" xr:uid="{00000000-0005-0000-0000-000097680000}"/>
    <cellStyle name="Normal 70 3 2 5" xfId="14783" xr:uid="{00000000-0005-0000-0000-000098680000}"/>
    <cellStyle name="Normal 70 3 2 5 2" xfId="31333" xr:uid="{00000000-0005-0000-0000-000099680000}"/>
    <cellStyle name="Normal 70 3 2 6" xfId="23290" xr:uid="{00000000-0005-0000-0000-00009A680000}"/>
    <cellStyle name="Normal 70 3 3" xfId="5475" xr:uid="{00000000-0005-0000-0000-00009B680000}"/>
    <cellStyle name="Normal 70 3 3 2" xfId="5476" xr:uid="{00000000-0005-0000-0000-00009C680000}"/>
    <cellStyle name="Normal 70 3 3 2 2" xfId="9395" xr:uid="{00000000-0005-0000-0000-00009D680000}"/>
    <cellStyle name="Normal 70 3 3 2 2 2" xfId="18569" xr:uid="{00000000-0005-0000-0000-00009E680000}"/>
    <cellStyle name="Normal 70 3 3 2 2 2 2" xfId="35143" xr:uid="{00000000-0005-0000-0000-00009F680000}"/>
    <cellStyle name="Normal 70 3 3 2 2 3" xfId="27096" xr:uid="{00000000-0005-0000-0000-0000A0680000}"/>
    <cellStyle name="Normal 70 3 3 2 3" xfId="14788" xr:uid="{00000000-0005-0000-0000-0000A1680000}"/>
    <cellStyle name="Normal 70 3 3 2 3 2" xfId="31338" xr:uid="{00000000-0005-0000-0000-0000A2680000}"/>
    <cellStyle name="Normal 70 3 3 2 4" xfId="23295" xr:uid="{00000000-0005-0000-0000-0000A3680000}"/>
    <cellStyle name="Normal 70 3 3 3" xfId="9396" xr:uid="{00000000-0005-0000-0000-0000A4680000}"/>
    <cellStyle name="Normal 70 3 3 3 2" xfId="18570" xr:uid="{00000000-0005-0000-0000-0000A5680000}"/>
    <cellStyle name="Normal 70 3 3 3 2 2" xfId="35144" xr:uid="{00000000-0005-0000-0000-0000A6680000}"/>
    <cellStyle name="Normal 70 3 3 3 3" xfId="27097" xr:uid="{00000000-0005-0000-0000-0000A7680000}"/>
    <cellStyle name="Normal 70 3 3 4" xfId="14787" xr:uid="{00000000-0005-0000-0000-0000A8680000}"/>
    <cellStyle name="Normal 70 3 3 4 2" xfId="31337" xr:uid="{00000000-0005-0000-0000-0000A9680000}"/>
    <cellStyle name="Normal 70 3 3 5" xfId="23294" xr:uid="{00000000-0005-0000-0000-0000AA680000}"/>
    <cellStyle name="Normal 70 3 4" xfId="5477" xr:uid="{00000000-0005-0000-0000-0000AB680000}"/>
    <cellStyle name="Normal 70 3 4 2" xfId="9397" xr:uid="{00000000-0005-0000-0000-0000AC680000}"/>
    <cellStyle name="Normal 70 3 4 2 2" xfId="18571" xr:uid="{00000000-0005-0000-0000-0000AD680000}"/>
    <cellStyle name="Normal 70 3 4 2 2 2" xfId="35145" xr:uid="{00000000-0005-0000-0000-0000AE680000}"/>
    <cellStyle name="Normal 70 3 4 2 3" xfId="27098" xr:uid="{00000000-0005-0000-0000-0000AF680000}"/>
    <cellStyle name="Normal 70 3 4 3" xfId="14789" xr:uid="{00000000-0005-0000-0000-0000B0680000}"/>
    <cellStyle name="Normal 70 3 4 3 2" xfId="31339" xr:uid="{00000000-0005-0000-0000-0000B1680000}"/>
    <cellStyle name="Normal 70 3 4 4" xfId="23296" xr:uid="{00000000-0005-0000-0000-0000B2680000}"/>
    <cellStyle name="Normal 70 3 5" xfId="5478" xr:uid="{00000000-0005-0000-0000-0000B3680000}"/>
    <cellStyle name="Normal 70 3 5 2" xfId="14790" xr:uid="{00000000-0005-0000-0000-0000B4680000}"/>
    <cellStyle name="Normal 70 3 5 2 2" xfId="31340" xr:uid="{00000000-0005-0000-0000-0000B5680000}"/>
    <cellStyle name="Normal 70 3 5 3" xfId="23297" xr:uid="{00000000-0005-0000-0000-0000B6680000}"/>
    <cellStyle name="Normal 70 4" xfId="5479" xr:uid="{00000000-0005-0000-0000-0000B7680000}"/>
    <cellStyle name="Normal 70 4 2" xfId="5480" xr:uid="{00000000-0005-0000-0000-0000B8680000}"/>
    <cellStyle name="Normal 70 4 2 2" xfId="5481" xr:uid="{00000000-0005-0000-0000-0000B9680000}"/>
    <cellStyle name="Normal 70 4 2 2 2" xfId="5482" xr:uid="{00000000-0005-0000-0000-0000BA680000}"/>
    <cellStyle name="Normal 70 4 2 2 2 2" xfId="9398" xr:uid="{00000000-0005-0000-0000-0000BB680000}"/>
    <cellStyle name="Normal 70 4 2 2 2 2 2" xfId="18572" xr:uid="{00000000-0005-0000-0000-0000BC680000}"/>
    <cellStyle name="Normal 70 4 2 2 2 2 2 2" xfId="35146" xr:uid="{00000000-0005-0000-0000-0000BD680000}"/>
    <cellStyle name="Normal 70 4 2 2 2 2 3" xfId="27099" xr:uid="{00000000-0005-0000-0000-0000BE680000}"/>
    <cellStyle name="Normal 70 4 2 2 2 3" xfId="14794" xr:uid="{00000000-0005-0000-0000-0000BF680000}"/>
    <cellStyle name="Normal 70 4 2 2 2 3 2" xfId="31344" xr:uid="{00000000-0005-0000-0000-0000C0680000}"/>
    <cellStyle name="Normal 70 4 2 2 2 4" xfId="23301" xr:uid="{00000000-0005-0000-0000-0000C1680000}"/>
    <cellStyle name="Normal 70 4 2 2 3" xfId="9399" xr:uid="{00000000-0005-0000-0000-0000C2680000}"/>
    <cellStyle name="Normal 70 4 2 2 3 2" xfId="18573" xr:uid="{00000000-0005-0000-0000-0000C3680000}"/>
    <cellStyle name="Normal 70 4 2 2 3 2 2" xfId="35147" xr:uid="{00000000-0005-0000-0000-0000C4680000}"/>
    <cellStyle name="Normal 70 4 2 2 3 3" xfId="27100" xr:uid="{00000000-0005-0000-0000-0000C5680000}"/>
    <cellStyle name="Normal 70 4 2 2 4" xfId="14793" xr:uid="{00000000-0005-0000-0000-0000C6680000}"/>
    <cellStyle name="Normal 70 4 2 2 4 2" xfId="31343" xr:uid="{00000000-0005-0000-0000-0000C7680000}"/>
    <cellStyle name="Normal 70 4 2 2 5" xfId="23300" xr:uid="{00000000-0005-0000-0000-0000C8680000}"/>
    <cellStyle name="Normal 70 4 2 3" xfId="5483" xr:uid="{00000000-0005-0000-0000-0000C9680000}"/>
    <cellStyle name="Normal 70 4 2 3 2" xfId="9400" xr:uid="{00000000-0005-0000-0000-0000CA680000}"/>
    <cellStyle name="Normal 70 4 2 3 2 2" xfId="18574" xr:uid="{00000000-0005-0000-0000-0000CB680000}"/>
    <cellStyle name="Normal 70 4 2 3 2 2 2" xfId="35148" xr:uid="{00000000-0005-0000-0000-0000CC680000}"/>
    <cellStyle name="Normal 70 4 2 3 2 3" xfId="27101" xr:uid="{00000000-0005-0000-0000-0000CD680000}"/>
    <cellStyle name="Normal 70 4 2 3 3" xfId="14795" xr:uid="{00000000-0005-0000-0000-0000CE680000}"/>
    <cellStyle name="Normal 70 4 2 3 3 2" xfId="31345" xr:uid="{00000000-0005-0000-0000-0000CF680000}"/>
    <cellStyle name="Normal 70 4 2 3 4" xfId="23302" xr:uid="{00000000-0005-0000-0000-0000D0680000}"/>
    <cellStyle name="Normal 70 4 2 4" xfId="9401" xr:uid="{00000000-0005-0000-0000-0000D1680000}"/>
    <cellStyle name="Normal 70 4 2 4 2" xfId="18575" xr:uid="{00000000-0005-0000-0000-0000D2680000}"/>
    <cellStyle name="Normal 70 4 2 4 2 2" xfId="35149" xr:uid="{00000000-0005-0000-0000-0000D3680000}"/>
    <cellStyle name="Normal 70 4 2 4 3" xfId="27102" xr:uid="{00000000-0005-0000-0000-0000D4680000}"/>
    <cellStyle name="Normal 70 4 2 5" xfId="14792" xr:uid="{00000000-0005-0000-0000-0000D5680000}"/>
    <cellStyle name="Normal 70 4 2 5 2" xfId="31342" xr:uid="{00000000-0005-0000-0000-0000D6680000}"/>
    <cellStyle name="Normal 70 4 2 6" xfId="23299" xr:uid="{00000000-0005-0000-0000-0000D7680000}"/>
    <cellStyle name="Normal 70 4 3" xfId="5484" xr:uid="{00000000-0005-0000-0000-0000D8680000}"/>
    <cellStyle name="Normal 70 4 3 2" xfId="5485" xr:uid="{00000000-0005-0000-0000-0000D9680000}"/>
    <cellStyle name="Normal 70 4 3 2 2" xfId="9402" xr:uid="{00000000-0005-0000-0000-0000DA680000}"/>
    <cellStyle name="Normal 70 4 3 2 2 2" xfId="18576" xr:uid="{00000000-0005-0000-0000-0000DB680000}"/>
    <cellStyle name="Normal 70 4 3 2 2 2 2" xfId="35150" xr:uid="{00000000-0005-0000-0000-0000DC680000}"/>
    <cellStyle name="Normal 70 4 3 2 2 3" xfId="27103" xr:uid="{00000000-0005-0000-0000-0000DD680000}"/>
    <cellStyle name="Normal 70 4 3 2 3" xfId="14797" xr:uid="{00000000-0005-0000-0000-0000DE680000}"/>
    <cellStyle name="Normal 70 4 3 2 3 2" xfId="31347" xr:uid="{00000000-0005-0000-0000-0000DF680000}"/>
    <cellStyle name="Normal 70 4 3 2 4" xfId="23304" xr:uid="{00000000-0005-0000-0000-0000E0680000}"/>
    <cellStyle name="Normal 70 4 3 3" xfId="9403" xr:uid="{00000000-0005-0000-0000-0000E1680000}"/>
    <cellStyle name="Normal 70 4 3 3 2" xfId="18577" xr:uid="{00000000-0005-0000-0000-0000E2680000}"/>
    <cellStyle name="Normal 70 4 3 3 2 2" xfId="35151" xr:uid="{00000000-0005-0000-0000-0000E3680000}"/>
    <cellStyle name="Normal 70 4 3 3 3" xfId="27104" xr:uid="{00000000-0005-0000-0000-0000E4680000}"/>
    <cellStyle name="Normal 70 4 3 4" xfId="14796" xr:uid="{00000000-0005-0000-0000-0000E5680000}"/>
    <cellStyle name="Normal 70 4 3 4 2" xfId="31346" xr:uid="{00000000-0005-0000-0000-0000E6680000}"/>
    <cellStyle name="Normal 70 4 3 5" xfId="23303" xr:uid="{00000000-0005-0000-0000-0000E7680000}"/>
    <cellStyle name="Normal 70 4 4" xfId="5486" xr:uid="{00000000-0005-0000-0000-0000E8680000}"/>
    <cellStyle name="Normal 70 4 4 2" xfId="9404" xr:uid="{00000000-0005-0000-0000-0000E9680000}"/>
    <cellStyle name="Normal 70 4 4 2 2" xfId="18578" xr:uid="{00000000-0005-0000-0000-0000EA680000}"/>
    <cellStyle name="Normal 70 4 4 2 2 2" xfId="35152" xr:uid="{00000000-0005-0000-0000-0000EB680000}"/>
    <cellStyle name="Normal 70 4 4 2 3" xfId="27105" xr:uid="{00000000-0005-0000-0000-0000EC680000}"/>
    <cellStyle name="Normal 70 4 4 3" xfId="14798" xr:uid="{00000000-0005-0000-0000-0000ED680000}"/>
    <cellStyle name="Normal 70 4 4 3 2" xfId="31348" xr:uid="{00000000-0005-0000-0000-0000EE680000}"/>
    <cellStyle name="Normal 70 4 4 4" xfId="23305" xr:uid="{00000000-0005-0000-0000-0000EF680000}"/>
    <cellStyle name="Normal 70 4 5" xfId="9405" xr:uid="{00000000-0005-0000-0000-0000F0680000}"/>
    <cellStyle name="Normal 70 4 5 2" xfId="18579" xr:uid="{00000000-0005-0000-0000-0000F1680000}"/>
    <cellStyle name="Normal 70 4 5 2 2" xfId="35153" xr:uid="{00000000-0005-0000-0000-0000F2680000}"/>
    <cellStyle name="Normal 70 4 5 3" xfId="27106" xr:uid="{00000000-0005-0000-0000-0000F3680000}"/>
    <cellStyle name="Normal 70 4 6" xfId="14791" xr:uid="{00000000-0005-0000-0000-0000F4680000}"/>
    <cellStyle name="Normal 70 4 6 2" xfId="31341" xr:uid="{00000000-0005-0000-0000-0000F5680000}"/>
    <cellStyle name="Normal 70 4 7" xfId="23298" xr:uid="{00000000-0005-0000-0000-0000F6680000}"/>
    <cellStyle name="Normal 70 5" xfId="5487" xr:uid="{00000000-0005-0000-0000-0000F7680000}"/>
    <cellStyle name="Normal 70 5 2" xfId="5488" xr:uid="{00000000-0005-0000-0000-0000F8680000}"/>
    <cellStyle name="Normal 70 5 2 2" xfId="5489" xr:uid="{00000000-0005-0000-0000-0000F9680000}"/>
    <cellStyle name="Normal 70 5 2 2 2" xfId="5490" xr:uid="{00000000-0005-0000-0000-0000FA680000}"/>
    <cellStyle name="Normal 70 5 2 2 2 2" xfId="9406" xr:uid="{00000000-0005-0000-0000-0000FB680000}"/>
    <cellStyle name="Normal 70 5 2 2 2 2 2" xfId="18580" xr:uid="{00000000-0005-0000-0000-0000FC680000}"/>
    <cellStyle name="Normal 70 5 2 2 2 2 2 2" xfId="35154" xr:uid="{00000000-0005-0000-0000-0000FD680000}"/>
    <cellStyle name="Normal 70 5 2 2 2 2 3" xfId="27107" xr:uid="{00000000-0005-0000-0000-0000FE680000}"/>
    <cellStyle name="Normal 70 5 2 2 2 3" xfId="14802" xr:uid="{00000000-0005-0000-0000-0000FF680000}"/>
    <cellStyle name="Normal 70 5 2 2 2 3 2" xfId="31352" xr:uid="{00000000-0005-0000-0000-000000690000}"/>
    <cellStyle name="Normal 70 5 2 2 2 4" xfId="23309" xr:uid="{00000000-0005-0000-0000-000001690000}"/>
    <cellStyle name="Normal 70 5 2 2 3" xfId="9407" xr:uid="{00000000-0005-0000-0000-000002690000}"/>
    <cellStyle name="Normal 70 5 2 2 3 2" xfId="18581" xr:uid="{00000000-0005-0000-0000-000003690000}"/>
    <cellStyle name="Normal 70 5 2 2 3 2 2" xfId="35155" xr:uid="{00000000-0005-0000-0000-000004690000}"/>
    <cellStyle name="Normal 70 5 2 2 3 3" xfId="27108" xr:uid="{00000000-0005-0000-0000-000005690000}"/>
    <cellStyle name="Normal 70 5 2 2 4" xfId="14801" xr:uid="{00000000-0005-0000-0000-000006690000}"/>
    <cellStyle name="Normal 70 5 2 2 4 2" xfId="31351" xr:uid="{00000000-0005-0000-0000-000007690000}"/>
    <cellStyle name="Normal 70 5 2 2 5" xfId="23308" xr:uid="{00000000-0005-0000-0000-000008690000}"/>
    <cellStyle name="Normal 70 5 2 3" xfId="5491" xr:uid="{00000000-0005-0000-0000-000009690000}"/>
    <cellStyle name="Normal 70 5 2 3 2" xfId="9408" xr:uid="{00000000-0005-0000-0000-00000A690000}"/>
    <cellStyle name="Normal 70 5 2 3 2 2" xfId="18582" xr:uid="{00000000-0005-0000-0000-00000B690000}"/>
    <cellStyle name="Normal 70 5 2 3 2 2 2" xfId="35156" xr:uid="{00000000-0005-0000-0000-00000C690000}"/>
    <cellStyle name="Normal 70 5 2 3 2 3" xfId="27109" xr:uid="{00000000-0005-0000-0000-00000D690000}"/>
    <cellStyle name="Normal 70 5 2 3 3" xfId="14803" xr:uid="{00000000-0005-0000-0000-00000E690000}"/>
    <cellStyle name="Normal 70 5 2 3 3 2" xfId="31353" xr:uid="{00000000-0005-0000-0000-00000F690000}"/>
    <cellStyle name="Normal 70 5 2 3 4" xfId="23310" xr:uid="{00000000-0005-0000-0000-000010690000}"/>
    <cellStyle name="Normal 70 5 2 4" xfId="9409" xr:uid="{00000000-0005-0000-0000-000011690000}"/>
    <cellStyle name="Normal 70 5 2 4 2" xfId="18583" xr:uid="{00000000-0005-0000-0000-000012690000}"/>
    <cellStyle name="Normal 70 5 2 4 2 2" xfId="35157" xr:uid="{00000000-0005-0000-0000-000013690000}"/>
    <cellStyle name="Normal 70 5 2 4 3" xfId="27110" xr:uid="{00000000-0005-0000-0000-000014690000}"/>
    <cellStyle name="Normal 70 5 2 5" xfId="14800" xr:uid="{00000000-0005-0000-0000-000015690000}"/>
    <cellStyle name="Normal 70 5 2 5 2" xfId="31350" xr:uid="{00000000-0005-0000-0000-000016690000}"/>
    <cellStyle name="Normal 70 5 2 6" xfId="23307" xr:uid="{00000000-0005-0000-0000-000017690000}"/>
    <cellStyle name="Normal 70 5 3" xfId="5492" xr:uid="{00000000-0005-0000-0000-000018690000}"/>
    <cellStyle name="Normal 70 5 3 2" xfId="5493" xr:uid="{00000000-0005-0000-0000-000019690000}"/>
    <cellStyle name="Normal 70 5 3 2 2" xfId="9410" xr:uid="{00000000-0005-0000-0000-00001A690000}"/>
    <cellStyle name="Normal 70 5 3 2 2 2" xfId="18584" xr:uid="{00000000-0005-0000-0000-00001B690000}"/>
    <cellStyle name="Normal 70 5 3 2 2 2 2" xfId="35158" xr:uid="{00000000-0005-0000-0000-00001C690000}"/>
    <cellStyle name="Normal 70 5 3 2 2 3" xfId="27111" xr:uid="{00000000-0005-0000-0000-00001D690000}"/>
    <cellStyle name="Normal 70 5 3 2 3" xfId="14805" xr:uid="{00000000-0005-0000-0000-00001E690000}"/>
    <cellStyle name="Normal 70 5 3 2 3 2" xfId="31355" xr:uid="{00000000-0005-0000-0000-00001F690000}"/>
    <cellStyle name="Normal 70 5 3 2 4" xfId="23312" xr:uid="{00000000-0005-0000-0000-000020690000}"/>
    <cellStyle name="Normal 70 5 3 3" xfId="9411" xr:uid="{00000000-0005-0000-0000-000021690000}"/>
    <cellStyle name="Normal 70 5 3 3 2" xfId="18585" xr:uid="{00000000-0005-0000-0000-000022690000}"/>
    <cellStyle name="Normal 70 5 3 3 2 2" xfId="35159" xr:uid="{00000000-0005-0000-0000-000023690000}"/>
    <cellStyle name="Normal 70 5 3 3 3" xfId="27112" xr:uid="{00000000-0005-0000-0000-000024690000}"/>
    <cellStyle name="Normal 70 5 3 4" xfId="14804" xr:uid="{00000000-0005-0000-0000-000025690000}"/>
    <cellStyle name="Normal 70 5 3 4 2" xfId="31354" xr:uid="{00000000-0005-0000-0000-000026690000}"/>
    <cellStyle name="Normal 70 5 3 5" xfId="23311" xr:uid="{00000000-0005-0000-0000-000027690000}"/>
    <cellStyle name="Normal 70 5 4" xfId="5494" xr:uid="{00000000-0005-0000-0000-000028690000}"/>
    <cellStyle name="Normal 70 5 4 2" xfId="9412" xr:uid="{00000000-0005-0000-0000-000029690000}"/>
    <cellStyle name="Normal 70 5 4 2 2" xfId="18586" xr:uid="{00000000-0005-0000-0000-00002A690000}"/>
    <cellStyle name="Normal 70 5 4 2 2 2" xfId="35160" xr:uid="{00000000-0005-0000-0000-00002B690000}"/>
    <cellStyle name="Normal 70 5 4 2 3" xfId="27113" xr:uid="{00000000-0005-0000-0000-00002C690000}"/>
    <cellStyle name="Normal 70 5 4 3" xfId="14806" xr:uid="{00000000-0005-0000-0000-00002D690000}"/>
    <cellStyle name="Normal 70 5 4 3 2" xfId="31356" xr:uid="{00000000-0005-0000-0000-00002E690000}"/>
    <cellStyle name="Normal 70 5 4 4" xfId="23313" xr:uid="{00000000-0005-0000-0000-00002F690000}"/>
    <cellStyle name="Normal 70 5 5" xfId="9413" xr:uid="{00000000-0005-0000-0000-000030690000}"/>
    <cellStyle name="Normal 70 5 5 2" xfId="18587" xr:uid="{00000000-0005-0000-0000-000031690000}"/>
    <cellStyle name="Normal 70 5 5 2 2" xfId="35161" xr:uid="{00000000-0005-0000-0000-000032690000}"/>
    <cellStyle name="Normal 70 5 5 3" xfId="27114" xr:uid="{00000000-0005-0000-0000-000033690000}"/>
    <cellStyle name="Normal 70 5 6" xfId="14799" xr:uid="{00000000-0005-0000-0000-000034690000}"/>
    <cellStyle name="Normal 70 5 6 2" xfId="31349" xr:uid="{00000000-0005-0000-0000-000035690000}"/>
    <cellStyle name="Normal 70 5 7" xfId="23306" xr:uid="{00000000-0005-0000-0000-000036690000}"/>
    <cellStyle name="Normal 70 6" xfId="5495" xr:uid="{00000000-0005-0000-0000-000037690000}"/>
    <cellStyle name="Normal 70 6 2" xfId="5496" xr:uid="{00000000-0005-0000-0000-000038690000}"/>
    <cellStyle name="Normal 70 6 2 2" xfId="5497" xr:uid="{00000000-0005-0000-0000-000039690000}"/>
    <cellStyle name="Normal 70 6 2 2 2" xfId="9414" xr:uid="{00000000-0005-0000-0000-00003A690000}"/>
    <cellStyle name="Normal 70 6 2 2 2 2" xfId="18588" xr:uid="{00000000-0005-0000-0000-00003B690000}"/>
    <cellStyle name="Normal 70 6 2 2 2 2 2" xfId="35162" xr:uid="{00000000-0005-0000-0000-00003C690000}"/>
    <cellStyle name="Normal 70 6 2 2 2 3" xfId="27115" xr:uid="{00000000-0005-0000-0000-00003D690000}"/>
    <cellStyle name="Normal 70 6 2 2 3" xfId="14809" xr:uid="{00000000-0005-0000-0000-00003E690000}"/>
    <cellStyle name="Normal 70 6 2 2 3 2" xfId="31359" xr:uid="{00000000-0005-0000-0000-00003F690000}"/>
    <cellStyle name="Normal 70 6 2 2 4" xfId="23316" xr:uid="{00000000-0005-0000-0000-000040690000}"/>
    <cellStyle name="Normal 70 6 2 3" xfId="9415" xr:uid="{00000000-0005-0000-0000-000041690000}"/>
    <cellStyle name="Normal 70 6 2 3 2" xfId="18589" xr:uid="{00000000-0005-0000-0000-000042690000}"/>
    <cellStyle name="Normal 70 6 2 3 2 2" xfId="35163" xr:uid="{00000000-0005-0000-0000-000043690000}"/>
    <cellStyle name="Normal 70 6 2 3 3" xfId="27116" xr:uid="{00000000-0005-0000-0000-000044690000}"/>
    <cellStyle name="Normal 70 6 2 4" xfId="14808" xr:uid="{00000000-0005-0000-0000-000045690000}"/>
    <cellStyle name="Normal 70 6 2 4 2" xfId="31358" xr:uid="{00000000-0005-0000-0000-000046690000}"/>
    <cellStyle name="Normal 70 6 2 5" xfId="23315" xr:uid="{00000000-0005-0000-0000-000047690000}"/>
    <cellStyle name="Normal 70 6 3" xfId="5498" xr:uid="{00000000-0005-0000-0000-000048690000}"/>
    <cellStyle name="Normal 70 6 3 2" xfId="9416" xr:uid="{00000000-0005-0000-0000-000049690000}"/>
    <cellStyle name="Normal 70 6 3 2 2" xfId="18590" xr:uid="{00000000-0005-0000-0000-00004A690000}"/>
    <cellStyle name="Normal 70 6 3 2 2 2" xfId="35164" xr:uid="{00000000-0005-0000-0000-00004B690000}"/>
    <cellStyle name="Normal 70 6 3 2 3" xfId="27117" xr:uid="{00000000-0005-0000-0000-00004C690000}"/>
    <cellStyle name="Normal 70 6 3 3" xfId="14810" xr:uid="{00000000-0005-0000-0000-00004D690000}"/>
    <cellStyle name="Normal 70 6 3 3 2" xfId="31360" xr:uid="{00000000-0005-0000-0000-00004E690000}"/>
    <cellStyle name="Normal 70 6 3 4" xfId="23317" xr:uid="{00000000-0005-0000-0000-00004F690000}"/>
    <cellStyle name="Normal 70 6 4" xfId="9417" xr:uid="{00000000-0005-0000-0000-000050690000}"/>
    <cellStyle name="Normal 70 6 4 2" xfId="18591" xr:uid="{00000000-0005-0000-0000-000051690000}"/>
    <cellStyle name="Normal 70 6 4 2 2" xfId="35165" xr:uid="{00000000-0005-0000-0000-000052690000}"/>
    <cellStyle name="Normal 70 6 4 3" xfId="27118" xr:uid="{00000000-0005-0000-0000-000053690000}"/>
    <cellStyle name="Normal 70 6 5" xfId="14807" xr:uid="{00000000-0005-0000-0000-000054690000}"/>
    <cellStyle name="Normal 70 6 5 2" xfId="31357" xr:uid="{00000000-0005-0000-0000-000055690000}"/>
    <cellStyle name="Normal 70 6 6" xfId="23314" xr:uid="{00000000-0005-0000-0000-000056690000}"/>
    <cellStyle name="Normal 70 7" xfId="5499" xr:uid="{00000000-0005-0000-0000-000057690000}"/>
    <cellStyle name="Normal 70 7 2" xfId="5500" xr:uid="{00000000-0005-0000-0000-000058690000}"/>
    <cellStyle name="Normal 70 7 2 2" xfId="9418" xr:uid="{00000000-0005-0000-0000-000059690000}"/>
    <cellStyle name="Normal 70 7 2 2 2" xfId="18592" xr:uid="{00000000-0005-0000-0000-00005A690000}"/>
    <cellStyle name="Normal 70 7 2 2 2 2" xfId="35166" xr:uid="{00000000-0005-0000-0000-00005B690000}"/>
    <cellStyle name="Normal 70 7 2 2 3" xfId="27119" xr:uid="{00000000-0005-0000-0000-00005C690000}"/>
    <cellStyle name="Normal 70 7 2 3" xfId="14812" xr:uid="{00000000-0005-0000-0000-00005D690000}"/>
    <cellStyle name="Normal 70 7 2 3 2" xfId="31362" xr:uid="{00000000-0005-0000-0000-00005E690000}"/>
    <cellStyle name="Normal 70 7 2 4" xfId="23319" xr:uid="{00000000-0005-0000-0000-00005F690000}"/>
    <cellStyle name="Normal 70 7 3" xfId="9419" xr:uid="{00000000-0005-0000-0000-000060690000}"/>
    <cellStyle name="Normal 70 7 3 2" xfId="18593" xr:uid="{00000000-0005-0000-0000-000061690000}"/>
    <cellStyle name="Normal 70 7 3 2 2" xfId="35167" xr:uid="{00000000-0005-0000-0000-000062690000}"/>
    <cellStyle name="Normal 70 7 3 3" xfId="27120" xr:uid="{00000000-0005-0000-0000-000063690000}"/>
    <cellStyle name="Normal 70 7 4" xfId="14811" xr:uid="{00000000-0005-0000-0000-000064690000}"/>
    <cellStyle name="Normal 70 7 4 2" xfId="31361" xr:uid="{00000000-0005-0000-0000-000065690000}"/>
    <cellStyle name="Normal 70 7 5" xfId="23318" xr:uid="{00000000-0005-0000-0000-000066690000}"/>
    <cellStyle name="Normal 70 8" xfId="5501" xr:uid="{00000000-0005-0000-0000-000067690000}"/>
    <cellStyle name="Normal 70 8 2" xfId="9420" xr:uid="{00000000-0005-0000-0000-000068690000}"/>
    <cellStyle name="Normal 70 8 2 2" xfId="18594" xr:uid="{00000000-0005-0000-0000-000069690000}"/>
    <cellStyle name="Normal 70 8 2 2 2" xfId="35168" xr:uid="{00000000-0005-0000-0000-00006A690000}"/>
    <cellStyle name="Normal 70 8 2 3" xfId="27121" xr:uid="{00000000-0005-0000-0000-00006B690000}"/>
    <cellStyle name="Normal 70 8 3" xfId="14813" xr:uid="{00000000-0005-0000-0000-00006C690000}"/>
    <cellStyle name="Normal 70 8 3 2" xfId="31363" xr:uid="{00000000-0005-0000-0000-00006D690000}"/>
    <cellStyle name="Normal 70 8 4" xfId="23320" xr:uid="{00000000-0005-0000-0000-00006E690000}"/>
    <cellStyle name="Normal 70 9" xfId="9421" xr:uid="{00000000-0005-0000-0000-00006F690000}"/>
    <cellStyle name="Normal 70 9 2" xfId="18595" xr:uid="{00000000-0005-0000-0000-000070690000}"/>
    <cellStyle name="Normal 70 9 2 2" xfId="35169" xr:uid="{00000000-0005-0000-0000-000071690000}"/>
    <cellStyle name="Normal 70 9 3" xfId="27122" xr:uid="{00000000-0005-0000-0000-000072690000}"/>
    <cellStyle name="Normal 71" xfId="5502" xr:uid="{00000000-0005-0000-0000-000073690000}"/>
    <cellStyle name="Normal 71 10" xfId="14814" xr:uid="{00000000-0005-0000-0000-000074690000}"/>
    <cellStyle name="Normal 71 10 2" xfId="31364" xr:uid="{00000000-0005-0000-0000-000075690000}"/>
    <cellStyle name="Normal 71 11" xfId="23321" xr:uid="{00000000-0005-0000-0000-000076690000}"/>
    <cellStyle name="Normal 71 2" xfId="5503" xr:uid="{00000000-0005-0000-0000-000077690000}"/>
    <cellStyle name="Normal 71 2 2" xfId="5504" xr:uid="{00000000-0005-0000-0000-000078690000}"/>
    <cellStyle name="Normal 71 2 3" xfId="14815" xr:uid="{00000000-0005-0000-0000-000079690000}"/>
    <cellStyle name="Normal 71 2 3 2" xfId="31365" xr:uid="{00000000-0005-0000-0000-00007A690000}"/>
    <cellStyle name="Normal 71 2 4" xfId="23322" xr:uid="{00000000-0005-0000-0000-00007B690000}"/>
    <cellStyle name="Normal 71 3" xfId="5505" xr:uid="{00000000-0005-0000-0000-00007C690000}"/>
    <cellStyle name="Normal 71 3 2" xfId="5506" xr:uid="{00000000-0005-0000-0000-00007D690000}"/>
    <cellStyle name="Normal 71 3 2 2" xfId="5507" xr:uid="{00000000-0005-0000-0000-00007E690000}"/>
    <cellStyle name="Normal 71 3 2 2 2" xfId="5508" xr:uid="{00000000-0005-0000-0000-00007F690000}"/>
    <cellStyle name="Normal 71 3 2 2 2 2" xfId="9422" xr:uid="{00000000-0005-0000-0000-000080690000}"/>
    <cellStyle name="Normal 71 3 2 2 2 2 2" xfId="18596" xr:uid="{00000000-0005-0000-0000-000081690000}"/>
    <cellStyle name="Normal 71 3 2 2 2 2 2 2" xfId="35170" xr:uid="{00000000-0005-0000-0000-000082690000}"/>
    <cellStyle name="Normal 71 3 2 2 2 2 3" xfId="27123" xr:uid="{00000000-0005-0000-0000-000083690000}"/>
    <cellStyle name="Normal 71 3 2 2 2 3" xfId="14818" xr:uid="{00000000-0005-0000-0000-000084690000}"/>
    <cellStyle name="Normal 71 3 2 2 2 3 2" xfId="31368" xr:uid="{00000000-0005-0000-0000-000085690000}"/>
    <cellStyle name="Normal 71 3 2 2 2 4" xfId="23325" xr:uid="{00000000-0005-0000-0000-000086690000}"/>
    <cellStyle name="Normal 71 3 2 2 3" xfId="9423" xr:uid="{00000000-0005-0000-0000-000087690000}"/>
    <cellStyle name="Normal 71 3 2 2 3 2" xfId="18597" xr:uid="{00000000-0005-0000-0000-000088690000}"/>
    <cellStyle name="Normal 71 3 2 2 3 2 2" xfId="35171" xr:uid="{00000000-0005-0000-0000-000089690000}"/>
    <cellStyle name="Normal 71 3 2 2 3 3" xfId="27124" xr:uid="{00000000-0005-0000-0000-00008A690000}"/>
    <cellStyle name="Normal 71 3 2 2 4" xfId="14817" xr:uid="{00000000-0005-0000-0000-00008B690000}"/>
    <cellStyle name="Normal 71 3 2 2 4 2" xfId="31367" xr:uid="{00000000-0005-0000-0000-00008C690000}"/>
    <cellStyle name="Normal 71 3 2 2 5" xfId="23324" xr:uid="{00000000-0005-0000-0000-00008D690000}"/>
    <cellStyle name="Normal 71 3 2 3" xfId="5509" xr:uid="{00000000-0005-0000-0000-00008E690000}"/>
    <cellStyle name="Normal 71 3 2 3 2" xfId="9424" xr:uid="{00000000-0005-0000-0000-00008F690000}"/>
    <cellStyle name="Normal 71 3 2 3 2 2" xfId="18598" xr:uid="{00000000-0005-0000-0000-000090690000}"/>
    <cellStyle name="Normal 71 3 2 3 2 2 2" xfId="35172" xr:uid="{00000000-0005-0000-0000-000091690000}"/>
    <cellStyle name="Normal 71 3 2 3 2 3" xfId="27125" xr:uid="{00000000-0005-0000-0000-000092690000}"/>
    <cellStyle name="Normal 71 3 2 3 3" xfId="14819" xr:uid="{00000000-0005-0000-0000-000093690000}"/>
    <cellStyle name="Normal 71 3 2 3 3 2" xfId="31369" xr:uid="{00000000-0005-0000-0000-000094690000}"/>
    <cellStyle name="Normal 71 3 2 3 4" xfId="23326" xr:uid="{00000000-0005-0000-0000-000095690000}"/>
    <cellStyle name="Normal 71 3 2 4" xfId="9425" xr:uid="{00000000-0005-0000-0000-000096690000}"/>
    <cellStyle name="Normal 71 3 2 4 2" xfId="18599" xr:uid="{00000000-0005-0000-0000-000097690000}"/>
    <cellStyle name="Normal 71 3 2 4 2 2" xfId="35173" xr:uid="{00000000-0005-0000-0000-000098690000}"/>
    <cellStyle name="Normal 71 3 2 4 3" xfId="27126" xr:uid="{00000000-0005-0000-0000-000099690000}"/>
    <cellStyle name="Normal 71 3 2 5" xfId="14816" xr:uid="{00000000-0005-0000-0000-00009A690000}"/>
    <cellStyle name="Normal 71 3 2 5 2" xfId="31366" xr:uid="{00000000-0005-0000-0000-00009B690000}"/>
    <cellStyle name="Normal 71 3 2 6" xfId="23323" xr:uid="{00000000-0005-0000-0000-00009C690000}"/>
    <cellStyle name="Normal 71 3 3" xfId="5510" xr:uid="{00000000-0005-0000-0000-00009D690000}"/>
    <cellStyle name="Normal 71 3 3 2" xfId="5511" xr:uid="{00000000-0005-0000-0000-00009E690000}"/>
    <cellStyle name="Normal 71 3 3 2 2" xfId="9426" xr:uid="{00000000-0005-0000-0000-00009F690000}"/>
    <cellStyle name="Normal 71 3 3 2 2 2" xfId="18600" xr:uid="{00000000-0005-0000-0000-0000A0690000}"/>
    <cellStyle name="Normal 71 3 3 2 2 2 2" xfId="35174" xr:uid="{00000000-0005-0000-0000-0000A1690000}"/>
    <cellStyle name="Normal 71 3 3 2 2 3" xfId="27127" xr:uid="{00000000-0005-0000-0000-0000A2690000}"/>
    <cellStyle name="Normal 71 3 3 2 3" xfId="14821" xr:uid="{00000000-0005-0000-0000-0000A3690000}"/>
    <cellStyle name="Normal 71 3 3 2 3 2" xfId="31371" xr:uid="{00000000-0005-0000-0000-0000A4690000}"/>
    <cellStyle name="Normal 71 3 3 2 4" xfId="23328" xr:uid="{00000000-0005-0000-0000-0000A5690000}"/>
    <cellStyle name="Normal 71 3 3 3" xfId="9427" xr:uid="{00000000-0005-0000-0000-0000A6690000}"/>
    <cellStyle name="Normal 71 3 3 3 2" xfId="18601" xr:uid="{00000000-0005-0000-0000-0000A7690000}"/>
    <cellStyle name="Normal 71 3 3 3 2 2" xfId="35175" xr:uid="{00000000-0005-0000-0000-0000A8690000}"/>
    <cellStyle name="Normal 71 3 3 3 3" xfId="27128" xr:uid="{00000000-0005-0000-0000-0000A9690000}"/>
    <cellStyle name="Normal 71 3 3 4" xfId="14820" xr:uid="{00000000-0005-0000-0000-0000AA690000}"/>
    <cellStyle name="Normal 71 3 3 4 2" xfId="31370" xr:uid="{00000000-0005-0000-0000-0000AB690000}"/>
    <cellStyle name="Normal 71 3 3 5" xfId="23327" xr:uid="{00000000-0005-0000-0000-0000AC690000}"/>
    <cellStyle name="Normal 71 3 4" xfId="5512" xr:uid="{00000000-0005-0000-0000-0000AD690000}"/>
    <cellStyle name="Normal 71 3 4 2" xfId="9428" xr:uid="{00000000-0005-0000-0000-0000AE690000}"/>
    <cellStyle name="Normal 71 3 4 2 2" xfId="18602" xr:uid="{00000000-0005-0000-0000-0000AF690000}"/>
    <cellStyle name="Normal 71 3 4 2 2 2" xfId="35176" xr:uid="{00000000-0005-0000-0000-0000B0690000}"/>
    <cellStyle name="Normal 71 3 4 2 3" xfId="27129" xr:uid="{00000000-0005-0000-0000-0000B1690000}"/>
    <cellStyle name="Normal 71 3 4 3" xfId="14822" xr:uid="{00000000-0005-0000-0000-0000B2690000}"/>
    <cellStyle name="Normal 71 3 4 3 2" xfId="31372" xr:uid="{00000000-0005-0000-0000-0000B3690000}"/>
    <cellStyle name="Normal 71 3 4 4" xfId="23329" xr:uid="{00000000-0005-0000-0000-0000B4690000}"/>
    <cellStyle name="Normal 71 3 5" xfId="5513" xr:uid="{00000000-0005-0000-0000-0000B5690000}"/>
    <cellStyle name="Normal 71 3 5 2" xfId="14823" xr:uid="{00000000-0005-0000-0000-0000B6690000}"/>
    <cellStyle name="Normal 71 3 5 2 2" xfId="31373" xr:uid="{00000000-0005-0000-0000-0000B7690000}"/>
    <cellStyle name="Normal 71 3 5 3" xfId="23330" xr:uid="{00000000-0005-0000-0000-0000B8690000}"/>
    <cellStyle name="Normal 71 4" xfId="5514" xr:uid="{00000000-0005-0000-0000-0000B9690000}"/>
    <cellStyle name="Normal 71 4 2" xfId="5515" xr:uid="{00000000-0005-0000-0000-0000BA690000}"/>
    <cellStyle name="Normal 71 4 2 2" xfId="5516" xr:uid="{00000000-0005-0000-0000-0000BB690000}"/>
    <cellStyle name="Normal 71 4 2 2 2" xfId="5517" xr:uid="{00000000-0005-0000-0000-0000BC690000}"/>
    <cellStyle name="Normal 71 4 2 2 2 2" xfId="9429" xr:uid="{00000000-0005-0000-0000-0000BD690000}"/>
    <cellStyle name="Normal 71 4 2 2 2 2 2" xfId="18603" xr:uid="{00000000-0005-0000-0000-0000BE690000}"/>
    <cellStyle name="Normal 71 4 2 2 2 2 2 2" xfId="35177" xr:uid="{00000000-0005-0000-0000-0000BF690000}"/>
    <cellStyle name="Normal 71 4 2 2 2 2 3" xfId="27130" xr:uid="{00000000-0005-0000-0000-0000C0690000}"/>
    <cellStyle name="Normal 71 4 2 2 2 3" xfId="14827" xr:uid="{00000000-0005-0000-0000-0000C1690000}"/>
    <cellStyle name="Normal 71 4 2 2 2 3 2" xfId="31377" xr:uid="{00000000-0005-0000-0000-0000C2690000}"/>
    <cellStyle name="Normal 71 4 2 2 2 4" xfId="23334" xr:uid="{00000000-0005-0000-0000-0000C3690000}"/>
    <cellStyle name="Normal 71 4 2 2 3" xfId="9430" xr:uid="{00000000-0005-0000-0000-0000C4690000}"/>
    <cellStyle name="Normal 71 4 2 2 3 2" xfId="18604" xr:uid="{00000000-0005-0000-0000-0000C5690000}"/>
    <cellStyle name="Normal 71 4 2 2 3 2 2" xfId="35178" xr:uid="{00000000-0005-0000-0000-0000C6690000}"/>
    <cellStyle name="Normal 71 4 2 2 3 3" xfId="27131" xr:uid="{00000000-0005-0000-0000-0000C7690000}"/>
    <cellStyle name="Normal 71 4 2 2 4" xfId="14826" xr:uid="{00000000-0005-0000-0000-0000C8690000}"/>
    <cellStyle name="Normal 71 4 2 2 4 2" xfId="31376" xr:uid="{00000000-0005-0000-0000-0000C9690000}"/>
    <cellStyle name="Normal 71 4 2 2 5" xfId="23333" xr:uid="{00000000-0005-0000-0000-0000CA690000}"/>
    <cellStyle name="Normal 71 4 2 3" xfId="5518" xr:uid="{00000000-0005-0000-0000-0000CB690000}"/>
    <cellStyle name="Normal 71 4 2 3 2" xfId="9431" xr:uid="{00000000-0005-0000-0000-0000CC690000}"/>
    <cellStyle name="Normal 71 4 2 3 2 2" xfId="18605" xr:uid="{00000000-0005-0000-0000-0000CD690000}"/>
    <cellStyle name="Normal 71 4 2 3 2 2 2" xfId="35179" xr:uid="{00000000-0005-0000-0000-0000CE690000}"/>
    <cellStyle name="Normal 71 4 2 3 2 3" xfId="27132" xr:uid="{00000000-0005-0000-0000-0000CF690000}"/>
    <cellStyle name="Normal 71 4 2 3 3" xfId="14828" xr:uid="{00000000-0005-0000-0000-0000D0690000}"/>
    <cellStyle name="Normal 71 4 2 3 3 2" xfId="31378" xr:uid="{00000000-0005-0000-0000-0000D1690000}"/>
    <cellStyle name="Normal 71 4 2 3 4" xfId="23335" xr:uid="{00000000-0005-0000-0000-0000D2690000}"/>
    <cellStyle name="Normal 71 4 2 4" xfId="9432" xr:uid="{00000000-0005-0000-0000-0000D3690000}"/>
    <cellStyle name="Normal 71 4 2 4 2" xfId="18606" xr:uid="{00000000-0005-0000-0000-0000D4690000}"/>
    <cellStyle name="Normal 71 4 2 4 2 2" xfId="35180" xr:uid="{00000000-0005-0000-0000-0000D5690000}"/>
    <cellStyle name="Normal 71 4 2 4 3" xfId="27133" xr:uid="{00000000-0005-0000-0000-0000D6690000}"/>
    <cellStyle name="Normal 71 4 2 5" xfId="14825" xr:uid="{00000000-0005-0000-0000-0000D7690000}"/>
    <cellStyle name="Normal 71 4 2 5 2" xfId="31375" xr:uid="{00000000-0005-0000-0000-0000D8690000}"/>
    <cellStyle name="Normal 71 4 2 6" xfId="23332" xr:uid="{00000000-0005-0000-0000-0000D9690000}"/>
    <cellStyle name="Normal 71 4 3" xfId="5519" xr:uid="{00000000-0005-0000-0000-0000DA690000}"/>
    <cellStyle name="Normal 71 4 3 2" xfId="5520" xr:uid="{00000000-0005-0000-0000-0000DB690000}"/>
    <cellStyle name="Normal 71 4 3 2 2" xfId="9433" xr:uid="{00000000-0005-0000-0000-0000DC690000}"/>
    <cellStyle name="Normal 71 4 3 2 2 2" xfId="18607" xr:uid="{00000000-0005-0000-0000-0000DD690000}"/>
    <cellStyle name="Normal 71 4 3 2 2 2 2" xfId="35181" xr:uid="{00000000-0005-0000-0000-0000DE690000}"/>
    <cellStyle name="Normal 71 4 3 2 2 3" xfId="27134" xr:uid="{00000000-0005-0000-0000-0000DF690000}"/>
    <cellStyle name="Normal 71 4 3 2 3" xfId="14830" xr:uid="{00000000-0005-0000-0000-0000E0690000}"/>
    <cellStyle name="Normal 71 4 3 2 3 2" xfId="31380" xr:uid="{00000000-0005-0000-0000-0000E1690000}"/>
    <cellStyle name="Normal 71 4 3 2 4" xfId="23337" xr:uid="{00000000-0005-0000-0000-0000E2690000}"/>
    <cellStyle name="Normal 71 4 3 3" xfId="9434" xr:uid="{00000000-0005-0000-0000-0000E3690000}"/>
    <cellStyle name="Normal 71 4 3 3 2" xfId="18608" xr:uid="{00000000-0005-0000-0000-0000E4690000}"/>
    <cellStyle name="Normal 71 4 3 3 2 2" xfId="35182" xr:uid="{00000000-0005-0000-0000-0000E5690000}"/>
    <cellStyle name="Normal 71 4 3 3 3" xfId="27135" xr:uid="{00000000-0005-0000-0000-0000E6690000}"/>
    <cellStyle name="Normal 71 4 3 4" xfId="14829" xr:uid="{00000000-0005-0000-0000-0000E7690000}"/>
    <cellStyle name="Normal 71 4 3 4 2" xfId="31379" xr:uid="{00000000-0005-0000-0000-0000E8690000}"/>
    <cellStyle name="Normal 71 4 3 5" xfId="23336" xr:uid="{00000000-0005-0000-0000-0000E9690000}"/>
    <cellStyle name="Normal 71 4 4" xfId="5521" xr:uid="{00000000-0005-0000-0000-0000EA690000}"/>
    <cellStyle name="Normal 71 4 4 2" xfId="9435" xr:uid="{00000000-0005-0000-0000-0000EB690000}"/>
    <cellStyle name="Normal 71 4 4 2 2" xfId="18609" xr:uid="{00000000-0005-0000-0000-0000EC690000}"/>
    <cellStyle name="Normal 71 4 4 2 2 2" xfId="35183" xr:uid="{00000000-0005-0000-0000-0000ED690000}"/>
    <cellStyle name="Normal 71 4 4 2 3" xfId="27136" xr:uid="{00000000-0005-0000-0000-0000EE690000}"/>
    <cellStyle name="Normal 71 4 4 3" xfId="14831" xr:uid="{00000000-0005-0000-0000-0000EF690000}"/>
    <cellStyle name="Normal 71 4 4 3 2" xfId="31381" xr:uid="{00000000-0005-0000-0000-0000F0690000}"/>
    <cellStyle name="Normal 71 4 4 4" xfId="23338" xr:uid="{00000000-0005-0000-0000-0000F1690000}"/>
    <cellStyle name="Normal 71 4 5" xfId="9436" xr:uid="{00000000-0005-0000-0000-0000F2690000}"/>
    <cellStyle name="Normal 71 4 5 2" xfId="18610" xr:uid="{00000000-0005-0000-0000-0000F3690000}"/>
    <cellStyle name="Normal 71 4 5 2 2" xfId="35184" xr:uid="{00000000-0005-0000-0000-0000F4690000}"/>
    <cellStyle name="Normal 71 4 5 3" xfId="27137" xr:uid="{00000000-0005-0000-0000-0000F5690000}"/>
    <cellStyle name="Normal 71 4 6" xfId="14824" xr:uid="{00000000-0005-0000-0000-0000F6690000}"/>
    <cellStyle name="Normal 71 4 6 2" xfId="31374" xr:uid="{00000000-0005-0000-0000-0000F7690000}"/>
    <cellStyle name="Normal 71 4 7" xfId="23331" xr:uid="{00000000-0005-0000-0000-0000F8690000}"/>
    <cellStyle name="Normal 71 5" xfId="5522" xr:uid="{00000000-0005-0000-0000-0000F9690000}"/>
    <cellStyle name="Normal 71 5 2" xfId="5523" xr:uid="{00000000-0005-0000-0000-0000FA690000}"/>
    <cellStyle name="Normal 71 5 2 2" xfId="5524" xr:uid="{00000000-0005-0000-0000-0000FB690000}"/>
    <cellStyle name="Normal 71 5 2 2 2" xfId="5525" xr:uid="{00000000-0005-0000-0000-0000FC690000}"/>
    <cellStyle name="Normal 71 5 2 2 2 2" xfId="9437" xr:uid="{00000000-0005-0000-0000-0000FD690000}"/>
    <cellStyle name="Normal 71 5 2 2 2 2 2" xfId="18611" xr:uid="{00000000-0005-0000-0000-0000FE690000}"/>
    <cellStyle name="Normal 71 5 2 2 2 2 2 2" xfId="35185" xr:uid="{00000000-0005-0000-0000-0000FF690000}"/>
    <cellStyle name="Normal 71 5 2 2 2 2 3" xfId="27138" xr:uid="{00000000-0005-0000-0000-0000006A0000}"/>
    <cellStyle name="Normal 71 5 2 2 2 3" xfId="14835" xr:uid="{00000000-0005-0000-0000-0000016A0000}"/>
    <cellStyle name="Normal 71 5 2 2 2 3 2" xfId="31385" xr:uid="{00000000-0005-0000-0000-0000026A0000}"/>
    <cellStyle name="Normal 71 5 2 2 2 4" xfId="23342" xr:uid="{00000000-0005-0000-0000-0000036A0000}"/>
    <cellStyle name="Normal 71 5 2 2 3" xfId="9438" xr:uid="{00000000-0005-0000-0000-0000046A0000}"/>
    <cellStyle name="Normal 71 5 2 2 3 2" xfId="18612" xr:uid="{00000000-0005-0000-0000-0000056A0000}"/>
    <cellStyle name="Normal 71 5 2 2 3 2 2" xfId="35186" xr:uid="{00000000-0005-0000-0000-0000066A0000}"/>
    <cellStyle name="Normal 71 5 2 2 3 3" xfId="27139" xr:uid="{00000000-0005-0000-0000-0000076A0000}"/>
    <cellStyle name="Normal 71 5 2 2 4" xfId="14834" xr:uid="{00000000-0005-0000-0000-0000086A0000}"/>
    <cellStyle name="Normal 71 5 2 2 4 2" xfId="31384" xr:uid="{00000000-0005-0000-0000-0000096A0000}"/>
    <cellStyle name="Normal 71 5 2 2 5" xfId="23341" xr:uid="{00000000-0005-0000-0000-00000A6A0000}"/>
    <cellStyle name="Normal 71 5 2 3" xfId="5526" xr:uid="{00000000-0005-0000-0000-00000B6A0000}"/>
    <cellStyle name="Normal 71 5 2 3 2" xfId="9439" xr:uid="{00000000-0005-0000-0000-00000C6A0000}"/>
    <cellStyle name="Normal 71 5 2 3 2 2" xfId="18613" xr:uid="{00000000-0005-0000-0000-00000D6A0000}"/>
    <cellStyle name="Normal 71 5 2 3 2 2 2" xfId="35187" xr:uid="{00000000-0005-0000-0000-00000E6A0000}"/>
    <cellStyle name="Normal 71 5 2 3 2 3" xfId="27140" xr:uid="{00000000-0005-0000-0000-00000F6A0000}"/>
    <cellStyle name="Normal 71 5 2 3 3" xfId="14836" xr:uid="{00000000-0005-0000-0000-0000106A0000}"/>
    <cellStyle name="Normal 71 5 2 3 3 2" xfId="31386" xr:uid="{00000000-0005-0000-0000-0000116A0000}"/>
    <cellStyle name="Normal 71 5 2 3 4" xfId="23343" xr:uid="{00000000-0005-0000-0000-0000126A0000}"/>
    <cellStyle name="Normal 71 5 2 4" xfId="9440" xr:uid="{00000000-0005-0000-0000-0000136A0000}"/>
    <cellStyle name="Normal 71 5 2 4 2" xfId="18614" xr:uid="{00000000-0005-0000-0000-0000146A0000}"/>
    <cellStyle name="Normal 71 5 2 4 2 2" xfId="35188" xr:uid="{00000000-0005-0000-0000-0000156A0000}"/>
    <cellStyle name="Normal 71 5 2 4 3" xfId="27141" xr:uid="{00000000-0005-0000-0000-0000166A0000}"/>
    <cellStyle name="Normal 71 5 2 5" xfId="14833" xr:uid="{00000000-0005-0000-0000-0000176A0000}"/>
    <cellStyle name="Normal 71 5 2 5 2" xfId="31383" xr:uid="{00000000-0005-0000-0000-0000186A0000}"/>
    <cellStyle name="Normal 71 5 2 6" xfId="23340" xr:uid="{00000000-0005-0000-0000-0000196A0000}"/>
    <cellStyle name="Normal 71 5 3" xfId="5527" xr:uid="{00000000-0005-0000-0000-00001A6A0000}"/>
    <cellStyle name="Normal 71 5 3 2" xfId="5528" xr:uid="{00000000-0005-0000-0000-00001B6A0000}"/>
    <cellStyle name="Normal 71 5 3 2 2" xfId="9441" xr:uid="{00000000-0005-0000-0000-00001C6A0000}"/>
    <cellStyle name="Normal 71 5 3 2 2 2" xfId="18615" xr:uid="{00000000-0005-0000-0000-00001D6A0000}"/>
    <cellStyle name="Normal 71 5 3 2 2 2 2" xfId="35189" xr:uid="{00000000-0005-0000-0000-00001E6A0000}"/>
    <cellStyle name="Normal 71 5 3 2 2 3" xfId="27142" xr:uid="{00000000-0005-0000-0000-00001F6A0000}"/>
    <cellStyle name="Normal 71 5 3 2 3" xfId="14838" xr:uid="{00000000-0005-0000-0000-0000206A0000}"/>
    <cellStyle name="Normal 71 5 3 2 3 2" xfId="31388" xr:uid="{00000000-0005-0000-0000-0000216A0000}"/>
    <cellStyle name="Normal 71 5 3 2 4" xfId="23345" xr:uid="{00000000-0005-0000-0000-0000226A0000}"/>
    <cellStyle name="Normal 71 5 3 3" xfId="9442" xr:uid="{00000000-0005-0000-0000-0000236A0000}"/>
    <cellStyle name="Normal 71 5 3 3 2" xfId="18616" xr:uid="{00000000-0005-0000-0000-0000246A0000}"/>
    <cellStyle name="Normal 71 5 3 3 2 2" xfId="35190" xr:uid="{00000000-0005-0000-0000-0000256A0000}"/>
    <cellStyle name="Normal 71 5 3 3 3" xfId="27143" xr:uid="{00000000-0005-0000-0000-0000266A0000}"/>
    <cellStyle name="Normal 71 5 3 4" xfId="14837" xr:uid="{00000000-0005-0000-0000-0000276A0000}"/>
    <cellStyle name="Normal 71 5 3 4 2" xfId="31387" xr:uid="{00000000-0005-0000-0000-0000286A0000}"/>
    <cellStyle name="Normal 71 5 3 5" xfId="23344" xr:uid="{00000000-0005-0000-0000-0000296A0000}"/>
    <cellStyle name="Normal 71 5 4" xfId="5529" xr:uid="{00000000-0005-0000-0000-00002A6A0000}"/>
    <cellStyle name="Normal 71 5 4 2" xfId="9443" xr:uid="{00000000-0005-0000-0000-00002B6A0000}"/>
    <cellStyle name="Normal 71 5 4 2 2" xfId="18617" xr:uid="{00000000-0005-0000-0000-00002C6A0000}"/>
    <cellStyle name="Normal 71 5 4 2 2 2" xfId="35191" xr:uid="{00000000-0005-0000-0000-00002D6A0000}"/>
    <cellStyle name="Normal 71 5 4 2 3" xfId="27144" xr:uid="{00000000-0005-0000-0000-00002E6A0000}"/>
    <cellStyle name="Normal 71 5 4 3" xfId="14839" xr:uid="{00000000-0005-0000-0000-00002F6A0000}"/>
    <cellStyle name="Normal 71 5 4 3 2" xfId="31389" xr:uid="{00000000-0005-0000-0000-0000306A0000}"/>
    <cellStyle name="Normal 71 5 4 4" xfId="23346" xr:uid="{00000000-0005-0000-0000-0000316A0000}"/>
    <cellStyle name="Normal 71 5 5" xfId="9444" xr:uid="{00000000-0005-0000-0000-0000326A0000}"/>
    <cellStyle name="Normal 71 5 5 2" xfId="18618" xr:uid="{00000000-0005-0000-0000-0000336A0000}"/>
    <cellStyle name="Normal 71 5 5 2 2" xfId="35192" xr:uid="{00000000-0005-0000-0000-0000346A0000}"/>
    <cellStyle name="Normal 71 5 5 3" xfId="27145" xr:uid="{00000000-0005-0000-0000-0000356A0000}"/>
    <cellStyle name="Normal 71 5 6" xfId="14832" xr:uid="{00000000-0005-0000-0000-0000366A0000}"/>
    <cellStyle name="Normal 71 5 6 2" xfId="31382" xr:uid="{00000000-0005-0000-0000-0000376A0000}"/>
    <cellStyle name="Normal 71 5 7" xfId="23339" xr:uid="{00000000-0005-0000-0000-0000386A0000}"/>
    <cellStyle name="Normal 71 6" xfId="5530" xr:uid="{00000000-0005-0000-0000-0000396A0000}"/>
    <cellStyle name="Normal 71 6 2" xfId="5531" xr:uid="{00000000-0005-0000-0000-00003A6A0000}"/>
    <cellStyle name="Normal 71 6 2 2" xfId="5532" xr:uid="{00000000-0005-0000-0000-00003B6A0000}"/>
    <cellStyle name="Normal 71 6 2 2 2" xfId="9445" xr:uid="{00000000-0005-0000-0000-00003C6A0000}"/>
    <cellStyle name="Normal 71 6 2 2 2 2" xfId="18619" xr:uid="{00000000-0005-0000-0000-00003D6A0000}"/>
    <cellStyle name="Normal 71 6 2 2 2 2 2" xfId="35193" xr:uid="{00000000-0005-0000-0000-00003E6A0000}"/>
    <cellStyle name="Normal 71 6 2 2 2 3" xfId="27146" xr:uid="{00000000-0005-0000-0000-00003F6A0000}"/>
    <cellStyle name="Normal 71 6 2 2 3" xfId="14842" xr:uid="{00000000-0005-0000-0000-0000406A0000}"/>
    <cellStyle name="Normal 71 6 2 2 3 2" xfId="31392" xr:uid="{00000000-0005-0000-0000-0000416A0000}"/>
    <cellStyle name="Normal 71 6 2 2 4" xfId="23349" xr:uid="{00000000-0005-0000-0000-0000426A0000}"/>
    <cellStyle name="Normal 71 6 2 3" xfId="9446" xr:uid="{00000000-0005-0000-0000-0000436A0000}"/>
    <cellStyle name="Normal 71 6 2 3 2" xfId="18620" xr:uid="{00000000-0005-0000-0000-0000446A0000}"/>
    <cellStyle name="Normal 71 6 2 3 2 2" xfId="35194" xr:uid="{00000000-0005-0000-0000-0000456A0000}"/>
    <cellStyle name="Normal 71 6 2 3 3" xfId="27147" xr:uid="{00000000-0005-0000-0000-0000466A0000}"/>
    <cellStyle name="Normal 71 6 2 4" xfId="14841" xr:uid="{00000000-0005-0000-0000-0000476A0000}"/>
    <cellStyle name="Normal 71 6 2 4 2" xfId="31391" xr:uid="{00000000-0005-0000-0000-0000486A0000}"/>
    <cellStyle name="Normal 71 6 2 5" xfId="23348" xr:uid="{00000000-0005-0000-0000-0000496A0000}"/>
    <cellStyle name="Normal 71 6 3" xfId="5533" xr:uid="{00000000-0005-0000-0000-00004A6A0000}"/>
    <cellStyle name="Normal 71 6 3 2" xfId="9447" xr:uid="{00000000-0005-0000-0000-00004B6A0000}"/>
    <cellStyle name="Normal 71 6 3 2 2" xfId="18621" xr:uid="{00000000-0005-0000-0000-00004C6A0000}"/>
    <cellStyle name="Normal 71 6 3 2 2 2" xfId="35195" xr:uid="{00000000-0005-0000-0000-00004D6A0000}"/>
    <cellStyle name="Normal 71 6 3 2 3" xfId="27148" xr:uid="{00000000-0005-0000-0000-00004E6A0000}"/>
    <cellStyle name="Normal 71 6 3 3" xfId="14843" xr:uid="{00000000-0005-0000-0000-00004F6A0000}"/>
    <cellStyle name="Normal 71 6 3 3 2" xfId="31393" xr:uid="{00000000-0005-0000-0000-0000506A0000}"/>
    <cellStyle name="Normal 71 6 3 4" xfId="23350" xr:uid="{00000000-0005-0000-0000-0000516A0000}"/>
    <cellStyle name="Normal 71 6 4" xfId="9448" xr:uid="{00000000-0005-0000-0000-0000526A0000}"/>
    <cellStyle name="Normal 71 6 4 2" xfId="18622" xr:uid="{00000000-0005-0000-0000-0000536A0000}"/>
    <cellStyle name="Normal 71 6 4 2 2" xfId="35196" xr:uid="{00000000-0005-0000-0000-0000546A0000}"/>
    <cellStyle name="Normal 71 6 4 3" xfId="27149" xr:uid="{00000000-0005-0000-0000-0000556A0000}"/>
    <cellStyle name="Normal 71 6 5" xfId="14840" xr:uid="{00000000-0005-0000-0000-0000566A0000}"/>
    <cellStyle name="Normal 71 6 5 2" xfId="31390" xr:uid="{00000000-0005-0000-0000-0000576A0000}"/>
    <cellStyle name="Normal 71 6 6" xfId="23347" xr:uid="{00000000-0005-0000-0000-0000586A0000}"/>
    <cellStyle name="Normal 71 7" xfId="5534" xr:uid="{00000000-0005-0000-0000-0000596A0000}"/>
    <cellStyle name="Normal 71 7 2" xfId="5535" xr:uid="{00000000-0005-0000-0000-00005A6A0000}"/>
    <cellStyle name="Normal 71 7 2 2" xfId="9449" xr:uid="{00000000-0005-0000-0000-00005B6A0000}"/>
    <cellStyle name="Normal 71 7 2 2 2" xfId="18623" xr:uid="{00000000-0005-0000-0000-00005C6A0000}"/>
    <cellStyle name="Normal 71 7 2 2 2 2" xfId="35197" xr:uid="{00000000-0005-0000-0000-00005D6A0000}"/>
    <cellStyle name="Normal 71 7 2 2 3" xfId="27150" xr:uid="{00000000-0005-0000-0000-00005E6A0000}"/>
    <cellStyle name="Normal 71 7 2 3" xfId="14845" xr:uid="{00000000-0005-0000-0000-00005F6A0000}"/>
    <cellStyle name="Normal 71 7 2 3 2" xfId="31395" xr:uid="{00000000-0005-0000-0000-0000606A0000}"/>
    <cellStyle name="Normal 71 7 2 4" xfId="23352" xr:uid="{00000000-0005-0000-0000-0000616A0000}"/>
    <cellStyle name="Normal 71 7 3" xfId="9450" xr:uid="{00000000-0005-0000-0000-0000626A0000}"/>
    <cellStyle name="Normal 71 7 3 2" xfId="18624" xr:uid="{00000000-0005-0000-0000-0000636A0000}"/>
    <cellStyle name="Normal 71 7 3 2 2" xfId="35198" xr:uid="{00000000-0005-0000-0000-0000646A0000}"/>
    <cellStyle name="Normal 71 7 3 3" xfId="27151" xr:uid="{00000000-0005-0000-0000-0000656A0000}"/>
    <cellStyle name="Normal 71 7 4" xfId="14844" xr:uid="{00000000-0005-0000-0000-0000666A0000}"/>
    <cellStyle name="Normal 71 7 4 2" xfId="31394" xr:uid="{00000000-0005-0000-0000-0000676A0000}"/>
    <cellStyle name="Normal 71 7 5" xfId="23351" xr:uid="{00000000-0005-0000-0000-0000686A0000}"/>
    <cellStyle name="Normal 71 8" xfId="5536" xr:uid="{00000000-0005-0000-0000-0000696A0000}"/>
    <cellStyle name="Normal 71 8 2" xfId="9451" xr:uid="{00000000-0005-0000-0000-00006A6A0000}"/>
    <cellStyle name="Normal 71 8 2 2" xfId="18625" xr:uid="{00000000-0005-0000-0000-00006B6A0000}"/>
    <cellStyle name="Normal 71 8 2 2 2" xfId="35199" xr:uid="{00000000-0005-0000-0000-00006C6A0000}"/>
    <cellStyle name="Normal 71 8 2 3" xfId="27152" xr:uid="{00000000-0005-0000-0000-00006D6A0000}"/>
    <cellStyle name="Normal 71 8 3" xfId="14846" xr:uid="{00000000-0005-0000-0000-00006E6A0000}"/>
    <cellStyle name="Normal 71 8 3 2" xfId="31396" xr:uid="{00000000-0005-0000-0000-00006F6A0000}"/>
    <cellStyle name="Normal 71 8 4" xfId="23353" xr:uid="{00000000-0005-0000-0000-0000706A0000}"/>
    <cellStyle name="Normal 71 9" xfId="9452" xr:uid="{00000000-0005-0000-0000-0000716A0000}"/>
    <cellStyle name="Normal 71 9 2" xfId="18626" xr:uid="{00000000-0005-0000-0000-0000726A0000}"/>
    <cellStyle name="Normal 71 9 2 2" xfId="35200" xr:uid="{00000000-0005-0000-0000-0000736A0000}"/>
    <cellStyle name="Normal 71 9 3" xfId="27153" xr:uid="{00000000-0005-0000-0000-0000746A0000}"/>
    <cellStyle name="Normal 72" xfId="5537" xr:uid="{00000000-0005-0000-0000-0000756A0000}"/>
    <cellStyle name="Normal 72 10" xfId="14847" xr:uid="{00000000-0005-0000-0000-0000766A0000}"/>
    <cellStyle name="Normal 72 10 2" xfId="31397" xr:uid="{00000000-0005-0000-0000-0000776A0000}"/>
    <cellStyle name="Normal 72 11" xfId="23354" xr:uid="{00000000-0005-0000-0000-0000786A0000}"/>
    <cellStyle name="Normal 72 2" xfId="5538" xr:uid="{00000000-0005-0000-0000-0000796A0000}"/>
    <cellStyle name="Normal 72 2 2" xfId="5539" xr:uid="{00000000-0005-0000-0000-00007A6A0000}"/>
    <cellStyle name="Normal 72 2 3" xfId="14848" xr:uid="{00000000-0005-0000-0000-00007B6A0000}"/>
    <cellStyle name="Normal 72 2 3 2" xfId="31398" xr:uid="{00000000-0005-0000-0000-00007C6A0000}"/>
    <cellStyle name="Normal 72 2 4" xfId="23355" xr:uid="{00000000-0005-0000-0000-00007D6A0000}"/>
    <cellStyle name="Normal 72 3" xfId="5540" xr:uid="{00000000-0005-0000-0000-00007E6A0000}"/>
    <cellStyle name="Normal 72 3 2" xfId="5541" xr:uid="{00000000-0005-0000-0000-00007F6A0000}"/>
    <cellStyle name="Normal 72 3 2 2" xfId="5542" xr:uid="{00000000-0005-0000-0000-0000806A0000}"/>
    <cellStyle name="Normal 72 3 2 2 2" xfId="5543" xr:uid="{00000000-0005-0000-0000-0000816A0000}"/>
    <cellStyle name="Normal 72 3 2 2 2 2" xfId="9453" xr:uid="{00000000-0005-0000-0000-0000826A0000}"/>
    <cellStyle name="Normal 72 3 2 2 2 2 2" xfId="18627" xr:uid="{00000000-0005-0000-0000-0000836A0000}"/>
    <cellStyle name="Normal 72 3 2 2 2 2 2 2" xfId="35201" xr:uid="{00000000-0005-0000-0000-0000846A0000}"/>
    <cellStyle name="Normal 72 3 2 2 2 2 3" xfId="27154" xr:uid="{00000000-0005-0000-0000-0000856A0000}"/>
    <cellStyle name="Normal 72 3 2 2 2 3" xfId="14851" xr:uid="{00000000-0005-0000-0000-0000866A0000}"/>
    <cellStyle name="Normal 72 3 2 2 2 3 2" xfId="31401" xr:uid="{00000000-0005-0000-0000-0000876A0000}"/>
    <cellStyle name="Normal 72 3 2 2 2 4" xfId="23358" xr:uid="{00000000-0005-0000-0000-0000886A0000}"/>
    <cellStyle name="Normal 72 3 2 2 3" xfId="9454" xr:uid="{00000000-0005-0000-0000-0000896A0000}"/>
    <cellStyle name="Normal 72 3 2 2 3 2" xfId="18628" xr:uid="{00000000-0005-0000-0000-00008A6A0000}"/>
    <cellStyle name="Normal 72 3 2 2 3 2 2" xfId="35202" xr:uid="{00000000-0005-0000-0000-00008B6A0000}"/>
    <cellStyle name="Normal 72 3 2 2 3 3" xfId="27155" xr:uid="{00000000-0005-0000-0000-00008C6A0000}"/>
    <cellStyle name="Normal 72 3 2 2 4" xfId="14850" xr:uid="{00000000-0005-0000-0000-00008D6A0000}"/>
    <cellStyle name="Normal 72 3 2 2 4 2" xfId="31400" xr:uid="{00000000-0005-0000-0000-00008E6A0000}"/>
    <cellStyle name="Normal 72 3 2 2 5" xfId="23357" xr:uid="{00000000-0005-0000-0000-00008F6A0000}"/>
    <cellStyle name="Normal 72 3 2 3" xfId="5544" xr:uid="{00000000-0005-0000-0000-0000906A0000}"/>
    <cellStyle name="Normal 72 3 2 3 2" xfId="9455" xr:uid="{00000000-0005-0000-0000-0000916A0000}"/>
    <cellStyle name="Normal 72 3 2 3 2 2" xfId="18629" xr:uid="{00000000-0005-0000-0000-0000926A0000}"/>
    <cellStyle name="Normal 72 3 2 3 2 2 2" xfId="35203" xr:uid="{00000000-0005-0000-0000-0000936A0000}"/>
    <cellStyle name="Normal 72 3 2 3 2 3" xfId="27156" xr:uid="{00000000-0005-0000-0000-0000946A0000}"/>
    <cellStyle name="Normal 72 3 2 3 3" xfId="14852" xr:uid="{00000000-0005-0000-0000-0000956A0000}"/>
    <cellStyle name="Normal 72 3 2 3 3 2" xfId="31402" xr:uid="{00000000-0005-0000-0000-0000966A0000}"/>
    <cellStyle name="Normal 72 3 2 3 4" xfId="23359" xr:uid="{00000000-0005-0000-0000-0000976A0000}"/>
    <cellStyle name="Normal 72 3 2 4" xfId="9456" xr:uid="{00000000-0005-0000-0000-0000986A0000}"/>
    <cellStyle name="Normal 72 3 2 4 2" xfId="18630" xr:uid="{00000000-0005-0000-0000-0000996A0000}"/>
    <cellStyle name="Normal 72 3 2 4 2 2" xfId="35204" xr:uid="{00000000-0005-0000-0000-00009A6A0000}"/>
    <cellStyle name="Normal 72 3 2 4 3" xfId="27157" xr:uid="{00000000-0005-0000-0000-00009B6A0000}"/>
    <cellStyle name="Normal 72 3 2 5" xfId="14849" xr:uid="{00000000-0005-0000-0000-00009C6A0000}"/>
    <cellStyle name="Normal 72 3 2 5 2" xfId="31399" xr:uid="{00000000-0005-0000-0000-00009D6A0000}"/>
    <cellStyle name="Normal 72 3 2 6" xfId="23356" xr:uid="{00000000-0005-0000-0000-00009E6A0000}"/>
    <cellStyle name="Normal 72 3 3" xfId="5545" xr:uid="{00000000-0005-0000-0000-00009F6A0000}"/>
    <cellStyle name="Normal 72 3 3 2" xfId="5546" xr:uid="{00000000-0005-0000-0000-0000A06A0000}"/>
    <cellStyle name="Normal 72 3 3 2 2" xfId="9457" xr:uid="{00000000-0005-0000-0000-0000A16A0000}"/>
    <cellStyle name="Normal 72 3 3 2 2 2" xfId="18631" xr:uid="{00000000-0005-0000-0000-0000A26A0000}"/>
    <cellStyle name="Normal 72 3 3 2 2 2 2" xfId="35205" xr:uid="{00000000-0005-0000-0000-0000A36A0000}"/>
    <cellStyle name="Normal 72 3 3 2 2 3" xfId="27158" xr:uid="{00000000-0005-0000-0000-0000A46A0000}"/>
    <cellStyle name="Normal 72 3 3 2 3" xfId="14854" xr:uid="{00000000-0005-0000-0000-0000A56A0000}"/>
    <cellStyle name="Normal 72 3 3 2 3 2" xfId="31404" xr:uid="{00000000-0005-0000-0000-0000A66A0000}"/>
    <cellStyle name="Normal 72 3 3 2 4" xfId="23361" xr:uid="{00000000-0005-0000-0000-0000A76A0000}"/>
    <cellStyle name="Normal 72 3 3 3" xfId="9458" xr:uid="{00000000-0005-0000-0000-0000A86A0000}"/>
    <cellStyle name="Normal 72 3 3 3 2" xfId="18632" xr:uid="{00000000-0005-0000-0000-0000A96A0000}"/>
    <cellStyle name="Normal 72 3 3 3 2 2" xfId="35206" xr:uid="{00000000-0005-0000-0000-0000AA6A0000}"/>
    <cellStyle name="Normal 72 3 3 3 3" xfId="27159" xr:uid="{00000000-0005-0000-0000-0000AB6A0000}"/>
    <cellStyle name="Normal 72 3 3 4" xfId="14853" xr:uid="{00000000-0005-0000-0000-0000AC6A0000}"/>
    <cellStyle name="Normal 72 3 3 4 2" xfId="31403" xr:uid="{00000000-0005-0000-0000-0000AD6A0000}"/>
    <cellStyle name="Normal 72 3 3 5" xfId="23360" xr:uid="{00000000-0005-0000-0000-0000AE6A0000}"/>
    <cellStyle name="Normal 72 3 4" xfId="5547" xr:uid="{00000000-0005-0000-0000-0000AF6A0000}"/>
    <cellStyle name="Normal 72 3 4 2" xfId="9459" xr:uid="{00000000-0005-0000-0000-0000B06A0000}"/>
    <cellStyle name="Normal 72 3 4 2 2" xfId="18633" xr:uid="{00000000-0005-0000-0000-0000B16A0000}"/>
    <cellStyle name="Normal 72 3 4 2 2 2" xfId="35207" xr:uid="{00000000-0005-0000-0000-0000B26A0000}"/>
    <cellStyle name="Normal 72 3 4 2 3" xfId="27160" xr:uid="{00000000-0005-0000-0000-0000B36A0000}"/>
    <cellStyle name="Normal 72 3 4 3" xfId="14855" xr:uid="{00000000-0005-0000-0000-0000B46A0000}"/>
    <cellStyle name="Normal 72 3 4 3 2" xfId="31405" xr:uid="{00000000-0005-0000-0000-0000B56A0000}"/>
    <cellStyle name="Normal 72 3 4 4" xfId="23362" xr:uid="{00000000-0005-0000-0000-0000B66A0000}"/>
    <cellStyle name="Normal 72 3 5" xfId="5548" xr:uid="{00000000-0005-0000-0000-0000B76A0000}"/>
    <cellStyle name="Normal 72 3 5 2" xfId="14856" xr:uid="{00000000-0005-0000-0000-0000B86A0000}"/>
    <cellStyle name="Normal 72 3 5 2 2" xfId="31406" xr:uid="{00000000-0005-0000-0000-0000B96A0000}"/>
    <cellStyle name="Normal 72 3 5 3" xfId="23363" xr:uid="{00000000-0005-0000-0000-0000BA6A0000}"/>
    <cellStyle name="Normal 72 4" xfId="5549" xr:uid="{00000000-0005-0000-0000-0000BB6A0000}"/>
    <cellStyle name="Normal 72 4 2" xfId="5550" xr:uid="{00000000-0005-0000-0000-0000BC6A0000}"/>
    <cellStyle name="Normal 72 4 2 2" xfId="5551" xr:uid="{00000000-0005-0000-0000-0000BD6A0000}"/>
    <cellStyle name="Normal 72 4 2 2 2" xfId="5552" xr:uid="{00000000-0005-0000-0000-0000BE6A0000}"/>
    <cellStyle name="Normal 72 4 2 2 2 2" xfId="9460" xr:uid="{00000000-0005-0000-0000-0000BF6A0000}"/>
    <cellStyle name="Normal 72 4 2 2 2 2 2" xfId="18634" xr:uid="{00000000-0005-0000-0000-0000C06A0000}"/>
    <cellStyle name="Normal 72 4 2 2 2 2 2 2" xfId="35208" xr:uid="{00000000-0005-0000-0000-0000C16A0000}"/>
    <cellStyle name="Normal 72 4 2 2 2 2 3" xfId="27161" xr:uid="{00000000-0005-0000-0000-0000C26A0000}"/>
    <cellStyle name="Normal 72 4 2 2 2 3" xfId="14860" xr:uid="{00000000-0005-0000-0000-0000C36A0000}"/>
    <cellStyle name="Normal 72 4 2 2 2 3 2" xfId="31410" xr:uid="{00000000-0005-0000-0000-0000C46A0000}"/>
    <cellStyle name="Normal 72 4 2 2 2 4" xfId="23367" xr:uid="{00000000-0005-0000-0000-0000C56A0000}"/>
    <cellStyle name="Normal 72 4 2 2 3" xfId="9461" xr:uid="{00000000-0005-0000-0000-0000C66A0000}"/>
    <cellStyle name="Normal 72 4 2 2 3 2" xfId="18635" xr:uid="{00000000-0005-0000-0000-0000C76A0000}"/>
    <cellStyle name="Normal 72 4 2 2 3 2 2" xfId="35209" xr:uid="{00000000-0005-0000-0000-0000C86A0000}"/>
    <cellStyle name="Normal 72 4 2 2 3 3" xfId="27162" xr:uid="{00000000-0005-0000-0000-0000C96A0000}"/>
    <cellStyle name="Normal 72 4 2 2 4" xfId="14859" xr:uid="{00000000-0005-0000-0000-0000CA6A0000}"/>
    <cellStyle name="Normal 72 4 2 2 4 2" xfId="31409" xr:uid="{00000000-0005-0000-0000-0000CB6A0000}"/>
    <cellStyle name="Normal 72 4 2 2 5" xfId="23366" xr:uid="{00000000-0005-0000-0000-0000CC6A0000}"/>
    <cellStyle name="Normal 72 4 2 3" xfId="5553" xr:uid="{00000000-0005-0000-0000-0000CD6A0000}"/>
    <cellStyle name="Normal 72 4 2 3 2" xfId="9462" xr:uid="{00000000-0005-0000-0000-0000CE6A0000}"/>
    <cellStyle name="Normal 72 4 2 3 2 2" xfId="18636" xr:uid="{00000000-0005-0000-0000-0000CF6A0000}"/>
    <cellStyle name="Normal 72 4 2 3 2 2 2" xfId="35210" xr:uid="{00000000-0005-0000-0000-0000D06A0000}"/>
    <cellStyle name="Normal 72 4 2 3 2 3" xfId="27163" xr:uid="{00000000-0005-0000-0000-0000D16A0000}"/>
    <cellStyle name="Normal 72 4 2 3 3" xfId="14861" xr:uid="{00000000-0005-0000-0000-0000D26A0000}"/>
    <cellStyle name="Normal 72 4 2 3 3 2" xfId="31411" xr:uid="{00000000-0005-0000-0000-0000D36A0000}"/>
    <cellStyle name="Normal 72 4 2 3 4" xfId="23368" xr:uid="{00000000-0005-0000-0000-0000D46A0000}"/>
    <cellStyle name="Normal 72 4 2 4" xfId="9463" xr:uid="{00000000-0005-0000-0000-0000D56A0000}"/>
    <cellStyle name="Normal 72 4 2 4 2" xfId="18637" xr:uid="{00000000-0005-0000-0000-0000D66A0000}"/>
    <cellStyle name="Normal 72 4 2 4 2 2" xfId="35211" xr:uid="{00000000-0005-0000-0000-0000D76A0000}"/>
    <cellStyle name="Normal 72 4 2 4 3" xfId="27164" xr:uid="{00000000-0005-0000-0000-0000D86A0000}"/>
    <cellStyle name="Normal 72 4 2 5" xfId="14858" xr:uid="{00000000-0005-0000-0000-0000D96A0000}"/>
    <cellStyle name="Normal 72 4 2 5 2" xfId="31408" xr:uid="{00000000-0005-0000-0000-0000DA6A0000}"/>
    <cellStyle name="Normal 72 4 2 6" xfId="23365" xr:uid="{00000000-0005-0000-0000-0000DB6A0000}"/>
    <cellStyle name="Normal 72 4 3" xfId="5554" xr:uid="{00000000-0005-0000-0000-0000DC6A0000}"/>
    <cellStyle name="Normal 72 4 3 2" xfId="5555" xr:uid="{00000000-0005-0000-0000-0000DD6A0000}"/>
    <cellStyle name="Normal 72 4 3 2 2" xfId="9464" xr:uid="{00000000-0005-0000-0000-0000DE6A0000}"/>
    <cellStyle name="Normal 72 4 3 2 2 2" xfId="18638" xr:uid="{00000000-0005-0000-0000-0000DF6A0000}"/>
    <cellStyle name="Normal 72 4 3 2 2 2 2" xfId="35212" xr:uid="{00000000-0005-0000-0000-0000E06A0000}"/>
    <cellStyle name="Normal 72 4 3 2 2 3" xfId="27165" xr:uid="{00000000-0005-0000-0000-0000E16A0000}"/>
    <cellStyle name="Normal 72 4 3 2 3" xfId="14863" xr:uid="{00000000-0005-0000-0000-0000E26A0000}"/>
    <cellStyle name="Normal 72 4 3 2 3 2" xfId="31413" xr:uid="{00000000-0005-0000-0000-0000E36A0000}"/>
    <cellStyle name="Normal 72 4 3 2 4" xfId="23370" xr:uid="{00000000-0005-0000-0000-0000E46A0000}"/>
    <cellStyle name="Normal 72 4 3 3" xfId="9465" xr:uid="{00000000-0005-0000-0000-0000E56A0000}"/>
    <cellStyle name="Normal 72 4 3 3 2" xfId="18639" xr:uid="{00000000-0005-0000-0000-0000E66A0000}"/>
    <cellStyle name="Normal 72 4 3 3 2 2" xfId="35213" xr:uid="{00000000-0005-0000-0000-0000E76A0000}"/>
    <cellStyle name="Normal 72 4 3 3 3" xfId="27166" xr:uid="{00000000-0005-0000-0000-0000E86A0000}"/>
    <cellStyle name="Normal 72 4 3 4" xfId="14862" xr:uid="{00000000-0005-0000-0000-0000E96A0000}"/>
    <cellStyle name="Normal 72 4 3 4 2" xfId="31412" xr:uid="{00000000-0005-0000-0000-0000EA6A0000}"/>
    <cellStyle name="Normal 72 4 3 5" xfId="23369" xr:uid="{00000000-0005-0000-0000-0000EB6A0000}"/>
    <cellStyle name="Normal 72 4 4" xfId="5556" xr:uid="{00000000-0005-0000-0000-0000EC6A0000}"/>
    <cellStyle name="Normal 72 4 4 2" xfId="9466" xr:uid="{00000000-0005-0000-0000-0000ED6A0000}"/>
    <cellStyle name="Normal 72 4 4 2 2" xfId="18640" xr:uid="{00000000-0005-0000-0000-0000EE6A0000}"/>
    <cellStyle name="Normal 72 4 4 2 2 2" xfId="35214" xr:uid="{00000000-0005-0000-0000-0000EF6A0000}"/>
    <cellStyle name="Normal 72 4 4 2 3" xfId="27167" xr:uid="{00000000-0005-0000-0000-0000F06A0000}"/>
    <cellStyle name="Normal 72 4 4 3" xfId="14864" xr:uid="{00000000-0005-0000-0000-0000F16A0000}"/>
    <cellStyle name="Normal 72 4 4 3 2" xfId="31414" xr:uid="{00000000-0005-0000-0000-0000F26A0000}"/>
    <cellStyle name="Normal 72 4 4 4" xfId="23371" xr:uid="{00000000-0005-0000-0000-0000F36A0000}"/>
    <cellStyle name="Normal 72 4 5" xfId="9467" xr:uid="{00000000-0005-0000-0000-0000F46A0000}"/>
    <cellStyle name="Normal 72 4 5 2" xfId="18641" xr:uid="{00000000-0005-0000-0000-0000F56A0000}"/>
    <cellStyle name="Normal 72 4 5 2 2" xfId="35215" xr:uid="{00000000-0005-0000-0000-0000F66A0000}"/>
    <cellStyle name="Normal 72 4 5 3" xfId="27168" xr:uid="{00000000-0005-0000-0000-0000F76A0000}"/>
    <cellStyle name="Normal 72 4 6" xfId="14857" xr:uid="{00000000-0005-0000-0000-0000F86A0000}"/>
    <cellStyle name="Normal 72 4 6 2" xfId="31407" xr:uid="{00000000-0005-0000-0000-0000F96A0000}"/>
    <cellStyle name="Normal 72 4 7" xfId="23364" xr:uid="{00000000-0005-0000-0000-0000FA6A0000}"/>
    <cellStyle name="Normal 72 5" xfId="5557" xr:uid="{00000000-0005-0000-0000-0000FB6A0000}"/>
    <cellStyle name="Normal 72 5 2" xfId="5558" xr:uid="{00000000-0005-0000-0000-0000FC6A0000}"/>
    <cellStyle name="Normal 72 5 2 2" xfId="5559" xr:uid="{00000000-0005-0000-0000-0000FD6A0000}"/>
    <cellStyle name="Normal 72 5 2 2 2" xfId="5560" xr:uid="{00000000-0005-0000-0000-0000FE6A0000}"/>
    <cellStyle name="Normal 72 5 2 2 2 2" xfId="9468" xr:uid="{00000000-0005-0000-0000-0000FF6A0000}"/>
    <cellStyle name="Normal 72 5 2 2 2 2 2" xfId="18642" xr:uid="{00000000-0005-0000-0000-0000006B0000}"/>
    <cellStyle name="Normal 72 5 2 2 2 2 2 2" xfId="35216" xr:uid="{00000000-0005-0000-0000-0000016B0000}"/>
    <cellStyle name="Normal 72 5 2 2 2 2 3" xfId="27169" xr:uid="{00000000-0005-0000-0000-0000026B0000}"/>
    <cellStyle name="Normal 72 5 2 2 2 3" xfId="14868" xr:uid="{00000000-0005-0000-0000-0000036B0000}"/>
    <cellStyle name="Normal 72 5 2 2 2 3 2" xfId="31418" xr:uid="{00000000-0005-0000-0000-0000046B0000}"/>
    <cellStyle name="Normal 72 5 2 2 2 4" xfId="23375" xr:uid="{00000000-0005-0000-0000-0000056B0000}"/>
    <cellStyle name="Normal 72 5 2 2 3" xfId="9469" xr:uid="{00000000-0005-0000-0000-0000066B0000}"/>
    <cellStyle name="Normal 72 5 2 2 3 2" xfId="18643" xr:uid="{00000000-0005-0000-0000-0000076B0000}"/>
    <cellStyle name="Normal 72 5 2 2 3 2 2" xfId="35217" xr:uid="{00000000-0005-0000-0000-0000086B0000}"/>
    <cellStyle name="Normal 72 5 2 2 3 3" xfId="27170" xr:uid="{00000000-0005-0000-0000-0000096B0000}"/>
    <cellStyle name="Normal 72 5 2 2 4" xfId="14867" xr:uid="{00000000-0005-0000-0000-00000A6B0000}"/>
    <cellStyle name="Normal 72 5 2 2 4 2" xfId="31417" xr:uid="{00000000-0005-0000-0000-00000B6B0000}"/>
    <cellStyle name="Normal 72 5 2 2 5" xfId="23374" xr:uid="{00000000-0005-0000-0000-00000C6B0000}"/>
    <cellStyle name="Normal 72 5 2 3" xfId="5561" xr:uid="{00000000-0005-0000-0000-00000D6B0000}"/>
    <cellStyle name="Normal 72 5 2 3 2" xfId="9470" xr:uid="{00000000-0005-0000-0000-00000E6B0000}"/>
    <cellStyle name="Normal 72 5 2 3 2 2" xfId="18644" xr:uid="{00000000-0005-0000-0000-00000F6B0000}"/>
    <cellStyle name="Normal 72 5 2 3 2 2 2" xfId="35218" xr:uid="{00000000-0005-0000-0000-0000106B0000}"/>
    <cellStyle name="Normal 72 5 2 3 2 3" xfId="27171" xr:uid="{00000000-0005-0000-0000-0000116B0000}"/>
    <cellStyle name="Normal 72 5 2 3 3" xfId="14869" xr:uid="{00000000-0005-0000-0000-0000126B0000}"/>
    <cellStyle name="Normal 72 5 2 3 3 2" xfId="31419" xr:uid="{00000000-0005-0000-0000-0000136B0000}"/>
    <cellStyle name="Normal 72 5 2 3 4" xfId="23376" xr:uid="{00000000-0005-0000-0000-0000146B0000}"/>
    <cellStyle name="Normal 72 5 2 4" xfId="9471" xr:uid="{00000000-0005-0000-0000-0000156B0000}"/>
    <cellStyle name="Normal 72 5 2 4 2" xfId="18645" xr:uid="{00000000-0005-0000-0000-0000166B0000}"/>
    <cellStyle name="Normal 72 5 2 4 2 2" xfId="35219" xr:uid="{00000000-0005-0000-0000-0000176B0000}"/>
    <cellStyle name="Normal 72 5 2 4 3" xfId="27172" xr:uid="{00000000-0005-0000-0000-0000186B0000}"/>
    <cellStyle name="Normal 72 5 2 5" xfId="14866" xr:uid="{00000000-0005-0000-0000-0000196B0000}"/>
    <cellStyle name="Normal 72 5 2 5 2" xfId="31416" xr:uid="{00000000-0005-0000-0000-00001A6B0000}"/>
    <cellStyle name="Normal 72 5 2 6" xfId="23373" xr:uid="{00000000-0005-0000-0000-00001B6B0000}"/>
    <cellStyle name="Normal 72 5 3" xfId="5562" xr:uid="{00000000-0005-0000-0000-00001C6B0000}"/>
    <cellStyle name="Normal 72 5 3 2" xfId="5563" xr:uid="{00000000-0005-0000-0000-00001D6B0000}"/>
    <cellStyle name="Normal 72 5 3 2 2" xfId="9472" xr:uid="{00000000-0005-0000-0000-00001E6B0000}"/>
    <cellStyle name="Normal 72 5 3 2 2 2" xfId="18646" xr:uid="{00000000-0005-0000-0000-00001F6B0000}"/>
    <cellStyle name="Normal 72 5 3 2 2 2 2" xfId="35220" xr:uid="{00000000-0005-0000-0000-0000206B0000}"/>
    <cellStyle name="Normal 72 5 3 2 2 3" xfId="27173" xr:uid="{00000000-0005-0000-0000-0000216B0000}"/>
    <cellStyle name="Normal 72 5 3 2 3" xfId="14871" xr:uid="{00000000-0005-0000-0000-0000226B0000}"/>
    <cellStyle name="Normal 72 5 3 2 3 2" xfId="31421" xr:uid="{00000000-0005-0000-0000-0000236B0000}"/>
    <cellStyle name="Normal 72 5 3 2 4" xfId="23378" xr:uid="{00000000-0005-0000-0000-0000246B0000}"/>
    <cellStyle name="Normal 72 5 3 3" xfId="9473" xr:uid="{00000000-0005-0000-0000-0000256B0000}"/>
    <cellStyle name="Normal 72 5 3 3 2" xfId="18647" xr:uid="{00000000-0005-0000-0000-0000266B0000}"/>
    <cellStyle name="Normal 72 5 3 3 2 2" xfId="35221" xr:uid="{00000000-0005-0000-0000-0000276B0000}"/>
    <cellStyle name="Normal 72 5 3 3 3" xfId="27174" xr:uid="{00000000-0005-0000-0000-0000286B0000}"/>
    <cellStyle name="Normal 72 5 3 4" xfId="14870" xr:uid="{00000000-0005-0000-0000-0000296B0000}"/>
    <cellStyle name="Normal 72 5 3 4 2" xfId="31420" xr:uid="{00000000-0005-0000-0000-00002A6B0000}"/>
    <cellStyle name="Normal 72 5 3 5" xfId="23377" xr:uid="{00000000-0005-0000-0000-00002B6B0000}"/>
    <cellStyle name="Normal 72 5 4" xfId="5564" xr:uid="{00000000-0005-0000-0000-00002C6B0000}"/>
    <cellStyle name="Normal 72 5 4 2" xfId="9474" xr:uid="{00000000-0005-0000-0000-00002D6B0000}"/>
    <cellStyle name="Normal 72 5 4 2 2" xfId="18648" xr:uid="{00000000-0005-0000-0000-00002E6B0000}"/>
    <cellStyle name="Normal 72 5 4 2 2 2" xfId="35222" xr:uid="{00000000-0005-0000-0000-00002F6B0000}"/>
    <cellStyle name="Normal 72 5 4 2 3" xfId="27175" xr:uid="{00000000-0005-0000-0000-0000306B0000}"/>
    <cellStyle name="Normal 72 5 4 3" xfId="14872" xr:uid="{00000000-0005-0000-0000-0000316B0000}"/>
    <cellStyle name="Normal 72 5 4 3 2" xfId="31422" xr:uid="{00000000-0005-0000-0000-0000326B0000}"/>
    <cellStyle name="Normal 72 5 4 4" xfId="23379" xr:uid="{00000000-0005-0000-0000-0000336B0000}"/>
    <cellStyle name="Normal 72 5 5" xfId="9475" xr:uid="{00000000-0005-0000-0000-0000346B0000}"/>
    <cellStyle name="Normal 72 5 5 2" xfId="18649" xr:uid="{00000000-0005-0000-0000-0000356B0000}"/>
    <cellStyle name="Normal 72 5 5 2 2" xfId="35223" xr:uid="{00000000-0005-0000-0000-0000366B0000}"/>
    <cellStyle name="Normal 72 5 5 3" xfId="27176" xr:uid="{00000000-0005-0000-0000-0000376B0000}"/>
    <cellStyle name="Normal 72 5 6" xfId="14865" xr:uid="{00000000-0005-0000-0000-0000386B0000}"/>
    <cellStyle name="Normal 72 5 6 2" xfId="31415" xr:uid="{00000000-0005-0000-0000-0000396B0000}"/>
    <cellStyle name="Normal 72 5 7" xfId="23372" xr:uid="{00000000-0005-0000-0000-00003A6B0000}"/>
    <cellStyle name="Normal 72 6" xfId="5565" xr:uid="{00000000-0005-0000-0000-00003B6B0000}"/>
    <cellStyle name="Normal 72 6 2" xfId="5566" xr:uid="{00000000-0005-0000-0000-00003C6B0000}"/>
    <cellStyle name="Normal 72 6 2 2" xfId="5567" xr:uid="{00000000-0005-0000-0000-00003D6B0000}"/>
    <cellStyle name="Normal 72 6 2 2 2" xfId="9476" xr:uid="{00000000-0005-0000-0000-00003E6B0000}"/>
    <cellStyle name="Normal 72 6 2 2 2 2" xfId="18650" xr:uid="{00000000-0005-0000-0000-00003F6B0000}"/>
    <cellStyle name="Normal 72 6 2 2 2 2 2" xfId="35224" xr:uid="{00000000-0005-0000-0000-0000406B0000}"/>
    <cellStyle name="Normal 72 6 2 2 2 3" xfId="27177" xr:uid="{00000000-0005-0000-0000-0000416B0000}"/>
    <cellStyle name="Normal 72 6 2 2 3" xfId="14875" xr:uid="{00000000-0005-0000-0000-0000426B0000}"/>
    <cellStyle name="Normal 72 6 2 2 3 2" xfId="31425" xr:uid="{00000000-0005-0000-0000-0000436B0000}"/>
    <cellStyle name="Normal 72 6 2 2 4" xfId="23382" xr:uid="{00000000-0005-0000-0000-0000446B0000}"/>
    <cellStyle name="Normal 72 6 2 3" xfId="9477" xr:uid="{00000000-0005-0000-0000-0000456B0000}"/>
    <cellStyle name="Normal 72 6 2 3 2" xfId="18651" xr:uid="{00000000-0005-0000-0000-0000466B0000}"/>
    <cellStyle name="Normal 72 6 2 3 2 2" xfId="35225" xr:uid="{00000000-0005-0000-0000-0000476B0000}"/>
    <cellStyle name="Normal 72 6 2 3 3" xfId="27178" xr:uid="{00000000-0005-0000-0000-0000486B0000}"/>
    <cellStyle name="Normal 72 6 2 4" xfId="14874" xr:uid="{00000000-0005-0000-0000-0000496B0000}"/>
    <cellStyle name="Normal 72 6 2 4 2" xfId="31424" xr:uid="{00000000-0005-0000-0000-00004A6B0000}"/>
    <cellStyle name="Normal 72 6 2 5" xfId="23381" xr:uid="{00000000-0005-0000-0000-00004B6B0000}"/>
    <cellStyle name="Normal 72 6 3" xfId="5568" xr:uid="{00000000-0005-0000-0000-00004C6B0000}"/>
    <cellStyle name="Normal 72 6 3 2" xfId="9478" xr:uid="{00000000-0005-0000-0000-00004D6B0000}"/>
    <cellStyle name="Normal 72 6 3 2 2" xfId="18652" xr:uid="{00000000-0005-0000-0000-00004E6B0000}"/>
    <cellStyle name="Normal 72 6 3 2 2 2" xfId="35226" xr:uid="{00000000-0005-0000-0000-00004F6B0000}"/>
    <cellStyle name="Normal 72 6 3 2 3" xfId="27179" xr:uid="{00000000-0005-0000-0000-0000506B0000}"/>
    <cellStyle name="Normal 72 6 3 3" xfId="14876" xr:uid="{00000000-0005-0000-0000-0000516B0000}"/>
    <cellStyle name="Normal 72 6 3 3 2" xfId="31426" xr:uid="{00000000-0005-0000-0000-0000526B0000}"/>
    <cellStyle name="Normal 72 6 3 4" xfId="23383" xr:uid="{00000000-0005-0000-0000-0000536B0000}"/>
    <cellStyle name="Normal 72 6 4" xfId="9479" xr:uid="{00000000-0005-0000-0000-0000546B0000}"/>
    <cellStyle name="Normal 72 6 4 2" xfId="18653" xr:uid="{00000000-0005-0000-0000-0000556B0000}"/>
    <cellStyle name="Normal 72 6 4 2 2" xfId="35227" xr:uid="{00000000-0005-0000-0000-0000566B0000}"/>
    <cellStyle name="Normal 72 6 4 3" xfId="27180" xr:uid="{00000000-0005-0000-0000-0000576B0000}"/>
    <cellStyle name="Normal 72 6 5" xfId="14873" xr:uid="{00000000-0005-0000-0000-0000586B0000}"/>
    <cellStyle name="Normal 72 6 5 2" xfId="31423" xr:uid="{00000000-0005-0000-0000-0000596B0000}"/>
    <cellStyle name="Normal 72 6 6" xfId="23380" xr:uid="{00000000-0005-0000-0000-00005A6B0000}"/>
    <cellStyle name="Normal 72 7" xfId="5569" xr:uid="{00000000-0005-0000-0000-00005B6B0000}"/>
    <cellStyle name="Normal 72 7 2" xfId="5570" xr:uid="{00000000-0005-0000-0000-00005C6B0000}"/>
    <cellStyle name="Normal 72 7 2 2" xfId="9480" xr:uid="{00000000-0005-0000-0000-00005D6B0000}"/>
    <cellStyle name="Normal 72 7 2 2 2" xfId="18654" xr:uid="{00000000-0005-0000-0000-00005E6B0000}"/>
    <cellStyle name="Normal 72 7 2 2 2 2" xfId="35228" xr:uid="{00000000-0005-0000-0000-00005F6B0000}"/>
    <cellStyle name="Normal 72 7 2 2 3" xfId="27181" xr:uid="{00000000-0005-0000-0000-0000606B0000}"/>
    <cellStyle name="Normal 72 7 2 3" xfId="14878" xr:uid="{00000000-0005-0000-0000-0000616B0000}"/>
    <cellStyle name="Normal 72 7 2 3 2" xfId="31428" xr:uid="{00000000-0005-0000-0000-0000626B0000}"/>
    <cellStyle name="Normal 72 7 2 4" xfId="23385" xr:uid="{00000000-0005-0000-0000-0000636B0000}"/>
    <cellStyle name="Normal 72 7 3" xfId="9481" xr:uid="{00000000-0005-0000-0000-0000646B0000}"/>
    <cellStyle name="Normal 72 7 3 2" xfId="18655" xr:uid="{00000000-0005-0000-0000-0000656B0000}"/>
    <cellStyle name="Normal 72 7 3 2 2" xfId="35229" xr:uid="{00000000-0005-0000-0000-0000666B0000}"/>
    <cellStyle name="Normal 72 7 3 3" xfId="27182" xr:uid="{00000000-0005-0000-0000-0000676B0000}"/>
    <cellStyle name="Normal 72 7 4" xfId="14877" xr:uid="{00000000-0005-0000-0000-0000686B0000}"/>
    <cellStyle name="Normal 72 7 4 2" xfId="31427" xr:uid="{00000000-0005-0000-0000-0000696B0000}"/>
    <cellStyle name="Normal 72 7 5" xfId="23384" xr:uid="{00000000-0005-0000-0000-00006A6B0000}"/>
    <cellStyle name="Normal 72 8" xfId="5571" xr:uid="{00000000-0005-0000-0000-00006B6B0000}"/>
    <cellStyle name="Normal 72 8 2" xfId="9482" xr:uid="{00000000-0005-0000-0000-00006C6B0000}"/>
    <cellStyle name="Normal 72 8 2 2" xfId="18656" xr:uid="{00000000-0005-0000-0000-00006D6B0000}"/>
    <cellStyle name="Normal 72 8 2 2 2" xfId="35230" xr:uid="{00000000-0005-0000-0000-00006E6B0000}"/>
    <cellStyle name="Normal 72 8 2 3" xfId="27183" xr:uid="{00000000-0005-0000-0000-00006F6B0000}"/>
    <cellStyle name="Normal 72 8 3" xfId="14879" xr:uid="{00000000-0005-0000-0000-0000706B0000}"/>
    <cellStyle name="Normal 72 8 3 2" xfId="31429" xr:uid="{00000000-0005-0000-0000-0000716B0000}"/>
    <cellStyle name="Normal 72 8 4" xfId="23386" xr:uid="{00000000-0005-0000-0000-0000726B0000}"/>
    <cellStyle name="Normal 72 9" xfId="9483" xr:uid="{00000000-0005-0000-0000-0000736B0000}"/>
    <cellStyle name="Normal 72 9 2" xfId="18657" xr:uid="{00000000-0005-0000-0000-0000746B0000}"/>
    <cellStyle name="Normal 72 9 2 2" xfId="35231" xr:uid="{00000000-0005-0000-0000-0000756B0000}"/>
    <cellStyle name="Normal 72 9 3" xfId="27184" xr:uid="{00000000-0005-0000-0000-0000766B0000}"/>
    <cellStyle name="Normal 73" xfId="5572" xr:uid="{00000000-0005-0000-0000-0000776B0000}"/>
    <cellStyle name="Normal 73 10" xfId="14880" xr:uid="{00000000-0005-0000-0000-0000786B0000}"/>
    <cellStyle name="Normal 73 10 2" xfId="31430" xr:uid="{00000000-0005-0000-0000-0000796B0000}"/>
    <cellStyle name="Normal 73 11" xfId="23387" xr:uid="{00000000-0005-0000-0000-00007A6B0000}"/>
    <cellStyle name="Normal 73 2" xfId="5573" xr:uid="{00000000-0005-0000-0000-00007B6B0000}"/>
    <cellStyle name="Normal 73 2 2" xfId="5574" xr:uid="{00000000-0005-0000-0000-00007C6B0000}"/>
    <cellStyle name="Normal 73 2 3" xfId="14881" xr:uid="{00000000-0005-0000-0000-00007D6B0000}"/>
    <cellStyle name="Normal 73 2 3 2" xfId="31431" xr:uid="{00000000-0005-0000-0000-00007E6B0000}"/>
    <cellStyle name="Normal 73 2 4" xfId="23388" xr:uid="{00000000-0005-0000-0000-00007F6B0000}"/>
    <cellStyle name="Normal 73 3" xfId="5575" xr:uid="{00000000-0005-0000-0000-0000806B0000}"/>
    <cellStyle name="Normal 73 3 2" xfId="5576" xr:uid="{00000000-0005-0000-0000-0000816B0000}"/>
    <cellStyle name="Normal 73 3 2 2" xfId="5577" xr:uid="{00000000-0005-0000-0000-0000826B0000}"/>
    <cellStyle name="Normal 73 3 2 2 2" xfId="5578" xr:uid="{00000000-0005-0000-0000-0000836B0000}"/>
    <cellStyle name="Normal 73 3 2 2 2 2" xfId="9484" xr:uid="{00000000-0005-0000-0000-0000846B0000}"/>
    <cellStyle name="Normal 73 3 2 2 2 2 2" xfId="18658" xr:uid="{00000000-0005-0000-0000-0000856B0000}"/>
    <cellStyle name="Normal 73 3 2 2 2 2 2 2" xfId="35232" xr:uid="{00000000-0005-0000-0000-0000866B0000}"/>
    <cellStyle name="Normal 73 3 2 2 2 2 3" xfId="27185" xr:uid="{00000000-0005-0000-0000-0000876B0000}"/>
    <cellStyle name="Normal 73 3 2 2 2 3" xfId="14884" xr:uid="{00000000-0005-0000-0000-0000886B0000}"/>
    <cellStyle name="Normal 73 3 2 2 2 3 2" xfId="31434" xr:uid="{00000000-0005-0000-0000-0000896B0000}"/>
    <cellStyle name="Normal 73 3 2 2 2 4" xfId="23391" xr:uid="{00000000-0005-0000-0000-00008A6B0000}"/>
    <cellStyle name="Normal 73 3 2 2 3" xfId="9485" xr:uid="{00000000-0005-0000-0000-00008B6B0000}"/>
    <cellStyle name="Normal 73 3 2 2 3 2" xfId="18659" xr:uid="{00000000-0005-0000-0000-00008C6B0000}"/>
    <cellStyle name="Normal 73 3 2 2 3 2 2" xfId="35233" xr:uid="{00000000-0005-0000-0000-00008D6B0000}"/>
    <cellStyle name="Normal 73 3 2 2 3 3" xfId="27186" xr:uid="{00000000-0005-0000-0000-00008E6B0000}"/>
    <cellStyle name="Normal 73 3 2 2 4" xfId="14883" xr:uid="{00000000-0005-0000-0000-00008F6B0000}"/>
    <cellStyle name="Normal 73 3 2 2 4 2" xfId="31433" xr:uid="{00000000-0005-0000-0000-0000906B0000}"/>
    <cellStyle name="Normal 73 3 2 2 5" xfId="23390" xr:uid="{00000000-0005-0000-0000-0000916B0000}"/>
    <cellStyle name="Normal 73 3 2 3" xfId="5579" xr:uid="{00000000-0005-0000-0000-0000926B0000}"/>
    <cellStyle name="Normal 73 3 2 3 2" xfId="9486" xr:uid="{00000000-0005-0000-0000-0000936B0000}"/>
    <cellStyle name="Normal 73 3 2 3 2 2" xfId="18660" xr:uid="{00000000-0005-0000-0000-0000946B0000}"/>
    <cellStyle name="Normal 73 3 2 3 2 2 2" xfId="35234" xr:uid="{00000000-0005-0000-0000-0000956B0000}"/>
    <cellStyle name="Normal 73 3 2 3 2 3" xfId="27187" xr:uid="{00000000-0005-0000-0000-0000966B0000}"/>
    <cellStyle name="Normal 73 3 2 3 3" xfId="14885" xr:uid="{00000000-0005-0000-0000-0000976B0000}"/>
    <cellStyle name="Normal 73 3 2 3 3 2" xfId="31435" xr:uid="{00000000-0005-0000-0000-0000986B0000}"/>
    <cellStyle name="Normal 73 3 2 3 4" xfId="23392" xr:uid="{00000000-0005-0000-0000-0000996B0000}"/>
    <cellStyle name="Normal 73 3 2 4" xfId="9487" xr:uid="{00000000-0005-0000-0000-00009A6B0000}"/>
    <cellStyle name="Normal 73 3 2 4 2" xfId="18661" xr:uid="{00000000-0005-0000-0000-00009B6B0000}"/>
    <cellStyle name="Normal 73 3 2 4 2 2" xfId="35235" xr:uid="{00000000-0005-0000-0000-00009C6B0000}"/>
    <cellStyle name="Normal 73 3 2 4 3" xfId="27188" xr:uid="{00000000-0005-0000-0000-00009D6B0000}"/>
    <cellStyle name="Normal 73 3 2 5" xfId="14882" xr:uid="{00000000-0005-0000-0000-00009E6B0000}"/>
    <cellStyle name="Normal 73 3 2 5 2" xfId="31432" xr:uid="{00000000-0005-0000-0000-00009F6B0000}"/>
    <cellStyle name="Normal 73 3 2 6" xfId="23389" xr:uid="{00000000-0005-0000-0000-0000A06B0000}"/>
    <cellStyle name="Normal 73 3 3" xfId="5580" xr:uid="{00000000-0005-0000-0000-0000A16B0000}"/>
    <cellStyle name="Normal 73 3 3 2" xfId="5581" xr:uid="{00000000-0005-0000-0000-0000A26B0000}"/>
    <cellStyle name="Normal 73 3 3 2 2" xfId="9488" xr:uid="{00000000-0005-0000-0000-0000A36B0000}"/>
    <cellStyle name="Normal 73 3 3 2 2 2" xfId="18662" xr:uid="{00000000-0005-0000-0000-0000A46B0000}"/>
    <cellStyle name="Normal 73 3 3 2 2 2 2" xfId="35236" xr:uid="{00000000-0005-0000-0000-0000A56B0000}"/>
    <cellStyle name="Normal 73 3 3 2 2 3" xfId="27189" xr:uid="{00000000-0005-0000-0000-0000A66B0000}"/>
    <cellStyle name="Normal 73 3 3 2 3" xfId="14887" xr:uid="{00000000-0005-0000-0000-0000A76B0000}"/>
    <cellStyle name="Normal 73 3 3 2 3 2" xfId="31437" xr:uid="{00000000-0005-0000-0000-0000A86B0000}"/>
    <cellStyle name="Normal 73 3 3 2 4" xfId="23394" xr:uid="{00000000-0005-0000-0000-0000A96B0000}"/>
    <cellStyle name="Normal 73 3 3 3" xfId="9489" xr:uid="{00000000-0005-0000-0000-0000AA6B0000}"/>
    <cellStyle name="Normal 73 3 3 3 2" xfId="18663" xr:uid="{00000000-0005-0000-0000-0000AB6B0000}"/>
    <cellStyle name="Normal 73 3 3 3 2 2" xfId="35237" xr:uid="{00000000-0005-0000-0000-0000AC6B0000}"/>
    <cellStyle name="Normal 73 3 3 3 3" xfId="27190" xr:uid="{00000000-0005-0000-0000-0000AD6B0000}"/>
    <cellStyle name="Normal 73 3 3 4" xfId="14886" xr:uid="{00000000-0005-0000-0000-0000AE6B0000}"/>
    <cellStyle name="Normal 73 3 3 4 2" xfId="31436" xr:uid="{00000000-0005-0000-0000-0000AF6B0000}"/>
    <cellStyle name="Normal 73 3 3 5" xfId="23393" xr:uid="{00000000-0005-0000-0000-0000B06B0000}"/>
    <cellStyle name="Normal 73 3 4" xfId="5582" xr:uid="{00000000-0005-0000-0000-0000B16B0000}"/>
    <cellStyle name="Normal 73 3 4 2" xfId="9490" xr:uid="{00000000-0005-0000-0000-0000B26B0000}"/>
    <cellStyle name="Normal 73 3 4 2 2" xfId="18664" xr:uid="{00000000-0005-0000-0000-0000B36B0000}"/>
    <cellStyle name="Normal 73 3 4 2 2 2" xfId="35238" xr:uid="{00000000-0005-0000-0000-0000B46B0000}"/>
    <cellStyle name="Normal 73 3 4 2 3" xfId="27191" xr:uid="{00000000-0005-0000-0000-0000B56B0000}"/>
    <cellStyle name="Normal 73 3 4 3" xfId="14888" xr:uid="{00000000-0005-0000-0000-0000B66B0000}"/>
    <cellStyle name="Normal 73 3 4 3 2" xfId="31438" xr:uid="{00000000-0005-0000-0000-0000B76B0000}"/>
    <cellStyle name="Normal 73 3 4 4" xfId="23395" xr:uid="{00000000-0005-0000-0000-0000B86B0000}"/>
    <cellStyle name="Normal 73 3 5" xfId="5583" xr:uid="{00000000-0005-0000-0000-0000B96B0000}"/>
    <cellStyle name="Normal 73 3 5 2" xfId="14889" xr:uid="{00000000-0005-0000-0000-0000BA6B0000}"/>
    <cellStyle name="Normal 73 3 5 2 2" xfId="31439" xr:uid="{00000000-0005-0000-0000-0000BB6B0000}"/>
    <cellStyle name="Normal 73 3 5 3" xfId="23396" xr:uid="{00000000-0005-0000-0000-0000BC6B0000}"/>
    <cellStyle name="Normal 73 4" xfId="5584" xr:uid="{00000000-0005-0000-0000-0000BD6B0000}"/>
    <cellStyle name="Normal 73 4 2" xfId="5585" xr:uid="{00000000-0005-0000-0000-0000BE6B0000}"/>
    <cellStyle name="Normal 73 4 2 2" xfId="5586" xr:uid="{00000000-0005-0000-0000-0000BF6B0000}"/>
    <cellStyle name="Normal 73 4 2 2 2" xfId="5587" xr:uid="{00000000-0005-0000-0000-0000C06B0000}"/>
    <cellStyle name="Normal 73 4 2 2 2 2" xfId="9491" xr:uid="{00000000-0005-0000-0000-0000C16B0000}"/>
    <cellStyle name="Normal 73 4 2 2 2 2 2" xfId="18665" xr:uid="{00000000-0005-0000-0000-0000C26B0000}"/>
    <cellStyle name="Normal 73 4 2 2 2 2 2 2" xfId="35239" xr:uid="{00000000-0005-0000-0000-0000C36B0000}"/>
    <cellStyle name="Normal 73 4 2 2 2 2 3" xfId="27192" xr:uid="{00000000-0005-0000-0000-0000C46B0000}"/>
    <cellStyle name="Normal 73 4 2 2 2 3" xfId="14893" xr:uid="{00000000-0005-0000-0000-0000C56B0000}"/>
    <cellStyle name="Normal 73 4 2 2 2 3 2" xfId="31443" xr:uid="{00000000-0005-0000-0000-0000C66B0000}"/>
    <cellStyle name="Normal 73 4 2 2 2 4" xfId="23400" xr:uid="{00000000-0005-0000-0000-0000C76B0000}"/>
    <cellStyle name="Normal 73 4 2 2 3" xfId="9492" xr:uid="{00000000-0005-0000-0000-0000C86B0000}"/>
    <cellStyle name="Normal 73 4 2 2 3 2" xfId="18666" xr:uid="{00000000-0005-0000-0000-0000C96B0000}"/>
    <cellStyle name="Normal 73 4 2 2 3 2 2" xfId="35240" xr:uid="{00000000-0005-0000-0000-0000CA6B0000}"/>
    <cellStyle name="Normal 73 4 2 2 3 3" xfId="27193" xr:uid="{00000000-0005-0000-0000-0000CB6B0000}"/>
    <cellStyle name="Normal 73 4 2 2 4" xfId="14892" xr:uid="{00000000-0005-0000-0000-0000CC6B0000}"/>
    <cellStyle name="Normal 73 4 2 2 4 2" xfId="31442" xr:uid="{00000000-0005-0000-0000-0000CD6B0000}"/>
    <cellStyle name="Normal 73 4 2 2 5" xfId="23399" xr:uid="{00000000-0005-0000-0000-0000CE6B0000}"/>
    <cellStyle name="Normal 73 4 2 3" xfId="5588" xr:uid="{00000000-0005-0000-0000-0000CF6B0000}"/>
    <cellStyle name="Normal 73 4 2 3 2" xfId="9493" xr:uid="{00000000-0005-0000-0000-0000D06B0000}"/>
    <cellStyle name="Normal 73 4 2 3 2 2" xfId="18667" xr:uid="{00000000-0005-0000-0000-0000D16B0000}"/>
    <cellStyle name="Normal 73 4 2 3 2 2 2" xfId="35241" xr:uid="{00000000-0005-0000-0000-0000D26B0000}"/>
    <cellStyle name="Normal 73 4 2 3 2 3" xfId="27194" xr:uid="{00000000-0005-0000-0000-0000D36B0000}"/>
    <cellStyle name="Normal 73 4 2 3 3" xfId="14894" xr:uid="{00000000-0005-0000-0000-0000D46B0000}"/>
    <cellStyle name="Normal 73 4 2 3 3 2" xfId="31444" xr:uid="{00000000-0005-0000-0000-0000D56B0000}"/>
    <cellStyle name="Normal 73 4 2 3 4" xfId="23401" xr:uid="{00000000-0005-0000-0000-0000D66B0000}"/>
    <cellStyle name="Normal 73 4 2 4" xfId="9494" xr:uid="{00000000-0005-0000-0000-0000D76B0000}"/>
    <cellStyle name="Normal 73 4 2 4 2" xfId="18668" xr:uid="{00000000-0005-0000-0000-0000D86B0000}"/>
    <cellStyle name="Normal 73 4 2 4 2 2" xfId="35242" xr:uid="{00000000-0005-0000-0000-0000D96B0000}"/>
    <cellStyle name="Normal 73 4 2 4 3" xfId="27195" xr:uid="{00000000-0005-0000-0000-0000DA6B0000}"/>
    <cellStyle name="Normal 73 4 2 5" xfId="14891" xr:uid="{00000000-0005-0000-0000-0000DB6B0000}"/>
    <cellStyle name="Normal 73 4 2 5 2" xfId="31441" xr:uid="{00000000-0005-0000-0000-0000DC6B0000}"/>
    <cellStyle name="Normal 73 4 2 6" xfId="23398" xr:uid="{00000000-0005-0000-0000-0000DD6B0000}"/>
    <cellStyle name="Normal 73 4 3" xfId="5589" xr:uid="{00000000-0005-0000-0000-0000DE6B0000}"/>
    <cellStyle name="Normal 73 4 3 2" xfId="5590" xr:uid="{00000000-0005-0000-0000-0000DF6B0000}"/>
    <cellStyle name="Normal 73 4 3 2 2" xfId="9495" xr:uid="{00000000-0005-0000-0000-0000E06B0000}"/>
    <cellStyle name="Normal 73 4 3 2 2 2" xfId="18669" xr:uid="{00000000-0005-0000-0000-0000E16B0000}"/>
    <cellStyle name="Normal 73 4 3 2 2 2 2" xfId="35243" xr:uid="{00000000-0005-0000-0000-0000E26B0000}"/>
    <cellStyle name="Normal 73 4 3 2 2 3" xfId="27196" xr:uid="{00000000-0005-0000-0000-0000E36B0000}"/>
    <cellStyle name="Normal 73 4 3 2 3" xfId="14896" xr:uid="{00000000-0005-0000-0000-0000E46B0000}"/>
    <cellStyle name="Normal 73 4 3 2 3 2" xfId="31446" xr:uid="{00000000-0005-0000-0000-0000E56B0000}"/>
    <cellStyle name="Normal 73 4 3 2 4" xfId="23403" xr:uid="{00000000-0005-0000-0000-0000E66B0000}"/>
    <cellStyle name="Normal 73 4 3 3" xfId="9496" xr:uid="{00000000-0005-0000-0000-0000E76B0000}"/>
    <cellStyle name="Normal 73 4 3 3 2" xfId="18670" xr:uid="{00000000-0005-0000-0000-0000E86B0000}"/>
    <cellStyle name="Normal 73 4 3 3 2 2" xfId="35244" xr:uid="{00000000-0005-0000-0000-0000E96B0000}"/>
    <cellStyle name="Normal 73 4 3 3 3" xfId="27197" xr:uid="{00000000-0005-0000-0000-0000EA6B0000}"/>
    <cellStyle name="Normal 73 4 3 4" xfId="14895" xr:uid="{00000000-0005-0000-0000-0000EB6B0000}"/>
    <cellStyle name="Normal 73 4 3 4 2" xfId="31445" xr:uid="{00000000-0005-0000-0000-0000EC6B0000}"/>
    <cellStyle name="Normal 73 4 3 5" xfId="23402" xr:uid="{00000000-0005-0000-0000-0000ED6B0000}"/>
    <cellStyle name="Normal 73 4 4" xfId="5591" xr:uid="{00000000-0005-0000-0000-0000EE6B0000}"/>
    <cellStyle name="Normal 73 4 4 2" xfId="9497" xr:uid="{00000000-0005-0000-0000-0000EF6B0000}"/>
    <cellStyle name="Normal 73 4 4 2 2" xfId="18671" xr:uid="{00000000-0005-0000-0000-0000F06B0000}"/>
    <cellStyle name="Normal 73 4 4 2 2 2" xfId="35245" xr:uid="{00000000-0005-0000-0000-0000F16B0000}"/>
    <cellStyle name="Normal 73 4 4 2 3" xfId="27198" xr:uid="{00000000-0005-0000-0000-0000F26B0000}"/>
    <cellStyle name="Normal 73 4 4 3" xfId="14897" xr:uid="{00000000-0005-0000-0000-0000F36B0000}"/>
    <cellStyle name="Normal 73 4 4 3 2" xfId="31447" xr:uid="{00000000-0005-0000-0000-0000F46B0000}"/>
    <cellStyle name="Normal 73 4 4 4" xfId="23404" xr:uid="{00000000-0005-0000-0000-0000F56B0000}"/>
    <cellStyle name="Normal 73 4 5" xfId="9498" xr:uid="{00000000-0005-0000-0000-0000F66B0000}"/>
    <cellStyle name="Normal 73 4 5 2" xfId="18672" xr:uid="{00000000-0005-0000-0000-0000F76B0000}"/>
    <cellStyle name="Normal 73 4 5 2 2" xfId="35246" xr:uid="{00000000-0005-0000-0000-0000F86B0000}"/>
    <cellStyle name="Normal 73 4 5 3" xfId="27199" xr:uid="{00000000-0005-0000-0000-0000F96B0000}"/>
    <cellStyle name="Normal 73 4 6" xfId="14890" xr:uid="{00000000-0005-0000-0000-0000FA6B0000}"/>
    <cellStyle name="Normal 73 4 6 2" xfId="31440" xr:uid="{00000000-0005-0000-0000-0000FB6B0000}"/>
    <cellStyle name="Normal 73 4 7" xfId="23397" xr:uid="{00000000-0005-0000-0000-0000FC6B0000}"/>
    <cellStyle name="Normal 73 5" xfId="5592" xr:uid="{00000000-0005-0000-0000-0000FD6B0000}"/>
    <cellStyle name="Normal 73 5 2" xfId="5593" xr:uid="{00000000-0005-0000-0000-0000FE6B0000}"/>
    <cellStyle name="Normal 73 5 2 2" xfId="5594" xr:uid="{00000000-0005-0000-0000-0000FF6B0000}"/>
    <cellStyle name="Normal 73 5 2 2 2" xfId="5595" xr:uid="{00000000-0005-0000-0000-0000006C0000}"/>
    <cellStyle name="Normal 73 5 2 2 2 2" xfId="9499" xr:uid="{00000000-0005-0000-0000-0000016C0000}"/>
    <cellStyle name="Normal 73 5 2 2 2 2 2" xfId="18673" xr:uid="{00000000-0005-0000-0000-0000026C0000}"/>
    <cellStyle name="Normal 73 5 2 2 2 2 2 2" xfId="35247" xr:uid="{00000000-0005-0000-0000-0000036C0000}"/>
    <cellStyle name="Normal 73 5 2 2 2 2 3" xfId="27200" xr:uid="{00000000-0005-0000-0000-0000046C0000}"/>
    <cellStyle name="Normal 73 5 2 2 2 3" xfId="14901" xr:uid="{00000000-0005-0000-0000-0000056C0000}"/>
    <cellStyle name="Normal 73 5 2 2 2 3 2" xfId="31451" xr:uid="{00000000-0005-0000-0000-0000066C0000}"/>
    <cellStyle name="Normal 73 5 2 2 2 4" xfId="23408" xr:uid="{00000000-0005-0000-0000-0000076C0000}"/>
    <cellStyle name="Normal 73 5 2 2 3" xfId="9500" xr:uid="{00000000-0005-0000-0000-0000086C0000}"/>
    <cellStyle name="Normal 73 5 2 2 3 2" xfId="18674" xr:uid="{00000000-0005-0000-0000-0000096C0000}"/>
    <cellStyle name="Normal 73 5 2 2 3 2 2" xfId="35248" xr:uid="{00000000-0005-0000-0000-00000A6C0000}"/>
    <cellStyle name="Normal 73 5 2 2 3 3" xfId="27201" xr:uid="{00000000-0005-0000-0000-00000B6C0000}"/>
    <cellStyle name="Normal 73 5 2 2 4" xfId="14900" xr:uid="{00000000-0005-0000-0000-00000C6C0000}"/>
    <cellStyle name="Normal 73 5 2 2 4 2" xfId="31450" xr:uid="{00000000-0005-0000-0000-00000D6C0000}"/>
    <cellStyle name="Normal 73 5 2 2 5" xfId="23407" xr:uid="{00000000-0005-0000-0000-00000E6C0000}"/>
    <cellStyle name="Normal 73 5 2 3" xfId="5596" xr:uid="{00000000-0005-0000-0000-00000F6C0000}"/>
    <cellStyle name="Normal 73 5 2 3 2" xfId="9501" xr:uid="{00000000-0005-0000-0000-0000106C0000}"/>
    <cellStyle name="Normal 73 5 2 3 2 2" xfId="18675" xr:uid="{00000000-0005-0000-0000-0000116C0000}"/>
    <cellStyle name="Normal 73 5 2 3 2 2 2" xfId="35249" xr:uid="{00000000-0005-0000-0000-0000126C0000}"/>
    <cellStyle name="Normal 73 5 2 3 2 3" xfId="27202" xr:uid="{00000000-0005-0000-0000-0000136C0000}"/>
    <cellStyle name="Normal 73 5 2 3 3" xfId="14902" xr:uid="{00000000-0005-0000-0000-0000146C0000}"/>
    <cellStyle name="Normal 73 5 2 3 3 2" xfId="31452" xr:uid="{00000000-0005-0000-0000-0000156C0000}"/>
    <cellStyle name="Normal 73 5 2 3 4" xfId="23409" xr:uid="{00000000-0005-0000-0000-0000166C0000}"/>
    <cellStyle name="Normal 73 5 2 4" xfId="9502" xr:uid="{00000000-0005-0000-0000-0000176C0000}"/>
    <cellStyle name="Normal 73 5 2 4 2" xfId="18676" xr:uid="{00000000-0005-0000-0000-0000186C0000}"/>
    <cellStyle name="Normal 73 5 2 4 2 2" xfId="35250" xr:uid="{00000000-0005-0000-0000-0000196C0000}"/>
    <cellStyle name="Normal 73 5 2 4 3" xfId="27203" xr:uid="{00000000-0005-0000-0000-00001A6C0000}"/>
    <cellStyle name="Normal 73 5 2 5" xfId="14899" xr:uid="{00000000-0005-0000-0000-00001B6C0000}"/>
    <cellStyle name="Normal 73 5 2 5 2" xfId="31449" xr:uid="{00000000-0005-0000-0000-00001C6C0000}"/>
    <cellStyle name="Normal 73 5 2 6" xfId="23406" xr:uid="{00000000-0005-0000-0000-00001D6C0000}"/>
    <cellStyle name="Normal 73 5 3" xfId="5597" xr:uid="{00000000-0005-0000-0000-00001E6C0000}"/>
    <cellStyle name="Normal 73 5 3 2" xfId="5598" xr:uid="{00000000-0005-0000-0000-00001F6C0000}"/>
    <cellStyle name="Normal 73 5 3 2 2" xfId="9503" xr:uid="{00000000-0005-0000-0000-0000206C0000}"/>
    <cellStyle name="Normal 73 5 3 2 2 2" xfId="18677" xr:uid="{00000000-0005-0000-0000-0000216C0000}"/>
    <cellStyle name="Normal 73 5 3 2 2 2 2" xfId="35251" xr:uid="{00000000-0005-0000-0000-0000226C0000}"/>
    <cellStyle name="Normal 73 5 3 2 2 3" xfId="27204" xr:uid="{00000000-0005-0000-0000-0000236C0000}"/>
    <cellStyle name="Normal 73 5 3 2 3" xfId="14904" xr:uid="{00000000-0005-0000-0000-0000246C0000}"/>
    <cellStyle name="Normal 73 5 3 2 3 2" xfId="31454" xr:uid="{00000000-0005-0000-0000-0000256C0000}"/>
    <cellStyle name="Normal 73 5 3 2 4" xfId="23411" xr:uid="{00000000-0005-0000-0000-0000266C0000}"/>
    <cellStyle name="Normal 73 5 3 3" xfId="9504" xr:uid="{00000000-0005-0000-0000-0000276C0000}"/>
    <cellStyle name="Normal 73 5 3 3 2" xfId="18678" xr:uid="{00000000-0005-0000-0000-0000286C0000}"/>
    <cellStyle name="Normal 73 5 3 3 2 2" xfId="35252" xr:uid="{00000000-0005-0000-0000-0000296C0000}"/>
    <cellStyle name="Normal 73 5 3 3 3" xfId="27205" xr:uid="{00000000-0005-0000-0000-00002A6C0000}"/>
    <cellStyle name="Normal 73 5 3 4" xfId="14903" xr:uid="{00000000-0005-0000-0000-00002B6C0000}"/>
    <cellStyle name="Normal 73 5 3 4 2" xfId="31453" xr:uid="{00000000-0005-0000-0000-00002C6C0000}"/>
    <cellStyle name="Normal 73 5 3 5" xfId="23410" xr:uid="{00000000-0005-0000-0000-00002D6C0000}"/>
    <cellStyle name="Normal 73 5 4" xfId="5599" xr:uid="{00000000-0005-0000-0000-00002E6C0000}"/>
    <cellStyle name="Normal 73 5 4 2" xfId="9505" xr:uid="{00000000-0005-0000-0000-00002F6C0000}"/>
    <cellStyle name="Normal 73 5 4 2 2" xfId="18679" xr:uid="{00000000-0005-0000-0000-0000306C0000}"/>
    <cellStyle name="Normal 73 5 4 2 2 2" xfId="35253" xr:uid="{00000000-0005-0000-0000-0000316C0000}"/>
    <cellStyle name="Normal 73 5 4 2 3" xfId="27206" xr:uid="{00000000-0005-0000-0000-0000326C0000}"/>
    <cellStyle name="Normal 73 5 4 3" xfId="14905" xr:uid="{00000000-0005-0000-0000-0000336C0000}"/>
    <cellStyle name="Normal 73 5 4 3 2" xfId="31455" xr:uid="{00000000-0005-0000-0000-0000346C0000}"/>
    <cellStyle name="Normal 73 5 4 4" xfId="23412" xr:uid="{00000000-0005-0000-0000-0000356C0000}"/>
    <cellStyle name="Normal 73 5 5" xfId="9506" xr:uid="{00000000-0005-0000-0000-0000366C0000}"/>
    <cellStyle name="Normal 73 5 5 2" xfId="18680" xr:uid="{00000000-0005-0000-0000-0000376C0000}"/>
    <cellStyle name="Normal 73 5 5 2 2" xfId="35254" xr:uid="{00000000-0005-0000-0000-0000386C0000}"/>
    <cellStyle name="Normal 73 5 5 3" xfId="27207" xr:uid="{00000000-0005-0000-0000-0000396C0000}"/>
    <cellStyle name="Normal 73 5 6" xfId="14898" xr:uid="{00000000-0005-0000-0000-00003A6C0000}"/>
    <cellStyle name="Normal 73 5 6 2" xfId="31448" xr:uid="{00000000-0005-0000-0000-00003B6C0000}"/>
    <cellStyle name="Normal 73 5 7" xfId="23405" xr:uid="{00000000-0005-0000-0000-00003C6C0000}"/>
    <cellStyle name="Normal 73 6" xfId="5600" xr:uid="{00000000-0005-0000-0000-00003D6C0000}"/>
    <cellStyle name="Normal 73 6 2" xfId="5601" xr:uid="{00000000-0005-0000-0000-00003E6C0000}"/>
    <cellStyle name="Normal 73 6 2 2" xfId="5602" xr:uid="{00000000-0005-0000-0000-00003F6C0000}"/>
    <cellStyle name="Normal 73 6 2 2 2" xfId="9507" xr:uid="{00000000-0005-0000-0000-0000406C0000}"/>
    <cellStyle name="Normal 73 6 2 2 2 2" xfId="18681" xr:uid="{00000000-0005-0000-0000-0000416C0000}"/>
    <cellStyle name="Normal 73 6 2 2 2 2 2" xfId="35255" xr:uid="{00000000-0005-0000-0000-0000426C0000}"/>
    <cellStyle name="Normal 73 6 2 2 2 3" xfId="27208" xr:uid="{00000000-0005-0000-0000-0000436C0000}"/>
    <cellStyle name="Normal 73 6 2 2 3" xfId="14908" xr:uid="{00000000-0005-0000-0000-0000446C0000}"/>
    <cellStyle name="Normal 73 6 2 2 3 2" xfId="31458" xr:uid="{00000000-0005-0000-0000-0000456C0000}"/>
    <cellStyle name="Normal 73 6 2 2 4" xfId="23415" xr:uid="{00000000-0005-0000-0000-0000466C0000}"/>
    <cellStyle name="Normal 73 6 2 3" xfId="9508" xr:uid="{00000000-0005-0000-0000-0000476C0000}"/>
    <cellStyle name="Normal 73 6 2 3 2" xfId="18682" xr:uid="{00000000-0005-0000-0000-0000486C0000}"/>
    <cellStyle name="Normal 73 6 2 3 2 2" xfId="35256" xr:uid="{00000000-0005-0000-0000-0000496C0000}"/>
    <cellStyle name="Normal 73 6 2 3 3" xfId="27209" xr:uid="{00000000-0005-0000-0000-00004A6C0000}"/>
    <cellStyle name="Normal 73 6 2 4" xfId="14907" xr:uid="{00000000-0005-0000-0000-00004B6C0000}"/>
    <cellStyle name="Normal 73 6 2 4 2" xfId="31457" xr:uid="{00000000-0005-0000-0000-00004C6C0000}"/>
    <cellStyle name="Normal 73 6 2 5" xfId="23414" xr:uid="{00000000-0005-0000-0000-00004D6C0000}"/>
    <cellStyle name="Normal 73 6 3" xfId="5603" xr:uid="{00000000-0005-0000-0000-00004E6C0000}"/>
    <cellStyle name="Normal 73 6 3 2" xfId="9509" xr:uid="{00000000-0005-0000-0000-00004F6C0000}"/>
    <cellStyle name="Normal 73 6 3 2 2" xfId="18683" xr:uid="{00000000-0005-0000-0000-0000506C0000}"/>
    <cellStyle name="Normal 73 6 3 2 2 2" xfId="35257" xr:uid="{00000000-0005-0000-0000-0000516C0000}"/>
    <cellStyle name="Normal 73 6 3 2 3" xfId="27210" xr:uid="{00000000-0005-0000-0000-0000526C0000}"/>
    <cellStyle name="Normal 73 6 3 3" xfId="14909" xr:uid="{00000000-0005-0000-0000-0000536C0000}"/>
    <cellStyle name="Normal 73 6 3 3 2" xfId="31459" xr:uid="{00000000-0005-0000-0000-0000546C0000}"/>
    <cellStyle name="Normal 73 6 3 4" xfId="23416" xr:uid="{00000000-0005-0000-0000-0000556C0000}"/>
    <cellStyle name="Normal 73 6 4" xfId="9510" xr:uid="{00000000-0005-0000-0000-0000566C0000}"/>
    <cellStyle name="Normal 73 6 4 2" xfId="18684" xr:uid="{00000000-0005-0000-0000-0000576C0000}"/>
    <cellStyle name="Normal 73 6 4 2 2" xfId="35258" xr:uid="{00000000-0005-0000-0000-0000586C0000}"/>
    <cellStyle name="Normal 73 6 4 3" xfId="27211" xr:uid="{00000000-0005-0000-0000-0000596C0000}"/>
    <cellStyle name="Normal 73 6 5" xfId="14906" xr:uid="{00000000-0005-0000-0000-00005A6C0000}"/>
    <cellStyle name="Normal 73 6 5 2" xfId="31456" xr:uid="{00000000-0005-0000-0000-00005B6C0000}"/>
    <cellStyle name="Normal 73 6 6" xfId="23413" xr:uid="{00000000-0005-0000-0000-00005C6C0000}"/>
    <cellStyle name="Normal 73 7" xfId="5604" xr:uid="{00000000-0005-0000-0000-00005D6C0000}"/>
    <cellStyle name="Normal 73 7 2" xfId="5605" xr:uid="{00000000-0005-0000-0000-00005E6C0000}"/>
    <cellStyle name="Normal 73 7 2 2" xfId="9511" xr:uid="{00000000-0005-0000-0000-00005F6C0000}"/>
    <cellStyle name="Normal 73 7 2 2 2" xfId="18685" xr:uid="{00000000-0005-0000-0000-0000606C0000}"/>
    <cellStyle name="Normal 73 7 2 2 2 2" xfId="35259" xr:uid="{00000000-0005-0000-0000-0000616C0000}"/>
    <cellStyle name="Normal 73 7 2 2 3" xfId="27212" xr:uid="{00000000-0005-0000-0000-0000626C0000}"/>
    <cellStyle name="Normal 73 7 2 3" xfId="14911" xr:uid="{00000000-0005-0000-0000-0000636C0000}"/>
    <cellStyle name="Normal 73 7 2 3 2" xfId="31461" xr:uid="{00000000-0005-0000-0000-0000646C0000}"/>
    <cellStyle name="Normal 73 7 2 4" xfId="23418" xr:uid="{00000000-0005-0000-0000-0000656C0000}"/>
    <cellStyle name="Normal 73 7 3" xfId="9512" xr:uid="{00000000-0005-0000-0000-0000666C0000}"/>
    <cellStyle name="Normal 73 7 3 2" xfId="18686" xr:uid="{00000000-0005-0000-0000-0000676C0000}"/>
    <cellStyle name="Normal 73 7 3 2 2" xfId="35260" xr:uid="{00000000-0005-0000-0000-0000686C0000}"/>
    <cellStyle name="Normal 73 7 3 3" xfId="27213" xr:uid="{00000000-0005-0000-0000-0000696C0000}"/>
    <cellStyle name="Normal 73 7 4" xfId="14910" xr:uid="{00000000-0005-0000-0000-00006A6C0000}"/>
    <cellStyle name="Normal 73 7 4 2" xfId="31460" xr:uid="{00000000-0005-0000-0000-00006B6C0000}"/>
    <cellStyle name="Normal 73 7 5" xfId="23417" xr:uid="{00000000-0005-0000-0000-00006C6C0000}"/>
    <cellStyle name="Normal 73 8" xfId="5606" xr:uid="{00000000-0005-0000-0000-00006D6C0000}"/>
    <cellStyle name="Normal 73 8 2" xfId="9513" xr:uid="{00000000-0005-0000-0000-00006E6C0000}"/>
    <cellStyle name="Normal 73 8 2 2" xfId="18687" xr:uid="{00000000-0005-0000-0000-00006F6C0000}"/>
    <cellStyle name="Normal 73 8 2 2 2" xfId="35261" xr:uid="{00000000-0005-0000-0000-0000706C0000}"/>
    <cellStyle name="Normal 73 8 2 3" xfId="27214" xr:uid="{00000000-0005-0000-0000-0000716C0000}"/>
    <cellStyle name="Normal 73 8 3" xfId="14912" xr:uid="{00000000-0005-0000-0000-0000726C0000}"/>
    <cellStyle name="Normal 73 8 3 2" xfId="31462" xr:uid="{00000000-0005-0000-0000-0000736C0000}"/>
    <cellStyle name="Normal 73 8 4" xfId="23419" xr:uid="{00000000-0005-0000-0000-0000746C0000}"/>
    <cellStyle name="Normal 73 9" xfId="9514" xr:uid="{00000000-0005-0000-0000-0000756C0000}"/>
    <cellStyle name="Normal 73 9 2" xfId="18688" xr:uid="{00000000-0005-0000-0000-0000766C0000}"/>
    <cellStyle name="Normal 73 9 2 2" xfId="35262" xr:uid="{00000000-0005-0000-0000-0000776C0000}"/>
    <cellStyle name="Normal 73 9 3" xfId="27215" xr:uid="{00000000-0005-0000-0000-0000786C0000}"/>
    <cellStyle name="Normal 74" xfId="5607" xr:uid="{00000000-0005-0000-0000-0000796C0000}"/>
    <cellStyle name="Normal 74 10" xfId="14913" xr:uid="{00000000-0005-0000-0000-00007A6C0000}"/>
    <cellStyle name="Normal 74 10 2" xfId="31463" xr:uid="{00000000-0005-0000-0000-00007B6C0000}"/>
    <cellStyle name="Normal 74 11" xfId="23420" xr:uid="{00000000-0005-0000-0000-00007C6C0000}"/>
    <cellStyle name="Normal 74 2" xfId="5608" xr:uid="{00000000-0005-0000-0000-00007D6C0000}"/>
    <cellStyle name="Normal 74 2 2" xfId="5609" xr:uid="{00000000-0005-0000-0000-00007E6C0000}"/>
    <cellStyle name="Normal 74 2 3" xfId="14914" xr:uid="{00000000-0005-0000-0000-00007F6C0000}"/>
    <cellStyle name="Normal 74 2 3 2" xfId="31464" xr:uid="{00000000-0005-0000-0000-0000806C0000}"/>
    <cellStyle name="Normal 74 2 4" xfId="23421" xr:uid="{00000000-0005-0000-0000-0000816C0000}"/>
    <cellStyle name="Normal 74 3" xfId="5610" xr:uid="{00000000-0005-0000-0000-0000826C0000}"/>
    <cellStyle name="Normal 74 3 2" xfId="5611" xr:uid="{00000000-0005-0000-0000-0000836C0000}"/>
    <cellStyle name="Normal 74 3 2 2" xfId="5612" xr:uid="{00000000-0005-0000-0000-0000846C0000}"/>
    <cellStyle name="Normal 74 3 2 2 2" xfId="5613" xr:uid="{00000000-0005-0000-0000-0000856C0000}"/>
    <cellStyle name="Normal 74 3 2 2 2 2" xfId="9515" xr:uid="{00000000-0005-0000-0000-0000866C0000}"/>
    <cellStyle name="Normal 74 3 2 2 2 2 2" xfId="18689" xr:uid="{00000000-0005-0000-0000-0000876C0000}"/>
    <cellStyle name="Normal 74 3 2 2 2 2 2 2" xfId="35263" xr:uid="{00000000-0005-0000-0000-0000886C0000}"/>
    <cellStyle name="Normal 74 3 2 2 2 2 3" xfId="27216" xr:uid="{00000000-0005-0000-0000-0000896C0000}"/>
    <cellStyle name="Normal 74 3 2 2 2 3" xfId="14917" xr:uid="{00000000-0005-0000-0000-00008A6C0000}"/>
    <cellStyle name="Normal 74 3 2 2 2 3 2" xfId="31467" xr:uid="{00000000-0005-0000-0000-00008B6C0000}"/>
    <cellStyle name="Normal 74 3 2 2 2 4" xfId="23424" xr:uid="{00000000-0005-0000-0000-00008C6C0000}"/>
    <cellStyle name="Normal 74 3 2 2 3" xfId="9516" xr:uid="{00000000-0005-0000-0000-00008D6C0000}"/>
    <cellStyle name="Normal 74 3 2 2 3 2" xfId="18690" xr:uid="{00000000-0005-0000-0000-00008E6C0000}"/>
    <cellStyle name="Normal 74 3 2 2 3 2 2" xfId="35264" xr:uid="{00000000-0005-0000-0000-00008F6C0000}"/>
    <cellStyle name="Normal 74 3 2 2 3 3" xfId="27217" xr:uid="{00000000-0005-0000-0000-0000906C0000}"/>
    <cellStyle name="Normal 74 3 2 2 4" xfId="14916" xr:uid="{00000000-0005-0000-0000-0000916C0000}"/>
    <cellStyle name="Normal 74 3 2 2 4 2" xfId="31466" xr:uid="{00000000-0005-0000-0000-0000926C0000}"/>
    <cellStyle name="Normal 74 3 2 2 5" xfId="23423" xr:uid="{00000000-0005-0000-0000-0000936C0000}"/>
    <cellStyle name="Normal 74 3 2 3" xfId="5614" xr:uid="{00000000-0005-0000-0000-0000946C0000}"/>
    <cellStyle name="Normal 74 3 2 3 2" xfId="9517" xr:uid="{00000000-0005-0000-0000-0000956C0000}"/>
    <cellStyle name="Normal 74 3 2 3 2 2" xfId="18691" xr:uid="{00000000-0005-0000-0000-0000966C0000}"/>
    <cellStyle name="Normal 74 3 2 3 2 2 2" xfId="35265" xr:uid="{00000000-0005-0000-0000-0000976C0000}"/>
    <cellStyle name="Normal 74 3 2 3 2 3" xfId="27218" xr:uid="{00000000-0005-0000-0000-0000986C0000}"/>
    <cellStyle name="Normal 74 3 2 3 3" xfId="14918" xr:uid="{00000000-0005-0000-0000-0000996C0000}"/>
    <cellStyle name="Normal 74 3 2 3 3 2" xfId="31468" xr:uid="{00000000-0005-0000-0000-00009A6C0000}"/>
    <cellStyle name="Normal 74 3 2 3 4" xfId="23425" xr:uid="{00000000-0005-0000-0000-00009B6C0000}"/>
    <cellStyle name="Normal 74 3 2 4" xfId="9518" xr:uid="{00000000-0005-0000-0000-00009C6C0000}"/>
    <cellStyle name="Normal 74 3 2 4 2" xfId="18692" xr:uid="{00000000-0005-0000-0000-00009D6C0000}"/>
    <cellStyle name="Normal 74 3 2 4 2 2" xfId="35266" xr:uid="{00000000-0005-0000-0000-00009E6C0000}"/>
    <cellStyle name="Normal 74 3 2 4 3" xfId="27219" xr:uid="{00000000-0005-0000-0000-00009F6C0000}"/>
    <cellStyle name="Normal 74 3 2 5" xfId="14915" xr:uid="{00000000-0005-0000-0000-0000A06C0000}"/>
    <cellStyle name="Normal 74 3 2 5 2" xfId="31465" xr:uid="{00000000-0005-0000-0000-0000A16C0000}"/>
    <cellStyle name="Normal 74 3 2 6" xfId="23422" xr:uid="{00000000-0005-0000-0000-0000A26C0000}"/>
    <cellStyle name="Normal 74 3 3" xfId="5615" xr:uid="{00000000-0005-0000-0000-0000A36C0000}"/>
    <cellStyle name="Normal 74 3 3 2" xfId="5616" xr:uid="{00000000-0005-0000-0000-0000A46C0000}"/>
    <cellStyle name="Normal 74 3 3 2 2" xfId="9519" xr:uid="{00000000-0005-0000-0000-0000A56C0000}"/>
    <cellStyle name="Normal 74 3 3 2 2 2" xfId="18693" xr:uid="{00000000-0005-0000-0000-0000A66C0000}"/>
    <cellStyle name="Normal 74 3 3 2 2 2 2" xfId="35267" xr:uid="{00000000-0005-0000-0000-0000A76C0000}"/>
    <cellStyle name="Normal 74 3 3 2 2 3" xfId="27220" xr:uid="{00000000-0005-0000-0000-0000A86C0000}"/>
    <cellStyle name="Normal 74 3 3 2 3" xfId="14920" xr:uid="{00000000-0005-0000-0000-0000A96C0000}"/>
    <cellStyle name="Normal 74 3 3 2 3 2" xfId="31470" xr:uid="{00000000-0005-0000-0000-0000AA6C0000}"/>
    <cellStyle name="Normal 74 3 3 2 4" xfId="23427" xr:uid="{00000000-0005-0000-0000-0000AB6C0000}"/>
    <cellStyle name="Normal 74 3 3 3" xfId="9520" xr:uid="{00000000-0005-0000-0000-0000AC6C0000}"/>
    <cellStyle name="Normal 74 3 3 3 2" xfId="18694" xr:uid="{00000000-0005-0000-0000-0000AD6C0000}"/>
    <cellStyle name="Normal 74 3 3 3 2 2" xfId="35268" xr:uid="{00000000-0005-0000-0000-0000AE6C0000}"/>
    <cellStyle name="Normal 74 3 3 3 3" xfId="27221" xr:uid="{00000000-0005-0000-0000-0000AF6C0000}"/>
    <cellStyle name="Normal 74 3 3 4" xfId="14919" xr:uid="{00000000-0005-0000-0000-0000B06C0000}"/>
    <cellStyle name="Normal 74 3 3 4 2" xfId="31469" xr:uid="{00000000-0005-0000-0000-0000B16C0000}"/>
    <cellStyle name="Normal 74 3 3 5" xfId="23426" xr:uid="{00000000-0005-0000-0000-0000B26C0000}"/>
    <cellStyle name="Normal 74 3 4" xfId="5617" xr:uid="{00000000-0005-0000-0000-0000B36C0000}"/>
    <cellStyle name="Normal 74 3 4 2" xfId="9521" xr:uid="{00000000-0005-0000-0000-0000B46C0000}"/>
    <cellStyle name="Normal 74 3 4 2 2" xfId="18695" xr:uid="{00000000-0005-0000-0000-0000B56C0000}"/>
    <cellStyle name="Normal 74 3 4 2 2 2" xfId="35269" xr:uid="{00000000-0005-0000-0000-0000B66C0000}"/>
    <cellStyle name="Normal 74 3 4 2 3" xfId="27222" xr:uid="{00000000-0005-0000-0000-0000B76C0000}"/>
    <cellStyle name="Normal 74 3 4 3" xfId="14921" xr:uid="{00000000-0005-0000-0000-0000B86C0000}"/>
    <cellStyle name="Normal 74 3 4 3 2" xfId="31471" xr:uid="{00000000-0005-0000-0000-0000B96C0000}"/>
    <cellStyle name="Normal 74 3 4 4" xfId="23428" xr:uid="{00000000-0005-0000-0000-0000BA6C0000}"/>
    <cellStyle name="Normal 74 3 5" xfId="5618" xr:uid="{00000000-0005-0000-0000-0000BB6C0000}"/>
    <cellStyle name="Normal 74 3 5 2" xfId="14922" xr:uid="{00000000-0005-0000-0000-0000BC6C0000}"/>
    <cellStyle name="Normal 74 3 5 2 2" xfId="31472" xr:uid="{00000000-0005-0000-0000-0000BD6C0000}"/>
    <cellStyle name="Normal 74 3 5 3" xfId="23429" xr:uid="{00000000-0005-0000-0000-0000BE6C0000}"/>
    <cellStyle name="Normal 74 4" xfId="5619" xr:uid="{00000000-0005-0000-0000-0000BF6C0000}"/>
    <cellStyle name="Normal 74 4 2" xfId="5620" xr:uid="{00000000-0005-0000-0000-0000C06C0000}"/>
    <cellStyle name="Normal 74 4 2 2" xfId="5621" xr:uid="{00000000-0005-0000-0000-0000C16C0000}"/>
    <cellStyle name="Normal 74 4 2 2 2" xfId="5622" xr:uid="{00000000-0005-0000-0000-0000C26C0000}"/>
    <cellStyle name="Normal 74 4 2 2 2 2" xfId="9522" xr:uid="{00000000-0005-0000-0000-0000C36C0000}"/>
    <cellStyle name="Normal 74 4 2 2 2 2 2" xfId="18696" xr:uid="{00000000-0005-0000-0000-0000C46C0000}"/>
    <cellStyle name="Normal 74 4 2 2 2 2 2 2" xfId="35270" xr:uid="{00000000-0005-0000-0000-0000C56C0000}"/>
    <cellStyle name="Normal 74 4 2 2 2 2 3" xfId="27223" xr:uid="{00000000-0005-0000-0000-0000C66C0000}"/>
    <cellStyle name="Normal 74 4 2 2 2 3" xfId="14926" xr:uid="{00000000-0005-0000-0000-0000C76C0000}"/>
    <cellStyle name="Normal 74 4 2 2 2 3 2" xfId="31476" xr:uid="{00000000-0005-0000-0000-0000C86C0000}"/>
    <cellStyle name="Normal 74 4 2 2 2 4" xfId="23433" xr:uid="{00000000-0005-0000-0000-0000C96C0000}"/>
    <cellStyle name="Normal 74 4 2 2 3" xfId="9523" xr:uid="{00000000-0005-0000-0000-0000CA6C0000}"/>
    <cellStyle name="Normal 74 4 2 2 3 2" xfId="18697" xr:uid="{00000000-0005-0000-0000-0000CB6C0000}"/>
    <cellStyle name="Normal 74 4 2 2 3 2 2" xfId="35271" xr:uid="{00000000-0005-0000-0000-0000CC6C0000}"/>
    <cellStyle name="Normal 74 4 2 2 3 3" xfId="27224" xr:uid="{00000000-0005-0000-0000-0000CD6C0000}"/>
    <cellStyle name="Normal 74 4 2 2 4" xfId="14925" xr:uid="{00000000-0005-0000-0000-0000CE6C0000}"/>
    <cellStyle name="Normal 74 4 2 2 4 2" xfId="31475" xr:uid="{00000000-0005-0000-0000-0000CF6C0000}"/>
    <cellStyle name="Normal 74 4 2 2 5" xfId="23432" xr:uid="{00000000-0005-0000-0000-0000D06C0000}"/>
    <cellStyle name="Normal 74 4 2 3" xfId="5623" xr:uid="{00000000-0005-0000-0000-0000D16C0000}"/>
    <cellStyle name="Normal 74 4 2 3 2" xfId="9524" xr:uid="{00000000-0005-0000-0000-0000D26C0000}"/>
    <cellStyle name="Normal 74 4 2 3 2 2" xfId="18698" xr:uid="{00000000-0005-0000-0000-0000D36C0000}"/>
    <cellStyle name="Normal 74 4 2 3 2 2 2" xfId="35272" xr:uid="{00000000-0005-0000-0000-0000D46C0000}"/>
    <cellStyle name="Normal 74 4 2 3 2 3" xfId="27225" xr:uid="{00000000-0005-0000-0000-0000D56C0000}"/>
    <cellStyle name="Normal 74 4 2 3 3" xfId="14927" xr:uid="{00000000-0005-0000-0000-0000D66C0000}"/>
    <cellStyle name="Normal 74 4 2 3 3 2" xfId="31477" xr:uid="{00000000-0005-0000-0000-0000D76C0000}"/>
    <cellStyle name="Normal 74 4 2 3 4" xfId="23434" xr:uid="{00000000-0005-0000-0000-0000D86C0000}"/>
    <cellStyle name="Normal 74 4 2 4" xfId="9525" xr:uid="{00000000-0005-0000-0000-0000D96C0000}"/>
    <cellStyle name="Normal 74 4 2 4 2" xfId="18699" xr:uid="{00000000-0005-0000-0000-0000DA6C0000}"/>
    <cellStyle name="Normal 74 4 2 4 2 2" xfId="35273" xr:uid="{00000000-0005-0000-0000-0000DB6C0000}"/>
    <cellStyle name="Normal 74 4 2 4 3" xfId="27226" xr:uid="{00000000-0005-0000-0000-0000DC6C0000}"/>
    <cellStyle name="Normal 74 4 2 5" xfId="14924" xr:uid="{00000000-0005-0000-0000-0000DD6C0000}"/>
    <cellStyle name="Normal 74 4 2 5 2" xfId="31474" xr:uid="{00000000-0005-0000-0000-0000DE6C0000}"/>
    <cellStyle name="Normal 74 4 2 6" xfId="23431" xr:uid="{00000000-0005-0000-0000-0000DF6C0000}"/>
    <cellStyle name="Normal 74 4 3" xfId="5624" xr:uid="{00000000-0005-0000-0000-0000E06C0000}"/>
    <cellStyle name="Normal 74 4 3 2" xfId="5625" xr:uid="{00000000-0005-0000-0000-0000E16C0000}"/>
    <cellStyle name="Normal 74 4 3 2 2" xfId="9526" xr:uid="{00000000-0005-0000-0000-0000E26C0000}"/>
    <cellStyle name="Normal 74 4 3 2 2 2" xfId="18700" xr:uid="{00000000-0005-0000-0000-0000E36C0000}"/>
    <cellStyle name="Normal 74 4 3 2 2 2 2" xfId="35274" xr:uid="{00000000-0005-0000-0000-0000E46C0000}"/>
    <cellStyle name="Normal 74 4 3 2 2 3" xfId="27227" xr:uid="{00000000-0005-0000-0000-0000E56C0000}"/>
    <cellStyle name="Normal 74 4 3 2 3" xfId="14929" xr:uid="{00000000-0005-0000-0000-0000E66C0000}"/>
    <cellStyle name="Normal 74 4 3 2 3 2" xfId="31479" xr:uid="{00000000-0005-0000-0000-0000E76C0000}"/>
    <cellStyle name="Normal 74 4 3 2 4" xfId="23436" xr:uid="{00000000-0005-0000-0000-0000E86C0000}"/>
    <cellStyle name="Normal 74 4 3 3" xfId="9527" xr:uid="{00000000-0005-0000-0000-0000E96C0000}"/>
    <cellStyle name="Normal 74 4 3 3 2" xfId="18701" xr:uid="{00000000-0005-0000-0000-0000EA6C0000}"/>
    <cellStyle name="Normal 74 4 3 3 2 2" xfId="35275" xr:uid="{00000000-0005-0000-0000-0000EB6C0000}"/>
    <cellStyle name="Normal 74 4 3 3 3" xfId="27228" xr:uid="{00000000-0005-0000-0000-0000EC6C0000}"/>
    <cellStyle name="Normal 74 4 3 4" xfId="14928" xr:uid="{00000000-0005-0000-0000-0000ED6C0000}"/>
    <cellStyle name="Normal 74 4 3 4 2" xfId="31478" xr:uid="{00000000-0005-0000-0000-0000EE6C0000}"/>
    <cellStyle name="Normal 74 4 3 5" xfId="23435" xr:uid="{00000000-0005-0000-0000-0000EF6C0000}"/>
    <cellStyle name="Normal 74 4 4" xfId="5626" xr:uid="{00000000-0005-0000-0000-0000F06C0000}"/>
    <cellStyle name="Normal 74 4 4 2" xfId="9528" xr:uid="{00000000-0005-0000-0000-0000F16C0000}"/>
    <cellStyle name="Normal 74 4 4 2 2" xfId="18702" xr:uid="{00000000-0005-0000-0000-0000F26C0000}"/>
    <cellStyle name="Normal 74 4 4 2 2 2" xfId="35276" xr:uid="{00000000-0005-0000-0000-0000F36C0000}"/>
    <cellStyle name="Normal 74 4 4 2 3" xfId="27229" xr:uid="{00000000-0005-0000-0000-0000F46C0000}"/>
    <cellStyle name="Normal 74 4 4 3" xfId="14930" xr:uid="{00000000-0005-0000-0000-0000F56C0000}"/>
    <cellStyle name="Normal 74 4 4 3 2" xfId="31480" xr:uid="{00000000-0005-0000-0000-0000F66C0000}"/>
    <cellStyle name="Normal 74 4 4 4" xfId="23437" xr:uid="{00000000-0005-0000-0000-0000F76C0000}"/>
    <cellStyle name="Normal 74 4 5" xfId="9529" xr:uid="{00000000-0005-0000-0000-0000F86C0000}"/>
    <cellStyle name="Normal 74 4 5 2" xfId="18703" xr:uid="{00000000-0005-0000-0000-0000F96C0000}"/>
    <cellStyle name="Normal 74 4 5 2 2" xfId="35277" xr:uid="{00000000-0005-0000-0000-0000FA6C0000}"/>
    <cellStyle name="Normal 74 4 5 3" xfId="27230" xr:uid="{00000000-0005-0000-0000-0000FB6C0000}"/>
    <cellStyle name="Normal 74 4 6" xfId="14923" xr:uid="{00000000-0005-0000-0000-0000FC6C0000}"/>
    <cellStyle name="Normal 74 4 6 2" xfId="31473" xr:uid="{00000000-0005-0000-0000-0000FD6C0000}"/>
    <cellStyle name="Normal 74 4 7" xfId="23430" xr:uid="{00000000-0005-0000-0000-0000FE6C0000}"/>
    <cellStyle name="Normal 74 5" xfId="5627" xr:uid="{00000000-0005-0000-0000-0000FF6C0000}"/>
    <cellStyle name="Normal 74 5 2" xfId="5628" xr:uid="{00000000-0005-0000-0000-0000006D0000}"/>
    <cellStyle name="Normal 74 5 2 2" xfId="5629" xr:uid="{00000000-0005-0000-0000-0000016D0000}"/>
    <cellStyle name="Normal 74 5 2 2 2" xfId="5630" xr:uid="{00000000-0005-0000-0000-0000026D0000}"/>
    <cellStyle name="Normal 74 5 2 2 2 2" xfId="9530" xr:uid="{00000000-0005-0000-0000-0000036D0000}"/>
    <cellStyle name="Normal 74 5 2 2 2 2 2" xfId="18704" xr:uid="{00000000-0005-0000-0000-0000046D0000}"/>
    <cellStyle name="Normal 74 5 2 2 2 2 2 2" xfId="35278" xr:uid="{00000000-0005-0000-0000-0000056D0000}"/>
    <cellStyle name="Normal 74 5 2 2 2 2 3" xfId="27231" xr:uid="{00000000-0005-0000-0000-0000066D0000}"/>
    <cellStyle name="Normal 74 5 2 2 2 3" xfId="14934" xr:uid="{00000000-0005-0000-0000-0000076D0000}"/>
    <cellStyle name="Normal 74 5 2 2 2 3 2" xfId="31484" xr:uid="{00000000-0005-0000-0000-0000086D0000}"/>
    <cellStyle name="Normal 74 5 2 2 2 4" xfId="23441" xr:uid="{00000000-0005-0000-0000-0000096D0000}"/>
    <cellStyle name="Normal 74 5 2 2 3" xfId="9531" xr:uid="{00000000-0005-0000-0000-00000A6D0000}"/>
    <cellStyle name="Normal 74 5 2 2 3 2" xfId="18705" xr:uid="{00000000-0005-0000-0000-00000B6D0000}"/>
    <cellStyle name="Normal 74 5 2 2 3 2 2" xfId="35279" xr:uid="{00000000-0005-0000-0000-00000C6D0000}"/>
    <cellStyle name="Normal 74 5 2 2 3 3" xfId="27232" xr:uid="{00000000-0005-0000-0000-00000D6D0000}"/>
    <cellStyle name="Normal 74 5 2 2 4" xfId="14933" xr:uid="{00000000-0005-0000-0000-00000E6D0000}"/>
    <cellStyle name="Normal 74 5 2 2 4 2" xfId="31483" xr:uid="{00000000-0005-0000-0000-00000F6D0000}"/>
    <cellStyle name="Normal 74 5 2 2 5" xfId="23440" xr:uid="{00000000-0005-0000-0000-0000106D0000}"/>
    <cellStyle name="Normal 74 5 2 3" xfId="5631" xr:uid="{00000000-0005-0000-0000-0000116D0000}"/>
    <cellStyle name="Normal 74 5 2 3 2" xfId="9532" xr:uid="{00000000-0005-0000-0000-0000126D0000}"/>
    <cellStyle name="Normal 74 5 2 3 2 2" xfId="18706" xr:uid="{00000000-0005-0000-0000-0000136D0000}"/>
    <cellStyle name="Normal 74 5 2 3 2 2 2" xfId="35280" xr:uid="{00000000-0005-0000-0000-0000146D0000}"/>
    <cellStyle name="Normal 74 5 2 3 2 3" xfId="27233" xr:uid="{00000000-0005-0000-0000-0000156D0000}"/>
    <cellStyle name="Normal 74 5 2 3 3" xfId="14935" xr:uid="{00000000-0005-0000-0000-0000166D0000}"/>
    <cellStyle name="Normal 74 5 2 3 3 2" xfId="31485" xr:uid="{00000000-0005-0000-0000-0000176D0000}"/>
    <cellStyle name="Normal 74 5 2 3 4" xfId="23442" xr:uid="{00000000-0005-0000-0000-0000186D0000}"/>
    <cellStyle name="Normal 74 5 2 4" xfId="9533" xr:uid="{00000000-0005-0000-0000-0000196D0000}"/>
    <cellStyle name="Normal 74 5 2 4 2" xfId="18707" xr:uid="{00000000-0005-0000-0000-00001A6D0000}"/>
    <cellStyle name="Normal 74 5 2 4 2 2" xfId="35281" xr:uid="{00000000-0005-0000-0000-00001B6D0000}"/>
    <cellStyle name="Normal 74 5 2 4 3" xfId="27234" xr:uid="{00000000-0005-0000-0000-00001C6D0000}"/>
    <cellStyle name="Normal 74 5 2 5" xfId="14932" xr:uid="{00000000-0005-0000-0000-00001D6D0000}"/>
    <cellStyle name="Normal 74 5 2 5 2" xfId="31482" xr:uid="{00000000-0005-0000-0000-00001E6D0000}"/>
    <cellStyle name="Normal 74 5 2 6" xfId="23439" xr:uid="{00000000-0005-0000-0000-00001F6D0000}"/>
    <cellStyle name="Normal 74 5 3" xfId="5632" xr:uid="{00000000-0005-0000-0000-0000206D0000}"/>
    <cellStyle name="Normal 74 5 3 2" xfId="5633" xr:uid="{00000000-0005-0000-0000-0000216D0000}"/>
    <cellStyle name="Normal 74 5 3 2 2" xfId="9534" xr:uid="{00000000-0005-0000-0000-0000226D0000}"/>
    <cellStyle name="Normal 74 5 3 2 2 2" xfId="18708" xr:uid="{00000000-0005-0000-0000-0000236D0000}"/>
    <cellStyle name="Normal 74 5 3 2 2 2 2" xfId="35282" xr:uid="{00000000-0005-0000-0000-0000246D0000}"/>
    <cellStyle name="Normal 74 5 3 2 2 3" xfId="27235" xr:uid="{00000000-0005-0000-0000-0000256D0000}"/>
    <cellStyle name="Normal 74 5 3 2 3" xfId="14937" xr:uid="{00000000-0005-0000-0000-0000266D0000}"/>
    <cellStyle name="Normal 74 5 3 2 3 2" xfId="31487" xr:uid="{00000000-0005-0000-0000-0000276D0000}"/>
    <cellStyle name="Normal 74 5 3 2 4" xfId="23444" xr:uid="{00000000-0005-0000-0000-0000286D0000}"/>
    <cellStyle name="Normal 74 5 3 3" xfId="9535" xr:uid="{00000000-0005-0000-0000-0000296D0000}"/>
    <cellStyle name="Normal 74 5 3 3 2" xfId="18709" xr:uid="{00000000-0005-0000-0000-00002A6D0000}"/>
    <cellStyle name="Normal 74 5 3 3 2 2" xfId="35283" xr:uid="{00000000-0005-0000-0000-00002B6D0000}"/>
    <cellStyle name="Normal 74 5 3 3 3" xfId="27236" xr:uid="{00000000-0005-0000-0000-00002C6D0000}"/>
    <cellStyle name="Normal 74 5 3 4" xfId="14936" xr:uid="{00000000-0005-0000-0000-00002D6D0000}"/>
    <cellStyle name="Normal 74 5 3 4 2" xfId="31486" xr:uid="{00000000-0005-0000-0000-00002E6D0000}"/>
    <cellStyle name="Normal 74 5 3 5" xfId="23443" xr:uid="{00000000-0005-0000-0000-00002F6D0000}"/>
    <cellStyle name="Normal 74 5 4" xfId="5634" xr:uid="{00000000-0005-0000-0000-0000306D0000}"/>
    <cellStyle name="Normal 74 5 4 2" xfId="9536" xr:uid="{00000000-0005-0000-0000-0000316D0000}"/>
    <cellStyle name="Normal 74 5 4 2 2" xfId="18710" xr:uid="{00000000-0005-0000-0000-0000326D0000}"/>
    <cellStyle name="Normal 74 5 4 2 2 2" xfId="35284" xr:uid="{00000000-0005-0000-0000-0000336D0000}"/>
    <cellStyle name="Normal 74 5 4 2 3" xfId="27237" xr:uid="{00000000-0005-0000-0000-0000346D0000}"/>
    <cellStyle name="Normal 74 5 4 3" xfId="14938" xr:uid="{00000000-0005-0000-0000-0000356D0000}"/>
    <cellStyle name="Normal 74 5 4 3 2" xfId="31488" xr:uid="{00000000-0005-0000-0000-0000366D0000}"/>
    <cellStyle name="Normal 74 5 4 4" xfId="23445" xr:uid="{00000000-0005-0000-0000-0000376D0000}"/>
    <cellStyle name="Normal 74 5 5" xfId="9537" xr:uid="{00000000-0005-0000-0000-0000386D0000}"/>
    <cellStyle name="Normal 74 5 5 2" xfId="18711" xr:uid="{00000000-0005-0000-0000-0000396D0000}"/>
    <cellStyle name="Normal 74 5 5 2 2" xfId="35285" xr:uid="{00000000-0005-0000-0000-00003A6D0000}"/>
    <cellStyle name="Normal 74 5 5 3" xfId="27238" xr:uid="{00000000-0005-0000-0000-00003B6D0000}"/>
    <cellStyle name="Normal 74 5 6" xfId="14931" xr:uid="{00000000-0005-0000-0000-00003C6D0000}"/>
    <cellStyle name="Normal 74 5 6 2" xfId="31481" xr:uid="{00000000-0005-0000-0000-00003D6D0000}"/>
    <cellStyle name="Normal 74 5 7" xfId="23438" xr:uid="{00000000-0005-0000-0000-00003E6D0000}"/>
    <cellStyle name="Normal 74 6" xfId="5635" xr:uid="{00000000-0005-0000-0000-00003F6D0000}"/>
    <cellStyle name="Normal 74 6 2" xfId="5636" xr:uid="{00000000-0005-0000-0000-0000406D0000}"/>
    <cellStyle name="Normal 74 6 2 2" xfId="5637" xr:uid="{00000000-0005-0000-0000-0000416D0000}"/>
    <cellStyle name="Normal 74 6 2 2 2" xfId="9538" xr:uid="{00000000-0005-0000-0000-0000426D0000}"/>
    <cellStyle name="Normal 74 6 2 2 2 2" xfId="18712" xr:uid="{00000000-0005-0000-0000-0000436D0000}"/>
    <cellStyle name="Normal 74 6 2 2 2 2 2" xfId="35286" xr:uid="{00000000-0005-0000-0000-0000446D0000}"/>
    <cellStyle name="Normal 74 6 2 2 2 3" xfId="27239" xr:uid="{00000000-0005-0000-0000-0000456D0000}"/>
    <cellStyle name="Normal 74 6 2 2 3" xfId="14941" xr:uid="{00000000-0005-0000-0000-0000466D0000}"/>
    <cellStyle name="Normal 74 6 2 2 3 2" xfId="31491" xr:uid="{00000000-0005-0000-0000-0000476D0000}"/>
    <cellStyle name="Normal 74 6 2 2 4" xfId="23448" xr:uid="{00000000-0005-0000-0000-0000486D0000}"/>
    <cellStyle name="Normal 74 6 2 3" xfId="9539" xr:uid="{00000000-0005-0000-0000-0000496D0000}"/>
    <cellStyle name="Normal 74 6 2 3 2" xfId="18713" xr:uid="{00000000-0005-0000-0000-00004A6D0000}"/>
    <cellStyle name="Normal 74 6 2 3 2 2" xfId="35287" xr:uid="{00000000-0005-0000-0000-00004B6D0000}"/>
    <cellStyle name="Normal 74 6 2 3 3" xfId="27240" xr:uid="{00000000-0005-0000-0000-00004C6D0000}"/>
    <cellStyle name="Normal 74 6 2 4" xfId="14940" xr:uid="{00000000-0005-0000-0000-00004D6D0000}"/>
    <cellStyle name="Normal 74 6 2 4 2" xfId="31490" xr:uid="{00000000-0005-0000-0000-00004E6D0000}"/>
    <cellStyle name="Normal 74 6 2 5" xfId="23447" xr:uid="{00000000-0005-0000-0000-00004F6D0000}"/>
    <cellStyle name="Normal 74 6 3" xfId="5638" xr:uid="{00000000-0005-0000-0000-0000506D0000}"/>
    <cellStyle name="Normal 74 6 3 2" xfId="9540" xr:uid="{00000000-0005-0000-0000-0000516D0000}"/>
    <cellStyle name="Normal 74 6 3 2 2" xfId="18714" xr:uid="{00000000-0005-0000-0000-0000526D0000}"/>
    <cellStyle name="Normal 74 6 3 2 2 2" xfId="35288" xr:uid="{00000000-0005-0000-0000-0000536D0000}"/>
    <cellStyle name="Normal 74 6 3 2 3" xfId="27241" xr:uid="{00000000-0005-0000-0000-0000546D0000}"/>
    <cellStyle name="Normal 74 6 3 3" xfId="14942" xr:uid="{00000000-0005-0000-0000-0000556D0000}"/>
    <cellStyle name="Normal 74 6 3 3 2" xfId="31492" xr:uid="{00000000-0005-0000-0000-0000566D0000}"/>
    <cellStyle name="Normal 74 6 3 4" xfId="23449" xr:uid="{00000000-0005-0000-0000-0000576D0000}"/>
    <cellStyle name="Normal 74 6 4" xfId="9541" xr:uid="{00000000-0005-0000-0000-0000586D0000}"/>
    <cellStyle name="Normal 74 6 4 2" xfId="18715" xr:uid="{00000000-0005-0000-0000-0000596D0000}"/>
    <cellStyle name="Normal 74 6 4 2 2" xfId="35289" xr:uid="{00000000-0005-0000-0000-00005A6D0000}"/>
    <cellStyle name="Normal 74 6 4 3" xfId="27242" xr:uid="{00000000-0005-0000-0000-00005B6D0000}"/>
    <cellStyle name="Normal 74 6 5" xfId="14939" xr:uid="{00000000-0005-0000-0000-00005C6D0000}"/>
    <cellStyle name="Normal 74 6 5 2" xfId="31489" xr:uid="{00000000-0005-0000-0000-00005D6D0000}"/>
    <cellStyle name="Normal 74 6 6" xfId="23446" xr:uid="{00000000-0005-0000-0000-00005E6D0000}"/>
    <cellStyle name="Normal 74 7" xfId="5639" xr:uid="{00000000-0005-0000-0000-00005F6D0000}"/>
    <cellStyle name="Normal 74 7 2" xfId="5640" xr:uid="{00000000-0005-0000-0000-0000606D0000}"/>
    <cellStyle name="Normal 74 7 2 2" xfId="9542" xr:uid="{00000000-0005-0000-0000-0000616D0000}"/>
    <cellStyle name="Normal 74 7 2 2 2" xfId="18716" xr:uid="{00000000-0005-0000-0000-0000626D0000}"/>
    <cellStyle name="Normal 74 7 2 2 2 2" xfId="35290" xr:uid="{00000000-0005-0000-0000-0000636D0000}"/>
    <cellStyle name="Normal 74 7 2 2 3" xfId="27243" xr:uid="{00000000-0005-0000-0000-0000646D0000}"/>
    <cellStyle name="Normal 74 7 2 3" xfId="14944" xr:uid="{00000000-0005-0000-0000-0000656D0000}"/>
    <cellStyle name="Normal 74 7 2 3 2" xfId="31494" xr:uid="{00000000-0005-0000-0000-0000666D0000}"/>
    <cellStyle name="Normal 74 7 2 4" xfId="23451" xr:uid="{00000000-0005-0000-0000-0000676D0000}"/>
    <cellStyle name="Normal 74 7 3" xfId="9543" xr:uid="{00000000-0005-0000-0000-0000686D0000}"/>
    <cellStyle name="Normal 74 7 3 2" xfId="18717" xr:uid="{00000000-0005-0000-0000-0000696D0000}"/>
    <cellStyle name="Normal 74 7 3 2 2" xfId="35291" xr:uid="{00000000-0005-0000-0000-00006A6D0000}"/>
    <cellStyle name="Normal 74 7 3 3" xfId="27244" xr:uid="{00000000-0005-0000-0000-00006B6D0000}"/>
    <cellStyle name="Normal 74 7 4" xfId="14943" xr:uid="{00000000-0005-0000-0000-00006C6D0000}"/>
    <cellStyle name="Normal 74 7 4 2" xfId="31493" xr:uid="{00000000-0005-0000-0000-00006D6D0000}"/>
    <cellStyle name="Normal 74 7 5" xfId="23450" xr:uid="{00000000-0005-0000-0000-00006E6D0000}"/>
    <cellStyle name="Normal 74 8" xfId="5641" xr:uid="{00000000-0005-0000-0000-00006F6D0000}"/>
    <cellStyle name="Normal 74 8 2" xfId="9544" xr:uid="{00000000-0005-0000-0000-0000706D0000}"/>
    <cellStyle name="Normal 74 8 2 2" xfId="18718" xr:uid="{00000000-0005-0000-0000-0000716D0000}"/>
    <cellStyle name="Normal 74 8 2 2 2" xfId="35292" xr:uid="{00000000-0005-0000-0000-0000726D0000}"/>
    <cellStyle name="Normal 74 8 2 3" xfId="27245" xr:uid="{00000000-0005-0000-0000-0000736D0000}"/>
    <cellStyle name="Normal 74 8 3" xfId="14945" xr:uid="{00000000-0005-0000-0000-0000746D0000}"/>
    <cellStyle name="Normal 74 8 3 2" xfId="31495" xr:uid="{00000000-0005-0000-0000-0000756D0000}"/>
    <cellStyle name="Normal 74 8 4" xfId="23452" xr:uid="{00000000-0005-0000-0000-0000766D0000}"/>
    <cellStyle name="Normal 74 9" xfId="9545" xr:uid="{00000000-0005-0000-0000-0000776D0000}"/>
    <cellStyle name="Normal 74 9 2" xfId="18719" xr:uid="{00000000-0005-0000-0000-0000786D0000}"/>
    <cellStyle name="Normal 74 9 2 2" xfId="35293" xr:uid="{00000000-0005-0000-0000-0000796D0000}"/>
    <cellStyle name="Normal 74 9 3" xfId="27246" xr:uid="{00000000-0005-0000-0000-00007A6D0000}"/>
    <cellStyle name="Normal 75" xfId="5642" xr:uid="{00000000-0005-0000-0000-00007B6D0000}"/>
    <cellStyle name="Normal 75 10" xfId="14946" xr:uid="{00000000-0005-0000-0000-00007C6D0000}"/>
    <cellStyle name="Normal 75 10 2" xfId="31496" xr:uid="{00000000-0005-0000-0000-00007D6D0000}"/>
    <cellStyle name="Normal 75 11" xfId="23453" xr:uid="{00000000-0005-0000-0000-00007E6D0000}"/>
    <cellStyle name="Normal 75 2" xfId="5643" xr:uid="{00000000-0005-0000-0000-00007F6D0000}"/>
    <cellStyle name="Normal 75 2 2" xfId="5644" xr:uid="{00000000-0005-0000-0000-0000806D0000}"/>
    <cellStyle name="Normal 75 2 3" xfId="14947" xr:uid="{00000000-0005-0000-0000-0000816D0000}"/>
    <cellStyle name="Normal 75 2 3 2" xfId="31497" xr:uid="{00000000-0005-0000-0000-0000826D0000}"/>
    <cellStyle name="Normal 75 2 4" xfId="23454" xr:uid="{00000000-0005-0000-0000-0000836D0000}"/>
    <cellStyle name="Normal 75 3" xfId="5645" xr:uid="{00000000-0005-0000-0000-0000846D0000}"/>
    <cellStyle name="Normal 75 3 2" xfId="5646" xr:uid="{00000000-0005-0000-0000-0000856D0000}"/>
    <cellStyle name="Normal 75 3 2 2" xfId="5647" xr:uid="{00000000-0005-0000-0000-0000866D0000}"/>
    <cellStyle name="Normal 75 3 2 2 2" xfId="5648" xr:uid="{00000000-0005-0000-0000-0000876D0000}"/>
    <cellStyle name="Normal 75 3 2 2 2 2" xfId="9546" xr:uid="{00000000-0005-0000-0000-0000886D0000}"/>
    <cellStyle name="Normal 75 3 2 2 2 2 2" xfId="18720" xr:uid="{00000000-0005-0000-0000-0000896D0000}"/>
    <cellStyle name="Normal 75 3 2 2 2 2 2 2" xfId="35294" xr:uid="{00000000-0005-0000-0000-00008A6D0000}"/>
    <cellStyle name="Normal 75 3 2 2 2 2 3" xfId="27247" xr:uid="{00000000-0005-0000-0000-00008B6D0000}"/>
    <cellStyle name="Normal 75 3 2 2 2 3" xfId="14950" xr:uid="{00000000-0005-0000-0000-00008C6D0000}"/>
    <cellStyle name="Normal 75 3 2 2 2 3 2" xfId="31500" xr:uid="{00000000-0005-0000-0000-00008D6D0000}"/>
    <cellStyle name="Normal 75 3 2 2 2 4" xfId="23457" xr:uid="{00000000-0005-0000-0000-00008E6D0000}"/>
    <cellStyle name="Normal 75 3 2 2 3" xfId="9547" xr:uid="{00000000-0005-0000-0000-00008F6D0000}"/>
    <cellStyle name="Normal 75 3 2 2 3 2" xfId="18721" xr:uid="{00000000-0005-0000-0000-0000906D0000}"/>
    <cellStyle name="Normal 75 3 2 2 3 2 2" xfId="35295" xr:uid="{00000000-0005-0000-0000-0000916D0000}"/>
    <cellStyle name="Normal 75 3 2 2 3 3" xfId="27248" xr:uid="{00000000-0005-0000-0000-0000926D0000}"/>
    <cellStyle name="Normal 75 3 2 2 4" xfId="14949" xr:uid="{00000000-0005-0000-0000-0000936D0000}"/>
    <cellStyle name="Normal 75 3 2 2 4 2" xfId="31499" xr:uid="{00000000-0005-0000-0000-0000946D0000}"/>
    <cellStyle name="Normal 75 3 2 2 5" xfId="23456" xr:uid="{00000000-0005-0000-0000-0000956D0000}"/>
    <cellStyle name="Normal 75 3 2 3" xfId="5649" xr:uid="{00000000-0005-0000-0000-0000966D0000}"/>
    <cellStyle name="Normal 75 3 2 3 2" xfId="9548" xr:uid="{00000000-0005-0000-0000-0000976D0000}"/>
    <cellStyle name="Normal 75 3 2 3 2 2" xfId="18722" xr:uid="{00000000-0005-0000-0000-0000986D0000}"/>
    <cellStyle name="Normal 75 3 2 3 2 2 2" xfId="35296" xr:uid="{00000000-0005-0000-0000-0000996D0000}"/>
    <cellStyle name="Normal 75 3 2 3 2 3" xfId="27249" xr:uid="{00000000-0005-0000-0000-00009A6D0000}"/>
    <cellStyle name="Normal 75 3 2 3 3" xfId="14951" xr:uid="{00000000-0005-0000-0000-00009B6D0000}"/>
    <cellStyle name="Normal 75 3 2 3 3 2" xfId="31501" xr:uid="{00000000-0005-0000-0000-00009C6D0000}"/>
    <cellStyle name="Normal 75 3 2 3 4" xfId="23458" xr:uid="{00000000-0005-0000-0000-00009D6D0000}"/>
    <cellStyle name="Normal 75 3 2 4" xfId="9549" xr:uid="{00000000-0005-0000-0000-00009E6D0000}"/>
    <cellStyle name="Normal 75 3 2 4 2" xfId="18723" xr:uid="{00000000-0005-0000-0000-00009F6D0000}"/>
    <cellStyle name="Normal 75 3 2 4 2 2" xfId="35297" xr:uid="{00000000-0005-0000-0000-0000A06D0000}"/>
    <cellStyle name="Normal 75 3 2 4 3" xfId="27250" xr:uid="{00000000-0005-0000-0000-0000A16D0000}"/>
    <cellStyle name="Normal 75 3 2 5" xfId="14948" xr:uid="{00000000-0005-0000-0000-0000A26D0000}"/>
    <cellStyle name="Normal 75 3 2 5 2" xfId="31498" xr:uid="{00000000-0005-0000-0000-0000A36D0000}"/>
    <cellStyle name="Normal 75 3 2 6" xfId="23455" xr:uid="{00000000-0005-0000-0000-0000A46D0000}"/>
    <cellStyle name="Normal 75 3 3" xfId="5650" xr:uid="{00000000-0005-0000-0000-0000A56D0000}"/>
    <cellStyle name="Normal 75 3 3 2" xfId="5651" xr:uid="{00000000-0005-0000-0000-0000A66D0000}"/>
    <cellStyle name="Normal 75 3 3 2 2" xfId="9550" xr:uid="{00000000-0005-0000-0000-0000A76D0000}"/>
    <cellStyle name="Normal 75 3 3 2 2 2" xfId="18724" xr:uid="{00000000-0005-0000-0000-0000A86D0000}"/>
    <cellStyle name="Normal 75 3 3 2 2 2 2" xfId="35298" xr:uid="{00000000-0005-0000-0000-0000A96D0000}"/>
    <cellStyle name="Normal 75 3 3 2 2 3" xfId="27251" xr:uid="{00000000-0005-0000-0000-0000AA6D0000}"/>
    <cellStyle name="Normal 75 3 3 2 3" xfId="14953" xr:uid="{00000000-0005-0000-0000-0000AB6D0000}"/>
    <cellStyle name="Normal 75 3 3 2 3 2" xfId="31503" xr:uid="{00000000-0005-0000-0000-0000AC6D0000}"/>
    <cellStyle name="Normal 75 3 3 2 4" xfId="23460" xr:uid="{00000000-0005-0000-0000-0000AD6D0000}"/>
    <cellStyle name="Normal 75 3 3 3" xfId="9551" xr:uid="{00000000-0005-0000-0000-0000AE6D0000}"/>
    <cellStyle name="Normal 75 3 3 3 2" xfId="18725" xr:uid="{00000000-0005-0000-0000-0000AF6D0000}"/>
    <cellStyle name="Normal 75 3 3 3 2 2" xfId="35299" xr:uid="{00000000-0005-0000-0000-0000B06D0000}"/>
    <cellStyle name="Normal 75 3 3 3 3" xfId="27252" xr:uid="{00000000-0005-0000-0000-0000B16D0000}"/>
    <cellStyle name="Normal 75 3 3 4" xfId="14952" xr:uid="{00000000-0005-0000-0000-0000B26D0000}"/>
    <cellStyle name="Normal 75 3 3 4 2" xfId="31502" xr:uid="{00000000-0005-0000-0000-0000B36D0000}"/>
    <cellStyle name="Normal 75 3 3 5" xfId="23459" xr:uid="{00000000-0005-0000-0000-0000B46D0000}"/>
    <cellStyle name="Normal 75 3 4" xfId="5652" xr:uid="{00000000-0005-0000-0000-0000B56D0000}"/>
    <cellStyle name="Normal 75 3 4 2" xfId="9552" xr:uid="{00000000-0005-0000-0000-0000B66D0000}"/>
    <cellStyle name="Normal 75 3 4 2 2" xfId="18726" xr:uid="{00000000-0005-0000-0000-0000B76D0000}"/>
    <cellStyle name="Normal 75 3 4 2 2 2" xfId="35300" xr:uid="{00000000-0005-0000-0000-0000B86D0000}"/>
    <cellStyle name="Normal 75 3 4 2 3" xfId="27253" xr:uid="{00000000-0005-0000-0000-0000B96D0000}"/>
    <cellStyle name="Normal 75 3 4 3" xfId="14954" xr:uid="{00000000-0005-0000-0000-0000BA6D0000}"/>
    <cellStyle name="Normal 75 3 4 3 2" xfId="31504" xr:uid="{00000000-0005-0000-0000-0000BB6D0000}"/>
    <cellStyle name="Normal 75 3 4 4" xfId="23461" xr:uid="{00000000-0005-0000-0000-0000BC6D0000}"/>
    <cellStyle name="Normal 75 3 5" xfId="5653" xr:uid="{00000000-0005-0000-0000-0000BD6D0000}"/>
    <cellStyle name="Normal 75 3 5 2" xfId="14955" xr:uid="{00000000-0005-0000-0000-0000BE6D0000}"/>
    <cellStyle name="Normal 75 3 5 2 2" xfId="31505" xr:uid="{00000000-0005-0000-0000-0000BF6D0000}"/>
    <cellStyle name="Normal 75 3 5 3" xfId="23462" xr:uid="{00000000-0005-0000-0000-0000C06D0000}"/>
    <cellStyle name="Normal 75 4" xfId="5654" xr:uid="{00000000-0005-0000-0000-0000C16D0000}"/>
    <cellStyle name="Normal 75 4 2" xfId="5655" xr:uid="{00000000-0005-0000-0000-0000C26D0000}"/>
    <cellStyle name="Normal 75 4 2 2" xfId="5656" xr:uid="{00000000-0005-0000-0000-0000C36D0000}"/>
    <cellStyle name="Normal 75 4 2 2 2" xfId="5657" xr:uid="{00000000-0005-0000-0000-0000C46D0000}"/>
    <cellStyle name="Normal 75 4 2 2 2 2" xfId="9553" xr:uid="{00000000-0005-0000-0000-0000C56D0000}"/>
    <cellStyle name="Normal 75 4 2 2 2 2 2" xfId="18727" xr:uid="{00000000-0005-0000-0000-0000C66D0000}"/>
    <cellStyle name="Normal 75 4 2 2 2 2 2 2" xfId="35301" xr:uid="{00000000-0005-0000-0000-0000C76D0000}"/>
    <cellStyle name="Normal 75 4 2 2 2 2 3" xfId="27254" xr:uid="{00000000-0005-0000-0000-0000C86D0000}"/>
    <cellStyle name="Normal 75 4 2 2 2 3" xfId="14959" xr:uid="{00000000-0005-0000-0000-0000C96D0000}"/>
    <cellStyle name="Normal 75 4 2 2 2 3 2" xfId="31509" xr:uid="{00000000-0005-0000-0000-0000CA6D0000}"/>
    <cellStyle name="Normal 75 4 2 2 2 4" xfId="23466" xr:uid="{00000000-0005-0000-0000-0000CB6D0000}"/>
    <cellStyle name="Normal 75 4 2 2 3" xfId="9554" xr:uid="{00000000-0005-0000-0000-0000CC6D0000}"/>
    <cellStyle name="Normal 75 4 2 2 3 2" xfId="18728" xr:uid="{00000000-0005-0000-0000-0000CD6D0000}"/>
    <cellStyle name="Normal 75 4 2 2 3 2 2" xfId="35302" xr:uid="{00000000-0005-0000-0000-0000CE6D0000}"/>
    <cellStyle name="Normal 75 4 2 2 3 3" xfId="27255" xr:uid="{00000000-0005-0000-0000-0000CF6D0000}"/>
    <cellStyle name="Normal 75 4 2 2 4" xfId="14958" xr:uid="{00000000-0005-0000-0000-0000D06D0000}"/>
    <cellStyle name="Normal 75 4 2 2 4 2" xfId="31508" xr:uid="{00000000-0005-0000-0000-0000D16D0000}"/>
    <cellStyle name="Normal 75 4 2 2 5" xfId="23465" xr:uid="{00000000-0005-0000-0000-0000D26D0000}"/>
    <cellStyle name="Normal 75 4 2 3" xfId="5658" xr:uid="{00000000-0005-0000-0000-0000D36D0000}"/>
    <cellStyle name="Normal 75 4 2 3 2" xfId="9555" xr:uid="{00000000-0005-0000-0000-0000D46D0000}"/>
    <cellStyle name="Normal 75 4 2 3 2 2" xfId="18729" xr:uid="{00000000-0005-0000-0000-0000D56D0000}"/>
    <cellStyle name="Normal 75 4 2 3 2 2 2" xfId="35303" xr:uid="{00000000-0005-0000-0000-0000D66D0000}"/>
    <cellStyle name="Normal 75 4 2 3 2 3" xfId="27256" xr:uid="{00000000-0005-0000-0000-0000D76D0000}"/>
    <cellStyle name="Normal 75 4 2 3 3" xfId="14960" xr:uid="{00000000-0005-0000-0000-0000D86D0000}"/>
    <cellStyle name="Normal 75 4 2 3 3 2" xfId="31510" xr:uid="{00000000-0005-0000-0000-0000D96D0000}"/>
    <cellStyle name="Normal 75 4 2 3 4" xfId="23467" xr:uid="{00000000-0005-0000-0000-0000DA6D0000}"/>
    <cellStyle name="Normal 75 4 2 4" xfId="9556" xr:uid="{00000000-0005-0000-0000-0000DB6D0000}"/>
    <cellStyle name="Normal 75 4 2 4 2" xfId="18730" xr:uid="{00000000-0005-0000-0000-0000DC6D0000}"/>
    <cellStyle name="Normal 75 4 2 4 2 2" xfId="35304" xr:uid="{00000000-0005-0000-0000-0000DD6D0000}"/>
    <cellStyle name="Normal 75 4 2 4 3" xfId="27257" xr:uid="{00000000-0005-0000-0000-0000DE6D0000}"/>
    <cellStyle name="Normal 75 4 2 5" xfId="14957" xr:uid="{00000000-0005-0000-0000-0000DF6D0000}"/>
    <cellStyle name="Normal 75 4 2 5 2" xfId="31507" xr:uid="{00000000-0005-0000-0000-0000E06D0000}"/>
    <cellStyle name="Normal 75 4 2 6" xfId="23464" xr:uid="{00000000-0005-0000-0000-0000E16D0000}"/>
    <cellStyle name="Normal 75 4 3" xfId="5659" xr:uid="{00000000-0005-0000-0000-0000E26D0000}"/>
    <cellStyle name="Normal 75 4 3 2" xfId="5660" xr:uid="{00000000-0005-0000-0000-0000E36D0000}"/>
    <cellStyle name="Normal 75 4 3 2 2" xfId="9557" xr:uid="{00000000-0005-0000-0000-0000E46D0000}"/>
    <cellStyle name="Normal 75 4 3 2 2 2" xfId="18731" xr:uid="{00000000-0005-0000-0000-0000E56D0000}"/>
    <cellStyle name="Normal 75 4 3 2 2 2 2" xfId="35305" xr:uid="{00000000-0005-0000-0000-0000E66D0000}"/>
    <cellStyle name="Normal 75 4 3 2 2 3" xfId="27258" xr:uid="{00000000-0005-0000-0000-0000E76D0000}"/>
    <cellStyle name="Normal 75 4 3 2 3" xfId="14962" xr:uid="{00000000-0005-0000-0000-0000E86D0000}"/>
    <cellStyle name="Normal 75 4 3 2 3 2" xfId="31512" xr:uid="{00000000-0005-0000-0000-0000E96D0000}"/>
    <cellStyle name="Normal 75 4 3 2 4" xfId="23469" xr:uid="{00000000-0005-0000-0000-0000EA6D0000}"/>
    <cellStyle name="Normal 75 4 3 3" xfId="9558" xr:uid="{00000000-0005-0000-0000-0000EB6D0000}"/>
    <cellStyle name="Normal 75 4 3 3 2" xfId="18732" xr:uid="{00000000-0005-0000-0000-0000EC6D0000}"/>
    <cellStyle name="Normal 75 4 3 3 2 2" xfId="35306" xr:uid="{00000000-0005-0000-0000-0000ED6D0000}"/>
    <cellStyle name="Normal 75 4 3 3 3" xfId="27259" xr:uid="{00000000-0005-0000-0000-0000EE6D0000}"/>
    <cellStyle name="Normal 75 4 3 4" xfId="14961" xr:uid="{00000000-0005-0000-0000-0000EF6D0000}"/>
    <cellStyle name="Normal 75 4 3 4 2" xfId="31511" xr:uid="{00000000-0005-0000-0000-0000F06D0000}"/>
    <cellStyle name="Normal 75 4 3 5" xfId="23468" xr:uid="{00000000-0005-0000-0000-0000F16D0000}"/>
    <cellStyle name="Normal 75 4 4" xfId="5661" xr:uid="{00000000-0005-0000-0000-0000F26D0000}"/>
    <cellStyle name="Normal 75 4 4 2" xfId="9559" xr:uid="{00000000-0005-0000-0000-0000F36D0000}"/>
    <cellStyle name="Normal 75 4 4 2 2" xfId="18733" xr:uid="{00000000-0005-0000-0000-0000F46D0000}"/>
    <cellStyle name="Normal 75 4 4 2 2 2" xfId="35307" xr:uid="{00000000-0005-0000-0000-0000F56D0000}"/>
    <cellStyle name="Normal 75 4 4 2 3" xfId="27260" xr:uid="{00000000-0005-0000-0000-0000F66D0000}"/>
    <cellStyle name="Normal 75 4 4 3" xfId="14963" xr:uid="{00000000-0005-0000-0000-0000F76D0000}"/>
    <cellStyle name="Normal 75 4 4 3 2" xfId="31513" xr:uid="{00000000-0005-0000-0000-0000F86D0000}"/>
    <cellStyle name="Normal 75 4 4 4" xfId="23470" xr:uid="{00000000-0005-0000-0000-0000F96D0000}"/>
    <cellStyle name="Normal 75 4 5" xfId="9560" xr:uid="{00000000-0005-0000-0000-0000FA6D0000}"/>
    <cellStyle name="Normal 75 4 5 2" xfId="18734" xr:uid="{00000000-0005-0000-0000-0000FB6D0000}"/>
    <cellStyle name="Normal 75 4 5 2 2" xfId="35308" xr:uid="{00000000-0005-0000-0000-0000FC6D0000}"/>
    <cellStyle name="Normal 75 4 5 3" xfId="27261" xr:uid="{00000000-0005-0000-0000-0000FD6D0000}"/>
    <cellStyle name="Normal 75 4 6" xfId="14956" xr:uid="{00000000-0005-0000-0000-0000FE6D0000}"/>
    <cellStyle name="Normal 75 4 6 2" xfId="31506" xr:uid="{00000000-0005-0000-0000-0000FF6D0000}"/>
    <cellStyle name="Normal 75 4 7" xfId="23463" xr:uid="{00000000-0005-0000-0000-0000006E0000}"/>
    <cellStyle name="Normal 75 5" xfId="5662" xr:uid="{00000000-0005-0000-0000-0000016E0000}"/>
    <cellStyle name="Normal 75 5 2" xfId="5663" xr:uid="{00000000-0005-0000-0000-0000026E0000}"/>
    <cellStyle name="Normal 75 5 2 2" xfId="5664" xr:uid="{00000000-0005-0000-0000-0000036E0000}"/>
    <cellStyle name="Normal 75 5 2 2 2" xfId="5665" xr:uid="{00000000-0005-0000-0000-0000046E0000}"/>
    <cellStyle name="Normal 75 5 2 2 2 2" xfId="9561" xr:uid="{00000000-0005-0000-0000-0000056E0000}"/>
    <cellStyle name="Normal 75 5 2 2 2 2 2" xfId="18735" xr:uid="{00000000-0005-0000-0000-0000066E0000}"/>
    <cellStyle name="Normal 75 5 2 2 2 2 2 2" xfId="35309" xr:uid="{00000000-0005-0000-0000-0000076E0000}"/>
    <cellStyle name="Normal 75 5 2 2 2 2 3" xfId="27262" xr:uid="{00000000-0005-0000-0000-0000086E0000}"/>
    <cellStyle name="Normal 75 5 2 2 2 3" xfId="14967" xr:uid="{00000000-0005-0000-0000-0000096E0000}"/>
    <cellStyle name="Normal 75 5 2 2 2 3 2" xfId="31517" xr:uid="{00000000-0005-0000-0000-00000A6E0000}"/>
    <cellStyle name="Normal 75 5 2 2 2 4" xfId="23474" xr:uid="{00000000-0005-0000-0000-00000B6E0000}"/>
    <cellStyle name="Normal 75 5 2 2 3" xfId="9562" xr:uid="{00000000-0005-0000-0000-00000C6E0000}"/>
    <cellStyle name="Normal 75 5 2 2 3 2" xfId="18736" xr:uid="{00000000-0005-0000-0000-00000D6E0000}"/>
    <cellStyle name="Normal 75 5 2 2 3 2 2" xfId="35310" xr:uid="{00000000-0005-0000-0000-00000E6E0000}"/>
    <cellStyle name="Normal 75 5 2 2 3 3" xfId="27263" xr:uid="{00000000-0005-0000-0000-00000F6E0000}"/>
    <cellStyle name="Normal 75 5 2 2 4" xfId="14966" xr:uid="{00000000-0005-0000-0000-0000106E0000}"/>
    <cellStyle name="Normal 75 5 2 2 4 2" xfId="31516" xr:uid="{00000000-0005-0000-0000-0000116E0000}"/>
    <cellStyle name="Normal 75 5 2 2 5" xfId="23473" xr:uid="{00000000-0005-0000-0000-0000126E0000}"/>
    <cellStyle name="Normal 75 5 2 3" xfId="5666" xr:uid="{00000000-0005-0000-0000-0000136E0000}"/>
    <cellStyle name="Normal 75 5 2 3 2" xfId="9563" xr:uid="{00000000-0005-0000-0000-0000146E0000}"/>
    <cellStyle name="Normal 75 5 2 3 2 2" xfId="18737" xr:uid="{00000000-0005-0000-0000-0000156E0000}"/>
    <cellStyle name="Normal 75 5 2 3 2 2 2" xfId="35311" xr:uid="{00000000-0005-0000-0000-0000166E0000}"/>
    <cellStyle name="Normal 75 5 2 3 2 3" xfId="27264" xr:uid="{00000000-0005-0000-0000-0000176E0000}"/>
    <cellStyle name="Normal 75 5 2 3 3" xfId="14968" xr:uid="{00000000-0005-0000-0000-0000186E0000}"/>
    <cellStyle name="Normal 75 5 2 3 3 2" xfId="31518" xr:uid="{00000000-0005-0000-0000-0000196E0000}"/>
    <cellStyle name="Normal 75 5 2 3 4" xfId="23475" xr:uid="{00000000-0005-0000-0000-00001A6E0000}"/>
    <cellStyle name="Normal 75 5 2 4" xfId="9564" xr:uid="{00000000-0005-0000-0000-00001B6E0000}"/>
    <cellStyle name="Normal 75 5 2 4 2" xfId="18738" xr:uid="{00000000-0005-0000-0000-00001C6E0000}"/>
    <cellStyle name="Normal 75 5 2 4 2 2" xfId="35312" xr:uid="{00000000-0005-0000-0000-00001D6E0000}"/>
    <cellStyle name="Normal 75 5 2 4 3" xfId="27265" xr:uid="{00000000-0005-0000-0000-00001E6E0000}"/>
    <cellStyle name="Normal 75 5 2 5" xfId="14965" xr:uid="{00000000-0005-0000-0000-00001F6E0000}"/>
    <cellStyle name="Normal 75 5 2 5 2" xfId="31515" xr:uid="{00000000-0005-0000-0000-0000206E0000}"/>
    <cellStyle name="Normal 75 5 2 6" xfId="23472" xr:uid="{00000000-0005-0000-0000-0000216E0000}"/>
    <cellStyle name="Normal 75 5 3" xfId="5667" xr:uid="{00000000-0005-0000-0000-0000226E0000}"/>
    <cellStyle name="Normal 75 5 3 2" xfId="5668" xr:uid="{00000000-0005-0000-0000-0000236E0000}"/>
    <cellStyle name="Normal 75 5 3 2 2" xfId="9565" xr:uid="{00000000-0005-0000-0000-0000246E0000}"/>
    <cellStyle name="Normal 75 5 3 2 2 2" xfId="18739" xr:uid="{00000000-0005-0000-0000-0000256E0000}"/>
    <cellStyle name="Normal 75 5 3 2 2 2 2" xfId="35313" xr:uid="{00000000-0005-0000-0000-0000266E0000}"/>
    <cellStyle name="Normal 75 5 3 2 2 3" xfId="27266" xr:uid="{00000000-0005-0000-0000-0000276E0000}"/>
    <cellStyle name="Normal 75 5 3 2 3" xfId="14970" xr:uid="{00000000-0005-0000-0000-0000286E0000}"/>
    <cellStyle name="Normal 75 5 3 2 3 2" xfId="31520" xr:uid="{00000000-0005-0000-0000-0000296E0000}"/>
    <cellStyle name="Normal 75 5 3 2 4" xfId="23477" xr:uid="{00000000-0005-0000-0000-00002A6E0000}"/>
    <cellStyle name="Normal 75 5 3 3" xfId="9566" xr:uid="{00000000-0005-0000-0000-00002B6E0000}"/>
    <cellStyle name="Normal 75 5 3 3 2" xfId="18740" xr:uid="{00000000-0005-0000-0000-00002C6E0000}"/>
    <cellStyle name="Normal 75 5 3 3 2 2" xfId="35314" xr:uid="{00000000-0005-0000-0000-00002D6E0000}"/>
    <cellStyle name="Normal 75 5 3 3 3" xfId="27267" xr:uid="{00000000-0005-0000-0000-00002E6E0000}"/>
    <cellStyle name="Normal 75 5 3 4" xfId="14969" xr:uid="{00000000-0005-0000-0000-00002F6E0000}"/>
    <cellStyle name="Normal 75 5 3 4 2" xfId="31519" xr:uid="{00000000-0005-0000-0000-0000306E0000}"/>
    <cellStyle name="Normal 75 5 3 5" xfId="23476" xr:uid="{00000000-0005-0000-0000-0000316E0000}"/>
    <cellStyle name="Normal 75 5 4" xfId="5669" xr:uid="{00000000-0005-0000-0000-0000326E0000}"/>
    <cellStyle name="Normal 75 5 4 2" xfId="9567" xr:uid="{00000000-0005-0000-0000-0000336E0000}"/>
    <cellStyle name="Normal 75 5 4 2 2" xfId="18741" xr:uid="{00000000-0005-0000-0000-0000346E0000}"/>
    <cellStyle name="Normal 75 5 4 2 2 2" xfId="35315" xr:uid="{00000000-0005-0000-0000-0000356E0000}"/>
    <cellStyle name="Normal 75 5 4 2 3" xfId="27268" xr:uid="{00000000-0005-0000-0000-0000366E0000}"/>
    <cellStyle name="Normal 75 5 4 3" xfId="14971" xr:uid="{00000000-0005-0000-0000-0000376E0000}"/>
    <cellStyle name="Normal 75 5 4 3 2" xfId="31521" xr:uid="{00000000-0005-0000-0000-0000386E0000}"/>
    <cellStyle name="Normal 75 5 4 4" xfId="23478" xr:uid="{00000000-0005-0000-0000-0000396E0000}"/>
    <cellStyle name="Normal 75 5 5" xfId="9568" xr:uid="{00000000-0005-0000-0000-00003A6E0000}"/>
    <cellStyle name="Normal 75 5 5 2" xfId="18742" xr:uid="{00000000-0005-0000-0000-00003B6E0000}"/>
    <cellStyle name="Normal 75 5 5 2 2" xfId="35316" xr:uid="{00000000-0005-0000-0000-00003C6E0000}"/>
    <cellStyle name="Normal 75 5 5 3" xfId="27269" xr:uid="{00000000-0005-0000-0000-00003D6E0000}"/>
    <cellStyle name="Normal 75 5 6" xfId="14964" xr:uid="{00000000-0005-0000-0000-00003E6E0000}"/>
    <cellStyle name="Normal 75 5 6 2" xfId="31514" xr:uid="{00000000-0005-0000-0000-00003F6E0000}"/>
    <cellStyle name="Normal 75 5 7" xfId="23471" xr:uid="{00000000-0005-0000-0000-0000406E0000}"/>
    <cellStyle name="Normal 75 6" xfId="5670" xr:uid="{00000000-0005-0000-0000-0000416E0000}"/>
    <cellStyle name="Normal 75 6 2" xfId="5671" xr:uid="{00000000-0005-0000-0000-0000426E0000}"/>
    <cellStyle name="Normal 75 6 2 2" xfId="5672" xr:uid="{00000000-0005-0000-0000-0000436E0000}"/>
    <cellStyle name="Normal 75 6 2 2 2" xfId="9569" xr:uid="{00000000-0005-0000-0000-0000446E0000}"/>
    <cellStyle name="Normal 75 6 2 2 2 2" xfId="18743" xr:uid="{00000000-0005-0000-0000-0000456E0000}"/>
    <cellStyle name="Normal 75 6 2 2 2 2 2" xfId="35317" xr:uid="{00000000-0005-0000-0000-0000466E0000}"/>
    <cellStyle name="Normal 75 6 2 2 2 3" xfId="27270" xr:uid="{00000000-0005-0000-0000-0000476E0000}"/>
    <cellStyle name="Normal 75 6 2 2 3" xfId="14974" xr:uid="{00000000-0005-0000-0000-0000486E0000}"/>
    <cellStyle name="Normal 75 6 2 2 3 2" xfId="31524" xr:uid="{00000000-0005-0000-0000-0000496E0000}"/>
    <cellStyle name="Normal 75 6 2 2 4" xfId="23481" xr:uid="{00000000-0005-0000-0000-00004A6E0000}"/>
    <cellStyle name="Normal 75 6 2 3" xfId="9570" xr:uid="{00000000-0005-0000-0000-00004B6E0000}"/>
    <cellStyle name="Normal 75 6 2 3 2" xfId="18744" xr:uid="{00000000-0005-0000-0000-00004C6E0000}"/>
    <cellStyle name="Normal 75 6 2 3 2 2" xfId="35318" xr:uid="{00000000-0005-0000-0000-00004D6E0000}"/>
    <cellStyle name="Normal 75 6 2 3 3" xfId="27271" xr:uid="{00000000-0005-0000-0000-00004E6E0000}"/>
    <cellStyle name="Normal 75 6 2 4" xfId="14973" xr:uid="{00000000-0005-0000-0000-00004F6E0000}"/>
    <cellStyle name="Normal 75 6 2 4 2" xfId="31523" xr:uid="{00000000-0005-0000-0000-0000506E0000}"/>
    <cellStyle name="Normal 75 6 2 5" xfId="23480" xr:uid="{00000000-0005-0000-0000-0000516E0000}"/>
    <cellStyle name="Normal 75 6 3" xfId="5673" xr:uid="{00000000-0005-0000-0000-0000526E0000}"/>
    <cellStyle name="Normal 75 6 3 2" xfId="9571" xr:uid="{00000000-0005-0000-0000-0000536E0000}"/>
    <cellStyle name="Normal 75 6 3 2 2" xfId="18745" xr:uid="{00000000-0005-0000-0000-0000546E0000}"/>
    <cellStyle name="Normal 75 6 3 2 2 2" xfId="35319" xr:uid="{00000000-0005-0000-0000-0000556E0000}"/>
    <cellStyle name="Normal 75 6 3 2 3" xfId="27272" xr:uid="{00000000-0005-0000-0000-0000566E0000}"/>
    <cellStyle name="Normal 75 6 3 3" xfId="14975" xr:uid="{00000000-0005-0000-0000-0000576E0000}"/>
    <cellStyle name="Normal 75 6 3 3 2" xfId="31525" xr:uid="{00000000-0005-0000-0000-0000586E0000}"/>
    <cellStyle name="Normal 75 6 3 4" xfId="23482" xr:uid="{00000000-0005-0000-0000-0000596E0000}"/>
    <cellStyle name="Normal 75 6 4" xfId="9572" xr:uid="{00000000-0005-0000-0000-00005A6E0000}"/>
    <cellStyle name="Normal 75 6 4 2" xfId="18746" xr:uid="{00000000-0005-0000-0000-00005B6E0000}"/>
    <cellStyle name="Normal 75 6 4 2 2" xfId="35320" xr:uid="{00000000-0005-0000-0000-00005C6E0000}"/>
    <cellStyle name="Normal 75 6 4 3" xfId="27273" xr:uid="{00000000-0005-0000-0000-00005D6E0000}"/>
    <cellStyle name="Normal 75 6 5" xfId="14972" xr:uid="{00000000-0005-0000-0000-00005E6E0000}"/>
    <cellStyle name="Normal 75 6 5 2" xfId="31522" xr:uid="{00000000-0005-0000-0000-00005F6E0000}"/>
    <cellStyle name="Normal 75 6 6" xfId="23479" xr:uid="{00000000-0005-0000-0000-0000606E0000}"/>
    <cellStyle name="Normal 75 7" xfId="5674" xr:uid="{00000000-0005-0000-0000-0000616E0000}"/>
    <cellStyle name="Normal 75 7 2" xfId="5675" xr:uid="{00000000-0005-0000-0000-0000626E0000}"/>
    <cellStyle name="Normal 75 7 2 2" xfId="9573" xr:uid="{00000000-0005-0000-0000-0000636E0000}"/>
    <cellStyle name="Normal 75 7 2 2 2" xfId="18747" xr:uid="{00000000-0005-0000-0000-0000646E0000}"/>
    <cellStyle name="Normal 75 7 2 2 2 2" xfId="35321" xr:uid="{00000000-0005-0000-0000-0000656E0000}"/>
    <cellStyle name="Normal 75 7 2 2 3" xfId="27274" xr:uid="{00000000-0005-0000-0000-0000666E0000}"/>
    <cellStyle name="Normal 75 7 2 3" xfId="14977" xr:uid="{00000000-0005-0000-0000-0000676E0000}"/>
    <cellStyle name="Normal 75 7 2 3 2" xfId="31527" xr:uid="{00000000-0005-0000-0000-0000686E0000}"/>
    <cellStyle name="Normal 75 7 2 4" xfId="23484" xr:uid="{00000000-0005-0000-0000-0000696E0000}"/>
    <cellStyle name="Normal 75 7 3" xfId="9574" xr:uid="{00000000-0005-0000-0000-00006A6E0000}"/>
    <cellStyle name="Normal 75 7 3 2" xfId="18748" xr:uid="{00000000-0005-0000-0000-00006B6E0000}"/>
    <cellStyle name="Normal 75 7 3 2 2" xfId="35322" xr:uid="{00000000-0005-0000-0000-00006C6E0000}"/>
    <cellStyle name="Normal 75 7 3 3" xfId="27275" xr:uid="{00000000-0005-0000-0000-00006D6E0000}"/>
    <cellStyle name="Normal 75 7 4" xfId="14976" xr:uid="{00000000-0005-0000-0000-00006E6E0000}"/>
    <cellStyle name="Normal 75 7 4 2" xfId="31526" xr:uid="{00000000-0005-0000-0000-00006F6E0000}"/>
    <cellStyle name="Normal 75 7 5" xfId="23483" xr:uid="{00000000-0005-0000-0000-0000706E0000}"/>
    <cellStyle name="Normal 75 8" xfId="5676" xr:uid="{00000000-0005-0000-0000-0000716E0000}"/>
    <cellStyle name="Normal 75 8 2" xfId="9575" xr:uid="{00000000-0005-0000-0000-0000726E0000}"/>
    <cellStyle name="Normal 75 8 2 2" xfId="18749" xr:uid="{00000000-0005-0000-0000-0000736E0000}"/>
    <cellStyle name="Normal 75 8 2 2 2" xfId="35323" xr:uid="{00000000-0005-0000-0000-0000746E0000}"/>
    <cellStyle name="Normal 75 8 2 3" xfId="27276" xr:uid="{00000000-0005-0000-0000-0000756E0000}"/>
    <cellStyle name="Normal 75 8 3" xfId="14978" xr:uid="{00000000-0005-0000-0000-0000766E0000}"/>
    <cellStyle name="Normal 75 8 3 2" xfId="31528" xr:uid="{00000000-0005-0000-0000-0000776E0000}"/>
    <cellStyle name="Normal 75 8 4" xfId="23485" xr:uid="{00000000-0005-0000-0000-0000786E0000}"/>
    <cellStyle name="Normal 75 9" xfId="9576" xr:uid="{00000000-0005-0000-0000-0000796E0000}"/>
    <cellStyle name="Normal 75 9 2" xfId="18750" xr:uid="{00000000-0005-0000-0000-00007A6E0000}"/>
    <cellStyle name="Normal 75 9 2 2" xfId="35324" xr:uid="{00000000-0005-0000-0000-00007B6E0000}"/>
    <cellStyle name="Normal 75 9 3" xfId="27277" xr:uid="{00000000-0005-0000-0000-00007C6E0000}"/>
    <cellStyle name="Normal 76" xfId="5677" xr:uid="{00000000-0005-0000-0000-00007D6E0000}"/>
    <cellStyle name="Normal 76 10" xfId="14979" xr:uid="{00000000-0005-0000-0000-00007E6E0000}"/>
    <cellStyle name="Normal 76 10 2" xfId="31529" xr:uid="{00000000-0005-0000-0000-00007F6E0000}"/>
    <cellStyle name="Normal 76 11" xfId="23486" xr:uid="{00000000-0005-0000-0000-0000806E0000}"/>
    <cellStyle name="Normal 76 2" xfId="5678" xr:uid="{00000000-0005-0000-0000-0000816E0000}"/>
    <cellStyle name="Normal 76 2 2" xfId="5679" xr:uid="{00000000-0005-0000-0000-0000826E0000}"/>
    <cellStyle name="Normal 76 2 3" xfId="14980" xr:uid="{00000000-0005-0000-0000-0000836E0000}"/>
    <cellStyle name="Normal 76 2 3 2" xfId="31530" xr:uid="{00000000-0005-0000-0000-0000846E0000}"/>
    <cellStyle name="Normal 76 2 4" xfId="23487" xr:uid="{00000000-0005-0000-0000-0000856E0000}"/>
    <cellStyle name="Normal 76 3" xfId="5680" xr:uid="{00000000-0005-0000-0000-0000866E0000}"/>
    <cellStyle name="Normal 76 3 2" xfId="5681" xr:uid="{00000000-0005-0000-0000-0000876E0000}"/>
    <cellStyle name="Normal 76 3 2 2" xfId="5682" xr:uid="{00000000-0005-0000-0000-0000886E0000}"/>
    <cellStyle name="Normal 76 3 2 2 2" xfId="5683" xr:uid="{00000000-0005-0000-0000-0000896E0000}"/>
    <cellStyle name="Normal 76 3 2 2 2 2" xfId="9577" xr:uid="{00000000-0005-0000-0000-00008A6E0000}"/>
    <cellStyle name="Normal 76 3 2 2 2 2 2" xfId="18751" xr:uid="{00000000-0005-0000-0000-00008B6E0000}"/>
    <cellStyle name="Normal 76 3 2 2 2 2 2 2" xfId="35325" xr:uid="{00000000-0005-0000-0000-00008C6E0000}"/>
    <cellStyle name="Normal 76 3 2 2 2 2 3" xfId="27278" xr:uid="{00000000-0005-0000-0000-00008D6E0000}"/>
    <cellStyle name="Normal 76 3 2 2 2 3" xfId="14983" xr:uid="{00000000-0005-0000-0000-00008E6E0000}"/>
    <cellStyle name="Normal 76 3 2 2 2 3 2" xfId="31533" xr:uid="{00000000-0005-0000-0000-00008F6E0000}"/>
    <cellStyle name="Normal 76 3 2 2 2 4" xfId="23490" xr:uid="{00000000-0005-0000-0000-0000906E0000}"/>
    <cellStyle name="Normal 76 3 2 2 3" xfId="9578" xr:uid="{00000000-0005-0000-0000-0000916E0000}"/>
    <cellStyle name="Normal 76 3 2 2 3 2" xfId="18752" xr:uid="{00000000-0005-0000-0000-0000926E0000}"/>
    <cellStyle name="Normal 76 3 2 2 3 2 2" xfId="35326" xr:uid="{00000000-0005-0000-0000-0000936E0000}"/>
    <cellStyle name="Normal 76 3 2 2 3 3" xfId="27279" xr:uid="{00000000-0005-0000-0000-0000946E0000}"/>
    <cellStyle name="Normal 76 3 2 2 4" xfId="14982" xr:uid="{00000000-0005-0000-0000-0000956E0000}"/>
    <cellStyle name="Normal 76 3 2 2 4 2" xfId="31532" xr:uid="{00000000-0005-0000-0000-0000966E0000}"/>
    <cellStyle name="Normal 76 3 2 2 5" xfId="23489" xr:uid="{00000000-0005-0000-0000-0000976E0000}"/>
    <cellStyle name="Normal 76 3 2 3" xfId="5684" xr:uid="{00000000-0005-0000-0000-0000986E0000}"/>
    <cellStyle name="Normal 76 3 2 3 2" xfId="9579" xr:uid="{00000000-0005-0000-0000-0000996E0000}"/>
    <cellStyle name="Normal 76 3 2 3 2 2" xfId="18753" xr:uid="{00000000-0005-0000-0000-00009A6E0000}"/>
    <cellStyle name="Normal 76 3 2 3 2 2 2" xfId="35327" xr:uid="{00000000-0005-0000-0000-00009B6E0000}"/>
    <cellStyle name="Normal 76 3 2 3 2 3" xfId="27280" xr:uid="{00000000-0005-0000-0000-00009C6E0000}"/>
    <cellStyle name="Normal 76 3 2 3 3" xfId="14984" xr:uid="{00000000-0005-0000-0000-00009D6E0000}"/>
    <cellStyle name="Normal 76 3 2 3 3 2" xfId="31534" xr:uid="{00000000-0005-0000-0000-00009E6E0000}"/>
    <cellStyle name="Normal 76 3 2 3 4" xfId="23491" xr:uid="{00000000-0005-0000-0000-00009F6E0000}"/>
    <cellStyle name="Normal 76 3 2 4" xfId="9580" xr:uid="{00000000-0005-0000-0000-0000A06E0000}"/>
    <cellStyle name="Normal 76 3 2 4 2" xfId="18754" xr:uid="{00000000-0005-0000-0000-0000A16E0000}"/>
    <cellStyle name="Normal 76 3 2 4 2 2" xfId="35328" xr:uid="{00000000-0005-0000-0000-0000A26E0000}"/>
    <cellStyle name="Normal 76 3 2 4 3" xfId="27281" xr:uid="{00000000-0005-0000-0000-0000A36E0000}"/>
    <cellStyle name="Normal 76 3 2 5" xfId="14981" xr:uid="{00000000-0005-0000-0000-0000A46E0000}"/>
    <cellStyle name="Normal 76 3 2 5 2" xfId="31531" xr:uid="{00000000-0005-0000-0000-0000A56E0000}"/>
    <cellStyle name="Normal 76 3 2 6" xfId="23488" xr:uid="{00000000-0005-0000-0000-0000A66E0000}"/>
    <cellStyle name="Normal 76 3 3" xfId="5685" xr:uid="{00000000-0005-0000-0000-0000A76E0000}"/>
    <cellStyle name="Normal 76 3 3 2" xfId="5686" xr:uid="{00000000-0005-0000-0000-0000A86E0000}"/>
    <cellStyle name="Normal 76 3 3 2 2" xfId="9581" xr:uid="{00000000-0005-0000-0000-0000A96E0000}"/>
    <cellStyle name="Normal 76 3 3 2 2 2" xfId="18755" xr:uid="{00000000-0005-0000-0000-0000AA6E0000}"/>
    <cellStyle name="Normal 76 3 3 2 2 2 2" xfId="35329" xr:uid="{00000000-0005-0000-0000-0000AB6E0000}"/>
    <cellStyle name="Normal 76 3 3 2 2 3" xfId="27282" xr:uid="{00000000-0005-0000-0000-0000AC6E0000}"/>
    <cellStyle name="Normal 76 3 3 2 3" xfId="14986" xr:uid="{00000000-0005-0000-0000-0000AD6E0000}"/>
    <cellStyle name="Normal 76 3 3 2 3 2" xfId="31536" xr:uid="{00000000-0005-0000-0000-0000AE6E0000}"/>
    <cellStyle name="Normal 76 3 3 2 4" xfId="23493" xr:uid="{00000000-0005-0000-0000-0000AF6E0000}"/>
    <cellStyle name="Normal 76 3 3 3" xfId="9582" xr:uid="{00000000-0005-0000-0000-0000B06E0000}"/>
    <cellStyle name="Normal 76 3 3 3 2" xfId="18756" xr:uid="{00000000-0005-0000-0000-0000B16E0000}"/>
    <cellStyle name="Normal 76 3 3 3 2 2" xfId="35330" xr:uid="{00000000-0005-0000-0000-0000B26E0000}"/>
    <cellStyle name="Normal 76 3 3 3 3" xfId="27283" xr:uid="{00000000-0005-0000-0000-0000B36E0000}"/>
    <cellStyle name="Normal 76 3 3 4" xfId="14985" xr:uid="{00000000-0005-0000-0000-0000B46E0000}"/>
    <cellStyle name="Normal 76 3 3 4 2" xfId="31535" xr:uid="{00000000-0005-0000-0000-0000B56E0000}"/>
    <cellStyle name="Normal 76 3 3 5" xfId="23492" xr:uid="{00000000-0005-0000-0000-0000B66E0000}"/>
    <cellStyle name="Normal 76 3 4" xfId="5687" xr:uid="{00000000-0005-0000-0000-0000B76E0000}"/>
    <cellStyle name="Normal 76 3 4 2" xfId="9583" xr:uid="{00000000-0005-0000-0000-0000B86E0000}"/>
    <cellStyle name="Normal 76 3 4 2 2" xfId="18757" xr:uid="{00000000-0005-0000-0000-0000B96E0000}"/>
    <cellStyle name="Normal 76 3 4 2 2 2" xfId="35331" xr:uid="{00000000-0005-0000-0000-0000BA6E0000}"/>
    <cellStyle name="Normal 76 3 4 2 3" xfId="27284" xr:uid="{00000000-0005-0000-0000-0000BB6E0000}"/>
    <cellStyle name="Normal 76 3 4 3" xfId="14987" xr:uid="{00000000-0005-0000-0000-0000BC6E0000}"/>
    <cellStyle name="Normal 76 3 4 3 2" xfId="31537" xr:uid="{00000000-0005-0000-0000-0000BD6E0000}"/>
    <cellStyle name="Normal 76 3 4 4" xfId="23494" xr:uid="{00000000-0005-0000-0000-0000BE6E0000}"/>
    <cellStyle name="Normal 76 3 5" xfId="5688" xr:uid="{00000000-0005-0000-0000-0000BF6E0000}"/>
    <cellStyle name="Normal 76 3 5 2" xfId="14988" xr:uid="{00000000-0005-0000-0000-0000C06E0000}"/>
    <cellStyle name="Normal 76 3 5 2 2" xfId="31538" xr:uid="{00000000-0005-0000-0000-0000C16E0000}"/>
    <cellStyle name="Normal 76 3 5 3" xfId="23495" xr:uid="{00000000-0005-0000-0000-0000C26E0000}"/>
    <cellStyle name="Normal 76 4" xfId="5689" xr:uid="{00000000-0005-0000-0000-0000C36E0000}"/>
    <cellStyle name="Normal 76 4 2" xfId="5690" xr:uid="{00000000-0005-0000-0000-0000C46E0000}"/>
    <cellStyle name="Normal 76 4 2 2" xfId="5691" xr:uid="{00000000-0005-0000-0000-0000C56E0000}"/>
    <cellStyle name="Normal 76 4 2 2 2" xfId="5692" xr:uid="{00000000-0005-0000-0000-0000C66E0000}"/>
    <cellStyle name="Normal 76 4 2 2 2 2" xfId="9584" xr:uid="{00000000-0005-0000-0000-0000C76E0000}"/>
    <cellStyle name="Normal 76 4 2 2 2 2 2" xfId="18758" xr:uid="{00000000-0005-0000-0000-0000C86E0000}"/>
    <cellStyle name="Normal 76 4 2 2 2 2 2 2" xfId="35332" xr:uid="{00000000-0005-0000-0000-0000C96E0000}"/>
    <cellStyle name="Normal 76 4 2 2 2 2 3" xfId="27285" xr:uid="{00000000-0005-0000-0000-0000CA6E0000}"/>
    <cellStyle name="Normal 76 4 2 2 2 3" xfId="14992" xr:uid="{00000000-0005-0000-0000-0000CB6E0000}"/>
    <cellStyle name="Normal 76 4 2 2 2 3 2" xfId="31542" xr:uid="{00000000-0005-0000-0000-0000CC6E0000}"/>
    <cellStyle name="Normal 76 4 2 2 2 4" xfId="23499" xr:uid="{00000000-0005-0000-0000-0000CD6E0000}"/>
    <cellStyle name="Normal 76 4 2 2 3" xfId="9585" xr:uid="{00000000-0005-0000-0000-0000CE6E0000}"/>
    <cellStyle name="Normal 76 4 2 2 3 2" xfId="18759" xr:uid="{00000000-0005-0000-0000-0000CF6E0000}"/>
    <cellStyle name="Normal 76 4 2 2 3 2 2" xfId="35333" xr:uid="{00000000-0005-0000-0000-0000D06E0000}"/>
    <cellStyle name="Normal 76 4 2 2 3 3" xfId="27286" xr:uid="{00000000-0005-0000-0000-0000D16E0000}"/>
    <cellStyle name="Normal 76 4 2 2 4" xfId="14991" xr:uid="{00000000-0005-0000-0000-0000D26E0000}"/>
    <cellStyle name="Normal 76 4 2 2 4 2" xfId="31541" xr:uid="{00000000-0005-0000-0000-0000D36E0000}"/>
    <cellStyle name="Normal 76 4 2 2 5" xfId="23498" xr:uid="{00000000-0005-0000-0000-0000D46E0000}"/>
    <cellStyle name="Normal 76 4 2 3" xfId="5693" xr:uid="{00000000-0005-0000-0000-0000D56E0000}"/>
    <cellStyle name="Normal 76 4 2 3 2" xfId="9586" xr:uid="{00000000-0005-0000-0000-0000D66E0000}"/>
    <cellStyle name="Normal 76 4 2 3 2 2" xfId="18760" xr:uid="{00000000-0005-0000-0000-0000D76E0000}"/>
    <cellStyle name="Normal 76 4 2 3 2 2 2" xfId="35334" xr:uid="{00000000-0005-0000-0000-0000D86E0000}"/>
    <cellStyle name="Normal 76 4 2 3 2 3" xfId="27287" xr:uid="{00000000-0005-0000-0000-0000D96E0000}"/>
    <cellStyle name="Normal 76 4 2 3 3" xfId="14993" xr:uid="{00000000-0005-0000-0000-0000DA6E0000}"/>
    <cellStyle name="Normal 76 4 2 3 3 2" xfId="31543" xr:uid="{00000000-0005-0000-0000-0000DB6E0000}"/>
    <cellStyle name="Normal 76 4 2 3 4" xfId="23500" xr:uid="{00000000-0005-0000-0000-0000DC6E0000}"/>
    <cellStyle name="Normal 76 4 2 4" xfId="9587" xr:uid="{00000000-0005-0000-0000-0000DD6E0000}"/>
    <cellStyle name="Normal 76 4 2 4 2" xfId="18761" xr:uid="{00000000-0005-0000-0000-0000DE6E0000}"/>
    <cellStyle name="Normal 76 4 2 4 2 2" xfId="35335" xr:uid="{00000000-0005-0000-0000-0000DF6E0000}"/>
    <cellStyle name="Normal 76 4 2 4 3" xfId="27288" xr:uid="{00000000-0005-0000-0000-0000E06E0000}"/>
    <cellStyle name="Normal 76 4 2 5" xfId="14990" xr:uid="{00000000-0005-0000-0000-0000E16E0000}"/>
    <cellStyle name="Normal 76 4 2 5 2" xfId="31540" xr:uid="{00000000-0005-0000-0000-0000E26E0000}"/>
    <cellStyle name="Normal 76 4 2 6" xfId="23497" xr:uid="{00000000-0005-0000-0000-0000E36E0000}"/>
    <cellStyle name="Normal 76 4 3" xfId="5694" xr:uid="{00000000-0005-0000-0000-0000E46E0000}"/>
    <cellStyle name="Normal 76 4 3 2" xfId="5695" xr:uid="{00000000-0005-0000-0000-0000E56E0000}"/>
    <cellStyle name="Normal 76 4 3 2 2" xfId="9588" xr:uid="{00000000-0005-0000-0000-0000E66E0000}"/>
    <cellStyle name="Normal 76 4 3 2 2 2" xfId="18762" xr:uid="{00000000-0005-0000-0000-0000E76E0000}"/>
    <cellStyle name="Normal 76 4 3 2 2 2 2" xfId="35336" xr:uid="{00000000-0005-0000-0000-0000E86E0000}"/>
    <cellStyle name="Normal 76 4 3 2 2 3" xfId="27289" xr:uid="{00000000-0005-0000-0000-0000E96E0000}"/>
    <cellStyle name="Normal 76 4 3 2 3" xfId="14995" xr:uid="{00000000-0005-0000-0000-0000EA6E0000}"/>
    <cellStyle name="Normal 76 4 3 2 3 2" xfId="31545" xr:uid="{00000000-0005-0000-0000-0000EB6E0000}"/>
    <cellStyle name="Normal 76 4 3 2 4" xfId="23502" xr:uid="{00000000-0005-0000-0000-0000EC6E0000}"/>
    <cellStyle name="Normal 76 4 3 3" xfId="9589" xr:uid="{00000000-0005-0000-0000-0000ED6E0000}"/>
    <cellStyle name="Normal 76 4 3 3 2" xfId="18763" xr:uid="{00000000-0005-0000-0000-0000EE6E0000}"/>
    <cellStyle name="Normal 76 4 3 3 2 2" xfId="35337" xr:uid="{00000000-0005-0000-0000-0000EF6E0000}"/>
    <cellStyle name="Normal 76 4 3 3 3" xfId="27290" xr:uid="{00000000-0005-0000-0000-0000F06E0000}"/>
    <cellStyle name="Normal 76 4 3 4" xfId="14994" xr:uid="{00000000-0005-0000-0000-0000F16E0000}"/>
    <cellStyle name="Normal 76 4 3 4 2" xfId="31544" xr:uid="{00000000-0005-0000-0000-0000F26E0000}"/>
    <cellStyle name="Normal 76 4 3 5" xfId="23501" xr:uid="{00000000-0005-0000-0000-0000F36E0000}"/>
    <cellStyle name="Normal 76 4 4" xfId="5696" xr:uid="{00000000-0005-0000-0000-0000F46E0000}"/>
    <cellStyle name="Normal 76 4 4 2" xfId="9590" xr:uid="{00000000-0005-0000-0000-0000F56E0000}"/>
    <cellStyle name="Normal 76 4 4 2 2" xfId="18764" xr:uid="{00000000-0005-0000-0000-0000F66E0000}"/>
    <cellStyle name="Normal 76 4 4 2 2 2" xfId="35338" xr:uid="{00000000-0005-0000-0000-0000F76E0000}"/>
    <cellStyle name="Normal 76 4 4 2 3" xfId="27291" xr:uid="{00000000-0005-0000-0000-0000F86E0000}"/>
    <cellStyle name="Normal 76 4 4 3" xfId="14996" xr:uid="{00000000-0005-0000-0000-0000F96E0000}"/>
    <cellStyle name="Normal 76 4 4 3 2" xfId="31546" xr:uid="{00000000-0005-0000-0000-0000FA6E0000}"/>
    <cellStyle name="Normal 76 4 4 4" xfId="23503" xr:uid="{00000000-0005-0000-0000-0000FB6E0000}"/>
    <cellStyle name="Normal 76 4 5" xfId="9591" xr:uid="{00000000-0005-0000-0000-0000FC6E0000}"/>
    <cellStyle name="Normal 76 4 5 2" xfId="18765" xr:uid="{00000000-0005-0000-0000-0000FD6E0000}"/>
    <cellStyle name="Normal 76 4 5 2 2" xfId="35339" xr:uid="{00000000-0005-0000-0000-0000FE6E0000}"/>
    <cellStyle name="Normal 76 4 5 3" xfId="27292" xr:uid="{00000000-0005-0000-0000-0000FF6E0000}"/>
    <cellStyle name="Normal 76 4 6" xfId="14989" xr:uid="{00000000-0005-0000-0000-0000006F0000}"/>
    <cellStyle name="Normal 76 4 6 2" xfId="31539" xr:uid="{00000000-0005-0000-0000-0000016F0000}"/>
    <cellStyle name="Normal 76 4 7" xfId="23496" xr:uid="{00000000-0005-0000-0000-0000026F0000}"/>
    <cellStyle name="Normal 76 5" xfId="5697" xr:uid="{00000000-0005-0000-0000-0000036F0000}"/>
    <cellStyle name="Normal 76 5 2" xfId="5698" xr:uid="{00000000-0005-0000-0000-0000046F0000}"/>
    <cellStyle name="Normal 76 5 2 2" xfId="5699" xr:uid="{00000000-0005-0000-0000-0000056F0000}"/>
    <cellStyle name="Normal 76 5 2 2 2" xfId="5700" xr:uid="{00000000-0005-0000-0000-0000066F0000}"/>
    <cellStyle name="Normal 76 5 2 2 2 2" xfId="9592" xr:uid="{00000000-0005-0000-0000-0000076F0000}"/>
    <cellStyle name="Normal 76 5 2 2 2 2 2" xfId="18766" xr:uid="{00000000-0005-0000-0000-0000086F0000}"/>
    <cellStyle name="Normal 76 5 2 2 2 2 2 2" xfId="35340" xr:uid="{00000000-0005-0000-0000-0000096F0000}"/>
    <cellStyle name="Normal 76 5 2 2 2 2 3" xfId="27293" xr:uid="{00000000-0005-0000-0000-00000A6F0000}"/>
    <cellStyle name="Normal 76 5 2 2 2 3" xfId="15000" xr:uid="{00000000-0005-0000-0000-00000B6F0000}"/>
    <cellStyle name="Normal 76 5 2 2 2 3 2" xfId="31550" xr:uid="{00000000-0005-0000-0000-00000C6F0000}"/>
    <cellStyle name="Normal 76 5 2 2 2 4" xfId="23507" xr:uid="{00000000-0005-0000-0000-00000D6F0000}"/>
    <cellStyle name="Normal 76 5 2 2 3" xfId="9593" xr:uid="{00000000-0005-0000-0000-00000E6F0000}"/>
    <cellStyle name="Normal 76 5 2 2 3 2" xfId="18767" xr:uid="{00000000-0005-0000-0000-00000F6F0000}"/>
    <cellStyle name="Normal 76 5 2 2 3 2 2" xfId="35341" xr:uid="{00000000-0005-0000-0000-0000106F0000}"/>
    <cellStyle name="Normal 76 5 2 2 3 3" xfId="27294" xr:uid="{00000000-0005-0000-0000-0000116F0000}"/>
    <cellStyle name="Normal 76 5 2 2 4" xfId="14999" xr:uid="{00000000-0005-0000-0000-0000126F0000}"/>
    <cellStyle name="Normal 76 5 2 2 4 2" xfId="31549" xr:uid="{00000000-0005-0000-0000-0000136F0000}"/>
    <cellStyle name="Normal 76 5 2 2 5" xfId="23506" xr:uid="{00000000-0005-0000-0000-0000146F0000}"/>
    <cellStyle name="Normal 76 5 2 3" xfId="5701" xr:uid="{00000000-0005-0000-0000-0000156F0000}"/>
    <cellStyle name="Normal 76 5 2 3 2" xfId="9594" xr:uid="{00000000-0005-0000-0000-0000166F0000}"/>
    <cellStyle name="Normal 76 5 2 3 2 2" xfId="18768" xr:uid="{00000000-0005-0000-0000-0000176F0000}"/>
    <cellStyle name="Normal 76 5 2 3 2 2 2" xfId="35342" xr:uid="{00000000-0005-0000-0000-0000186F0000}"/>
    <cellStyle name="Normal 76 5 2 3 2 3" xfId="27295" xr:uid="{00000000-0005-0000-0000-0000196F0000}"/>
    <cellStyle name="Normal 76 5 2 3 3" xfId="15001" xr:uid="{00000000-0005-0000-0000-00001A6F0000}"/>
    <cellStyle name="Normal 76 5 2 3 3 2" xfId="31551" xr:uid="{00000000-0005-0000-0000-00001B6F0000}"/>
    <cellStyle name="Normal 76 5 2 3 4" xfId="23508" xr:uid="{00000000-0005-0000-0000-00001C6F0000}"/>
    <cellStyle name="Normal 76 5 2 4" xfId="9595" xr:uid="{00000000-0005-0000-0000-00001D6F0000}"/>
    <cellStyle name="Normal 76 5 2 4 2" xfId="18769" xr:uid="{00000000-0005-0000-0000-00001E6F0000}"/>
    <cellStyle name="Normal 76 5 2 4 2 2" xfId="35343" xr:uid="{00000000-0005-0000-0000-00001F6F0000}"/>
    <cellStyle name="Normal 76 5 2 4 3" xfId="27296" xr:uid="{00000000-0005-0000-0000-0000206F0000}"/>
    <cellStyle name="Normal 76 5 2 5" xfId="14998" xr:uid="{00000000-0005-0000-0000-0000216F0000}"/>
    <cellStyle name="Normal 76 5 2 5 2" xfId="31548" xr:uid="{00000000-0005-0000-0000-0000226F0000}"/>
    <cellStyle name="Normal 76 5 2 6" xfId="23505" xr:uid="{00000000-0005-0000-0000-0000236F0000}"/>
    <cellStyle name="Normal 76 5 3" xfId="5702" xr:uid="{00000000-0005-0000-0000-0000246F0000}"/>
    <cellStyle name="Normal 76 5 3 2" xfId="5703" xr:uid="{00000000-0005-0000-0000-0000256F0000}"/>
    <cellStyle name="Normal 76 5 3 2 2" xfId="9596" xr:uid="{00000000-0005-0000-0000-0000266F0000}"/>
    <cellStyle name="Normal 76 5 3 2 2 2" xfId="18770" xr:uid="{00000000-0005-0000-0000-0000276F0000}"/>
    <cellStyle name="Normal 76 5 3 2 2 2 2" xfId="35344" xr:uid="{00000000-0005-0000-0000-0000286F0000}"/>
    <cellStyle name="Normal 76 5 3 2 2 3" xfId="27297" xr:uid="{00000000-0005-0000-0000-0000296F0000}"/>
    <cellStyle name="Normal 76 5 3 2 3" xfId="15003" xr:uid="{00000000-0005-0000-0000-00002A6F0000}"/>
    <cellStyle name="Normal 76 5 3 2 3 2" xfId="31553" xr:uid="{00000000-0005-0000-0000-00002B6F0000}"/>
    <cellStyle name="Normal 76 5 3 2 4" xfId="23510" xr:uid="{00000000-0005-0000-0000-00002C6F0000}"/>
    <cellStyle name="Normal 76 5 3 3" xfId="9597" xr:uid="{00000000-0005-0000-0000-00002D6F0000}"/>
    <cellStyle name="Normal 76 5 3 3 2" xfId="18771" xr:uid="{00000000-0005-0000-0000-00002E6F0000}"/>
    <cellStyle name="Normal 76 5 3 3 2 2" xfId="35345" xr:uid="{00000000-0005-0000-0000-00002F6F0000}"/>
    <cellStyle name="Normal 76 5 3 3 3" xfId="27298" xr:uid="{00000000-0005-0000-0000-0000306F0000}"/>
    <cellStyle name="Normal 76 5 3 4" xfId="15002" xr:uid="{00000000-0005-0000-0000-0000316F0000}"/>
    <cellStyle name="Normal 76 5 3 4 2" xfId="31552" xr:uid="{00000000-0005-0000-0000-0000326F0000}"/>
    <cellStyle name="Normal 76 5 3 5" xfId="23509" xr:uid="{00000000-0005-0000-0000-0000336F0000}"/>
    <cellStyle name="Normal 76 5 4" xfId="5704" xr:uid="{00000000-0005-0000-0000-0000346F0000}"/>
    <cellStyle name="Normal 76 5 4 2" xfId="9598" xr:uid="{00000000-0005-0000-0000-0000356F0000}"/>
    <cellStyle name="Normal 76 5 4 2 2" xfId="18772" xr:uid="{00000000-0005-0000-0000-0000366F0000}"/>
    <cellStyle name="Normal 76 5 4 2 2 2" xfId="35346" xr:uid="{00000000-0005-0000-0000-0000376F0000}"/>
    <cellStyle name="Normal 76 5 4 2 3" xfId="27299" xr:uid="{00000000-0005-0000-0000-0000386F0000}"/>
    <cellStyle name="Normal 76 5 4 3" xfId="15004" xr:uid="{00000000-0005-0000-0000-0000396F0000}"/>
    <cellStyle name="Normal 76 5 4 3 2" xfId="31554" xr:uid="{00000000-0005-0000-0000-00003A6F0000}"/>
    <cellStyle name="Normal 76 5 4 4" xfId="23511" xr:uid="{00000000-0005-0000-0000-00003B6F0000}"/>
    <cellStyle name="Normal 76 5 5" xfId="9599" xr:uid="{00000000-0005-0000-0000-00003C6F0000}"/>
    <cellStyle name="Normal 76 5 5 2" xfId="18773" xr:uid="{00000000-0005-0000-0000-00003D6F0000}"/>
    <cellStyle name="Normal 76 5 5 2 2" xfId="35347" xr:uid="{00000000-0005-0000-0000-00003E6F0000}"/>
    <cellStyle name="Normal 76 5 5 3" xfId="27300" xr:uid="{00000000-0005-0000-0000-00003F6F0000}"/>
    <cellStyle name="Normal 76 5 6" xfId="14997" xr:uid="{00000000-0005-0000-0000-0000406F0000}"/>
    <cellStyle name="Normal 76 5 6 2" xfId="31547" xr:uid="{00000000-0005-0000-0000-0000416F0000}"/>
    <cellStyle name="Normal 76 5 7" xfId="23504" xr:uid="{00000000-0005-0000-0000-0000426F0000}"/>
    <cellStyle name="Normal 76 6" xfId="5705" xr:uid="{00000000-0005-0000-0000-0000436F0000}"/>
    <cellStyle name="Normal 76 6 2" xfId="5706" xr:uid="{00000000-0005-0000-0000-0000446F0000}"/>
    <cellStyle name="Normal 76 6 2 2" xfId="5707" xr:uid="{00000000-0005-0000-0000-0000456F0000}"/>
    <cellStyle name="Normal 76 6 2 2 2" xfId="9600" xr:uid="{00000000-0005-0000-0000-0000466F0000}"/>
    <cellStyle name="Normal 76 6 2 2 2 2" xfId="18774" xr:uid="{00000000-0005-0000-0000-0000476F0000}"/>
    <cellStyle name="Normal 76 6 2 2 2 2 2" xfId="35348" xr:uid="{00000000-0005-0000-0000-0000486F0000}"/>
    <cellStyle name="Normal 76 6 2 2 2 3" xfId="27301" xr:uid="{00000000-0005-0000-0000-0000496F0000}"/>
    <cellStyle name="Normal 76 6 2 2 3" xfId="15007" xr:uid="{00000000-0005-0000-0000-00004A6F0000}"/>
    <cellStyle name="Normal 76 6 2 2 3 2" xfId="31557" xr:uid="{00000000-0005-0000-0000-00004B6F0000}"/>
    <cellStyle name="Normal 76 6 2 2 4" xfId="23514" xr:uid="{00000000-0005-0000-0000-00004C6F0000}"/>
    <cellStyle name="Normal 76 6 2 3" xfId="9601" xr:uid="{00000000-0005-0000-0000-00004D6F0000}"/>
    <cellStyle name="Normal 76 6 2 3 2" xfId="18775" xr:uid="{00000000-0005-0000-0000-00004E6F0000}"/>
    <cellStyle name="Normal 76 6 2 3 2 2" xfId="35349" xr:uid="{00000000-0005-0000-0000-00004F6F0000}"/>
    <cellStyle name="Normal 76 6 2 3 3" xfId="27302" xr:uid="{00000000-0005-0000-0000-0000506F0000}"/>
    <cellStyle name="Normal 76 6 2 4" xfId="15006" xr:uid="{00000000-0005-0000-0000-0000516F0000}"/>
    <cellStyle name="Normal 76 6 2 4 2" xfId="31556" xr:uid="{00000000-0005-0000-0000-0000526F0000}"/>
    <cellStyle name="Normal 76 6 2 5" xfId="23513" xr:uid="{00000000-0005-0000-0000-0000536F0000}"/>
    <cellStyle name="Normal 76 6 3" xfId="5708" xr:uid="{00000000-0005-0000-0000-0000546F0000}"/>
    <cellStyle name="Normal 76 6 3 2" xfId="9602" xr:uid="{00000000-0005-0000-0000-0000556F0000}"/>
    <cellStyle name="Normal 76 6 3 2 2" xfId="18776" xr:uid="{00000000-0005-0000-0000-0000566F0000}"/>
    <cellStyle name="Normal 76 6 3 2 2 2" xfId="35350" xr:uid="{00000000-0005-0000-0000-0000576F0000}"/>
    <cellStyle name="Normal 76 6 3 2 3" xfId="27303" xr:uid="{00000000-0005-0000-0000-0000586F0000}"/>
    <cellStyle name="Normal 76 6 3 3" xfId="15008" xr:uid="{00000000-0005-0000-0000-0000596F0000}"/>
    <cellStyle name="Normal 76 6 3 3 2" xfId="31558" xr:uid="{00000000-0005-0000-0000-00005A6F0000}"/>
    <cellStyle name="Normal 76 6 3 4" xfId="23515" xr:uid="{00000000-0005-0000-0000-00005B6F0000}"/>
    <cellStyle name="Normal 76 6 4" xfId="9603" xr:uid="{00000000-0005-0000-0000-00005C6F0000}"/>
    <cellStyle name="Normal 76 6 4 2" xfId="18777" xr:uid="{00000000-0005-0000-0000-00005D6F0000}"/>
    <cellStyle name="Normal 76 6 4 2 2" xfId="35351" xr:uid="{00000000-0005-0000-0000-00005E6F0000}"/>
    <cellStyle name="Normal 76 6 4 3" xfId="27304" xr:uid="{00000000-0005-0000-0000-00005F6F0000}"/>
    <cellStyle name="Normal 76 6 5" xfId="15005" xr:uid="{00000000-0005-0000-0000-0000606F0000}"/>
    <cellStyle name="Normal 76 6 5 2" xfId="31555" xr:uid="{00000000-0005-0000-0000-0000616F0000}"/>
    <cellStyle name="Normal 76 6 6" xfId="23512" xr:uid="{00000000-0005-0000-0000-0000626F0000}"/>
    <cellStyle name="Normal 76 7" xfId="5709" xr:uid="{00000000-0005-0000-0000-0000636F0000}"/>
    <cellStyle name="Normal 76 7 2" xfId="5710" xr:uid="{00000000-0005-0000-0000-0000646F0000}"/>
    <cellStyle name="Normal 76 7 2 2" xfId="9604" xr:uid="{00000000-0005-0000-0000-0000656F0000}"/>
    <cellStyle name="Normal 76 7 2 2 2" xfId="18778" xr:uid="{00000000-0005-0000-0000-0000666F0000}"/>
    <cellStyle name="Normal 76 7 2 2 2 2" xfId="35352" xr:uid="{00000000-0005-0000-0000-0000676F0000}"/>
    <cellStyle name="Normal 76 7 2 2 3" xfId="27305" xr:uid="{00000000-0005-0000-0000-0000686F0000}"/>
    <cellStyle name="Normal 76 7 2 3" xfId="15010" xr:uid="{00000000-0005-0000-0000-0000696F0000}"/>
    <cellStyle name="Normal 76 7 2 3 2" xfId="31560" xr:uid="{00000000-0005-0000-0000-00006A6F0000}"/>
    <cellStyle name="Normal 76 7 2 4" xfId="23517" xr:uid="{00000000-0005-0000-0000-00006B6F0000}"/>
    <cellStyle name="Normal 76 7 3" xfId="9605" xr:uid="{00000000-0005-0000-0000-00006C6F0000}"/>
    <cellStyle name="Normal 76 7 3 2" xfId="18779" xr:uid="{00000000-0005-0000-0000-00006D6F0000}"/>
    <cellStyle name="Normal 76 7 3 2 2" xfId="35353" xr:uid="{00000000-0005-0000-0000-00006E6F0000}"/>
    <cellStyle name="Normal 76 7 3 3" xfId="27306" xr:uid="{00000000-0005-0000-0000-00006F6F0000}"/>
    <cellStyle name="Normal 76 7 4" xfId="15009" xr:uid="{00000000-0005-0000-0000-0000706F0000}"/>
    <cellStyle name="Normal 76 7 4 2" xfId="31559" xr:uid="{00000000-0005-0000-0000-0000716F0000}"/>
    <cellStyle name="Normal 76 7 5" xfId="23516" xr:uid="{00000000-0005-0000-0000-0000726F0000}"/>
    <cellStyle name="Normal 76 8" xfId="5711" xr:uid="{00000000-0005-0000-0000-0000736F0000}"/>
    <cellStyle name="Normal 76 8 2" xfId="9606" xr:uid="{00000000-0005-0000-0000-0000746F0000}"/>
    <cellStyle name="Normal 76 8 2 2" xfId="18780" xr:uid="{00000000-0005-0000-0000-0000756F0000}"/>
    <cellStyle name="Normal 76 8 2 2 2" xfId="35354" xr:uid="{00000000-0005-0000-0000-0000766F0000}"/>
    <cellStyle name="Normal 76 8 2 3" xfId="27307" xr:uid="{00000000-0005-0000-0000-0000776F0000}"/>
    <cellStyle name="Normal 76 8 3" xfId="15011" xr:uid="{00000000-0005-0000-0000-0000786F0000}"/>
    <cellStyle name="Normal 76 8 3 2" xfId="31561" xr:uid="{00000000-0005-0000-0000-0000796F0000}"/>
    <cellStyle name="Normal 76 8 4" xfId="23518" xr:uid="{00000000-0005-0000-0000-00007A6F0000}"/>
    <cellStyle name="Normal 76 9" xfId="9607" xr:uid="{00000000-0005-0000-0000-00007B6F0000}"/>
    <cellStyle name="Normal 76 9 2" xfId="18781" xr:uid="{00000000-0005-0000-0000-00007C6F0000}"/>
    <cellStyle name="Normal 76 9 2 2" xfId="35355" xr:uid="{00000000-0005-0000-0000-00007D6F0000}"/>
    <cellStyle name="Normal 76 9 3" xfId="27308" xr:uid="{00000000-0005-0000-0000-00007E6F0000}"/>
    <cellStyle name="Normal 77" xfId="5712" xr:uid="{00000000-0005-0000-0000-00007F6F0000}"/>
    <cellStyle name="Normal 77 10" xfId="15012" xr:uid="{00000000-0005-0000-0000-0000806F0000}"/>
    <cellStyle name="Normal 77 10 2" xfId="31562" xr:uid="{00000000-0005-0000-0000-0000816F0000}"/>
    <cellStyle name="Normal 77 11" xfId="23519" xr:uid="{00000000-0005-0000-0000-0000826F0000}"/>
    <cellStyle name="Normal 77 2" xfId="5713" xr:uid="{00000000-0005-0000-0000-0000836F0000}"/>
    <cellStyle name="Normal 77 2 2" xfId="5714" xr:uid="{00000000-0005-0000-0000-0000846F0000}"/>
    <cellStyle name="Normal 77 2 3" xfId="15013" xr:uid="{00000000-0005-0000-0000-0000856F0000}"/>
    <cellStyle name="Normal 77 2 3 2" xfId="31563" xr:uid="{00000000-0005-0000-0000-0000866F0000}"/>
    <cellStyle name="Normal 77 2 4" xfId="23520" xr:uid="{00000000-0005-0000-0000-0000876F0000}"/>
    <cellStyle name="Normal 77 3" xfId="5715" xr:uid="{00000000-0005-0000-0000-0000886F0000}"/>
    <cellStyle name="Normal 77 3 2" xfId="5716" xr:uid="{00000000-0005-0000-0000-0000896F0000}"/>
    <cellStyle name="Normal 77 3 2 2" xfId="5717" xr:uid="{00000000-0005-0000-0000-00008A6F0000}"/>
    <cellStyle name="Normal 77 3 2 2 2" xfId="5718" xr:uid="{00000000-0005-0000-0000-00008B6F0000}"/>
    <cellStyle name="Normal 77 3 2 2 2 2" xfId="9608" xr:uid="{00000000-0005-0000-0000-00008C6F0000}"/>
    <cellStyle name="Normal 77 3 2 2 2 2 2" xfId="18782" xr:uid="{00000000-0005-0000-0000-00008D6F0000}"/>
    <cellStyle name="Normal 77 3 2 2 2 2 2 2" xfId="35356" xr:uid="{00000000-0005-0000-0000-00008E6F0000}"/>
    <cellStyle name="Normal 77 3 2 2 2 2 3" xfId="27309" xr:uid="{00000000-0005-0000-0000-00008F6F0000}"/>
    <cellStyle name="Normal 77 3 2 2 2 3" xfId="15016" xr:uid="{00000000-0005-0000-0000-0000906F0000}"/>
    <cellStyle name="Normal 77 3 2 2 2 3 2" xfId="31566" xr:uid="{00000000-0005-0000-0000-0000916F0000}"/>
    <cellStyle name="Normal 77 3 2 2 2 4" xfId="23523" xr:uid="{00000000-0005-0000-0000-0000926F0000}"/>
    <cellStyle name="Normal 77 3 2 2 3" xfId="9609" xr:uid="{00000000-0005-0000-0000-0000936F0000}"/>
    <cellStyle name="Normal 77 3 2 2 3 2" xfId="18783" xr:uid="{00000000-0005-0000-0000-0000946F0000}"/>
    <cellStyle name="Normal 77 3 2 2 3 2 2" xfId="35357" xr:uid="{00000000-0005-0000-0000-0000956F0000}"/>
    <cellStyle name="Normal 77 3 2 2 3 3" xfId="27310" xr:uid="{00000000-0005-0000-0000-0000966F0000}"/>
    <cellStyle name="Normal 77 3 2 2 4" xfId="15015" xr:uid="{00000000-0005-0000-0000-0000976F0000}"/>
    <cellStyle name="Normal 77 3 2 2 4 2" xfId="31565" xr:uid="{00000000-0005-0000-0000-0000986F0000}"/>
    <cellStyle name="Normal 77 3 2 2 5" xfId="23522" xr:uid="{00000000-0005-0000-0000-0000996F0000}"/>
    <cellStyle name="Normal 77 3 2 3" xfId="5719" xr:uid="{00000000-0005-0000-0000-00009A6F0000}"/>
    <cellStyle name="Normal 77 3 2 3 2" xfId="9610" xr:uid="{00000000-0005-0000-0000-00009B6F0000}"/>
    <cellStyle name="Normal 77 3 2 3 2 2" xfId="18784" xr:uid="{00000000-0005-0000-0000-00009C6F0000}"/>
    <cellStyle name="Normal 77 3 2 3 2 2 2" xfId="35358" xr:uid="{00000000-0005-0000-0000-00009D6F0000}"/>
    <cellStyle name="Normal 77 3 2 3 2 3" xfId="27311" xr:uid="{00000000-0005-0000-0000-00009E6F0000}"/>
    <cellStyle name="Normal 77 3 2 3 3" xfId="15017" xr:uid="{00000000-0005-0000-0000-00009F6F0000}"/>
    <cellStyle name="Normal 77 3 2 3 3 2" xfId="31567" xr:uid="{00000000-0005-0000-0000-0000A06F0000}"/>
    <cellStyle name="Normal 77 3 2 3 4" xfId="23524" xr:uid="{00000000-0005-0000-0000-0000A16F0000}"/>
    <cellStyle name="Normal 77 3 2 4" xfId="9611" xr:uid="{00000000-0005-0000-0000-0000A26F0000}"/>
    <cellStyle name="Normal 77 3 2 4 2" xfId="18785" xr:uid="{00000000-0005-0000-0000-0000A36F0000}"/>
    <cellStyle name="Normal 77 3 2 4 2 2" xfId="35359" xr:uid="{00000000-0005-0000-0000-0000A46F0000}"/>
    <cellStyle name="Normal 77 3 2 4 3" xfId="27312" xr:uid="{00000000-0005-0000-0000-0000A56F0000}"/>
    <cellStyle name="Normal 77 3 2 5" xfId="15014" xr:uid="{00000000-0005-0000-0000-0000A66F0000}"/>
    <cellStyle name="Normal 77 3 2 5 2" xfId="31564" xr:uid="{00000000-0005-0000-0000-0000A76F0000}"/>
    <cellStyle name="Normal 77 3 2 6" xfId="23521" xr:uid="{00000000-0005-0000-0000-0000A86F0000}"/>
    <cellStyle name="Normal 77 3 3" xfId="5720" xr:uid="{00000000-0005-0000-0000-0000A96F0000}"/>
    <cellStyle name="Normal 77 3 3 2" xfId="5721" xr:uid="{00000000-0005-0000-0000-0000AA6F0000}"/>
    <cellStyle name="Normal 77 3 3 2 2" xfId="9612" xr:uid="{00000000-0005-0000-0000-0000AB6F0000}"/>
    <cellStyle name="Normal 77 3 3 2 2 2" xfId="18786" xr:uid="{00000000-0005-0000-0000-0000AC6F0000}"/>
    <cellStyle name="Normal 77 3 3 2 2 2 2" xfId="35360" xr:uid="{00000000-0005-0000-0000-0000AD6F0000}"/>
    <cellStyle name="Normal 77 3 3 2 2 3" xfId="27313" xr:uid="{00000000-0005-0000-0000-0000AE6F0000}"/>
    <cellStyle name="Normal 77 3 3 2 3" xfId="15019" xr:uid="{00000000-0005-0000-0000-0000AF6F0000}"/>
    <cellStyle name="Normal 77 3 3 2 3 2" xfId="31569" xr:uid="{00000000-0005-0000-0000-0000B06F0000}"/>
    <cellStyle name="Normal 77 3 3 2 4" xfId="23526" xr:uid="{00000000-0005-0000-0000-0000B16F0000}"/>
    <cellStyle name="Normal 77 3 3 3" xfId="9613" xr:uid="{00000000-0005-0000-0000-0000B26F0000}"/>
    <cellStyle name="Normal 77 3 3 3 2" xfId="18787" xr:uid="{00000000-0005-0000-0000-0000B36F0000}"/>
    <cellStyle name="Normal 77 3 3 3 2 2" xfId="35361" xr:uid="{00000000-0005-0000-0000-0000B46F0000}"/>
    <cellStyle name="Normal 77 3 3 3 3" xfId="27314" xr:uid="{00000000-0005-0000-0000-0000B56F0000}"/>
    <cellStyle name="Normal 77 3 3 4" xfId="15018" xr:uid="{00000000-0005-0000-0000-0000B66F0000}"/>
    <cellStyle name="Normal 77 3 3 4 2" xfId="31568" xr:uid="{00000000-0005-0000-0000-0000B76F0000}"/>
    <cellStyle name="Normal 77 3 3 5" xfId="23525" xr:uid="{00000000-0005-0000-0000-0000B86F0000}"/>
    <cellStyle name="Normal 77 3 4" xfId="5722" xr:uid="{00000000-0005-0000-0000-0000B96F0000}"/>
    <cellStyle name="Normal 77 3 4 2" xfId="9614" xr:uid="{00000000-0005-0000-0000-0000BA6F0000}"/>
    <cellStyle name="Normal 77 3 4 2 2" xfId="18788" xr:uid="{00000000-0005-0000-0000-0000BB6F0000}"/>
    <cellStyle name="Normal 77 3 4 2 2 2" xfId="35362" xr:uid="{00000000-0005-0000-0000-0000BC6F0000}"/>
    <cellStyle name="Normal 77 3 4 2 3" xfId="27315" xr:uid="{00000000-0005-0000-0000-0000BD6F0000}"/>
    <cellStyle name="Normal 77 3 4 3" xfId="15020" xr:uid="{00000000-0005-0000-0000-0000BE6F0000}"/>
    <cellStyle name="Normal 77 3 4 3 2" xfId="31570" xr:uid="{00000000-0005-0000-0000-0000BF6F0000}"/>
    <cellStyle name="Normal 77 3 4 4" xfId="23527" xr:uid="{00000000-0005-0000-0000-0000C06F0000}"/>
    <cellStyle name="Normal 77 3 5" xfId="5723" xr:uid="{00000000-0005-0000-0000-0000C16F0000}"/>
    <cellStyle name="Normal 77 3 5 2" xfId="15021" xr:uid="{00000000-0005-0000-0000-0000C26F0000}"/>
    <cellStyle name="Normal 77 3 5 2 2" xfId="31571" xr:uid="{00000000-0005-0000-0000-0000C36F0000}"/>
    <cellStyle name="Normal 77 3 5 3" xfId="23528" xr:uid="{00000000-0005-0000-0000-0000C46F0000}"/>
    <cellStyle name="Normal 77 4" xfId="5724" xr:uid="{00000000-0005-0000-0000-0000C56F0000}"/>
    <cellStyle name="Normal 77 4 2" xfId="5725" xr:uid="{00000000-0005-0000-0000-0000C66F0000}"/>
    <cellStyle name="Normal 77 4 2 2" xfId="5726" xr:uid="{00000000-0005-0000-0000-0000C76F0000}"/>
    <cellStyle name="Normal 77 4 2 2 2" xfId="5727" xr:uid="{00000000-0005-0000-0000-0000C86F0000}"/>
    <cellStyle name="Normal 77 4 2 2 2 2" xfId="9615" xr:uid="{00000000-0005-0000-0000-0000C96F0000}"/>
    <cellStyle name="Normal 77 4 2 2 2 2 2" xfId="18789" xr:uid="{00000000-0005-0000-0000-0000CA6F0000}"/>
    <cellStyle name="Normal 77 4 2 2 2 2 2 2" xfId="35363" xr:uid="{00000000-0005-0000-0000-0000CB6F0000}"/>
    <cellStyle name="Normal 77 4 2 2 2 2 3" xfId="27316" xr:uid="{00000000-0005-0000-0000-0000CC6F0000}"/>
    <cellStyle name="Normal 77 4 2 2 2 3" xfId="15025" xr:uid="{00000000-0005-0000-0000-0000CD6F0000}"/>
    <cellStyle name="Normal 77 4 2 2 2 3 2" xfId="31575" xr:uid="{00000000-0005-0000-0000-0000CE6F0000}"/>
    <cellStyle name="Normal 77 4 2 2 2 4" xfId="23532" xr:uid="{00000000-0005-0000-0000-0000CF6F0000}"/>
    <cellStyle name="Normal 77 4 2 2 3" xfId="9616" xr:uid="{00000000-0005-0000-0000-0000D06F0000}"/>
    <cellStyle name="Normal 77 4 2 2 3 2" xfId="18790" xr:uid="{00000000-0005-0000-0000-0000D16F0000}"/>
    <cellStyle name="Normal 77 4 2 2 3 2 2" xfId="35364" xr:uid="{00000000-0005-0000-0000-0000D26F0000}"/>
    <cellStyle name="Normal 77 4 2 2 3 3" xfId="27317" xr:uid="{00000000-0005-0000-0000-0000D36F0000}"/>
    <cellStyle name="Normal 77 4 2 2 4" xfId="15024" xr:uid="{00000000-0005-0000-0000-0000D46F0000}"/>
    <cellStyle name="Normal 77 4 2 2 4 2" xfId="31574" xr:uid="{00000000-0005-0000-0000-0000D56F0000}"/>
    <cellStyle name="Normal 77 4 2 2 5" xfId="23531" xr:uid="{00000000-0005-0000-0000-0000D66F0000}"/>
    <cellStyle name="Normal 77 4 2 3" xfId="5728" xr:uid="{00000000-0005-0000-0000-0000D76F0000}"/>
    <cellStyle name="Normal 77 4 2 3 2" xfId="9617" xr:uid="{00000000-0005-0000-0000-0000D86F0000}"/>
    <cellStyle name="Normal 77 4 2 3 2 2" xfId="18791" xr:uid="{00000000-0005-0000-0000-0000D96F0000}"/>
    <cellStyle name="Normal 77 4 2 3 2 2 2" xfId="35365" xr:uid="{00000000-0005-0000-0000-0000DA6F0000}"/>
    <cellStyle name="Normal 77 4 2 3 2 3" xfId="27318" xr:uid="{00000000-0005-0000-0000-0000DB6F0000}"/>
    <cellStyle name="Normal 77 4 2 3 3" xfId="15026" xr:uid="{00000000-0005-0000-0000-0000DC6F0000}"/>
    <cellStyle name="Normal 77 4 2 3 3 2" xfId="31576" xr:uid="{00000000-0005-0000-0000-0000DD6F0000}"/>
    <cellStyle name="Normal 77 4 2 3 4" xfId="23533" xr:uid="{00000000-0005-0000-0000-0000DE6F0000}"/>
    <cellStyle name="Normal 77 4 2 4" xfId="9618" xr:uid="{00000000-0005-0000-0000-0000DF6F0000}"/>
    <cellStyle name="Normal 77 4 2 4 2" xfId="18792" xr:uid="{00000000-0005-0000-0000-0000E06F0000}"/>
    <cellStyle name="Normal 77 4 2 4 2 2" xfId="35366" xr:uid="{00000000-0005-0000-0000-0000E16F0000}"/>
    <cellStyle name="Normal 77 4 2 4 3" xfId="27319" xr:uid="{00000000-0005-0000-0000-0000E26F0000}"/>
    <cellStyle name="Normal 77 4 2 5" xfId="15023" xr:uid="{00000000-0005-0000-0000-0000E36F0000}"/>
    <cellStyle name="Normal 77 4 2 5 2" xfId="31573" xr:uid="{00000000-0005-0000-0000-0000E46F0000}"/>
    <cellStyle name="Normal 77 4 2 6" xfId="23530" xr:uid="{00000000-0005-0000-0000-0000E56F0000}"/>
    <cellStyle name="Normal 77 4 3" xfId="5729" xr:uid="{00000000-0005-0000-0000-0000E66F0000}"/>
    <cellStyle name="Normal 77 4 3 2" xfId="5730" xr:uid="{00000000-0005-0000-0000-0000E76F0000}"/>
    <cellStyle name="Normal 77 4 3 2 2" xfId="9619" xr:uid="{00000000-0005-0000-0000-0000E86F0000}"/>
    <cellStyle name="Normal 77 4 3 2 2 2" xfId="18793" xr:uid="{00000000-0005-0000-0000-0000E96F0000}"/>
    <cellStyle name="Normal 77 4 3 2 2 2 2" xfId="35367" xr:uid="{00000000-0005-0000-0000-0000EA6F0000}"/>
    <cellStyle name="Normal 77 4 3 2 2 3" xfId="27320" xr:uid="{00000000-0005-0000-0000-0000EB6F0000}"/>
    <cellStyle name="Normal 77 4 3 2 3" xfId="15028" xr:uid="{00000000-0005-0000-0000-0000EC6F0000}"/>
    <cellStyle name="Normal 77 4 3 2 3 2" xfId="31578" xr:uid="{00000000-0005-0000-0000-0000ED6F0000}"/>
    <cellStyle name="Normal 77 4 3 2 4" xfId="23535" xr:uid="{00000000-0005-0000-0000-0000EE6F0000}"/>
    <cellStyle name="Normal 77 4 3 3" xfId="9620" xr:uid="{00000000-0005-0000-0000-0000EF6F0000}"/>
    <cellStyle name="Normal 77 4 3 3 2" xfId="18794" xr:uid="{00000000-0005-0000-0000-0000F06F0000}"/>
    <cellStyle name="Normal 77 4 3 3 2 2" xfId="35368" xr:uid="{00000000-0005-0000-0000-0000F16F0000}"/>
    <cellStyle name="Normal 77 4 3 3 3" xfId="27321" xr:uid="{00000000-0005-0000-0000-0000F26F0000}"/>
    <cellStyle name="Normal 77 4 3 4" xfId="15027" xr:uid="{00000000-0005-0000-0000-0000F36F0000}"/>
    <cellStyle name="Normal 77 4 3 4 2" xfId="31577" xr:uid="{00000000-0005-0000-0000-0000F46F0000}"/>
    <cellStyle name="Normal 77 4 3 5" xfId="23534" xr:uid="{00000000-0005-0000-0000-0000F56F0000}"/>
    <cellStyle name="Normal 77 4 4" xfId="5731" xr:uid="{00000000-0005-0000-0000-0000F66F0000}"/>
    <cellStyle name="Normal 77 4 4 2" xfId="9621" xr:uid="{00000000-0005-0000-0000-0000F76F0000}"/>
    <cellStyle name="Normal 77 4 4 2 2" xfId="18795" xr:uid="{00000000-0005-0000-0000-0000F86F0000}"/>
    <cellStyle name="Normal 77 4 4 2 2 2" xfId="35369" xr:uid="{00000000-0005-0000-0000-0000F96F0000}"/>
    <cellStyle name="Normal 77 4 4 2 3" xfId="27322" xr:uid="{00000000-0005-0000-0000-0000FA6F0000}"/>
    <cellStyle name="Normal 77 4 4 3" xfId="15029" xr:uid="{00000000-0005-0000-0000-0000FB6F0000}"/>
    <cellStyle name="Normal 77 4 4 3 2" xfId="31579" xr:uid="{00000000-0005-0000-0000-0000FC6F0000}"/>
    <cellStyle name="Normal 77 4 4 4" xfId="23536" xr:uid="{00000000-0005-0000-0000-0000FD6F0000}"/>
    <cellStyle name="Normal 77 4 5" xfId="9622" xr:uid="{00000000-0005-0000-0000-0000FE6F0000}"/>
    <cellStyle name="Normal 77 4 5 2" xfId="18796" xr:uid="{00000000-0005-0000-0000-0000FF6F0000}"/>
    <cellStyle name="Normal 77 4 5 2 2" xfId="35370" xr:uid="{00000000-0005-0000-0000-000000700000}"/>
    <cellStyle name="Normal 77 4 5 3" xfId="27323" xr:uid="{00000000-0005-0000-0000-000001700000}"/>
    <cellStyle name="Normal 77 4 6" xfId="15022" xr:uid="{00000000-0005-0000-0000-000002700000}"/>
    <cellStyle name="Normal 77 4 6 2" xfId="31572" xr:uid="{00000000-0005-0000-0000-000003700000}"/>
    <cellStyle name="Normal 77 4 7" xfId="23529" xr:uid="{00000000-0005-0000-0000-000004700000}"/>
    <cellStyle name="Normal 77 5" xfId="5732" xr:uid="{00000000-0005-0000-0000-000005700000}"/>
    <cellStyle name="Normal 77 5 2" xfId="5733" xr:uid="{00000000-0005-0000-0000-000006700000}"/>
    <cellStyle name="Normal 77 5 2 2" xfId="5734" xr:uid="{00000000-0005-0000-0000-000007700000}"/>
    <cellStyle name="Normal 77 5 2 2 2" xfId="5735" xr:uid="{00000000-0005-0000-0000-000008700000}"/>
    <cellStyle name="Normal 77 5 2 2 2 2" xfId="9623" xr:uid="{00000000-0005-0000-0000-000009700000}"/>
    <cellStyle name="Normal 77 5 2 2 2 2 2" xfId="18797" xr:uid="{00000000-0005-0000-0000-00000A700000}"/>
    <cellStyle name="Normal 77 5 2 2 2 2 2 2" xfId="35371" xr:uid="{00000000-0005-0000-0000-00000B700000}"/>
    <cellStyle name="Normal 77 5 2 2 2 2 3" xfId="27324" xr:uid="{00000000-0005-0000-0000-00000C700000}"/>
    <cellStyle name="Normal 77 5 2 2 2 3" xfId="15033" xr:uid="{00000000-0005-0000-0000-00000D700000}"/>
    <cellStyle name="Normal 77 5 2 2 2 3 2" xfId="31583" xr:uid="{00000000-0005-0000-0000-00000E700000}"/>
    <cellStyle name="Normal 77 5 2 2 2 4" xfId="23540" xr:uid="{00000000-0005-0000-0000-00000F700000}"/>
    <cellStyle name="Normal 77 5 2 2 3" xfId="9624" xr:uid="{00000000-0005-0000-0000-000010700000}"/>
    <cellStyle name="Normal 77 5 2 2 3 2" xfId="18798" xr:uid="{00000000-0005-0000-0000-000011700000}"/>
    <cellStyle name="Normal 77 5 2 2 3 2 2" xfId="35372" xr:uid="{00000000-0005-0000-0000-000012700000}"/>
    <cellStyle name="Normal 77 5 2 2 3 3" xfId="27325" xr:uid="{00000000-0005-0000-0000-000013700000}"/>
    <cellStyle name="Normal 77 5 2 2 4" xfId="15032" xr:uid="{00000000-0005-0000-0000-000014700000}"/>
    <cellStyle name="Normal 77 5 2 2 4 2" xfId="31582" xr:uid="{00000000-0005-0000-0000-000015700000}"/>
    <cellStyle name="Normal 77 5 2 2 5" xfId="23539" xr:uid="{00000000-0005-0000-0000-000016700000}"/>
    <cellStyle name="Normal 77 5 2 3" xfId="5736" xr:uid="{00000000-0005-0000-0000-000017700000}"/>
    <cellStyle name="Normal 77 5 2 3 2" xfId="9625" xr:uid="{00000000-0005-0000-0000-000018700000}"/>
    <cellStyle name="Normal 77 5 2 3 2 2" xfId="18799" xr:uid="{00000000-0005-0000-0000-000019700000}"/>
    <cellStyle name="Normal 77 5 2 3 2 2 2" xfId="35373" xr:uid="{00000000-0005-0000-0000-00001A700000}"/>
    <cellStyle name="Normal 77 5 2 3 2 3" xfId="27326" xr:uid="{00000000-0005-0000-0000-00001B700000}"/>
    <cellStyle name="Normal 77 5 2 3 3" xfId="15034" xr:uid="{00000000-0005-0000-0000-00001C700000}"/>
    <cellStyle name="Normal 77 5 2 3 3 2" xfId="31584" xr:uid="{00000000-0005-0000-0000-00001D700000}"/>
    <cellStyle name="Normal 77 5 2 3 4" xfId="23541" xr:uid="{00000000-0005-0000-0000-00001E700000}"/>
    <cellStyle name="Normal 77 5 2 4" xfId="9626" xr:uid="{00000000-0005-0000-0000-00001F700000}"/>
    <cellStyle name="Normal 77 5 2 4 2" xfId="18800" xr:uid="{00000000-0005-0000-0000-000020700000}"/>
    <cellStyle name="Normal 77 5 2 4 2 2" xfId="35374" xr:uid="{00000000-0005-0000-0000-000021700000}"/>
    <cellStyle name="Normal 77 5 2 4 3" xfId="27327" xr:uid="{00000000-0005-0000-0000-000022700000}"/>
    <cellStyle name="Normal 77 5 2 5" xfId="15031" xr:uid="{00000000-0005-0000-0000-000023700000}"/>
    <cellStyle name="Normal 77 5 2 5 2" xfId="31581" xr:uid="{00000000-0005-0000-0000-000024700000}"/>
    <cellStyle name="Normal 77 5 2 6" xfId="23538" xr:uid="{00000000-0005-0000-0000-000025700000}"/>
    <cellStyle name="Normal 77 5 3" xfId="5737" xr:uid="{00000000-0005-0000-0000-000026700000}"/>
    <cellStyle name="Normal 77 5 3 2" xfId="5738" xr:uid="{00000000-0005-0000-0000-000027700000}"/>
    <cellStyle name="Normal 77 5 3 2 2" xfId="9627" xr:uid="{00000000-0005-0000-0000-000028700000}"/>
    <cellStyle name="Normal 77 5 3 2 2 2" xfId="18801" xr:uid="{00000000-0005-0000-0000-000029700000}"/>
    <cellStyle name="Normal 77 5 3 2 2 2 2" xfId="35375" xr:uid="{00000000-0005-0000-0000-00002A700000}"/>
    <cellStyle name="Normal 77 5 3 2 2 3" xfId="27328" xr:uid="{00000000-0005-0000-0000-00002B700000}"/>
    <cellStyle name="Normal 77 5 3 2 3" xfId="15036" xr:uid="{00000000-0005-0000-0000-00002C700000}"/>
    <cellStyle name="Normal 77 5 3 2 3 2" xfId="31586" xr:uid="{00000000-0005-0000-0000-00002D700000}"/>
    <cellStyle name="Normal 77 5 3 2 4" xfId="23543" xr:uid="{00000000-0005-0000-0000-00002E700000}"/>
    <cellStyle name="Normal 77 5 3 3" xfId="9628" xr:uid="{00000000-0005-0000-0000-00002F700000}"/>
    <cellStyle name="Normal 77 5 3 3 2" xfId="18802" xr:uid="{00000000-0005-0000-0000-000030700000}"/>
    <cellStyle name="Normal 77 5 3 3 2 2" xfId="35376" xr:uid="{00000000-0005-0000-0000-000031700000}"/>
    <cellStyle name="Normal 77 5 3 3 3" xfId="27329" xr:uid="{00000000-0005-0000-0000-000032700000}"/>
    <cellStyle name="Normal 77 5 3 4" xfId="15035" xr:uid="{00000000-0005-0000-0000-000033700000}"/>
    <cellStyle name="Normal 77 5 3 4 2" xfId="31585" xr:uid="{00000000-0005-0000-0000-000034700000}"/>
    <cellStyle name="Normal 77 5 3 5" xfId="23542" xr:uid="{00000000-0005-0000-0000-000035700000}"/>
    <cellStyle name="Normal 77 5 4" xfId="5739" xr:uid="{00000000-0005-0000-0000-000036700000}"/>
    <cellStyle name="Normal 77 5 4 2" xfId="9629" xr:uid="{00000000-0005-0000-0000-000037700000}"/>
    <cellStyle name="Normal 77 5 4 2 2" xfId="18803" xr:uid="{00000000-0005-0000-0000-000038700000}"/>
    <cellStyle name="Normal 77 5 4 2 2 2" xfId="35377" xr:uid="{00000000-0005-0000-0000-000039700000}"/>
    <cellStyle name="Normal 77 5 4 2 3" xfId="27330" xr:uid="{00000000-0005-0000-0000-00003A700000}"/>
    <cellStyle name="Normal 77 5 4 3" xfId="15037" xr:uid="{00000000-0005-0000-0000-00003B700000}"/>
    <cellStyle name="Normal 77 5 4 3 2" xfId="31587" xr:uid="{00000000-0005-0000-0000-00003C700000}"/>
    <cellStyle name="Normal 77 5 4 4" xfId="23544" xr:uid="{00000000-0005-0000-0000-00003D700000}"/>
    <cellStyle name="Normal 77 5 5" xfId="9630" xr:uid="{00000000-0005-0000-0000-00003E700000}"/>
    <cellStyle name="Normal 77 5 5 2" xfId="18804" xr:uid="{00000000-0005-0000-0000-00003F700000}"/>
    <cellStyle name="Normal 77 5 5 2 2" xfId="35378" xr:uid="{00000000-0005-0000-0000-000040700000}"/>
    <cellStyle name="Normal 77 5 5 3" xfId="27331" xr:uid="{00000000-0005-0000-0000-000041700000}"/>
    <cellStyle name="Normal 77 5 6" xfId="15030" xr:uid="{00000000-0005-0000-0000-000042700000}"/>
    <cellStyle name="Normal 77 5 6 2" xfId="31580" xr:uid="{00000000-0005-0000-0000-000043700000}"/>
    <cellStyle name="Normal 77 5 7" xfId="23537" xr:uid="{00000000-0005-0000-0000-000044700000}"/>
    <cellStyle name="Normal 77 6" xfId="5740" xr:uid="{00000000-0005-0000-0000-000045700000}"/>
    <cellStyle name="Normal 77 6 2" xfId="5741" xr:uid="{00000000-0005-0000-0000-000046700000}"/>
    <cellStyle name="Normal 77 6 2 2" xfId="5742" xr:uid="{00000000-0005-0000-0000-000047700000}"/>
    <cellStyle name="Normal 77 6 2 2 2" xfId="9631" xr:uid="{00000000-0005-0000-0000-000048700000}"/>
    <cellStyle name="Normal 77 6 2 2 2 2" xfId="18805" xr:uid="{00000000-0005-0000-0000-000049700000}"/>
    <cellStyle name="Normal 77 6 2 2 2 2 2" xfId="35379" xr:uid="{00000000-0005-0000-0000-00004A700000}"/>
    <cellStyle name="Normal 77 6 2 2 2 3" xfId="27332" xr:uid="{00000000-0005-0000-0000-00004B700000}"/>
    <cellStyle name="Normal 77 6 2 2 3" xfId="15040" xr:uid="{00000000-0005-0000-0000-00004C700000}"/>
    <cellStyle name="Normal 77 6 2 2 3 2" xfId="31590" xr:uid="{00000000-0005-0000-0000-00004D700000}"/>
    <cellStyle name="Normal 77 6 2 2 4" xfId="23547" xr:uid="{00000000-0005-0000-0000-00004E700000}"/>
    <cellStyle name="Normal 77 6 2 3" xfId="9632" xr:uid="{00000000-0005-0000-0000-00004F700000}"/>
    <cellStyle name="Normal 77 6 2 3 2" xfId="18806" xr:uid="{00000000-0005-0000-0000-000050700000}"/>
    <cellStyle name="Normal 77 6 2 3 2 2" xfId="35380" xr:uid="{00000000-0005-0000-0000-000051700000}"/>
    <cellStyle name="Normal 77 6 2 3 3" xfId="27333" xr:uid="{00000000-0005-0000-0000-000052700000}"/>
    <cellStyle name="Normal 77 6 2 4" xfId="15039" xr:uid="{00000000-0005-0000-0000-000053700000}"/>
    <cellStyle name="Normal 77 6 2 4 2" xfId="31589" xr:uid="{00000000-0005-0000-0000-000054700000}"/>
    <cellStyle name="Normal 77 6 2 5" xfId="23546" xr:uid="{00000000-0005-0000-0000-000055700000}"/>
    <cellStyle name="Normal 77 6 3" xfId="5743" xr:uid="{00000000-0005-0000-0000-000056700000}"/>
    <cellStyle name="Normal 77 6 3 2" xfId="9633" xr:uid="{00000000-0005-0000-0000-000057700000}"/>
    <cellStyle name="Normal 77 6 3 2 2" xfId="18807" xr:uid="{00000000-0005-0000-0000-000058700000}"/>
    <cellStyle name="Normal 77 6 3 2 2 2" xfId="35381" xr:uid="{00000000-0005-0000-0000-000059700000}"/>
    <cellStyle name="Normal 77 6 3 2 3" xfId="27334" xr:uid="{00000000-0005-0000-0000-00005A700000}"/>
    <cellStyle name="Normal 77 6 3 3" xfId="15041" xr:uid="{00000000-0005-0000-0000-00005B700000}"/>
    <cellStyle name="Normal 77 6 3 3 2" xfId="31591" xr:uid="{00000000-0005-0000-0000-00005C700000}"/>
    <cellStyle name="Normal 77 6 3 4" xfId="23548" xr:uid="{00000000-0005-0000-0000-00005D700000}"/>
    <cellStyle name="Normal 77 6 4" xfId="9634" xr:uid="{00000000-0005-0000-0000-00005E700000}"/>
    <cellStyle name="Normal 77 6 4 2" xfId="18808" xr:uid="{00000000-0005-0000-0000-00005F700000}"/>
    <cellStyle name="Normal 77 6 4 2 2" xfId="35382" xr:uid="{00000000-0005-0000-0000-000060700000}"/>
    <cellStyle name="Normal 77 6 4 3" xfId="27335" xr:uid="{00000000-0005-0000-0000-000061700000}"/>
    <cellStyle name="Normal 77 6 5" xfId="15038" xr:uid="{00000000-0005-0000-0000-000062700000}"/>
    <cellStyle name="Normal 77 6 5 2" xfId="31588" xr:uid="{00000000-0005-0000-0000-000063700000}"/>
    <cellStyle name="Normal 77 6 6" xfId="23545" xr:uid="{00000000-0005-0000-0000-000064700000}"/>
    <cellStyle name="Normal 77 7" xfId="5744" xr:uid="{00000000-0005-0000-0000-000065700000}"/>
    <cellStyle name="Normal 77 7 2" xfId="5745" xr:uid="{00000000-0005-0000-0000-000066700000}"/>
    <cellStyle name="Normal 77 7 2 2" xfId="9635" xr:uid="{00000000-0005-0000-0000-000067700000}"/>
    <cellStyle name="Normal 77 7 2 2 2" xfId="18809" xr:uid="{00000000-0005-0000-0000-000068700000}"/>
    <cellStyle name="Normal 77 7 2 2 2 2" xfId="35383" xr:uid="{00000000-0005-0000-0000-000069700000}"/>
    <cellStyle name="Normal 77 7 2 2 3" xfId="27336" xr:uid="{00000000-0005-0000-0000-00006A700000}"/>
    <cellStyle name="Normal 77 7 2 3" xfId="15043" xr:uid="{00000000-0005-0000-0000-00006B700000}"/>
    <cellStyle name="Normal 77 7 2 3 2" xfId="31593" xr:uid="{00000000-0005-0000-0000-00006C700000}"/>
    <cellStyle name="Normal 77 7 2 4" xfId="23550" xr:uid="{00000000-0005-0000-0000-00006D700000}"/>
    <cellStyle name="Normal 77 7 3" xfId="9636" xr:uid="{00000000-0005-0000-0000-00006E700000}"/>
    <cellStyle name="Normal 77 7 3 2" xfId="18810" xr:uid="{00000000-0005-0000-0000-00006F700000}"/>
    <cellStyle name="Normal 77 7 3 2 2" xfId="35384" xr:uid="{00000000-0005-0000-0000-000070700000}"/>
    <cellStyle name="Normal 77 7 3 3" xfId="27337" xr:uid="{00000000-0005-0000-0000-000071700000}"/>
    <cellStyle name="Normal 77 7 4" xfId="15042" xr:uid="{00000000-0005-0000-0000-000072700000}"/>
    <cellStyle name="Normal 77 7 4 2" xfId="31592" xr:uid="{00000000-0005-0000-0000-000073700000}"/>
    <cellStyle name="Normal 77 7 5" xfId="23549" xr:uid="{00000000-0005-0000-0000-000074700000}"/>
    <cellStyle name="Normal 77 8" xfId="5746" xr:uid="{00000000-0005-0000-0000-000075700000}"/>
    <cellStyle name="Normal 77 8 2" xfId="9637" xr:uid="{00000000-0005-0000-0000-000076700000}"/>
    <cellStyle name="Normal 77 8 2 2" xfId="18811" xr:uid="{00000000-0005-0000-0000-000077700000}"/>
    <cellStyle name="Normal 77 8 2 2 2" xfId="35385" xr:uid="{00000000-0005-0000-0000-000078700000}"/>
    <cellStyle name="Normal 77 8 2 3" xfId="27338" xr:uid="{00000000-0005-0000-0000-000079700000}"/>
    <cellStyle name="Normal 77 8 3" xfId="15044" xr:uid="{00000000-0005-0000-0000-00007A700000}"/>
    <cellStyle name="Normal 77 8 3 2" xfId="31594" xr:uid="{00000000-0005-0000-0000-00007B700000}"/>
    <cellStyle name="Normal 77 8 4" xfId="23551" xr:uid="{00000000-0005-0000-0000-00007C700000}"/>
    <cellStyle name="Normal 77 9" xfId="9638" xr:uid="{00000000-0005-0000-0000-00007D700000}"/>
    <cellStyle name="Normal 77 9 2" xfId="18812" xr:uid="{00000000-0005-0000-0000-00007E700000}"/>
    <cellStyle name="Normal 77 9 2 2" xfId="35386" xr:uid="{00000000-0005-0000-0000-00007F700000}"/>
    <cellStyle name="Normal 77 9 3" xfId="27339" xr:uid="{00000000-0005-0000-0000-000080700000}"/>
    <cellStyle name="Normal 78" xfId="5747" xr:uid="{00000000-0005-0000-0000-000081700000}"/>
    <cellStyle name="Normal 78 10" xfId="15045" xr:uid="{00000000-0005-0000-0000-000082700000}"/>
    <cellStyle name="Normal 78 10 2" xfId="31595" xr:uid="{00000000-0005-0000-0000-000083700000}"/>
    <cellStyle name="Normal 78 11" xfId="23552" xr:uid="{00000000-0005-0000-0000-000084700000}"/>
    <cellStyle name="Normal 78 2" xfId="5748" xr:uid="{00000000-0005-0000-0000-000085700000}"/>
    <cellStyle name="Normal 78 2 2" xfId="5749" xr:uid="{00000000-0005-0000-0000-000086700000}"/>
    <cellStyle name="Normal 78 2 3" xfId="15046" xr:uid="{00000000-0005-0000-0000-000087700000}"/>
    <cellStyle name="Normal 78 2 3 2" xfId="31596" xr:uid="{00000000-0005-0000-0000-000088700000}"/>
    <cellStyle name="Normal 78 2 4" xfId="23553" xr:uid="{00000000-0005-0000-0000-000089700000}"/>
    <cellStyle name="Normal 78 3" xfId="5750" xr:uid="{00000000-0005-0000-0000-00008A700000}"/>
    <cellStyle name="Normal 78 3 2" xfId="5751" xr:uid="{00000000-0005-0000-0000-00008B700000}"/>
    <cellStyle name="Normal 78 3 2 2" xfId="5752" xr:uid="{00000000-0005-0000-0000-00008C700000}"/>
    <cellStyle name="Normal 78 3 2 2 2" xfId="5753" xr:uid="{00000000-0005-0000-0000-00008D700000}"/>
    <cellStyle name="Normal 78 3 2 2 2 2" xfId="9639" xr:uid="{00000000-0005-0000-0000-00008E700000}"/>
    <cellStyle name="Normal 78 3 2 2 2 2 2" xfId="18813" xr:uid="{00000000-0005-0000-0000-00008F700000}"/>
    <cellStyle name="Normal 78 3 2 2 2 2 2 2" xfId="35387" xr:uid="{00000000-0005-0000-0000-000090700000}"/>
    <cellStyle name="Normal 78 3 2 2 2 2 3" xfId="27340" xr:uid="{00000000-0005-0000-0000-000091700000}"/>
    <cellStyle name="Normal 78 3 2 2 2 3" xfId="15049" xr:uid="{00000000-0005-0000-0000-000092700000}"/>
    <cellStyle name="Normal 78 3 2 2 2 3 2" xfId="31599" xr:uid="{00000000-0005-0000-0000-000093700000}"/>
    <cellStyle name="Normal 78 3 2 2 2 4" xfId="23556" xr:uid="{00000000-0005-0000-0000-000094700000}"/>
    <cellStyle name="Normal 78 3 2 2 3" xfId="9640" xr:uid="{00000000-0005-0000-0000-000095700000}"/>
    <cellStyle name="Normal 78 3 2 2 3 2" xfId="18814" xr:uid="{00000000-0005-0000-0000-000096700000}"/>
    <cellStyle name="Normal 78 3 2 2 3 2 2" xfId="35388" xr:uid="{00000000-0005-0000-0000-000097700000}"/>
    <cellStyle name="Normal 78 3 2 2 3 3" xfId="27341" xr:uid="{00000000-0005-0000-0000-000098700000}"/>
    <cellStyle name="Normal 78 3 2 2 4" xfId="15048" xr:uid="{00000000-0005-0000-0000-000099700000}"/>
    <cellStyle name="Normal 78 3 2 2 4 2" xfId="31598" xr:uid="{00000000-0005-0000-0000-00009A700000}"/>
    <cellStyle name="Normal 78 3 2 2 5" xfId="23555" xr:uid="{00000000-0005-0000-0000-00009B700000}"/>
    <cellStyle name="Normal 78 3 2 3" xfId="5754" xr:uid="{00000000-0005-0000-0000-00009C700000}"/>
    <cellStyle name="Normal 78 3 2 3 2" xfId="9641" xr:uid="{00000000-0005-0000-0000-00009D700000}"/>
    <cellStyle name="Normal 78 3 2 3 2 2" xfId="18815" xr:uid="{00000000-0005-0000-0000-00009E700000}"/>
    <cellStyle name="Normal 78 3 2 3 2 2 2" xfId="35389" xr:uid="{00000000-0005-0000-0000-00009F700000}"/>
    <cellStyle name="Normal 78 3 2 3 2 3" xfId="27342" xr:uid="{00000000-0005-0000-0000-0000A0700000}"/>
    <cellStyle name="Normal 78 3 2 3 3" xfId="15050" xr:uid="{00000000-0005-0000-0000-0000A1700000}"/>
    <cellStyle name="Normal 78 3 2 3 3 2" xfId="31600" xr:uid="{00000000-0005-0000-0000-0000A2700000}"/>
    <cellStyle name="Normal 78 3 2 3 4" xfId="23557" xr:uid="{00000000-0005-0000-0000-0000A3700000}"/>
    <cellStyle name="Normal 78 3 2 4" xfId="9642" xr:uid="{00000000-0005-0000-0000-0000A4700000}"/>
    <cellStyle name="Normal 78 3 2 4 2" xfId="18816" xr:uid="{00000000-0005-0000-0000-0000A5700000}"/>
    <cellStyle name="Normal 78 3 2 4 2 2" xfId="35390" xr:uid="{00000000-0005-0000-0000-0000A6700000}"/>
    <cellStyle name="Normal 78 3 2 4 3" xfId="27343" xr:uid="{00000000-0005-0000-0000-0000A7700000}"/>
    <cellStyle name="Normal 78 3 2 5" xfId="15047" xr:uid="{00000000-0005-0000-0000-0000A8700000}"/>
    <cellStyle name="Normal 78 3 2 5 2" xfId="31597" xr:uid="{00000000-0005-0000-0000-0000A9700000}"/>
    <cellStyle name="Normal 78 3 2 6" xfId="23554" xr:uid="{00000000-0005-0000-0000-0000AA700000}"/>
    <cellStyle name="Normal 78 3 3" xfId="5755" xr:uid="{00000000-0005-0000-0000-0000AB700000}"/>
    <cellStyle name="Normal 78 3 3 2" xfId="5756" xr:uid="{00000000-0005-0000-0000-0000AC700000}"/>
    <cellStyle name="Normal 78 3 3 2 2" xfId="9643" xr:uid="{00000000-0005-0000-0000-0000AD700000}"/>
    <cellStyle name="Normal 78 3 3 2 2 2" xfId="18817" xr:uid="{00000000-0005-0000-0000-0000AE700000}"/>
    <cellStyle name="Normal 78 3 3 2 2 2 2" xfId="35391" xr:uid="{00000000-0005-0000-0000-0000AF700000}"/>
    <cellStyle name="Normal 78 3 3 2 2 3" xfId="27344" xr:uid="{00000000-0005-0000-0000-0000B0700000}"/>
    <cellStyle name="Normal 78 3 3 2 3" xfId="15052" xr:uid="{00000000-0005-0000-0000-0000B1700000}"/>
    <cellStyle name="Normal 78 3 3 2 3 2" xfId="31602" xr:uid="{00000000-0005-0000-0000-0000B2700000}"/>
    <cellStyle name="Normal 78 3 3 2 4" xfId="23559" xr:uid="{00000000-0005-0000-0000-0000B3700000}"/>
    <cellStyle name="Normal 78 3 3 3" xfId="9644" xr:uid="{00000000-0005-0000-0000-0000B4700000}"/>
    <cellStyle name="Normal 78 3 3 3 2" xfId="18818" xr:uid="{00000000-0005-0000-0000-0000B5700000}"/>
    <cellStyle name="Normal 78 3 3 3 2 2" xfId="35392" xr:uid="{00000000-0005-0000-0000-0000B6700000}"/>
    <cellStyle name="Normal 78 3 3 3 3" xfId="27345" xr:uid="{00000000-0005-0000-0000-0000B7700000}"/>
    <cellStyle name="Normal 78 3 3 4" xfId="15051" xr:uid="{00000000-0005-0000-0000-0000B8700000}"/>
    <cellStyle name="Normal 78 3 3 4 2" xfId="31601" xr:uid="{00000000-0005-0000-0000-0000B9700000}"/>
    <cellStyle name="Normal 78 3 3 5" xfId="23558" xr:uid="{00000000-0005-0000-0000-0000BA700000}"/>
    <cellStyle name="Normal 78 3 4" xfId="5757" xr:uid="{00000000-0005-0000-0000-0000BB700000}"/>
    <cellStyle name="Normal 78 3 4 2" xfId="9645" xr:uid="{00000000-0005-0000-0000-0000BC700000}"/>
    <cellStyle name="Normal 78 3 4 2 2" xfId="18819" xr:uid="{00000000-0005-0000-0000-0000BD700000}"/>
    <cellStyle name="Normal 78 3 4 2 2 2" xfId="35393" xr:uid="{00000000-0005-0000-0000-0000BE700000}"/>
    <cellStyle name="Normal 78 3 4 2 3" xfId="27346" xr:uid="{00000000-0005-0000-0000-0000BF700000}"/>
    <cellStyle name="Normal 78 3 4 3" xfId="15053" xr:uid="{00000000-0005-0000-0000-0000C0700000}"/>
    <cellStyle name="Normal 78 3 4 3 2" xfId="31603" xr:uid="{00000000-0005-0000-0000-0000C1700000}"/>
    <cellStyle name="Normal 78 3 4 4" xfId="23560" xr:uid="{00000000-0005-0000-0000-0000C2700000}"/>
    <cellStyle name="Normal 78 3 5" xfId="5758" xr:uid="{00000000-0005-0000-0000-0000C3700000}"/>
    <cellStyle name="Normal 78 3 5 2" xfId="15054" xr:uid="{00000000-0005-0000-0000-0000C4700000}"/>
    <cellStyle name="Normal 78 3 5 2 2" xfId="31604" xr:uid="{00000000-0005-0000-0000-0000C5700000}"/>
    <cellStyle name="Normal 78 3 5 3" xfId="23561" xr:uid="{00000000-0005-0000-0000-0000C6700000}"/>
    <cellStyle name="Normal 78 4" xfId="5759" xr:uid="{00000000-0005-0000-0000-0000C7700000}"/>
    <cellStyle name="Normal 78 4 2" xfId="5760" xr:uid="{00000000-0005-0000-0000-0000C8700000}"/>
    <cellStyle name="Normal 78 4 2 2" xfId="5761" xr:uid="{00000000-0005-0000-0000-0000C9700000}"/>
    <cellStyle name="Normal 78 4 2 2 2" xfId="5762" xr:uid="{00000000-0005-0000-0000-0000CA700000}"/>
    <cellStyle name="Normal 78 4 2 2 2 2" xfId="9646" xr:uid="{00000000-0005-0000-0000-0000CB700000}"/>
    <cellStyle name="Normal 78 4 2 2 2 2 2" xfId="18820" xr:uid="{00000000-0005-0000-0000-0000CC700000}"/>
    <cellStyle name="Normal 78 4 2 2 2 2 2 2" xfId="35394" xr:uid="{00000000-0005-0000-0000-0000CD700000}"/>
    <cellStyle name="Normal 78 4 2 2 2 2 3" xfId="27347" xr:uid="{00000000-0005-0000-0000-0000CE700000}"/>
    <cellStyle name="Normal 78 4 2 2 2 3" xfId="15058" xr:uid="{00000000-0005-0000-0000-0000CF700000}"/>
    <cellStyle name="Normal 78 4 2 2 2 3 2" xfId="31608" xr:uid="{00000000-0005-0000-0000-0000D0700000}"/>
    <cellStyle name="Normal 78 4 2 2 2 4" xfId="23565" xr:uid="{00000000-0005-0000-0000-0000D1700000}"/>
    <cellStyle name="Normal 78 4 2 2 3" xfId="9647" xr:uid="{00000000-0005-0000-0000-0000D2700000}"/>
    <cellStyle name="Normal 78 4 2 2 3 2" xfId="18821" xr:uid="{00000000-0005-0000-0000-0000D3700000}"/>
    <cellStyle name="Normal 78 4 2 2 3 2 2" xfId="35395" xr:uid="{00000000-0005-0000-0000-0000D4700000}"/>
    <cellStyle name="Normal 78 4 2 2 3 3" xfId="27348" xr:uid="{00000000-0005-0000-0000-0000D5700000}"/>
    <cellStyle name="Normal 78 4 2 2 4" xfId="15057" xr:uid="{00000000-0005-0000-0000-0000D6700000}"/>
    <cellStyle name="Normal 78 4 2 2 4 2" xfId="31607" xr:uid="{00000000-0005-0000-0000-0000D7700000}"/>
    <cellStyle name="Normal 78 4 2 2 5" xfId="23564" xr:uid="{00000000-0005-0000-0000-0000D8700000}"/>
    <cellStyle name="Normal 78 4 2 3" xfId="5763" xr:uid="{00000000-0005-0000-0000-0000D9700000}"/>
    <cellStyle name="Normal 78 4 2 3 2" xfId="9648" xr:uid="{00000000-0005-0000-0000-0000DA700000}"/>
    <cellStyle name="Normal 78 4 2 3 2 2" xfId="18822" xr:uid="{00000000-0005-0000-0000-0000DB700000}"/>
    <cellStyle name="Normal 78 4 2 3 2 2 2" xfId="35396" xr:uid="{00000000-0005-0000-0000-0000DC700000}"/>
    <cellStyle name="Normal 78 4 2 3 2 3" xfId="27349" xr:uid="{00000000-0005-0000-0000-0000DD700000}"/>
    <cellStyle name="Normal 78 4 2 3 3" xfId="15059" xr:uid="{00000000-0005-0000-0000-0000DE700000}"/>
    <cellStyle name="Normal 78 4 2 3 3 2" xfId="31609" xr:uid="{00000000-0005-0000-0000-0000DF700000}"/>
    <cellStyle name="Normal 78 4 2 3 4" xfId="23566" xr:uid="{00000000-0005-0000-0000-0000E0700000}"/>
    <cellStyle name="Normal 78 4 2 4" xfId="9649" xr:uid="{00000000-0005-0000-0000-0000E1700000}"/>
    <cellStyle name="Normal 78 4 2 4 2" xfId="18823" xr:uid="{00000000-0005-0000-0000-0000E2700000}"/>
    <cellStyle name="Normal 78 4 2 4 2 2" xfId="35397" xr:uid="{00000000-0005-0000-0000-0000E3700000}"/>
    <cellStyle name="Normal 78 4 2 4 3" xfId="27350" xr:uid="{00000000-0005-0000-0000-0000E4700000}"/>
    <cellStyle name="Normal 78 4 2 5" xfId="15056" xr:uid="{00000000-0005-0000-0000-0000E5700000}"/>
    <cellStyle name="Normal 78 4 2 5 2" xfId="31606" xr:uid="{00000000-0005-0000-0000-0000E6700000}"/>
    <cellStyle name="Normal 78 4 2 6" xfId="23563" xr:uid="{00000000-0005-0000-0000-0000E7700000}"/>
    <cellStyle name="Normal 78 4 3" xfId="5764" xr:uid="{00000000-0005-0000-0000-0000E8700000}"/>
    <cellStyle name="Normal 78 4 3 2" xfId="5765" xr:uid="{00000000-0005-0000-0000-0000E9700000}"/>
    <cellStyle name="Normal 78 4 3 2 2" xfId="9650" xr:uid="{00000000-0005-0000-0000-0000EA700000}"/>
    <cellStyle name="Normal 78 4 3 2 2 2" xfId="18824" xr:uid="{00000000-0005-0000-0000-0000EB700000}"/>
    <cellStyle name="Normal 78 4 3 2 2 2 2" xfId="35398" xr:uid="{00000000-0005-0000-0000-0000EC700000}"/>
    <cellStyle name="Normal 78 4 3 2 2 3" xfId="27351" xr:uid="{00000000-0005-0000-0000-0000ED700000}"/>
    <cellStyle name="Normal 78 4 3 2 3" xfId="15061" xr:uid="{00000000-0005-0000-0000-0000EE700000}"/>
    <cellStyle name="Normal 78 4 3 2 3 2" xfId="31611" xr:uid="{00000000-0005-0000-0000-0000EF700000}"/>
    <cellStyle name="Normal 78 4 3 2 4" xfId="23568" xr:uid="{00000000-0005-0000-0000-0000F0700000}"/>
    <cellStyle name="Normal 78 4 3 3" xfId="9651" xr:uid="{00000000-0005-0000-0000-0000F1700000}"/>
    <cellStyle name="Normal 78 4 3 3 2" xfId="18825" xr:uid="{00000000-0005-0000-0000-0000F2700000}"/>
    <cellStyle name="Normal 78 4 3 3 2 2" xfId="35399" xr:uid="{00000000-0005-0000-0000-0000F3700000}"/>
    <cellStyle name="Normal 78 4 3 3 3" xfId="27352" xr:uid="{00000000-0005-0000-0000-0000F4700000}"/>
    <cellStyle name="Normal 78 4 3 4" xfId="15060" xr:uid="{00000000-0005-0000-0000-0000F5700000}"/>
    <cellStyle name="Normal 78 4 3 4 2" xfId="31610" xr:uid="{00000000-0005-0000-0000-0000F6700000}"/>
    <cellStyle name="Normal 78 4 3 5" xfId="23567" xr:uid="{00000000-0005-0000-0000-0000F7700000}"/>
    <cellStyle name="Normal 78 4 4" xfId="5766" xr:uid="{00000000-0005-0000-0000-0000F8700000}"/>
    <cellStyle name="Normal 78 4 4 2" xfId="9652" xr:uid="{00000000-0005-0000-0000-0000F9700000}"/>
    <cellStyle name="Normal 78 4 4 2 2" xfId="18826" xr:uid="{00000000-0005-0000-0000-0000FA700000}"/>
    <cellStyle name="Normal 78 4 4 2 2 2" xfId="35400" xr:uid="{00000000-0005-0000-0000-0000FB700000}"/>
    <cellStyle name="Normal 78 4 4 2 3" xfId="27353" xr:uid="{00000000-0005-0000-0000-0000FC700000}"/>
    <cellStyle name="Normal 78 4 4 3" xfId="15062" xr:uid="{00000000-0005-0000-0000-0000FD700000}"/>
    <cellStyle name="Normal 78 4 4 3 2" xfId="31612" xr:uid="{00000000-0005-0000-0000-0000FE700000}"/>
    <cellStyle name="Normal 78 4 4 4" xfId="23569" xr:uid="{00000000-0005-0000-0000-0000FF700000}"/>
    <cellStyle name="Normal 78 4 5" xfId="9653" xr:uid="{00000000-0005-0000-0000-000000710000}"/>
    <cellStyle name="Normal 78 4 5 2" xfId="18827" xr:uid="{00000000-0005-0000-0000-000001710000}"/>
    <cellStyle name="Normal 78 4 5 2 2" xfId="35401" xr:uid="{00000000-0005-0000-0000-000002710000}"/>
    <cellStyle name="Normal 78 4 5 3" xfId="27354" xr:uid="{00000000-0005-0000-0000-000003710000}"/>
    <cellStyle name="Normal 78 4 6" xfId="15055" xr:uid="{00000000-0005-0000-0000-000004710000}"/>
    <cellStyle name="Normal 78 4 6 2" xfId="31605" xr:uid="{00000000-0005-0000-0000-000005710000}"/>
    <cellStyle name="Normal 78 4 7" xfId="23562" xr:uid="{00000000-0005-0000-0000-000006710000}"/>
    <cellStyle name="Normal 78 5" xfId="5767" xr:uid="{00000000-0005-0000-0000-000007710000}"/>
    <cellStyle name="Normal 78 5 2" xfId="5768" xr:uid="{00000000-0005-0000-0000-000008710000}"/>
    <cellStyle name="Normal 78 5 2 2" xfId="5769" xr:uid="{00000000-0005-0000-0000-000009710000}"/>
    <cellStyle name="Normal 78 5 2 2 2" xfId="5770" xr:uid="{00000000-0005-0000-0000-00000A710000}"/>
    <cellStyle name="Normal 78 5 2 2 2 2" xfId="9654" xr:uid="{00000000-0005-0000-0000-00000B710000}"/>
    <cellStyle name="Normal 78 5 2 2 2 2 2" xfId="18828" xr:uid="{00000000-0005-0000-0000-00000C710000}"/>
    <cellStyle name="Normal 78 5 2 2 2 2 2 2" xfId="35402" xr:uid="{00000000-0005-0000-0000-00000D710000}"/>
    <cellStyle name="Normal 78 5 2 2 2 2 3" xfId="27355" xr:uid="{00000000-0005-0000-0000-00000E710000}"/>
    <cellStyle name="Normal 78 5 2 2 2 3" xfId="15066" xr:uid="{00000000-0005-0000-0000-00000F710000}"/>
    <cellStyle name="Normal 78 5 2 2 2 3 2" xfId="31616" xr:uid="{00000000-0005-0000-0000-000010710000}"/>
    <cellStyle name="Normal 78 5 2 2 2 4" xfId="23573" xr:uid="{00000000-0005-0000-0000-000011710000}"/>
    <cellStyle name="Normal 78 5 2 2 3" xfId="9655" xr:uid="{00000000-0005-0000-0000-000012710000}"/>
    <cellStyle name="Normal 78 5 2 2 3 2" xfId="18829" xr:uid="{00000000-0005-0000-0000-000013710000}"/>
    <cellStyle name="Normal 78 5 2 2 3 2 2" xfId="35403" xr:uid="{00000000-0005-0000-0000-000014710000}"/>
    <cellStyle name="Normal 78 5 2 2 3 3" xfId="27356" xr:uid="{00000000-0005-0000-0000-000015710000}"/>
    <cellStyle name="Normal 78 5 2 2 4" xfId="15065" xr:uid="{00000000-0005-0000-0000-000016710000}"/>
    <cellStyle name="Normal 78 5 2 2 4 2" xfId="31615" xr:uid="{00000000-0005-0000-0000-000017710000}"/>
    <cellStyle name="Normal 78 5 2 2 5" xfId="23572" xr:uid="{00000000-0005-0000-0000-000018710000}"/>
    <cellStyle name="Normal 78 5 2 3" xfId="5771" xr:uid="{00000000-0005-0000-0000-000019710000}"/>
    <cellStyle name="Normal 78 5 2 3 2" xfId="9656" xr:uid="{00000000-0005-0000-0000-00001A710000}"/>
    <cellStyle name="Normal 78 5 2 3 2 2" xfId="18830" xr:uid="{00000000-0005-0000-0000-00001B710000}"/>
    <cellStyle name="Normal 78 5 2 3 2 2 2" xfId="35404" xr:uid="{00000000-0005-0000-0000-00001C710000}"/>
    <cellStyle name="Normal 78 5 2 3 2 3" xfId="27357" xr:uid="{00000000-0005-0000-0000-00001D710000}"/>
    <cellStyle name="Normal 78 5 2 3 3" xfId="15067" xr:uid="{00000000-0005-0000-0000-00001E710000}"/>
    <cellStyle name="Normal 78 5 2 3 3 2" xfId="31617" xr:uid="{00000000-0005-0000-0000-00001F710000}"/>
    <cellStyle name="Normal 78 5 2 3 4" xfId="23574" xr:uid="{00000000-0005-0000-0000-000020710000}"/>
    <cellStyle name="Normal 78 5 2 4" xfId="9657" xr:uid="{00000000-0005-0000-0000-000021710000}"/>
    <cellStyle name="Normal 78 5 2 4 2" xfId="18831" xr:uid="{00000000-0005-0000-0000-000022710000}"/>
    <cellStyle name="Normal 78 5 2 4 2 2" xfId="35405" xr:uid="{00000000-0005-0000-0000-000023710000}"/>
    <cellStyle name="Normal 78 5 2 4 3" xfId="27358" xr:uid="{00000000-0005-0000-0000-000024710000}"/>
    <cellStyle name="Normal 78 5 2 5" xfId="15064" xr:uid="{00000000-0005-0000-0000-000025710000}"/>
    <cellStyle name="Normal 78 5 2 5 2" xfId="31614" xr:uid="{00000000-0005-0000-0000-000026710000}"/>
    <cellStyle name="Normal 78 5 2 6" xfId="23571" xr:uid="{00000000-0005-0000-0000-000027710000}"/>
    <cellStyle name="Normal 78 5 3" xfId="5772" xr:uid="{00000000-0005-0000-0000-000028710000}"/>
    <cellStyle name="Normal 78 5 3 2" xfId="5773" xr:uid="{00000000-0005-0000-0000-000029710000}"/>
    <cellStyle name="Normal 78 5 3 2 2" xfId="9658" xr:uid="{00000000-0005-0000-0000-00002A710000}"/>
    <cellStyle name="Normal 78 5 3 2 2 2" xfId="18832" xr:uid="{00000000-0005-0000-0000-00002B710000}"/>
    <cellStyle name="Normal 78 5 3 2 2 2 2" xfId="35406" xr:uid="{00000000-0005-0000-0000-00002C710000}"/>
    <cellStyle name="Normal 78 5 3 2 2 3" xfId="27359" xr:uid="{00000000-0005-0000-0000-00002D710000}"/>
    <cellStyle name="Normal 78 5 3 2 3" xfId="15069" xr:uid="{00000000-0005-0000-0000-00002E710000}"/>
    <cellStyle name="Normal 78 5 3 2 3 2" xfId="31619" xr:uid="{00000000-0005-0000-0000-00002F710000}"/>
    <cellStyle name="Normal 78 5 3 2 4" xfId="23576" xr:uid="{00000000-0005-0000-0000-000030710000}"/>
    <cellStyle name="Normal 78 5 3 3" xfId="9659" xr:uid="{00000000-0005-0000-0000-000031710000}"/>
    <cellStyle name="Normal 78 5 3 3 2" xfId="18833" xr:uid="{00000000-0005-0000-0000-000032710000}"/>
    <cellStyle name="Normal 78 5 3 3 2 2" xfId="35407" xr:uid="{00000000-0005-0000-0000-000033710000}"/>
    <cellStyle name="Normal 78 5 3 3 3" xfId="27360" xr:uid="{00000000-0005-0000-0000-000034710000}"/>
    <cellStyle name="Normal 78 5 3 4" xfId="15068" xr:uid="{00000000-0005-0000-0000-000035710000}"/>
    <cellStyle name="Normal 78 5 3 4 2" xfId="31618" xr:uid="{00000000-0005-0000-0000-000036710000}"/>
    <cellStyle name="Normal 78 5 3 5" xfId="23575" xr:uid="{00000000-0005-0000-0000-000037710000}"/>
    <cellStyle name="Normal 78 5 4" xfId="5774" xr:uid="{00000000-0005-0000-0000-000038710000}"/>
    <cellStyle name="Normal 78 5 4 2" xfId="9660" xr:uid="{00000000-0005-0000-0000-000039710000}"/>
    <cellStyle name="Normal 78 5 4 2 2" xfId="18834" xr:uid="{00000000-0005-0000-0000-00003A710000}"/>
    <cellStyle name="Normal 78 5 4 2 2 2" xfId="35408" xr:uid="{00000000-0005-0000-0000-00003B710000}"/>
    <cellStyle name="Normal 78 5 4 2 3" xfId="27361" xr:uid="{00000000-0005-0000-0000-00003C710000}"/>
    <cellStyle name="Normal 78 5 4 3" xfId="15070" xr:uid="{00000000-0005-0000-0000-00003D710000}"/>
    <cellStyle name="Normal 78 5 4 3 2" xfId="31620" xr:uid="{00000000-0005-0000-0000-00003E710000}"/>
    <cellStyle name="Normal 78 5 4 4" xfId="23577" xr:uid="{00000000-0005-0000-0000-00003F710000}"/>
    <cellStyle name="Normal 78 5 5" xfId="9661" xr:uid="{00000000-0005-0000-0000-000040710000}"/>
    <cellStyle name="Normal 78 5 5 2" xfId="18835" xr:uid="{00000000-0005-0000-0000-000041710000}"/>
    <cellStyle name="Normal 78 5 5 2 2" xfId="35409" xr:uid="{00000000-0005-0000-0000-000042710000}"/>
    <cellStyle name="Normal 78 5 5 3" xfId="27362" xr:uid="{00000000-0005-0000-0000-000043710000}"/>
    <cellStyle name="Normal 78 5 6" xfId="15063" xr:uid="{00000000-0005-0000-0000-000044710000}"/>
    <cellStyle name="Normal 78 5 6 2" xfId="31613" xr:uid="{00000000-0005-0000-0000-000045710000}"/>
    <cellStyle name="Normal 78 5 7" xfId="23570" xr:uid="{00000000-0005-0000-0000-000046710000}"/>
    <cellStyle name="Normal 78 6" xfId="5775" xr:uid="{00000000-0005-0000-0000-000047710000}"/>
    <cellStyle name="Normal 78 6 2" xfId="5776" xr:uid="{00000000-0005-0000-0000-000048710000}"/>
    <cellStyle name="Normal 78 6 2 2" xfId="5777" xr:uid="{00000000-0005-0000-0000-000049710000}"/>
    <cellStyle name="Normal 78 6 2 2 2" xfId="9662" xr:uid="{00000000-0005-0000-0000-00004A710000}"/>
    <cellStyle name="Normal 78 6 2 2 2 2" xfId="18836" xr:uid="{00000000-0005-0000-0000-00004B710000}"/>
    <cellStyle name="Normal 78 6 2 2 2 2 2" xfId="35410" xr:uid="{00000000-0005-0000-0000-00004C710000}"/>
    <cellStyle name="Normal 78 6 2 2 2 3" xfId="27363" xr:uid="{00000000-0005-0000-0000-00004D710000}"/>
    <cellStyle name="Normal 78 6 2 2 3" xfId="15073" xr:uid="{00000000-0005-0000-0000-00004E710000}"/>
    <cellStyle name="Normal 78 6 2 2 3 2" xfId="31623" xr:uid="{00000000-0005-0000-0000-00004F710000}"/>
    <cellStyle name="Normal 78 6 2 2 4" xfId="23580" xr:uid="{00000000-0005-0000-0000-000050710000}"/>
    <cellStyle name="Normal 78 6 2 3" xfId="9663" xr:uid="{00000000-0005-0000-0000-000051710000}"/>
    <cellStyle name="Normal 78 6 2 3 2" xfId="18837" xr:uid="{00000000-0005-0000-0000-000052710000}"/>
    <cellStyle name="Normal 78 6 2 3 2 2" xfId="35411" xr:uid="{00000000-0005-0000-0000-000053710000}"/>
    <cellStyle name="Normal 78 6 2 3 3" xfId="27364" xr:uid="{00000000-0005-0000-0000-000054710000}"/>
    <cellStyle name="Normal 78 6 2 4" xfId="15072" xr:uid="{00000000-0005-0000-0000-000055710000}"/>
    <cellStyle name="Normal 78 6 2 4 2" xfId="31622" xr:uid="{00000000-0005-0000-0000-000056710000}"/>
    <cellStyle name="Normal 78 6 2 5" xfId="23579" xr:uid="{00000000-0005-0000-0000-000057710000}"/>
    <cellStyle name="Normal 78 6 3" xfId="5778" xr:uid="{00000000-0005-0000-0000-000058710000}"/>
    <cellStyle name="Normal 78 6 3 2" xfId="9664" xr:uid="{00000000-0005-0000-0000-000059710000}"/>
    <cellStyle name="Normal 78 6 3 2 2" xfId="18838" xr:uid="{00000000-0005-0000-0000-00005A710000}"/>
    <cellStyle name="Normal 78 6 3 2 2 2" xfId="35412" xr:uid="{00000000-0005-0000-0000-00005B710000}"/>
    <cellStyle name="Normal 78 6 3 2 3" xfId="27365" xr:uid="{00000000-0005-0000-0000-00005C710000}"/>
    <cellStyle name="Normal 78 6 3 3" xfId="15074" xr:uid="{00000000-0005-0000-0000-00005D710000}"/>
    <cellStyle name="Normal 78 6 3 3 2" xfId="31624" xr:uid="{00000000-0005-0000-0000-00005E710000}"/>
    <cellStyle name="Normal 78 6 3 4" xfId="23581" xr:uid="{00000000-0005-0000-0000-00005F710000}"/>
    <cellStyle name="Normal 78 6 4" xfId="9665" xr:uid="{00000000-0005-0000-0000-000060710000}"/>
    <cellStyle name="Normal 78 6 4 2" xfId="18839" xr:uid="{00000000-0005-0000-0000-000061710000}"/>
    <cellStyle name="Normal 78 6 4 2 2" xfId="35413" xr:uid="{00000000-0005-0000-0000-000062710000}"/>
    <cellStyle name="Normal 78 6 4 3" xfId="27366" xr:uid="{00000000-0005-0000-0000-000063710000}"/>
    <cellStyle name="Normal 78 6 5" xfId="15071" xr:uid="{00000000-0005-0000-0000-000064710000}"/>
    <cellStyle name="Normal 78 6 5 2" xfId="31621" xr:uid="{00000000-0005-0000-0000-000065710000}"/>
    <cellStyle name="Normal 78 6 6" xfId="23578" xr:uid="{00000000-0005-0000-0000-000066710000}"/>
    <cellStyle name="Normal 78 7" xfId="5779" xr:uid="{00000000-0005-0000-0000-000067710000}"/>
    <cellStyle name="Normal 78 7 2" xfId="5780" xr:uid="{00000000-0005-0000-0000-000068710000}"/>
    <cellStyle name="Normal 78 7 2 2" xfId="9666" xr:uid="{00000000-0005-0000-0000-000069710000}"/>
    <cellStyle name="Normal 78 7 2 2 2" xfId="18840" xr:uid="{00000000-0005-0000-0000-00006A710000}"/>
    <cellStyle name="Normal 78 7 2 2 2 2" xfId="35414" xr:uid="{00000000-0005-0000-0000-00006B710000}"/>
    <cellStyle name="Normal 78 7 2 2 3" xfId="27367" xr:uid="{00000000-0005-0000-0000-00006C710000}"/>
    <cellStyle name="Normal 78 7 2 3" xfId="15076" xr:uid="{00000000-0005-0000-0000-00006D710000}"/>
    <cellStyle name="Normal 78 7 2 3 2" xfId="31626" xr:uid="{00000000-0005-0000-0000-00006E710000}"/>
    <cellStyle name="Normal 78 7 2 4" xfId="23583" xr:uid="{00000000-0005-0000-0000-00006F710000}"/>
    <cellStyle name="Normal 78 7 3" xfId="9667" xr:uid="{00000000-0005-0000-0000-000070710000}"/>
    <cellStyle name="Normal 78 7 3 2" xfId="18841" xr:uid="{00000000-0005-0000-0000-000071710000}"/>
    <cellStyle name="Normal 78 7 3 2 2" xfId="35415" xr:uid="{00000000-0005-0000-0000-000072710000}"/>
    <cellStyle name="Normal 78 7 3 3" xfId="27368" xr:uid="{00000000-0005-0000-0000-000073710000}"/>
    <cellStyle name="Normal 78 7 4" xfId="15075" xr:uid="{00000000-0005-0000-0000-000074710000}"/>
    <cellStyle name="Normal 78 7 4 2" xfId="31625" xr:uid="{00000000-0005-0000-0000-000075710000}"/>
    <cellStyle name="Normal 78 7 5" xfId="23582" xr:uid="{00000000-0005-0000-0000-000076710000}"/>
    <cellStyle name="Normal 78 8" xfId="5781" xr:uid="{00000000-0005-0000-0000-000077710000}"/>
    <cellStyle name="Normal 78 8 2" xfId="9668" xr:uid="{00000000-0005-0000-0000-000078710000}"/>
    <cellStyle name="Normal 78 8 2 2" xfId="18842" xr:uid="{00000000-0005-0000-0000-000079710000}"/>
    <cellStyle name="Normal 78 8 2 2 2" xfId="35416" xr:uid="{00000000-0005-0000-0000-00007A710000}"/>
    <cellStyle name="Normal 78 8 2 3" xfId="27369" xr:uid="{00000000-0005-0000-0000-00007B710000}"/>
    <cellStyle name="Normal 78 8 3" xfId="15077" xr:uid="{00000000-0005-0000-0000-00007C710000}"/>
    <cellStyle name="Normal 78 8 3 2" xfId="31627" xr:uid="{00000000-0005-0000-0000-00007D710000}"/>
    <cellStyle name="Normal 78 8 4" xfId="23584" xr:uid="{00000000-0005-0000-0000-00007E710000}"/>
    <cellStyle name="Normal 78 9" xfId="9669" xr:uid="{00000000-0005-0000-0000-00007F710000}"/>
    <cellStyle name="Normal 78 9 2" xfId="18843" xr:uid="{00000000-0005-0000-0000-000080710000}"/>
    <cellStyle name="Normal 78 9 2 2" xfId="35417" xr:uid="{00000000-0005-0000-0000-000081710000}"/>
    <cellStyle name="Normal 78 9 3" xfId="27370" xr:uid="{00000000-0005-0000-0000-000082710000}"/>
    <cellStyle name="Normal 79" xfId="5782" xr:uid="{00000000-0005-0000-0000-000083710000}"/>
    <cellStyle name="Normal 79 10" xfId="15078" xr:uid="{00000000-0005-0000-0000-000084710000}"/>
    <cellStyle name="Normal 79 10 2" xfId="31628" xr:uid="{00000000-0005-0000-0000-000085710000}"/>
    <cellStyle name="Normal 79 11" xfId="23585" xr:uid="{00000000-0005-0000-0000-000086710000}"/>
    <cellStyle name="Normal 79 2" xfId="5783" xr:uid="{00000000-0005-0000-0000-000087710000}"/>
    <cellStyle name="Normal 79 2 2" xfId="5784" xr:uid="{00000000-0005-0000-0000-000088710000}"/>
    <cellStyle name="Normal 79 2 3" xfId="15079" xr:uid="{00000000-0005-0000-0000-000089710000}"/>
    <cellStyle name="Normal 79 2 3 2" xfId="31629" xr:uid="{00000000-0005-0000-0000-00008A710000}"/>
    <cellStyle name="Normal 79 2 4" xfId="23586" xr:uid="{00000000-0005-0000-0000-00008B710000}"/>
    <cellStyle name="Normal 79 3" xfId="5785" xr:uid="{00000000-0005-0000-0000-00008C710000}"/>
    <cellStyle name="Normal 79 3 2" xfId="5786" xr:uid="{00000000-0005-0000-0000-00008D710000}"/>
    <cellStyle name="Normal 79 3 2 2" xfId="5787" xr:uid="{00000000-0005-0000-0000-00008E710000}"/>
    <cellStyle name="Normal 79 3 2 2 2" xfId="5788" xr:uid="{00000000-0005-0000-0000-00008F710000}"/>
    <cellStyle name="Normal 79 3 2 2 2 2" xfId="9670" xr:uid="{00000000-0005-0000-0000-000090710000}"/>
    <cellStyle name="Normal 79 3 2 2 2 2 2" xfId="18844" xr:uid="{00000000-0005-0000-0000-000091710000}"/>
    <cellStyle name="Normal 79 3 2 2 2 2 2 2" xfId="35418" xr:uid="{00000000-0005-0000-0000-000092710000}"/>
    <cellStyle name="Normal 79 3 2 2 2 2 3" xfId="27371" xr:uid="{00000000-0005-0000-0000-000093710000}"/>
    <cellStyle name="Normal 79 3 2 2 2 3" xfId="15082" xr:uid="{00000000-0005-0000-0000-000094710000}"/>
    <cellStyle name="Normal 79 3 2 2 2 3 2" xfId="31632" xr:uid="{00000000-0005-0000-0000-000095710000}"/>
    <cellStyle name="Normal 79 3 2 2 2 4" xfId="23589" xr:uid="{00000000-0005-0000-0000-000096710000}"/>
    <cellStyle name="Normal 79 3 2 2 3" xfId="9671" xr:uid="{00000000-0005-0000-0000-000097710000}"/>
    <cellStyle name="Normal 79 3 2 2 3 2" xfId="18845" xr:uid="{00000000-0005-0000-0000-000098710000}"/>
    <cellStyle name="Normal 79 3 2 2 3 2 2" xfId="35419" xr:uid="{00000000-0005-0000-0000-000099710000}"/>
    <cellStyle name="Normal 79 3 2 2 3 3" xfId="27372" xr:uid="{00000000-0005-0000-0000-00009A710000}"/>
    <cellStyle name="Normal 79 3 2 2 4" xfId="15081" xr:uid="{00000000-0005-0000-0000-00009B710000}"/>
    <cellStyle name="Normal 79 3 2 2 4 2" xfId="31631" xr:uid="{00000000-0005-0000-0000-00009C710000}"/>
    <cellStyle name="Normal 79 3 2 2 5" xfId="23588" xr:uid="{00000000-0005-0000-0000-00009D710000}"/>
    <cellStyle name="Normal 79 3 2 3" xfId="5789" xr:uid="{00000000-0005-0000-0000-00009E710000}"/>
    <cellStyle name="Normal 79 3 2 3 2" xfId="9672" xr:uid="{00000000-0005-0000-0000-00009F710000}"/>
    <cellStyle name="Normal 79 3 2 3 2 2" xfId="18846" xr:uid="{00000000-0005-0000-0000-0000A0710000}"/>
    <cellStyle name="Normal 79 3 2 3 2 2 2" xfId="35420" xr:uid="{00000000-0005-0000-0000-0000A1710000}"/>
    <cellStyle name="Normal 79 3 2 3 2 3" xfId="27373" xr:uid="{00000000-0005-0000-0000-0000A2710000}"/>
    <cellStyle name="Normal 79 3 2 3 3" xfId="15083" xr:uid="{00000000-0005-0000-0000-0000A3710000}"/>
    <cellStyle name="Normal 79 3 2 3 3 2" xfId="31633" xr:uid="{00000000-0005-0000-0000-0000A4710000}"/>
    <cellStyle name="Normal 79 3 2 3 4" xfId="23590" xr:uid="{00000000-0005-0000-0000-0000A5710000}"/>
    <cellStyle name="Normal 79 3 2 4" xfId="9673" xr:uid="{00000000-0005-0000-0000-0000A6710000}"/>
    <cellStyle name="Normal 79 3 2 4 2" xfId="18847" xr:uid="{00000000-0005-0000-0000-0000A7710000}"/>
    <cellStyle name="Normal 79 3 2 4 2 2" xfId="35421" xr:uid="{00000000-0005-0000-0000-0000A8710000}"/>
    <cellStyle name="Normal 79 3 2 4 3" xfId="27374" xr:uid="{00000000-0005-0000-0000-0000A9710000}"/>
    <cellStyle name="Normal 79 3 2 5" xfId="15080" xr:uid="{00000000-0005-0000-0000-0000AA710000}"/>
    <cellStyle name="Normal 79 3 2 5 2" xfId="31630" xr:uid="{00000000-0005-0000-0000-0000AB710000}"/>
    <cellStyle name="Normal 79 3 2 6" xfId="23587" xr:uid="{00000000-0005-0000-0000-0000AC710000}"/>
    <cellStyle name="Normal 79 3 3" xfId="5790" xr:uid="{00000000-0005-0000-0000-0000AD710000}"/>
    <cellStyle name="Normal 79 3 3 2" xfId="5791" xr:uid="{00000000-0005-0000-0000-0000AE710000}"/>
    <cellStyle name="Normal 79 3 3 2 2" xfId="9674" xr:uid="{00000000-0005-0000-0000-0000AF710000}"/>
    <cellStyle name="Normal 79 3 3 2 2 2" xfId="18848" xr:uid="{00000000-0005-0000-0000-0000B0710000}"/>
    <cellStyle name="Normal 79 3 3 2 2 2 2" xfId="35422" xr:uid="{00000000-0005-0000-0000-0000B1710000}"/>
    <cellStyle name="Normal 79 3 3 2 2 3" xfId="27375" xr:uid="{00000000-0005-0000-0000-0000B2710000}"/>
    <cellStyle name="Normal 79 3 3 2 3" xfId="15085" xr:uid="{00000000-0005-0000-0000-0000B3710000}"/>
    <cellStyle name="Normal 79 3 3 2 3 2" xfId="31635" xr:uid="{00000000-0005-0000-0000-0000B4710000}"/>
    <cellStyle name="Normal 79 3 3 2 4" xfId="23592" xr:uid="{00000000-0005-0000-0000-0000B5710000}"/>
    <cellStyle name="Normal 79 3 3 3" xfId="9675" xr:uid="{00000000-0005-0000-0000-0000B6710000}"/>
    <cellStyle name="Normal 79 3 3 3 2" xfId="18849" xr:uid="{00000000-0005-0000-0000-0000B7710000}"/>
    <cellStyle name="Normal 79 3 3 3 2 2" xfId="35423" xr:uid="{00000000-0005-0000-0000-0000B8710000}"/>
    <cellStyle name="Normal 79 3 3 3 3" xfId="27376" xr:uid="{00000000-0005-0000-0000-0000B9710000}"/>
    <cellStyle name="Normal 79 3 3 4" xfId="15084" xr:uid="{00000000-0005-0000-0000-0000BA710000}"/>
    <cellStyle name="Normal 79 3 3 4 2" xfId="31634" xr:uid="{00000000-0005-0000-0000-0000BB710000}"/>
    <cellStyle name="Normal 79 3 3 5" xfId="23591" xr:uid="{00000000-0005-0000-0000-0000BC710000}"/>
    <cellStyle name="Normal 79 3 4" xfId="5792" xr:uid="{00000000-0005-0000-0000-0000BD710000}"/>
    <cellStyle name="Normal 79 3 4 2" xfId="9676" xr:uid="{00000000-0005-0000-0000-0000BE710000}"/>
    <cellStyle name="Normal 79 3 4 2 2" xfId="18850" xr:uid="{00000000-0005-0000-0000-0000BF710000}"/>
    <cellStyle name="Normal 79 3 4 2 2 2" xfId="35424" xr:uid="{00000000-0005-0000-0000-0000C0710000}"/>
    <cellStyle name="Normal 79 3 4 2 3" xfId="27377" xr:uid="{00000000-0005-0000-0000-0000C1710000}"/>
    <cellStyle name="Normal 79 3 4 3" xfId="15086" xr:uid="{00000000-0005-0000-0000-0000C2710000}"/>
    <cellStyle name="Normal 79 3 4 3 2" xfId="31636" xr:uid="{00000000-0005-0000-0000-0000C3710000}"/>
    <cellStyle name="Normal 79 3 4 4" xfId="23593" xr:uid="{00000000-0005-0000-0000-0000C4710000}"/>
    <cellStyle name="Normal 79 3 5" xfId="5793" xr:uid="{00000000-0005-0000-0000-0000C5710000}"/>
    <cellStyle name="Normal 79 3 5 2" xfId="15087" xr:uid="{00000000-0005-0000-0000-0000C6710000}"/>
    <cellStyle name="Normal 79 3 5 2 2" xfId="31637" xr:uid="{00000000-0005-0000-0000-0000C7710000}"/>
    <cellStyle name="Normal 79 3 5 3" xfId="23594" xr:uid="{00000000-0005-0000-0000-0000C8710000}"/>
    <cellStyle name="Normal 79 4" xfId="5794" xr:uid="{00000000-0005-0000-0000-0000C9710000}"/>
    <cellStyle name="Normal 79 4 2" xfId="5795" xr:uid="{00000000-0005-0000-0000-0000CA710000}"/>
    <cellStyle name="Normal 79 4 2 2" xfId="5796" xr:uid="{00000000-0005-0000-0000-0000CB710000}"/>
    <cellStyle name="Normal 79 4 2 2 2" xfId="5797" xr:uid="{00000000-0005-0000-0000-0000CC710000}"/>
    <cellStyle name="Normal 79 4 2 2 2 2" xfId="9677" xr:uid="{00000000-0005-0000-0000-0000CD710000}"/>
    <cellStyle name="Normal 79 4 2 2 2 2 2" xfId="18851" xr:uid="{00000000-0005-0000-0000-0000CE710000}"/>
    <cellStyle name="Normal 79 4 2 2 2 2 2 2" xfId="35425" xr:uid="{00000000-0005-0000-0000-0000CF710000}"/>
    <cellStyle name="Normal 79 4 2 2 2 2 3" xfId="27378" xr:uid="{00000000-0005-0000-0000-0000D0710000}"/>
    <cellStyle name="Normal 79 4 2 2 2 3" xfId="15091" xr:uid="{00000000-0005-0000-0000-0000D1710000}"/>
    <cellStyle name="Normal 79 4 2 2 2 3 2" xfId="31641" xr:uid="{00000000-0005-0000-0000-0000D2710000}"/>
    <cellStyle name="Normal 79 4 2 2 2 4" xfId="23598" xr:uid="{00000000-0005-0000-0000-0000D3710000}"/>
    <cellStyle name="Normal 79 4 2 2 3" xfId="9678" xr:uid="{00000000-0005-0000-0000-0000D4710000}"/>
    <cellStyle name="Normal 79 4 2 2 3 2" xfId="18852" xr:uid="{00000000-0005-0000-0000-0000D5710000}"/>
    <cellStyle name="Normal 79 4 2 2 3 2 2" xfId="35426" xr:uid="{00000000-0005-0000-0000-0000D6710000}"/>
    <cellStyle name="Normal 79 4 2 2 3 3" xfId="27379" xr:uid="{00000000-0005-0000-0000-0000D7710000}"/>
    <cellStyle name="Normal 79 4 2 2 4" xfId="15090" xr:uid="{00000000-0005-0000-0000-0000D8710000}"/>
    <cellStyle name="Normal 79 4 2 2 4 2" xfId="31640" xr:uid="{00000000-0005-0000-0000-0000D9710000}"/>
    <cellStyle name="Normal 79 4 2 2 5" xfId="23597" xr:uid="{00000000-0005-0000-0000-0000DA710000}"/>
    <cellStyle name="Normal 79 4 2 3" xfId="5798" xr:uid="{00000000-0005-0000-0000-0000DB710000}"/>
    <cellStyle name="Normal 79 4 2 3 2" xfId="9679" xr:uid="{00000000-0005-0000-0000-0000DC710000}"/>
    <cellStyle name="Normal 79 4 2 3 2 2" xfId="18853" xr:uid="{00000000-0005-0000-0000-0000DD710000}"/>
    <cellStyle name="Normal 79 4 2 3 2 2 2" xfId="35427" xr:uid="{00000000-0005-0000-0000-0000DE710000}"/>
    <cellStyle name="Normal 79 4 2 3 2 3" xfId="27380" xr:uid="{00000000-0005-0000-0000-0000DF710000}"/>
    <cellStyle name="Normal 79 4 2 3 3" xfId="15092" xr:uid="{00000000-0005-0000-0000-0000E0710000}"/>
    <cellStyle name="Normal 79 4 2 3 3 2" xfId="31642" xr:uid="{00000000-0005-0000-0000-0000E1710000}"/>
    <cellStyle name="Normal 79 4 2 3 4" xfId="23599" xr:uid="{00000000-0005-0000-0000-0000E2710000}"/>
    <cellStyle name="Normal 79 4 2 4" xfId="9680" xr:uid="{00000000-0005-0000-0000-0000E3710000}"/>
    <cellStyle name="Normal 79 4 2 4 2" xfId="18854" xr:uid="{00000000-0005-0000-0000-0000E4710000}"/>
    <cellStyle name="Normal 79 4 2 4 2 2" xfId="35428" xr:uid="{00000000-0005-0000-0000-0000E5710000}"/>
    <cellStyle name="Normal 79 4 2 4 3" xfId="27381" xr:uid="{00000000-0005-0000-0000-0000E6710000}"/>
    <cellStyle name="Normal 79 4 2 5" xfId="15089" xr:uid="{00000000-0005-0000-0000-0000E7710000}"/>
    <cellStyle name="Normal 79 4 2 5 2" xfId="31639" xr:uid="{00000000-0005-0000-0000-0000E8710000}"/>
    <cellStyle name="Normal 79 4 2 6" xfId="23596" xr:uid="{00000000-0005-0000-0000-0000E9710000}"/>
    <cellStyle name="Normal 79 4 3" xfId="5799" xr:uid="{00000000-0005-0000-0000-0000EA710000}"/>
    <cellStyle name="Normal 79 4 3 2" xfId="5800" xr:uid="{00000000-0005-0000-0000-0000EB710000}"/>
    <cellStyle name="Normal 79 4 3 2 2" xfId="9681" xr:uid="{00000000-0005-0000-0000-0000EC710000}"/>
    <cellStyle name="Normal 79 4 3 2 2 2" xfId="18855" xr:uid="{00000000-0005-0000-0000-0000ED710000}"/>
    <cellStyle name="Normal 79 4 3 2 2 2 2" xfId="35429" xr:uid="{00000000-0005-0000-0000-0000EE710000}"/>
    <cellStyle name="Normal 79 4 3 2 2 3" xfId="27382" xr:uid="{00000000-0005-0000-0000-0000EF710000}"/>
    <cellStyle name="Normal 79 4 3 2 3" xfId="15094" xr:uid="{00000000-0005-0000-0000-0000F0710000}"/>
    <cellStyle name="Normal 79 4 3 2 3 2" xfId="31644" xr:uid="{00000000-0005-0000-0000-0000F1710000}"/>
    <cellStyle name="Normal 79 4 3 2 4" xfId="23601" xr:uid="{00000000-0005-0000-0000-0000F2710000}"/>
    <cellStyle name="Normal 79 4 3 3" xfId="9682" xr:uid="{00000000-0005-0000-0000-0000F3710000}"/>
    <cellStyle name="Normal 79 4 3 3 2" xfId="18856" xr:uid="{00000000-0005-0000-0000-0000F4710000}"/>
    <cellStyle name="Normal 79 4 3 3 2 2" xfId="35430" xr:uid="{00000000-0005-0000-0000-0000F5710000}"/>
    <cellStyle name="Normal 79 4 3 3 3" xfId="27383" xr:uid="{00000000-0005-0000-0000-0000F6710000}"/>
    <cellStyle name="Normal 79 4 3 4" xfId="15093" xr:uid="{00000000-0005-0000-0000-0000F7710000}"/>
    <cellStyle name="Normal 79 4 3 4 2" xfId="31643" xr:uid="{00000000-0005-0000-0000-0000F8710000}"/>
    <cellStyle name="Normal 79 4 3 5" xfId="23600" xr:uid="{00000000-0005-0000-0000-0000F9710000}"/>
    <cellStyle name="Normal 79 4 4" xfId="5801" xr:uid="{00000000-0005-0000-0000-0000FA710000}"/>
    <cellStyle name="Normal 79 4 4 2" xfId="9683" xr:uid="{00000000-0005-0000-0000-0000FB710000}"/>
    <cellStyle name="Normal 79 4 4 2 2" xfId="18857" xr:uid="{00000000-0005-0000-0000-0000FC710000}"/>
    <cellStyle name="Normal 79 4 4 2 2 2" xfId="35431" xr:uid="{00000000-0005-0000-0000-0000FD710000}"/>
    <cellStyle name="Normal 79 4 4 2 3" xfId="27384" xr:uid="{00000000-0005-0000-0000-0000FE710000}"/>
    <cellStyle name="Normal 79 4 4 3" xfId="15095" xr:uid="{00000000-0005-0000-0000-0000FF710000}"/>
    <cellStyle name="Normal 79 4 4 3 2" xfId="31645" xr:uid="{00000000-0005-0000-0000-000000720000}"/>
    <cellStyle name="Normal 79 4 4 4" xfId="23602" xr:uid="{00000000-0005-0000-0000-000001720000}"/>
    <cellStyle name="Normal 79 4 5" xfId="9684" xr:uid="{00000000-0005-0000-0000-000002720000}"/>
    <cellStyle name="Normal 79 4 5 2" xfId="18858" xr:uid="{00000000-0005-0000-0000-000003720000}"/>
    <cellStyle name="Normal 79 4 5 2 2" xfId="35432" xr:uid="{00000000-0005-0000-0000-000004720000}"/>
    <cellStyle name="Normal 79 4 5 3" xfId="27385" xr:uid="{00000000-0005-0000-0000-000005720000}"/>
    <cellStyle name="Normal 79 4 6" xfId="15088" xr:uid="{00000000-0005-0000-0000-000006720000}"/>
    <cellStyle name="Normal 79 4 6 2" xfId="31638" xr:uid="{00000000-0005-0000-0000-000007720000}"/>
    <cellStyle name="Normal 79 4 7" xfId="23595" xr:uid="{00000000-0005-0000-0000-000008720000}"/>
    <cellStyle name="Normal 79 5" xfId="5802" xr:uid="{00000000-0005-0000-0000-000009720000}"/>
    <cellStyle name="Normal 79 5 2" xfId="5803" xr:uid="{00000000-0005-0000-0000-00000A720000}"/>
    <cellStyle name="Normal 79 5 2 2" xfId="5804" xr:uid="{00000000-0005-0000-0000-00000B720000}"/>
    <cellStyle name="Normal 79 5 2 2 2" xfId="5805" xr:uid="{00000000-0005-0000-0000-00000C720000}"/>
    <cellStyle name="Normal 79 5 2 2 2 2" xfId="9685" xr:uid="{00000000-0005-0000-0000-00000D720000}"/>
    <cellStyle name="Normal 79 5 2 2 2 2 2" xfId="18859" xr:uid="{00000000-0005-0000-0000-00000E720000}"/>
    <cellStyle name="Normal 79 5 2 2 2 2 2 2" xfId="35433" xr:uid="{00000000-0005-0000-0000-00000F720000}"/>
    <cellStyle name="Normal 79 5 2 2 2 2 3" xfId="27386" xr:uid="{00000000-0005-0000-0000-000010720000}"/>
    <cellStyle name="Normal 79 5 2 2 2 3" xfId="15099" xr:uid="{00000000-0005-0000-0000-000011720000}"/>
    <cellStyle name="Normal 79 5 2 2 2 3 2" xfId="31649" xr:uid="{00000000-0005-0000-0000-000012720000}"/>
    <cellStyle name="Normal 79 5 2 2 2 4" xfId="23606" xr:uid="{00000000-0005-0000-0000-000013720000}"/>
    <cellStyle name="Normal 79 5 2 2 3" xfId="9686" xr:uid="{00000000-0005-0000-0000-000014720000}"/>
    <cellStyle name="Normal 79 5 2 2 3 2" xfId="18860" xr:uid="{00000000-0005-0000-0000-000015720000}"/>
    <cellStyle name="Normal 79 5 2 2 3 2 2" xfId="35434" xr:uid="{00000000-0005-0000-0000-000016720000}"/>
    <cellStyle name="Normal 79 5 2 2 3 3" xfId="27387" xr:uid="{00000000-0005-0000-0000-000017720000}"/>
    <cellStyle name="Normal 79 5 2 2 4" xfId="15098" xr:uid="{00000000-0005-0000-0000-000018720000}"/>
    <cellStyle name="Normal 79 5 2 2 4 2" xfId="31648" xr:uid="{00000000-0005-0000-0000-000019720000}"/>
    <cellStyle name="Normal 79 5 2 2 5" xfId="23605" xr:uid="{00000000-0005-0000-0000-00001A720000}"/>
    <cellStyle name="Normal 79 5 2 3" xfId="5806" xr:uid="{00000000-0005-0000-0000-00001B720000}"/>
    <cellStyle name="Normal 79 5 2 3 2" xfId="9687" xr:uid="{00000000-0005-0000-0000-00001C720000}"/>
    <cellStyle name="Normal 79 5 2 3 2 2" xfId="18861" xr:uid="{00000000-0005-0000-0000-00001D720000}"/>
    <cellStyle name="Normal 79 5 2 3 2 2 2" xfId="35435" xr:uid="{00000000-0005-0000-0000-00001E720000}"/>
    <cellStyle name="Normal 79 5 2 3 2 3" xfId="27388" xr:uid="{00000000-0005-0000-0000-00001F720000}"/>
    <cellStyle name="Normal 79 5 2 3 3" xfId="15100" xr:uid="{00000000-0005-0000-0000-000020720000}"/>
    <cellStyle name="Normal 79 5 2 3 3 2" xfId="31650" xr:uid="{00000000-0005-0000-0000-000021720000}"/>
    <cellStyle name="Normal 79 5 2 3 4" xfId="23607" xr:uid="{00000000-0005-0000-0000-000022720000}"/>
    <cellStyle name="Normal 79 5 2 4" xfId="9688" xr:uid="{00000000-0005-0000-0000-000023720000}"/>
    <cellStyle name="Normal 79 5 2 4 2" xfId="18862" xr:uid="{00000000-0005-0000-0000-000024720000}"/>
    <cellStyle name="Normal 79 5 2 4 2 2" xfId="35436" xr:uid="{00000000-0005-0000-0000-000025720000}"/>
    <cellStyle name="Normal 79 5 2 4 3" xfId="27389" xr:uid="{00000000-0005-0000-0000-000026720000}"/>
    <cellStyle name="Normal 79 5 2 5" xfId="15097" xr:uid="{00000000-0005-0000-0000-000027720000}"/>
    <cellStyle name="Normal 79 5 2 5 2" xfId="31647" xr:uid="{00000000-0005-0000-0000-000028720000}"/>
    <cellStyle name="Normal 79 5 2 6" xfId="23604" xr:uid="{00000000-0005-0000-0000-000029720000}"/>
    <cellStyle name="Normal 79 5 3" xfId="5807" xr:uid="{00000000-0005-0000-0000-00002A720000}"/>
    <cellStyle name="Normal 79 5 3 2" xfId="5808" xr:uid="{00000000-0005-0000-0000-00002B720000}"/>
    <cellStyle name="Normal 79 5 3 2 2" xfId="9689" xr:uid="{00000000-0005-0000-0000-00002C720000}"/>
    <cellStyle name="Normal 79 5 3 2 2 2" xfId="18863" xr:uid="{00000000-0005-0000-0000-00002D720000}"/>
    <cellStyle name="Normal 79 5 3 2 2 2 2" xfId="35437" xr:uid="{00000000-0005-0000-0000-00002E720000}"/>
    <cellStyle name="Normal 79 5 3 2 2 3" xfId="27390" xr:uid="{00000000-0005-0000-0000-00002F720000}"/>
    <cellStyle name="Normal 79 5 3 2 3" xfId="15102" xr:uid="{00000000-0005-0000-0000-000030720000}"/>
    <cellStyle name="Normal 79 5 3 2 3 2" xfId="31652" xr:uid="{00000000-0005-0000-0000-000031720000}"/>
    <cellStyle name="Normal 79 5 3 2 4" xfId="23609" xr:uid="{00000000-0005-0000-0000-000032720000}"/>
    <cellStyle name="Normal 79 5 3 3" xfId="9690" xr:uid="{00000000-0005-0000-0000-000033720000}"/>
    <cellStyle name="Normal 79 5 3 3 2" xfId="18864" xr:uid="{00000000-0005-0000-0000-000034720000}"/>
    <cellStyle name="Normal 79 5 3 3 2 2" xfId="35438" xr:uid="{00000000-0005-0000-0000-000035720000}"/>
    <cellStyle name="Normal 79 5 3 3 3" xfId="27391" xr:uid="{00000000-0005-0000-0000-000036720000}"/>
    <cellStyle name="Normal 79 5 3 4" xfId="15101" xr:uid="{00000000-0005-0000-0000-000037720000}"/>
    <cellStyle name="Normal 79 5 3 4 2" xfId="31651" xr:uid="{00000000-0005-0000-0000-000038720000}"/>
    <cellStyle name="Normal 79 5 3 5" xfId="23608" xr:uid="{00000000-0005-0000-0000-000039720000}"/>
    <cellStyle name="Normal 79 5 4" xfId="5809" xr:uid="{00000000-0005-0000-0000-00003A720000}"/>
    <cellStyle name="Normal 79 5 4 2" xfId="9691" xr:uid="{00000000-0005-0000-0000-00003B720000}"/>
    <cellStyle name="Normal 79 5 4 2 2" xfId="18865" xr:uid="{00000000-0005-0000-0000-00003C720000}"/>
    <cellStyle name="Normal 79 5 4 2 2 2" xfId="35439" xr:uid="{00000000-0005-0000-0000-00003D720000}"/>
    <cellStyle name="Normal 79 5 4 2 3" xfId="27392" xr:uid="{00000000-0005-0000-0000-00003E720000}"/>
    <cellStyle name="Normal 79 5 4 3" xfId="15103" xr:uid="{00000000-0005-0000-0000-00003F720000}"/>
    <cellStyle name="Normal 79 5 4 3 2" xfId="31653" xr:uid="{00000000-0005-0000-0000-000040720000}"/>
    <cellStyle name="Normal 79 5 4 4" xfId="23610" xr:uid="{00000000-0005-0000-0000-000041720000}"/>
    <cellStyle name="Normal 79 5 5" xfId="9692" xr:uid="{00000000-0005-0000-0000-000042720000}"/>
    <cellStyle name="Normal 79 5 5 2" xfId="18866" xr:uid="{00000000-0005-0000-0000-000043720000}"/>
    <cellStyle name="Normal 79 5 5 2 2" xfId="35440" xr:uid="{00000000-0005-0000-0000-000044720000}"/>
    <cellStyle name="Normal 79 5 5 3" xfId="27393" xr:uid="{00000000-0005-0000-0000-000045720000}"/>
    <cellStyle name="Normal 79 5 6" xfId="15096" xr:uid="{00000000-0005-0000-0000-000046720000}"/>
    <cellStyle name="Normal 79 5 6 2" xfId="31646" xr:uid="{00000000-0005-0000-0000-000047720000}"/>
    <cellStyle name="Normal 79 5 7" xfId="23603" xr:uid="{00000000-0005-0000-0000-000048720000}"/>
    <cellStyle name="Normal 79 6" xfId="5810" xr:uid="{00000000-0005-0000-0000-000049720000}"/>
    <cellStyle name="Normal 79 6 2" xfId="5811" xr:uid="{00000000-0005-0000-0000-00004A720000}"/>
    <cellStyle name="Normal 79 6 2 2" xfId="5812" xr:uid="{00000000-0005-0000-0000-00004B720000}"/>
    <cellStyle name="Normal 79 6 2 2 2" xfId="9693" xr:uid="{00000000-0005-0000-0000-00004C720000}"/>
    <cellStyle name="Normal 79 6 2 2 2 2" xfId="18867" xr:uid="{00000000-0005-0000-0000-00004D720000}"/>
    <cellStyle name="Normal 79 6 2 2 2 2 2" xfId="35441" xr:uid="{00000000-0005-0000-0000-00004E720000}"/>
    <cellStyle name="Normal 79 6 2 2 2 3" xfId="27394" xr:uid="{00000000-0005-0000-0000-00004F720000}"/>
    <cellStyle name="Normal 79 6 2 2 3" xfId="15106" xr:uid="{00000000-0005-0000-0000-000050720000}"/>
    <cellStyle name="Normal 79 6 2 2 3 2" xfId="31656" xr:uid="{00000000-0005-0000-0000-000051720000}"/>
    <cellStyle name="Normal 79 6 2 2 4" xfId="23613" xr:uid="{00000000-0005-0000-0000-000052720000}"/>
    <cellStyle name="Normal 79 6 2 3" xfId="9694" xr:uid="{00000000-0005-0000-0000-000053720000}"/>
    <cellStyle name="Normal 79 6 2 3 2" xfId="18868" xr:uid="{00000000-0005-0000-0000-000054720000}"/>
    <cellStyle name="Normal 79 6 2 3 2 2" xfId="35442" xr:uid="{00000000-0005-0000-0000-000055720000}"/>
    <cellStyle name="Normal 79 6 2 3 3" xfId="27395" xr:uid="{00000000-0005-0000-0000-000056720000}"/>
    <cellStyle name="Normal 79 6 2 4" xfId="15105" xr:uid="{00000000-0005-0000-0000-000057720000}"/>
    <cellStyle name="Normal 79 6 2 4 2" xfId="31655" xr:uid="{00000000-0005-0000-0000-000058720000}"/>
    <cellStyle name="Normal 79 6 2 5" xfId="23612" xr:uid="{00000000-0005-0000-0000-000059720000}"/>
    <cellStyle name="Normal 79 6 3" xfId="5813" xr:uid="{00000000-0005-0000-0000-00005A720000}"/>
    <cellStyle name="Normal 79 6 3 2" xfId="9695" xr:uid="{00000000-0005-0000-0000-00005B720000}"/>
    <cellStyle name="Normal 79 6 3 2 2" xfId="18869" xr:uid="{00000000-0005-0000-0000-00005C720000}"/>
    <cellStyle name="Normal 79 6 3 2 2 2" xfId="35443" xr:uid="{00000000-0005-0000-0000-00005D720000}"/>
    <cellStyle name="Normal 79 6 3 2 3" xfId="27396" xr:uid="{00000000-0005-0000-0000-00005E720000}"/>
    <cellStyle name="Normal 79 6 3 3" xfId="15107" xr:uid="{00000000-0005-0000-0000-00005F720000}"/>
    <cellStyle name="Normal 79 6 3 3 2" xfId="31657" xr:uid="{00000000-0005-0000-0000-000060720000}"/>
    <cellStyle name="Normal 79 6 3 4" xfId="23614" xr:uid="{00000000-0005-0000-0000-000061720000}"/>
    <cellStyle name="Normal 79 6 4" xfId="9696" xr:uid="{00000000-0005-0000-0000-000062720000}"/>
    <cellStyle name="Normal 79 6 4 2" xfId="18870" xr:uid="{00000000-0005-0000-0000-000063720000}"/>
    <cellStyle name="Normal 79 6 4 2 2" xfId="35444" xr:uid="{00000000-0005-0000-0000-000064720000}"/>
    <cellStyle name="Normal 79 6 4 3" xfId="27397" xr:uid="{00000000-0005-0000-0000-000065720000}"/>
    <cellStyle name="Normal 79 6 5" xfId="15104" xr:uid="{00000000-0005-0000-0000-000066720000}"/>
    <cellStyle name="Normal 79 6 5 2" xfId="31654" xr:uid="{00000000-0005-0000-0000-000067720000}"/>
    <cellStyle name="Normal 79 6 6" xfId="23611" xr:uid="{00000000-0005-0000-0000-000068720000}"/>
    <cellStyle name="Normal 79 7" xfId="5814" xr:uid="{00000000-0005-0000-0000-000069720000}"/>
    <cellStyle name="Normal 79 7 2" xfId="5815" xr:uid="{00000000-0005-0000-0000-00006A720000}"/>
    <cellStyle name="Normal 79 7 2 2" xfId="9697" xr:uid="{00000000-0005-0000-0000-00006B720000}"/>
    <cellStyle name="Normal 79 7 2 2 2" xfId="18871" xr:uid="{00000000-0005-0000-0000-00006C720000}"/>
    <cellStyle name="Normal 79 7 2 2 2 2" xfId="35445" xr:uid="{00000000-0005-0000-0000-00006D720000}"/>
    <cellStyle name="Normal 79 7 2 2 3" xfId="27398" xr:uid="{00000000-0005-0000-0000-00006E720000}"/>
    <cellStyle name="Normal 79 7 2 3" xfId="15109" xr:uid="{00000000-0005-0000-0000-00006F720000}"/>
    <cellStyle name="Normal 79 7 2 3 2" xfId="31659" xr:uid="{00000000-0005-0000-0000-000070720000}"/>
    <cellStyle name="Normal 79 7 2 4" xfId="23616" xr:uid="{00000000-0005-0000-0000-000071720000}"/>
    <cellStyle name="Normal 79 7 3" xfId="9698" xr:uid="{00000000-0005-0000-0000-000072720000}"/>
    <cellStyle name="Normal 79 7 3 2" xfId="18872" xr:uid="{00000000-0005-0000-0000-000073720000}"/>
    <cellStyle name="Normal 79 7 3 2 2" xfId="35446" xr:uid="{00000000-0005-0000-0000-000074720000}"/>
    <cellStyle name="Normal 79 7 3 3" xfId="27399" xr:uid="{00000000-0005-0000-0000-000075720000}"/>
    <cellStyle name="Normal 79 7 4" xfId="15108" xr:uid="{00000000-0005-0000-0000-000076720000}"/>
    <cellStyle name="Normal 79 7 4 2" xfId="31658" xr:uid="{00000000-0005-0000-0000-000077720000}"/>
    <cellStyle name="Normal 79 7 5" xfId="23615" xr:uid="{00000000-0005-0000-0000-000078720000}"/>
    <cellStyle name="Normal 79 8" xfId="5816" xr:uid="{00000000-0005-0000-0000-000079720000}"/>
    <cellStyle name="Normal 79 8 2" xfId="9699" xr:uid="{00000000-0005-0000-0000-00007A720000}"/>
    <cellStyle name="Normal 79 8 2 2" xfId="18873" xr:uid="{00000000-0005-0000-0000-00007B720000}"/>
    <cellStyle name="Normal 79 8 2 2 2" xfId="35447" xr:uid="{00000000-0005-0000-0000-00007C720000}"/>
    <cellStyle name="Normal 79 8 2 3" xfId="27400" xr:uid="{00000000-0005-0000-0000-00007D720000}"/>
    <cellStyle name="Normal 79 8 3" xfId="15110" xr:uid="{00000000-0005-0000-0000-00007E720000}"/>
    <cellStyle name="Normal 79 8 3 2" xfId="31660" xr:uid="{00000000-0005-0000-0000-00007F720000}"/>
    <cellStyle name="Normal 79 8 4" xfId="23617" xr:uid="{00000000-0005-0000-0000-000080720000}"/>
    <cellStyle name="Normal 79 9" xfId="9700" xr:uid="{00000000-0005-0000-0000-000081720000}"/>
    <cellStyle name="Normal 79 9 2" xfId="18874" xr:uid="{00000000-0005-0000-0000-000082720000}"/>
    <cellStyle name="Normal 79 9 2 2" xfId="35448" xr:uid="{00000000-0005-0000-0000-000083720000}"/>
    <cellStyle name="Normal 79 9 3" xfId="27401" xr:uid="{00000000-0005-0000-0000-000084720000}"/>
    <cellStyle name="Normal 8" xfId="11" xr:uid="{00000000-0005-0000-0000-000085720000}"/>
    <cellStyle name="Normal 8 10" xfId="15111" xr:uid="{00000000-0005-0000-0000-000086720000}"/>
    <cellStyle name="Normal 8 10 2" xfId="31661" xr:uid="{00000000-0005-0000-0000-000087720000}"/>
    <cellStyle name="Normal 8 11" xfId="23618" xr:uid="{00000000-0005-0000-0000-000088720000}"/>
    <cellStyle name="Normal 8 2" xfId="14" xr:uid="{00000000-0005-0000-0000-000089720000}"/>
    <cellStyle name="Normal 8 2 2" xfId="290" xr:uid="{00000000-0005-0000-0000-00008A720000}"/>
    <cellStyle name="Normal 8 2 2 2" xfId="5817" xr:uid="{00000000-0005-0000-0000-00008B720000}"/>
    <cellStyle name="Normal 8 2 3" xfId="289" xr:uid="{00000000-0005-0000-0000-00008C720000}"/>
    <cellStyle name="Normal 8 2 3 2" xfId="31662" xr:uid="{00000000-0005-0000-0000-00008D720000}"/>
    <cellStyle name="Normal 8 2 4" xfId="23619" xr:uid="{00000000-0005-0000-0000-00008E720000}"/>
    <cellStyle name="Normal 8 3" xfId="291" xr:uid="{00000000-0005-0000-0000-00008F720000}"/>
    <cellStyle name="Normal 8 3 2" xfId="5819" xr:uid="{00000000-0005-0000-0000-000090720000}"/>
    <cellStyle name="Normal 8 3 2 2" xfId="5820" xr:uid="{00000000-0005-0000-0000-000091720000}"/>
    <cellStyle name="Normal 8 3 2 2 2" xfId="5821" xr:uid="{00000000-0005-0000-0000-000092720000}"/>
    <cellStyle name="Normal 8 3 2 2 2 2" xfId="9701" xr:uid="{00000000-0005-0000-0000-000093720000}"/>
    <cellStyle name="Normal 8 3 2 2 2 2 2" xfId="18875" xr:uid="{00000000-0005-0000-0000-000094720000}"/>
    <cellStyle name="Normal 8 3 2 2 2 2 2 2" xfId="35449" xr:uid="{00000000-0005-0000-0000-000095720000}"/>
    <cellStyle name="Normal 8 3 2 2 2 2 3" xfId="27402" xr:uid="{00000000-0005-0000-0000-000096720000}"/>
    <cellStyle name="Normal 8 3 2 2 2 3" xfId="15114" xr:uid="{00000000-0005-0000-0000-000097720000}"/>
    <cellStyle name="Normal 8 3 2 2 2 3 2" xfId="31665" xr:uid="{00000000-0005-0000-0000-000098720000}"/>
    <cellStyle name="Normal 8 3 2 2 2 4" xfId="23622" xr:uid="{00000000-0005-0000-0000-000099720000}"/>
    <cellStyle name="Normal 8 3 2 2 3" xfId="9702" xr:uid="{00000000-0005-0000-0000-00009A720000}"/>
    <cellStyle name="Normal 8 3 2 2 3 2" xfId="18876" xr:uid="{00000000-0005-0000-0000-00009B720000}"/>
    <cellStyle name="Normal 8 3 2 2 3 2 2" xfId="35450" xr:uid="{00000000-0005-0000-0000-00009C720000}"/>
    <cellStyle name="Normal 8 3 2 2 3 3" xfId="27403" xr:uid="{00000000-0005-0000-0000-00009D720000}"/>
    <cellStyle name="Normal 8 3 2 2 4" xfId="15113" xr:uid="{00000000-0005-0000-0000-00009E720000}"/>
    <cellStyle name="Normal 8 3 2 2 4 2" xfId="31664" xr:uid="{00000000-0005-0000-0000-00009F720000}"/>
    <cellStyle name="Normal 8 3 2 2 5" xfId="23621" xr:uid="{00000000-0005-0000-0000-0000A0720000}"/>
    <cellStyle name="Normal 8 3 2 3" xfId="5822" xr:uid="{00000000-0005-0000-0000-0000A1720000}"/>
    <cellStyle name="Normal 8 3 2 3 2" xfId="9703" xr:uid="{00000000-0005-0000-0000-0000A2720000}"/>
    <cellStyle name="Normal 8 3 2 3 2 2" xfId="18877" xr:uid="{00000000-0005-0000-0000-0000A3720000}"/>
    <cellStyle name="Normal 8 3 2 3 2 2 2" xfId="35451" xr:uid="{00000000-0005-0000-0000-0000A4720000}"/>
    <cellStyle name="Normal 8 3 2 3 2 3" xfId="27404" xr:uid="{00000000-0005-0000-0000-0000A5720000}"/>
    <cellStyle name="Normal 8 3 2 3 3" xfId="15115" xr:uid="{00000000-0005-0000-0000-0000A6720000}"/>
    <cellStyle name="Normal 8 3 2 3 3 2" xfId="31666" xr:uid="{00000000-0005-0000-0000-0000A7720000}"/>
    <cellStyle name="Normal 8 3 2 3 4" xfId="23623" xr:uid="{00000000-0005-0000-0000-0000A8720000}"/>
    <cellStyle name="Normal 8 3 2 4" xfId="9704" xr:uid="{00000000-0005-0000-0000-0000A9720000}"/>
    <cellStyle name="Normal 8 3 2 4 2" xfId="18878" xr:uid="{00000000-0005-0000-0000-0000AA720000}"/>
    <cellStyle name="Normal 8 3 2 4 2 2" xfId="35452" xr:uid="{00000000-0005-0000-0000-0000AB720000}"/>
    <cellStyle name="Normal 8 3 2 4 3" xfId="27405" xr:uid="{00000000-0005-0000-0000-0000AC720000}"/>
    <cellStyle name="Normal 8 3 2 5" xfId="15112" xr:uid="{00000000-0005-0000-0000-0000AD720000}"/>
    <cellStyle name="Normal 8 3 2 5 2" xfId="31663" xr:uid="{00000000-0005-0000-0000-0000AE720000}"/>
    <cellStyle name="Normal 8 3 2 6" xfId="23620" xr:uid="{00000000-0005-0000-0000-0000AF720000}"/>
    <cellStyle name="Normal 8 3 3" xfId="5823" xr:uid="{00000000-0005-0000-0000-0000B0720000}"/>
    <cellStyle name="Normal 8 3 3 2" xfId="5824" xr:uid="{00000000-0005-0000-0000-0000B1720000}"/>
    <cellStyle name="Normal 8 3 3 2 2" xfId="9705" xr:uid="{00000000-0005-0000-0000-0000B2720000}"/>
    <cellStyle name="Normal 8 3 3 2 2 2" xfId="18879" xr:uid="{00000000-0005-0000-0000-0000B3720000}"/>
    <cellStyle name="Normal 8 3 3 2 2 2 2" xfId="35453" xr:uid="{00000000-0005-0000-0000-0000B4720000}"/>
    <cellStyle name="Normal 8 3 3 2 2 3" xfId="27406" xr:uid="{00000000-0005-0000-0000-0000B5720000}"/>
    <cellStyle name="Normal 8 3 3 2 3" xfId="15117" xr:uid="{00000000-0005-0000-0000-0000B6720000}"/>
    <cellStyle name="Normal 8 3 3 2 3 2" xfId="31668" xr:uid="{00000000-0005-0000-0000-0000B7720000}"/>
    <cellStyle name="Normal 8 3 3 2 4" xfId="23625" xr:uid="{00000000-0005-0000-0000-0000B8720000}"/>
    <cellStyle name="Normal 8 3 3 3" xfId="9706" xr:uid="{00000000-0005-0000-0000-0000B9720000}"/>
    <cellStyle name="Normal 8 3 3 3 2" xfId="18880" xr:uid="{00000000-0005-0000-0000-0000BA720000}"/>
    <cellStyle name="Normal 8 3 3 3 2 2" xfId="35454" xr:uid="{00000000-0005-0000-0000-0000BB720000}"/>
    <cellStyle name="Normal 8 3 3 3 3" xfId="27407" xr:uid="{00000000-0005-0000-0000-0000BC720000}"/>
    <cellStyle name="Normal 8 3 3 4" xfId="15116" xr:uid="{00000000-0005-0000-0000-0000BD720000}"/>
    <cellStyle name="Normal 8 3 3 4 2" xfId="31667" xr:uid="{00000000-0005-0000-0000-0000BE720000}"/>
    <cellStyle name="Normal 8 3 3 5" xfId="23624" xr:uid="{00000000-0005-0000-0000-0000BF720000}"/>
    <cellStyle name="Normal 8 3 4" xfId="5825" xr:uid="{00000000-0005-0000-0000-0000C0720000}"/>
    <cellStyle name="Normal 8 3 4 2" xfId="9707" xr:uid="{00000000-0005-0000-0000-0000C1720000}"/>
    <cellStyle name="Normal 8 3 4 2 2" xfId="18881" xr:uid="{00000000-0005-0000-0000-0000C2720000}"/>
    <cellStyle name="Normal 8 3 4 2 2 2" xfId="35455" xr:uid="{00000000-0005-0000-0000-0000C3720000}"/>
    <cellStyle name="Normal 8 3 4 2 3" xfId="27408" xr:uid="{00000000-0005-0000-0000-0000C4720000}"/>
    <cellStyle name="Normal 8 3 4 3" xfId="15118" xr:uid="{00000000-0005-0000-0000-0000C5720000}"/>
    <cellStyle name="Normal 8 3 4 3 2" xfId="31669" xr:uid="{00000000-0005-0000-0000-0000C6720000}"/>
    <cellStyle name="Normal 8 3 4 4" xfId="23626" xr:uid="{00000000-0005-0000-0000-0000C7720000}"/>
    <cellStyle name="Normal 8 3 5" xfId="5826" xr:uid="{00000000-0005-0000-0000-0000C8720000}"/>
    <cellStyle name="Normal 8 3 5 2" xfId="15119" xr:uid="{00000000-0005-0000-0000-0000C9720000}"/>
    <cellStyle name="Normal 8 3 5 2 2" xfId="31670" xr:uid="{00000000-0005-0000-0000-0000CA720000}"/>
    <cellStyle name="Normal 8 3 5 3" xfId="23627" xr:uid="{00000000-0005-0000-0000-0000CB720000}"/>
    <cellStyle name="Normal 8 3 6" xfId="5818" xr:uid="{00000000-0005-0000-0000-0000CC720000}"/>
    <cellStyle name="Normal 8 4" xfId="288" xr:uid="{00000000-0005-0000-0000-0000CD720000}"/>
    <cellStyle name="Normal 8 4 2" xfId="5827" xr:uid="{00000000-0005-0000-0000-0000CE720000}"/>
    <cellStyle name="Normal 8 4 2 2" xfId="5828" xr:uid="{00000000-0005-0000-0000-0000CF720000}"/>
    <cellStyle name="Normal 8 4 2 2 2" xfId="5829" xr:uid="{00000000-0005-0000-0000-0000D0720000}"/>
    <cellStyle name="Normal 8 4 2 2 2 2" xfId="9708" xr:uid="{00000000-0005-0000-0000-0000D1720000}"/>
    <cellStyle name="Normal 8 4 2 2 2 2 2" xfId="18882" xr:uid="{00000000-0005-0000-0000-0000D2720000}"/>
    <cellStyle name="Normal 8 4 2 2 2 2 2 2" xfId="35456" xr:uid="{00000000-0005-0000-0000-0000D3720000}"/>
    <cellStyle name="Normal 8 4 2 2 2 2 3" xfId="27409" xr:uid="{00000000-0005-0000-0000-0000D4720000}"/>
    <cellStyle name="Normal 8 4 2 2 2 3" xfId="15123" xr:uid="{00000000-0005-0000-0000-0000D5720000}"/>
    <cellStyle name="Normal 8 4 2 2 2 3 2" xfId="31674" xr:uid="{00000000-0005-0000-0000-0000D6720000}"/>
    <cellStyle name="Normal 8 4 2 2 2 4" xfId="23631" xr:uid="{00000000-0005-0000-0000-0000D7720000}"/>
    <cellStyle name="Normal 8 4 2 2 3" xfId="9709" xr:uid="{00000000-0005-0000-0000-0000D8720000}"/>
    <cellStyle name="Normal 8 4 2 2 3 2" xfId="18883" xr:uid="{00000000-0005-0000-0000-0000D9720000}"/>
    <cellStyle name="Normal 8 4 2 2 3 2 2" xfId="35457" xr:uid="{00000000-0005-0000-0000-0000DA720000}"/>
    <cellStyle name="Normal 8 4 2 2 3 3" xfId="27410" xr:uid="{00000000-0005-0000-0000-0000DB720000}"/>
    <cellStyle name="Normal 8 4 2 2 4" xfId="15122" xr:uid="{00000000-0005-0000-0000-0000DC720000}"/>
    <cellStyle name="Normal 8 4 2 2 4 2" xfId="31673" xr:uid="{00000000-0005-0000-0000-0000DD720000}"/>
    <cellStyle name="Normal 8 4 2 2 5" xfId="23630" xr:uid="{00000000-0005-0000-0000-0000DE720000}"/>
    <cellStyle name="Normal 8 4 2 3" xfId="5830" xr:uid="{00000000-0005-0000-0000-0000DF720000}"/>
    <cellStyle name="Normal 8 4 2 3 2" xfId="9710" xr:uid="{00000000-0005-0000-0000-0000E0720000}"/>
    <cellStyle name="Normal 8 4 2 3 2 2" xfId="18884" xr:uid="{00000000-0005-0000-0000-0000E1720000}"/>
    <cellStyle name="Normal 8 4 2 3 2 2 2" xfId="35458" xr:uid="{00000000-0005-0000-0000-0000E2720000}"/>
    <cellStyle name="Normal 8 4 2 3 2 3" xfId="27411" xr:uid="{00000000-0005-0000-0000-0000E3720000}"/>
    <cellStyle name="Normal 8 4 2 3 3" xfId="15124" xr:uid="{00000000-0005-0000-0000-0000E4720000}"/>
    <cellStyle name="Normal 8 4 2 3 3 2" xfId="31675" xr:uid="{00000000-0005-0000-0000-0000E5720000}"/>
    <cellStyle name="Normal 8 4 2 3 4" xfId="23632" xr:uid="{00000000-0005-0000-0000-0000E6720000}"/>
    <cellStyle name="Normal 8 4 2 4" xfId="9711" xr:uid="{00000000-0005-0000-0000-0000E7720000}"/>
    <cellStyle name="Normal 8 4 2 4 2" xfId="18885" xr:uid="{00000000-0005-0000-0000-0000E8720000}"/>
    <cellStyle name="Normal 8 4 2 4 2 2" xfId="35459" xr:uid="{00000000-0005-0000-0000-0000E9720000}"/>
    <cellStyle name="Normal 8 4 2 4 3" xfId="27412" xr:uid="{00000000-0005-0000-0000-0000EA720000}"/>
    <cellStyle name="Normal 8 4 2 5" xfId="15121" xr:uid="{00000000-0005-0000-0000-0000EB720000}"/>
    <cellStyle name="Normal 8 4 2 5 2" xfId="31672" xr:uid="{00000000-0005-0000-0000-0000EC720000}"/>
    <cellStyle name="Normal 8 4 2 6" xfId="23629" xr:uid="{00000000-0005-0000-0000-0000ED720000}"/>
    <cellStyle name="Normal 8 4 3" xfId="5831" xr:uid="{00000000-0005-0000-0000-0000EE720000}"/>
    <cellStyle name="Normal 8 4 3 2" xfId="5832" xr:uid="{00000000-0005-0000-0000-0000EF720000}"/>
    <cellStyle name="Normal 8 4 3 2 2" xfId="9712" xr:uid="{00000000-0005-0000-0000-0000F0720000}"/>
    <cellStyle name="Normal 8 4 3 2 2 2" xfId="18886" xr:uid="{00000000-0005-0000-0000-0000F1720000}"/>
    <cellStyle name="Normal 8 4 3 2 2 2 2" xfId="35460" xr:uid="{00000000-0005-0000-0000-0000F2720000}"/>
    <cellStyle name="Normal 8 4 3 2 2 3" xfId="27413" xr:uid="{00000000-0005-0000-0000-0000F3720000}"/>
    <cellStyle name="Normal 8 4 3 2 3" xfId="15126" xr:uid="{00000000-0005-0000-0000-0000F4720000}"/>
    <cellStyle name="Normal 8 4 3 2 3 2" xfId="31677" xr:uid="{00000000-0005-0000-0000-0000F5720000}"/>
    <cellStyle name="Normal 8 4 3 2 4" xfId="23634" xr:uid="{00000000-0005-0000-0000-0000F6720000}"/>
    <cellStyle name="Normal 8 4 3 3" xfId="9713" xr:uid="{00000000-0005-0000-0000-0000F7720000}"/>
    <cellStyle name="Normal 8 4 3 3 2" xfId="18887" xr:uid="{00000000-0005-0000-0000-0000F8720000}"/>
    <cellStyle name="Normal 8 4 3 3 2 2" xfId="35461" xr:uid="{00000000-0005-0000-0000-0000F9720000}"/>
    <cellStyle name="Normal 8 4 3 3 3" xfId="27414" xr:uid="{00000000-0005-0000-0000-0000FA720000}"/>
    <cellStyle name="Normal 8 4 3 4" xfId="15125" xr:uid="{00000000-0005-0000-0000-0000FB720000}"/>
    <cellStyle name="Normal 8 4 3 4 2" xfId="31676" xr:uid="{00000000-0005-0000-0000-0000FC720000}"/>
    <cellStyle name="Normal 8 4 3 5" xfId="23633" xr:uid="{00000000-0005-0000-0000-0000FD720000}"/>
    <cellStyle name="Normal 8 4 4" xfId="5833" xr:uid="{00000000-0005-0000-0000-0000FE720000}"/>
    <cellStyle name="Normal 8 4 4 2" xfId="9714" xr:uid="{00000000-0005-0000-0000-0000FF720000}"/>
    <cellStyle name="Normal 8 4 4 2 2" xfId="18888" xr:uid="{00000000-0005-0000-0000-000000730000}"/>
    <cellStyle name="Normal 8 4 4 2 2 2" xfId="35462" xr:uid="{00000000-0005-0000-0000-000001730000}"/>
    <cellStyle name="Normal 8 4 4 2 3" xfId="27415" xr:uid="{00000000-0005-0000-0000-000002730000}"/>
    <cellStyle name="Normal 8 4 4 3" xfId="15127" xr:uid="{00000000-0005-0000-0000-000003730000}"/>
    <cellStyle name="Normal 8 4 4 3 2" xfId="31678" xr:uid="{00000000-0005-0000-0000-000004730000}"/>
    <cellStyle name="Normal 8 4 4 4" xfId="23635" xr:uid="{00000000-0005-0000-0000-000005730000}"/>
    <cellStyle name="Normal 8 4 5" xfId="9715" xr:uid="{00000000-0005-0000-0000-000006730000}"/>
    <cellStyle name="Normal 8 4 5 2" xfId="18889" xr:uid="{00000000-0005-0000-0000-000007730000}"/>
    <cellStyle name="Normal 8 4 5 2 2" xfId="35463" xr:uid="{00000000-0005-0000-0000-000008730000}"/>
    <cellStyle name="Normal 8 4 5 3" xfId="27416" xr:uid="{00000000-0005-0000-0000-000009730000}"/>
    <cellStyle name="Normal 8 4 6" xfId="15120" xr:uid="{00000000-0005-0000-0000-00000A730000}"/>
    <cellStyle name="Normal 8 4 6 2" xfId="31671" xr:uid="{00000000-0005-0000-0000-00000B730000}"/>
    <cellStyle name="Normal 8 4 7" xfId="23628" xr:uid="{00000000-0005-0000-0000-00000C730000}"/>
    <cellStyle name="Normal 8 5" xfId="384" xr:uid="{00000000-0005-0000-0000-00000D730000}"/>
    <cellStyle name="Normal 8 5 2" xfId="5835" xr:uid="{00000000-0005-0000-0000-00000E730000}"/>
    <cellStyle name="Normal 8 5 2 2" xfId="5836" xr:uid="{00000000-0005-0000-0000-00000F730000}"/>
    <cellStyle name="Normal 8 5 2 2 2" xfId="5837" xr:uid="{00000000-0005-0000-0000-000010730000}"/>
    <cellStyle name="Normal 8 5 2 2 2 2" xfId="9716" xr:uid="{00000000-0005-0000-0000-000011730000}"/>
    <cellStyle name="Normal 8 5 2 2 2 2 2" xfId="18890" xr:uid="{00000000-0005-0000-0000-000012730000}"/>
    <cellStyle name="Normal 8 5 2 2 2 2 2 2" xfId="35464" xr:uid="{00000000-0005-0000-0000-000013730000}"/>
    <cellStyle name="Normal 8 5 2 2 2 2 3" xfId="27417" xr:uid="{00000000-0005-0000-0000-000014730000}"/>
    <cellStyle name="Normal 8 5 2 2 2 3" xfId="15130" xr:uid="{00000000-0005-0000-0000-000015730000}"/>
    <cellStyle name="Normal 8 5 2 2 2 3 2" xfId="31682" xr:uid="{00000000-0005-0000-0000-000016730000}"/>
    <cellStyle name="Normal 8 5 2 2 2 4" xfId="23639" xr:uid="{00000000-0005-0000-0000-000017730000}"/>
    <cellStyle name="Normal 8 5 2 2 3" xfId="9717" xr:uid="{00000000-0005-0000-0000-000018730000}"/>
    <cellStyle name="Normal 8 5 2 2 3 2" xfId="18891" xr:uid="{00000000-0005-0000-0000-000019730000}"/>
    <cellStyle name="Normal 8 5 2 2 3 2 2" xfId="35465" xr:uid="{00000000-0005-0000-0000-00001A730000}"/>
    <cellStyle name="Normal 8 5 2 2 3 3" xfId="27418" xr:uid="{00000000-0005-0000-0000-00001B730000}"/>
    <cellStyle name="Normal 8 5 2 2 4" xfId="15129" xr:uid="{00000000-0005-0000-0000-00001C730000}"/>
    <cellStyle name="Normal 8 5 2 2 4 2" xfId="31681" xr:uid="{00000000-0005-0000-0000-00001D730000}"/>
    <cellStyle name="Normal 8 5 2 2 5" xfId="23638" xr:uid="{00000000-0005-0000-0000-00001E730000}"/>
    <cellStyle name="Normal 8 5 2 3" xfId="5838" xr:uid="{00000000-0005-0000-0000-00001F730000}"/>
    <cellStyle name="Normal 8 5 2 3 2" xfId="9718" xr:uid="{00000000-0005-0000-0000-000020730000}"/>
    <cellStyle name="Normal 8 5 2 3 2 2" xfId="18892" xr:uid="{00000000-0005-0000-0000-000021730000}"/>
    <cellStyle name="Normal 8 5 2 3 2 2 2" xfId="35466" xr:uid="{00000000-0005-0000-0000-000022730000}"/>
    <cellStyle name="Normal 8 5 2 3 2 3" xfId="27419" xr:uid="{00000000-0005-0000-0000-000023730000}"/>
    <cellStyle name="Normal 8 5 2 3 3" xfId="15131" xr:uid="{00000000-0005-0000-0000-000024730000}"/>
    <cellStyle name="Normal 8 5 2 3 3 2" xfId="31683" xr:uid="{00000000-0005-0000-0000-000025730000}"/>
    <cellStyle name="Normal 8 5 2 3 4" xfId="23640" xr:uid="{00000000-0005-0000-0000-000026730000}"/>
    <cellStyle name="Normal 8 5 2 4" xfId="9719" xr:uid="{00000000-0005-0000-0000-000027730000}"/>
    <cellStyle name="Normal 8 5 2 4 2" xfId="18893" xr:uid="{00000000-0005-0000-0000-000028730000}"/>
    <cellStyle name="Normal 8 5 2 4 2 2" xfId="35467" xr:uid="{00000000-0005-0000-0000-000029730000}"/>
    <cellStyle name="Normal 8 5 2 4 3" xfId="27420" xr:uid="{00000000-0005-0000-0000-00002A730000}"/>
    <cellStyle name="Normal 8 5 2 5" xfId="15128" xr:uid="{00000000-0005-0000-0000-00002B730000}"/>
    <cellStyle name="Normal 8 5 2 5 2" xfId="31680" xr:uid="{00000000-0005-0000-0000-00002C730000}"/>
    <cellStyle name="Normal 8 5 2 6" xfId="23637" xr:uid="{00000000-0005-0000-0000-00002D730000}"/>
    <cellStyle name="Normal 8 5 3" xfId="5839" xr:uid="{00000000-0005-0000-0000-00002E730000}"/>
    <cellStyle name="Normal 8 5 3 2" xfId="5840" xr:uid="{00000000-0005-0000-0000-00002F730000}"/>
    <cellStyle name="Normal 8 5 3 2 2" xfId="9720" xr:uid="{00000000-0005-0000-0000-000030730000}"/>
    <cellStyle name="Normal 8 5 3 2 2 2" xfId="18894" xr:uid="{00000000-0005-0000-0000-000031730000}"/>
    <cellStyle name="Normal 8 5 3 2 2 2 2" xfId="35468" xr:uid="{00000000-0005-0000-0000-000032730000}"/>
    <cellStyle name="Normal 8 5 3 2 2 3" xfId="27421" xr:uid="{00000000-0005-0000-0000-000033730000}"/>
    <cellStyle name="Normal 8 5 3 2 3" xfId="15133" xr:uid="{00000000-0005-0000-0000-000034730000}"/>
    <cellStyle name="Normal 8 5 3 2 3 2" xfId="31685" xr:uid="{00000000-0005-0000-0000-000035730000}"/>
    <cellStyle name="Normal 8 5 3 2 4" xfId="23642" xr:uid="{00000000-0005-0000-0000-000036730000}"/>
    <cellStyle name="Normal 8 5 3 3" xfId="9721" xr:uid="{00000000-0005-0000-0000-000037730000}"/>
    <cellStyle name="Normal 8 5 3 3 2" xfId="18895" xr:uid="{00000000-0005-0000-0000-000038730000}"/>
    <cellStyle name="Normal 8 5 3 3 2 2" xfId="35469" xr:uid="{00000000-0005-0000-0000-000039730000}"/>
    <cellStyle name="Normal 8 5 3 3 3" xfId="27422" xr:uid="{00000000-0005-0000-0000-00003A730000}"/>
    <cellStyle name="Normal 8 5 3 4" xfId="15132" xr:uid="{00000000-0005-0000-0000-00003B730000}"/>
    <cellStyle name="Normal 8 5 3 4 2" xfId="31684" xr:uid="{00000000-0005-0000-0000-00003C730000}"/>
    <cellStyle name="Normal 8 5 3 5" xfId="23641" xr:uid="{00000000-0005-0000-0000-00003D730000}"/>
    <cellStyle name="Normal 8 5 4" xfId="5841" xr:uid="{00000000-0005-0000-0000-00003E730000}"/>
    <cellStyle name="Normal 8 5 4 2" xfId="9722" xr:uid="{00000000-0005-0000-0000-00003F730000}"/>
    <cellStyle name="Normal 8 5 4 2 2" xfId="18896" xr:uid="{00000000-0005-0000-0000-000040730000}"/>
    <cellStyle name="Normal 8 5 4 2 2 2" xfId="35470" xr:uid="{00000000-0005-0000-0000-000041730000}"/>
    <cellStyle name="Normal 8 5 4 2 3" xfId="27423" xr:uid="{00000000-0005-0000-0000-000042730000}"/>
    <cellStyle name="Normal 8 5 4 3" xfId="15134" xr:uid="{00000000-0005-0000-0000-000043730000}"/>
    <cellStyle name="Normal 8 5 4 3 2" xfId="31686" xr:uid="{00000000-0005-0000-0000-000044730000}"/>
    <cellStyle name="Normal 8 5 4 4" xfId="23643" xr:uid="{00000000-0005-0000-0000-000045730000}"/>
    <cellStyle name="Normal 8 5 5" xfId="9723" xr:uid="{00000000-0005-0000-0000-000046730000}"/>
    <cellStyle name="Normal 8 5 5 2" xfId="18897" xr:uid="{00000000-0005-0000-0000-000047730000}"/>
    <cellStyle name="Normal 8 5 5 2 2" xfId="35471" xr:uid="{00000000-0005-0000-0000-000048730000}"/>
    <cellStyle name="Normal 8 5 5 3" xfId="27424" xr:uid="{00000000-0005-0000-0000-000049730000}"/>
    <cellStyle name="Normal 8 5 6" xfId="5834" xr:uid="{00000000-0005-0000-0000-00004A730000}"/>
    <cellStyle name="Normal 8 5 6 2" xfId="31679" xr:uid="{00000000-0005-0000-0000-00004B730000}"/>
    <cellStyle name="Normal 8 5 7" xfId="23636" xr:uid="{00000000-0005-0000-0000-00004C730000}"/>
    <cellStyle name="Normal 8 6" xfId="1723" xr:uid="{00000000-0005-0000-0000-00004D730000}"/>
    <cellStyle name="Normal 8 6 2" xfId="5843" xr:uid="{00000000-0005-0000-0000-00004E730000}"/>
    <cellStyle name="Normal 8 6 2 2" xfId="5844" xr:uid="{00000000-0005-0000-0000-00004F730000}"/>
    <cellStyle name="Normal 8 6 2 2 2" xfId="9724" xr:uid="{00000000-0005-0000-0000-000050730000}"/>
    <cellStyle name="Normal 8 6 2 2 2 2" xfId="18898" xr:uid="{00000000-0005-0000-0000-000051730000}"/>
    <cellStyle name="Normal 8 6 2 2 2 2 2" xfId="35472" xr:uid="{00000000-0005-0000-0000-000052730000}"/>
    <cellStyle name="Normal 8 6 2 2 2 3" xfId="27425" xr:uid="{00000000-0005-0000-0000-000053730000}"/>
    <cellStyle name="Normal 8 6 2 2 3" xfId="15136" xr:uid="{00000000-0005-0000-0000-000054730000}"/>
    <cellStyle name="Normal 8 6 2 2 3 2" xfId="31689" xr:uid="{00000000-0005-0000-0000-000055730000}"/>
    <cellStyle name="Normal 8 6 2 2 4" xfId="23646" xr:uid="{00000000-0005-0000-0000-000056730000}"/>
    <cellStyle name="Normal 8 6 2 3" xfId="9725" xr:uid="{00000000-0005-0000-0000-000057730000}"/>
    <cellStyle name="Normal 8 6 2 3 2" xfId="18899" xr:uid="{00000000-0005-0000-0000-000058730000}"/>
    <cellStyle name="Normal 8 6 2 3 2 2" xfId="35473" xr:uid="{00000000-0005-0000-0000-000059730000}"/>
    <cellStyle name="Normal 8 6 2 3 3" xfId="27426" xr:uid="{00000000-0005-0000-0000-00005A730000}"/>
    <cellStyle name="Normal 8 6 2 4" xfId="15135" xr:uid="{00000000-0005-0000-0000-00005B730000}"/>
    <cellStyle name="Normal 8 6 2 4 2" xfId="31688" xr:uid="{00000000-0005-0000-0000-00005C730000}"/>
    <cellStyle name="Normal 8 6 2 5" xfId="23645" xr:uid="{00000000-0005-0000-0000-00005D730000}"/>
    <cellStyle name="Normal 8 6 3" xfId="5845" xr:uid="{00000000-0005-0000-0000-00005E730000}"/>
    <cellStyle name="Normal 8 6 3 2" xfId="9726" xr:uid="{00000000-0005-0000-0000-00005F730000}"/>
    <cellStyle name="Normal 8 6 3 2 2" xfId="18900" xr:uid="{00000000-0005-0000-0000-000060730000}"/>
    <cellStyle name="Normal 8 6 3 2 2 2" xfId="35474" xr:uid="{00000000-0005-0000-0000-000061730000}"/>
    <cellStyle name="Normal 8 6 3 2 3" xfId="27427" xr:uid="{00000000-0005-0000-0000-000062730000}"/>
    <cellStyle name="Normal 8 6 3 3" xfId="15137" xr:uid="{00000000-0005-0000-0000-000063730000}"/>
    <cellStyle name="Normal 8 6 3 3 2" xfId="31690" xr:uid="{00000000-0005-0000-0000-000064730000}"/>
    <cellStyle name="Normal 8 6 3 4" xfId="23647" xr:uid="{00000000-0005-0000-0000-000065730000}"/>
    <cellStyle name="Normal 8 6 4" xfId="9727" xr:uid="{00000000-0005-0000-0000-000066730000}"/>
    <cellStyle name="Normal 8 6 4 2" xfId="18901" xr:uid="{00000000-0005-0000-0000-000067730000}"/>
    <cellStyle name="Normal 8 6 4 2 2" xfId="35475" xr:uid="{00000000-0005-0000-0000-000068730000}"/>
    <cellStyle name="Normal 8 6 4 3" xfId="27428" xr:uid="{00000000-0005-0000-0000-000069730000}"/>
    <cellStyle name="Normal 8 6 5" xfId="5842" xr:uid="{00000000-0005-0000-0000-00006A730000}"/>
    <cellStyle name="Normal 8 6 5 2" xfId="31687" xr:uid="{00000000-0005-0000-0000-00006B730000}"/>
    <cellStyle name="Normal 8 6 6" xfId="23644" xr:uid="{00000000-0005-0000-0000-00006C730000}"/>
    <cellStyle name="Normal 8 7" xfId="1679" xr:uid="{00000000-0005-0000-0000-00006D730000}"/>
    <cellStyle name="Normal 8 7 2" xfId="5847" xr:uid="{00000000-0005-0000-0000-00006E730000}"/>
    <cellStyle name="Normal 8 7 2 2" xfId="9728" xr:uid="{00000000-0005-0000-0000-00006F730000}"/>
    <cellStyle name="Normal 8 7 2 2 2" xfId="18902" xr:uid="{00000000-0005-0000-0000-000070730000}"/>
    <cellStyle name="Normal 8 7 2 2 2 2" xfId="35476" xr:uid="{00000000-0005-0000-0000-000071730000}"/>
    <cellStyle name="Normal 8 7 2 2 3" xfId="27429" xr:uid="{00000000-0005-0000-0000-000072730000}"/>
    <cellStyle name="Normal 8 7 2 3" xfId="15138" xr:uid="{00000000-0005-0000-0000-000073730000}"/>
    <cellStyle name="Normal 8 7 2 3 2" xfId="31692" xr:uid="{00000000-0005-0000-0000-000074730000}"/>
    <cellStyle name="Normal 8 7 2 4" xfId="23649" xr:uid="{00000000-0005-0000-0000-000075730000}"/>
    <cellStyle name="Normal 8 7 3" xfId="9729" xr:uid="{00000000-0005-0000-0000-000076730000}"/>
    <cellStyle name="Normal 8 7 3 2" xfId="18903" xr:uid="{00000000-0005-0000-0000-000077730000}"/>
    <cellStyle name="Normal 8 7 3 2 2" xfId="35477" xr:uid="{00000000-0005-0000-0000-000078730000}"/>
    <cellStyle name="Normal 8 7 3 3" xfId="27430" xr:uid="{00000000-0005-0000-0000-000079730000}"/>
    <cellStyle name="Normal 8 7 4" xfId="5846" xr:uid="{00000000-0005-0000-0000-00007A730000}"/>
    <cellStyle name="Normal 8 7 4 2" xfId="31691" xr:uid="{00000000-0005-0000-0000-00007B730000}"/>
    <cellStyle name="Normal 8 7 5" xfId="23648" xr:uid="{00000000-0005-0000-0000-00007C730000}"/>
    <cellStyle name="Normal 8 8" xfId="5848" xr:uid="{00000000-0005-0000-0000-00007D730000}"/>
    <cellStyle name="Normal 8 8 2" xfId="9730" xr:uid="{00000000-0005-0000-0000-00007E730000}"/>
    <cellStyle name="Normal 8 8 2 2" xfId="18904" xr:uid="{00000000-0005-0000-0000-00007F730000}"/>
    <cellStyle name="Normal 8 8 2 2 2" xfId="35478" xr:uid="{00000000-0005-0000-0000-000080730000}"/>
    <cellStyle name="Normal 8 8 2 3" xfId="27431" xr:uid="{00000000-0005-0000-0000-000081730000}"/>
    <cellStyle name="Normal 8 8 3" xfId="15139" xr:uid="{00000000-0005-0000-0000-000082730000}"/>
    <cellStyle name="Normal 8 8 3 2" xfId="31693" xr:uid="{00000000-0005-0000-0000-000083730000}"/>
    <cellStyle name="Normal 8 8 4" xfId="23650" xr:uid="{00000000-0005-0000-0000-000084730000}"/>
    <cellStyle name="Normal 8 9" xfId="9731" xr:uid="{00000000-0005-0000-0000-000085730000}"/>
    <cellStyle name="Normal 8 9 2" xfId="18905" xr:uid="{00000000-0005-0000-0000-000086730000}"/>
    <cellStyle name="Normal 8 9 2 2" xfId="35479" xr:uid="{00000000-0005-0000-0000-000087730000}"/>
    <cellStyle name="Normal 8 9 3" xfId="27432" xr:uid="{00000000-0005-0000-0000-000088730000}"/>
    <cellStyle name="Normal 80" xfId="5849" xr:uid="{00000000-0005-0000-0000-000089730000}"/>
    <cellStyle name="Normal 80 10" xfId="15140" xr:uid="{00000000-0005-0000-0000-00008A730000}"/>
    <cellStyle name="Normal 80 10 2" xfId="31694" xr:uid="{00000000-0005-0000-0000-00008B730000}"/>
    <cellStyle name="Normal 80 11" xfId="23651" xr:uid="{00000000-0005-0000-0000-00008C730000}"/>
    <cellStyle name="Normal 80 2" xfId="5850" xr:uid="{00000000-0005-0000-0000-00008D730000}"/>
    <cellStyle name="Normal 80 2 2" xfId="5851" xr:uid="{00000000-0005-0000-0000-00008E730000}"/>
    <cellStyle name="Normal 80 2 3" xfId="15141" xr:uid="{00000000-0005-0000-0000-00008F730000}"/>
    <cellStyle name="Normal 80 2 3 2" xfId="31695" xr:uid="{00000000-0005-0000-0000-000090730000}"/>
    <cellStyle name="Normal 80 2 4" xfId="23652" xr:uid="{00000000-0005-0000-0000-000091730000}"/>
    <cellStyle name="Normal 80 3" xfId="5852" xr:uid="{00000000-0005-0000-0000-000092730000}"/>
    <cellStyle name="Normal 80 3 2" xfId="5853" xr:uid="{00000000-0005-0000-0000-000093730000}"/>
    <cellStyle name="Normal 80 3 2 2" xfId="5854" xr:uid="{00000000-0005-0000-0000-000094730000}"/>
    <cellStyle name="Normal 80 3 2 2 2" xfId="5855" xr:uid="{00000000-0005-0000-0000-000095730000}"/>
    <cellStyle name="Normal 80 3 2 2 2 2" xfId="9732" xr:uid="{00000000-0005-0000-0000-000096730000}"/>
    <cellStyle name="Normal 80 3 2 2 2 2 2" xfId="18906" xr:uid="{00000000-0005-0000-0000-000097730000}"/>
    <cellStyle name="Normal 80 3 2 2 2 2 2 2" xfId="35480" xr:uid="{00000000-0005-0000-0000-000098730000}"/>
    <cellStyle name="Normal 80 3 2 2 2 2 3" xfId="27433" xr:uid="{00000000-0005-0000-0000-000099730000}"/>
    <cellStyle name="Normal 80 3 2 2 2 3" xfId="15144" xr:uid="{00000000-0005-0000-0000-00009A730000}"/>
    <cellStyle name="Normal 80 3 2 2 2 3 2" xfId="31698" xr:uid="{00000000-0005-0000-0000-00009B730000}"/>
    <cellStyle name="Normal 80 3 2 2 2 4" xfId="23655" xr:uid="{00000000-0005-0000-0000-00009C730000}"/>
    <cellStyle name="Normal 80 3 2 2 3" xfId="9733" xr:uid="{00000000-0005-0000-0000-00009D730000}"/>
    <cellStyle name="Normal 80 3 2 2 3 2" xfId="18907" xr:uid="{00000000-0005-0000-0000-00009E730000}"/>
    <cellStyle name="Normal 80 3 2 2 3 2 2" xfId="35481" xr:uid="{00000000-0005-0000-0000-00009F730000}"/>
    <cellStyle name="Normal 80 3 2 2 3 3" xfId="27434" xr:uid="{00000000-0005-0000-0000-0000A0730000}"/>
    <cellStyle name="Normal 80 3 2 2 4" xfId="15143" xr:uid="{00000000-0005-0000-0000-0000A1730000}"/>
    <cellStyle name="Normal 80 3 2 2 4 2" xfId="31697" xr:uid="{00000000-0005-0000-0000-0000A2730000}"/>
    <cellStyle name="Normal 80 3 2 2 5" xfId="23654" xr:uid="{00000000-0005-0000-0000-0000A3730000}"/>
    <cellStyle name="Normal 80 3 2 3" xfId="5856" xr:uid="{00000000-0005-0000-0000-0000A4730000}"/>
    <cellStyle name="Normal 80 3 2 3 2" xfId="9734" xr:uid="{00000000-0005-0000-0000-0000A5730000}"/>
    <cellStyle name="Normal 80 3 2 3 2 2" xfId="18908" xr:uid="{00000000-0005-0000-0000-0000A6730000}"/>
    <cellStyle name="Normal 80 3 2 3 2 2 2" xfId="35482" xr:uid="{00000000-0005-0000-0000-0000A7730000}"/>
    <cellStyle name="Normal 80 3 2 3 2 3" xfId="27435" xr:uid="{00000000-0005-0000-0000-0000A8730000}"/>
    <cellStyle name="Normal 80 3 2 3 3" xfId="15145" xr:uid="{00000000-0005-0000-0000-0000A9730000}"/>
    <cellStyle name="Normal 80 3 2 3 3 2" xfId="31699" xr:uid="{00000000-0005-0000-0000-0000AA730000}"/>
    <cellStyle name="Normal 80 3 2 3 4" xfId="23656" xr:uid="{00000000-0005-0000-0000-0000AB730000}"/>
    <cellStyle name="Normal 80 3 2 4" xfId="9735" xr:uid="{00000000-0005-0000-0000-0000AC730000}"/>
    <cellStyle name="Normal 80 3 2 4 2" xfId="18909" xr:uid="{00000000-0005-0000-0000-0000AD730000}"/>
    <cellStyle name="Normal 80 3 2 4 2 2" xfId="35483" xr:uid="{00000000-0005-0000-0000-0000AE730000}"/>
    <cellStyle name="Normal 80 3 2 4 3" xfId="27436" xr:uid="{00000000-0005-0000-0000-0000AF730000}"/>
    <cellStyle name="Normal 80 3 2 5" xfId="15142" xr:uid="{00000000-0005-0000-0000-0000B0730000}"/>
    <cellStyle name="Normal 80 3 2 5 2" xfId="31696" xr:uid="{00000000-0005-0000-0000-0000B1730000}"/>
    <cellStyle name="Normal 80 3 2 6" xfId="23653" xr:uid="{00000000-0005-0000-0000-0000B2730000}"/>
    <cellStyle name="Normal 80 3 3" xfId="5857" xr:uid="{00000000-0005-0000-0000-0000B3730000}"/>
    <cellStyle name="Normal 80 3 3 2" xfId="5858" xr:uid="{00000000-0005-0000-0000-0000B4730000}"/>
    <cellStyle name="Normal 80 3 3 2 2" xfId="9736" xr:uid="{00000000-0005-0000-0000-0000B5730000}"/>
    <cellStyle name="Normal 80 3 3 2 2 2" xfId="18910" xr:uid="{00000000-0005-0000-0000-0000B6730000}"/>
    <cellStyle name="Normal 80 3 3 2 2 2 2" xfId="35484" xr:uid="{00000000-0005-0000-0000-0000B7730000}"/>
    <cellStyle name="Normal 80 3 3 2 2 3" xfId="27437" xr:uid="{00000000-0005-0000-0000-0000B8730000}"/>
    <cellStyle name="Normal 80 3 3 2 3" xfId="15147" xr:uid="{00000000-0005-0000-0000-0000B9730000}"/>
    <cellStyle name="Normal 80 3 3 2 3 2" xfId="31701" xr:uid="{00000000-0005-0000-0000-0000BA730000}"/>
    <cellStyle name="Normal 80 3 3 2 4" xfId="23658" xr:uid="{00000000-0005-0000-0000-0000BB730000}"/>
    <cellStyle name="Normal 80 3 3 3" xfId="9737" xr:uid="{00000000-0005-0000-0000-0000BC730000}"/>
    <cellStyle name="Normal 80 3 3 3 2" xfId="18911" xr:uid="{00000000-0005-0000-0000-0000BD730000}"/>
    <cellStyle name="Normal 80 3 3 3 2 2" xfId="35485" xr:uid="{00000000-0005-0000-0000-0000BE730000}"/>
    <cellStyle name="Normal 80 3 3 3 3" xfId="27438" xr:uid="{00000000-0005-0000-0000-0000BF730000}"/>
    <cellStyle name="Normal 80 3 3 4" xfId="15146" xr:uid="{00000000-0005-0000-0000-0000C0730000}"/>
    <cellStyle name="Normal 80 3 3 4 2" xfId="31700" xr:uid="{00000000-0005-0000-0000-0000C1730000}"/>
    <cellStyle name="Normal 80 3 3 5" xfId="23657" xr:uid="{00000000-0005-0000-0000-0000C2730000}"/>
    <cellStyle name="Normal 80 3 4" xfId="5859" xr:uid="{00000000-0005-0000-0000-0000C3730000}"/>
    <cellStyle name="Normal 80 3 4 2" xfId="9738" xr:uid="{00000000-0005-0000-0000-0000C4730000}"/>
    <cellStyle name="Normal 80 3 4 2 2" xfId="18912" xr:uid="{00000000-0005-0000-0000-0000C5730000}"/>
    <cellStyle name="Normal 80 3 4 2 2 2" xfId="35486" xr:uid="{00000000-0005-0000-0000-0000C6730000}"/>
    <cellStyle name="Normal 80 3 4 2 3" xfId="27439" xr:uid="{00000000-0005-0000-0000-0000C7730000}"/>
    <cellStyle name="Normal 80 3 4 3" xfId="15148" xr:uid="{00000000-0005-0000-0000-0000C8730000}"/>
    <cellStyle name="Normal 80 3 4 3 2" xfId="31702" xr:uid="{00000000-0005-0000-0000-0000C9730000}"/>
    <cellStyle name="Normal 80 3 4 4" xfId="23659" xr:uid="{00000000-0005-0000-0000-0000CA730000}"/>
    <cellStyle name="Normal 80 3 5" xfId="5860" xr:uid="{00000000-0005-0000-0000-0000CB730000}"/>
    <cellStyle name="Normal 80 3 5 2" xfId="15149" xr:uid="{00000000-0005-0000-0000-0000CC730000}"/>
    <cellStyle name="Normal 80 3 5 2 2" xfId="31703" xr:uid="{00000000-0005-0000-0000-0000CD730000}"/>
    <cellStyle name="Normal 80 3 5 3" xfId="23660" xr:uid="{00000000-0005-0000-0000-0000CE730000}"/>
    <cellStyle name="Normal 80 4" xfId="5861" xr:uid="{00000000-0005-0000-0000-0000CF730000}"/>
    <cellStyle name="Normal 80 4 2" xfId="5862" xr:uid="{00000000-0005-0000-0000-0000D0730000}"/>
    <cellStyle name="Normal 80 4 2 2" xfId="5863" xr:uid="{00000000-0005-0000-0000-0000D1730000}"/>
    <cellStyle name="Normal 80 4 2 2 2" xfId="5864" xr:uid="{00000000-0005-0000-0000-0000D2730000}"/>
    <cellStyle name="Normal 80 4 2 2 2 2" xfId="9739" xr:uid="{00000000-0005-0000-0000-0000D3730000}"/>
    <cellStyle name="Normal 80 4 2 2 2 2 2" xfId="18913" xr:uid="{00000000-0005-0000-0000-0000D4730000}"/>
    <cellStyle name="Normal 80 4 2 2 2 2 2 2" xfId="35487" xr:uid="{00000000-0005-0000-0000-0000D5730000}"/>
    <cellStyle name="Normal 80 4 2 2 2 2 3" xfId="27440" xr:uid="{00000000-0005-0000-0000-0000D6730000}"/>
    <cellStyle name="Normal 80 4 2 2 2 3" xfId="15153" xr:uid="{00000000-0005-0000-0000-0000D7730000}"/>
    <cellStyle name="Normal 80 4 2 2 2 3 2" xfId="31707" xr:uid="{00000000-0005-0000-0000-0000D8730000}"/>
    <cellStyle name="Normal 80 4 2 2 2 4" xfId="23664" xr:uid="{00000000-0005-0000-0000-0000D9730000}"/>
    <cellStyle name="Normal 80 4 2 2 3" xfId="9740" xr:uid="{00000000-0005-0000-0000-0000DA730000}"/>
    <cellStyle name="Normal 80 4 2 2 3 2" xfId="18914" xr:uid="{00000000-0005-0000-0000-0000DB730000}"/>
    <cellStyle name="Normal 80 4 2 2 3 2 2" xfId="35488" xr:uid="{00000000-0005-0000-0000-0000DC730000}"/>
    <cellStyle name="Normal 80 4 2 2 3 3" xfId="27441" xr:uid="{00000000-0005-0000-0000-0000DD730000}"/>
    <cellStyle name="Normal 80 4 2 2 4" xfId="15152" xr:uid="{00000000-0005-0000-0000-0000DE730000}"/>
    <cellStyle name="Normal 80 4 2 2 4 2" xfId="31706" xr:uid="{00000000-0005-0000-0000-0000DF730000}"/>
    <cellStyle name="Normal 80 4 2 2 5" xfId="23663" xr:uid="{00000000-0005-0000-0000-0000E0730000}"/>
    <cellStyle name="Normal 80 4 2 3" xfId="5865" xr:uid="{00000000-0005-0000-0000-0000E1730000}"/>
    <cellStyle name="Normal 80 4 2 3 2" xfId="9741" xr:uid="{00000000-0005-0000-0000-0000E2730000}"/>
    <cellStyle name="Normal 80 4 2 3 2 2" xfId="18915" xr:uid="{00000000-0005-0000-0000-0000E3730000}"/>
    <cellStyle name="Normal 80 4 2 3 2 2 2" xfId="35489" xr:uid="{00000000-0005-0000-0000-0000E4730000}"/>
    <cellStyle name="Normal 80 4 2 3 2 3" xfId="27442" xr:uid="{00000000-0005-0000-0000-0000E5730000}"/>
    <cellStyle name="Normal 80 4 2 3 3" xfId="15154" xr:uid="{00000000-0005-0000-0000-0000E6730000}"/>
    <cellStyle name="Normal 80 4 2 3 3 2" xfId="31708" xr:uid="{00000000-0005-0000-0000-0000E7730000}"/>
    <cellStyle name="Normal 80 4 2 3 4" xfId="23665" xr:uid="{00000000-0005-0000-0000-0000E8730000}"/>
    <cellStyle name="Normal 80 4 2 4" xfId="9742" xr:uid="{00000000-0005-0000-0000-0000E9730000}"/>
    <cellStyle name="Normal 80 4 2 4 2" xfId="18916" xr:uid="{00000000-0005-0000-0000-0000EA730000}"/>
    <cellStyle name="Normal 80 4 2 4 2 2" xfId="35490" xr:uid="{00000000-0005-0000-0000-0000EB730000}"/>
    <cellStyle name="Normal 80 4 2 4 3" xfId="27443" xr:uid="{00000000-0005-0000-0000-0000EC730000}"/>
    <cellStyle name="Normal 80 4 2 5" xfId="15151" xr:uid="{00000000-0005-0000-0000-0000ED730000}"/>
    <cellStyle name="Normal 80 4 2 5 2" xfId="31705" xr:uid="{00000000-0005-0000-0000-0000EE730000}"/>
    <cellStyle name="Normal 80 4 2 6" xfId="23662" xr:uid="{00000000-0005-0000-0000-0000EF730000}"/>
    <cellStyle name="Normal 80 4 3" xfId="5866" xr:uid="{00000000-0005-0000-0000-0000F0730000}"/>
    <cellStyle name="Normal 80 4 3 2" xfId="5867" xr:uid="{00000000-0005-0000-0000-0000F1730000}"/>
    <cellStyle name="Normal 80 4 3 2 2" xfId="9743" xr:uid="{00000000-0005-0000-0000-0000F2730000}"/>
    <cellStyle name="Normal 80 4 3 2 2 2" xfId="18917" xr:uid="{00000000-0005-0000-0000-0000F3730000}"/>
    <cellStyle name="Normal 80 4 3 2 2 2 2" xfId="35491" xr:uid="{00000000-0005-0000-0000-0000F4730000}"/>
    <cellStyle name="Normal 80 4 3 2 2 3" xfId="27444" xr:uid="{00000000-0005-0000-0000-0000F5730000}"/>
    <cellStyle name="Normal 80 4 3 2 3" xfId="15156" xr:uid="{00000000-0005-0000-0000-0000F6730000}"/>
    <cellStyle name="Normal 80 4 3 2 3 2" xfId="31710" xr:uid="{00000000-0005-0000-0000-0000F7730000}"/>
    <cellStyle name="Normal 80 4 3 2 4" xfId="23667" xr:uid="{00000000-0005-0000-0000-0000F8730000}"/>
    <cellStyle name="Normal 80 4 3 3" xfId="9744" xr:uid="{00000000-0005-0000-0000-0000F9730000}"/>
    <cellStyle name="Normal 80 4 3 3 2" xfId="18918" xr:uid="{00000000-0005-0000-0000-0000FA730000}"/>
    <cellStyle name="Normal 80 4 3 3 2 2" xfId="35492" xr:uid="{00000000-0005-0000-0000-0000FB730000}"/>
    <cellStyle name="Normal 80 4 3 3 3" xfId="27445" xr:uid="{00000000-0005-0000-0000-0000FC730000}"/>
    <cellStyle name="Normal 80 4 3 4" xfId="15155" xr:uid="{00000000-0005-0000-0000-0000FD730000}"/>
    <cellStyle name="Normal 80 4 3 4 2" xfId="31709" xr:uid="{00000000-0005-0000-0000-0000FE730000}"/>
    <cellStyle name="Normal 80 4 3 5" xfId="23666" xr:uid="{00000000-0005-0000-0000-0000FF730000}"/>
    <cellStyle name="Normal 80 4 4" xfId="5868" xr:uid="{00000000-0005-0000-0000-000000740000}"/>
    <cellStyle name="Normal 80 4 4 2" xfId="9745" xr:uid="{00000000-0005-0000-0000-000001740000}"/>
    <cellStyle name="Normal 80 4 4 2 2" xfId="18919" xr:uid="{00000000-0005-0000-0000-000002740000}"/>
    <cellStyle name="Normal 80 4 4 2 2 2" xfId="35493" xr:uid="{00000000-0005-0000-0000-000003740000}"/>
    <cellStyle name="Normal 80 4 4 2 3" xfId="27446" xr:uid="{00000000-0005-0000-0000-000004740000}"/>
    <cellStyle name="Normal 80 4 4 3" xfId="15157" xr:uid="{00000000-0005-0000-0000-000005740000}"/>
    <cellStyle name="Normal 80 4 4 3 2" xfId="31711" xr:uid="{00000000-0005-0000-0000-000006740000}"/>
    <cellStyle name="Normal 80 4 4 4" xfId="23668" xr:uid="{00000000-0005-0000-0000-000007740000}"/>
    <cellStyle name="Normal 80 4 5" xfId="9746" xr:uid="{00000000-0005-0000-0000-000008740000}"/>
    <cellStyle name="Normal 80 4 5 2" xfId="18920" xr:uid="{00000000-0005-0000-0000-000009740000}"/>
    <cellStyle name="Normal 80 4 5 2 2" xfId="35494" xr:uid="{00000000-0005-0000-0000-00000A740000}"/>
    <cellStyle name="Normal 80 4 5 3" xfId="27447" xr:uid="{00000000-0005-0000-0000-00000B740000}"/>
    <cellStyle name="Normal 80 4 6" xfId="15150" xr:uid="{00000000-0005-0000-0000-00000C740000}"/>
    <cellStyle name="Normal 80 4 6 2" xfId="31704" xr:uid="{00000000-0005-0000-0000-00000D740000}"/>
    <cellStyle name="Normal 80 4 7" xfId="23661" xr:uid="{00000000-0005-0000-0000-00000E740000}"/>
    <cellStyle name="Normal 80 5" xfId="5869" xr:uid="{00000000-0005-0000-0000-00000F740000}"/>
    <cellStyle name="Normal 80 5 2" xfId="5870" xr:uid="{00000000-0005-0000-0000-000010740000}"/>
    <cellStyle name="Normal 80 5 2 2" xfId="5871" xr:uid="{00000000-0005-0000-0000-000011740000}"/>
    <cellStyle name="Normal 80 5 2 2 2" xfId="5872" xr:uid="{00000000-0005-0000-0000-000012740000}"/>
    <cellStyle name="Normal 80 5 2 2 2 2" xfId="9747" xr:uid="{00000000-0005-0000-0000-000013740000}"/>
    <cellStyle name="Normal 80 5 2 2 2 2 2" xfId="18921" xr:uid="{00000000-0005-0000-0000-000014740000}"/>
    <cellStyle name="Normal 80 5 2 2 2 2 2 2" xfId="35495" xr:uid="{00000000-0005-0000-0000-000015740000}"/>
    <cellStyle name="Normal 80 5 2 2 2 2 3" xfId="27448" xr:uid="{00000000-0005-0000-0000-000016740000}"/>
    <cellStyle name="Normal 80 5 2 2 2 3" xfId="15161" xr:uid="{00000000-0005-0000-0000-000017740000}"/>
    <cellStyle name="Normal 80 5 2 2 2 3 2" xfId="31715" xr:uid="{00000000-0005-0000-0000-000018740000}"/>
    <cellStyle name="Normal 80 5 2 2 2 4" xfId="23672" xr:uid="{00000000-0005-0000-0000-000019740000}"/>
    <cellStyle name="Normal 80 5 2 2 3" xfId="9748" xr:uid="{00000000-0005-0000-0000-00001A740000}"/>
    <cellStyle name="Normal 80 5 2 2 3 2" xfId="18922" xr:uid="{00000000-0005-0000-0000-00001B740000}"/>
    <cellStyle name="Normal 80 5 2 2 3 2 2" xfId="35496" xr:uid="{00000000-0005-0000-0000-00001C740000}"/>
    <cellStyle name="Normal 80 5 2 2 3 3" xfId="27449" xr:uid="{00000000-0005-0000-0000-00001D740000}"/>
    <cellStyle name="Normal 80 5 2 2 4" xfId="15160" xr:uid="{00000000-0005-0000-0000-00001E740000}"/>
    <cellStyle name="Normal 80 5 2 2 4 2" xfId="31714" xr:uid="{00000000-0005-0000-0000-00001F740000}"/>
    <cellStyle name="Normal 80 5 2 2 5" xfId="23671" xr:uid="{00000000-0005-0000-0000-000020740000}"/>
    <cellStyle name="Normal 80 5 2 3" xfId="5873" xr:uid="{00000000-0005-0000-0000-000021740000}"/>
    <cellStyle name="Normal 80 5 2 3 2" xfId="9749" xr:uid="{00000000-0005-0000-0000-000022740000}"/>
    <cellStyle name="Normal 80 5 2 3 2 2" xfId="18923" xr:uid="{00000000-0005-0000-0000-000023740000}"/>
    <cellStyle name="Normal 80 5 2 3 2 2 2" xfId="35497" xr:uid="{00000000-0005-0000-0000-000024740000}"/>
    <cellStyle name="Normal 80 5 2 3 2 3" xfId="27450" xr:uid="{00000000-0005-0000-0000-000025740000}"/>
    <cellStyle name="Normal 80 5 2 3 3" xfId="15162" xr:uid="{00000000-0005-0000-0000-000026740000}"/>
    <cellStyle name="Normal 80 5 2 3 3 2" xfId="31716" xr:uid="{00000000-0005-0000-0000-000027740000}"/>
    <cellStyle name="Normal 80 5 2 3 4" xfId="23673" xr:uid="{00000000-0005-0000-0000-000028740000}"/>
    <cellStyle name="Normal 80 5 2 4" xfId="9750" xr:uid="{00000000-0005-0000-0000-000029740000}"/>
    <cellStyle name="Normal 80 5 2 4 2" xfId="18924" xr:uid="{00000000-0005-0000-0000-00002A740000}"/>
    <cellStyle name="Normal 80 5 2 4 2 2" xfId="35498" xr:uid="{00000000-0005-0000-0000-00002B740000}"/>
    <cellStyle name="Normal 80 5 2 4 3" xfId="27451" xr:uid="{00000000-0005-0000-0000-00002C740000}"/>
    <cellStyle name="Normal 80 5 2 5" xfId="15159" xr:uid="{00000000-0005-0000-0000-00002D740000}"/>
    <cellStyle name="Normal 80 5 2 5 2" xfId="31713" xr:uid="{00000000-0005-0000-0000-00002E740000}"/>
    <cellStyle name="Normal 80 5 2 6" xfId="23670" xr:uid="{00000000-0005-0000-0000-00002F740000}"/>
    <cellStyle name="Normal 80 5 3" xfId="5874" xr:uid="{00000000-0005-0000-0000-000030740000}"/>
    <cellStyle name="Normal 80 5 3 2" xfId="5875" xr:uid="{00000000-0005-0000-0000-000031740000}"/>
    <cellStyle name="Normal 80 5 3 2 2" xfId="9751" xr:uid="{00000000-0005-0000-0000-000032740000}"/>
    <cellStyle name="Normal 80 5 3 2 2 2" xfId="18925" xr:uid="{00000000-0005-0000-0000-000033740000}"/>
    <cellStyle name="Normal 80 5 3 2 2 2 2" xfId="35499" xr:uid="{00000000-0005-0000-0000-000034740000}"/>
    <cellStyle name="Normal 80 5 3 2 2 3" xfId="27452" xr:uid="{00000000-0005-0000-0000-000035740000}"/>
    <cellStyle name="Normal 80 5 3 2 3" xfId="15164" xr:uid="{00000000-0005-0000-0000-000036740000}"/>
    <cellStyle name="Normal 80 5 3 2 3 2" xfId="31718" xr:uid="{00000000-0005-0000-0000-000037740000}"/>
    <cellStyle name="Normal 80 5 3 2 4" xfId="23675" xr:uid="{00000000-0005-0000-0000-000038740000}"/>
    <cellStyle name="Normal 80 5 3 3" xfId="9752" xr:uid="{00000000-0005-0000-0000-000039740000}"/>
    <cellStyle name="Normal 80 5 3 3 2" xfId="18926" xr:uid="{00000000-0005-0000-0000-00003A740000}"/>
    <cellStyle name="Normal 80 5 3 3 2 2" xfId="35500" xr:uid="{00000000-0005-0000-0000-00003B740000}"/>
    <cellStyle name="Normal 80 5 3 3 3" xfId="27453" xr:uid="{00000000-0005-0000-0000-00003C740000}"/>
    <cellStyle name="Normal 80 5 3 4" xfId="15163" xr:uid="{00000000-0005-0000-0000-00003D740000}"/>
    <cellStyle name="Normal 80 5 3 4 2" xfId="31717" xr:uid="{00000000-0005-0000-0000-00003E740000}"/>
    <cellStyle name="Normal 80 5 3 5" xfId="23674" xr:uid="{00000000-0005-0000-0000-00003F740000}"/>
    <cellStyle name="Normal 80 5 4" xfId="5876" xr:uid="{00000000-0005-0000-0000-000040740000}"/>
    <cellStyle name="Normal 80 5 4 2" xfId="9753" xr:uid="{00000000-0005-0000-0000-000041740000}"/>
    <cellStyle name="Normal 80 5 4 2 2" xfId="18927" xr:uid="{00000000-0005-0000-0000-000042740000}"/>
    <cellStyle name="Normal 80 5 4 2 2 2" xfId="35501" xr:uid="{00000000-0005-0000-0000-000043740000}"/>
    <cellStyle name="Normal 80 5 4 2 3" xfId="27454" xr:uid="{00000000-0005-0000-0000-000044740000}"/>
    <cellStyle name="Normal 80 5 4 3" xfId="15165" xr:uid="{00000000-0005-0000-0000-000045740000}"/>
    <cellStyle name="Normal 80 5 4 3 2" xfId="31719" xr:uid="{00000000-0005-0000-0000-000046740000}"/>
    <cellStyle name="Normal 80 5 4 4" xfId="23676" xr:uid="{00000000-0005-0000-0000-000047740000}"/>
    <cellStyle name="Normal 80 5 5" xfId="9754" xr:uid="{00000000-0005-0000-0000-000048740000}"/>
    <cellStyle name="Normal 80 5 5 2" xfId="18928" xr:uid="{00000000-0005-0000-0000-000049740000}"/>
    <cellStyle name="Normal 80 5 5 2 2" xfId="35502" xr:uid="{00000000-0005-0000-0000-00004A740000}"/>
    <cellStyle name="Normal 80 5 5 3" xfId="27455" xr:uid="{00000000-0005-0000-0000-00004B740000}"/>
    <cellStyle name="Normal 80 5 6" xfId="15158" xr:uid="{00000000-0005-0000-0000-00004C740000}"/>
    <cellStyle name="Normal 80 5 6 2" xfId="31712" xr:uid="{00000000-0005-0000-0000-00004D740000}"/>
    <cellStyle name="Normal 80 5 7" xfId="23669" xr:uid="{00000000-0005-0000-0000-00004E740000}"/>
    <cellStyle name="Normal 80 6" xfId="5877" xr:uid="{00000000-0005-0000-0000-00004F740000}"/>
    <cellStyle name="Normal 80 6 2" xfId="5878" xr:uid="{00000000-0005-0000-0000-000050740000}"/>
    <cellStyle name="Normal 80 6 2 2" xfId="5879" xr:uid="{00000000-0005-0000-0000-000051740000}"/>
    <cellStyle name="Normal 80 6 2 2 2" xfId="9755" xr:uid="{00000000-0005-0000-0000-000052740000}"/>
    <cellStyle name="Normal 80 6 2 2 2 2" xfId="18929" xr:uid="{00000000-0005-0000-0000-000053740000}"/>
    <cellStyle name="Normal 80 6 2 2 2 2 2" xfId="35503" xr:uid="{00000000-0005-0000-0000-000054740000}"/>
    <cellStyle name="Normal 80 6 2 2 2 3" xfId="27456" xr:uid="{00000000-0005-0000-0000-000055740000}"/>
    <cellStyle name="Normal 80 6 2 2 3" xfId="15168" xr:uid="{00000000-0005-0000-0000-000056740000}"/>
    <cellStyle name="Normal 80 6 2 2 3 2" xfId="31722" xr:uid="{00000000-0005-0000-0000-000057740000}"/>
    <cellStyle name="Normal 80 6 2 2 4" xfId="23679" xr:uid="{00000000-0005-0000-0000-000058740000}"/>
    <cellStyle name="Normal 80 6 2 3" xfId="9756" xr:uid="{00000000-0005-0000-0000-000059740000}"/>
    <cellStyle name="Normal 80 6 2 3 2" xfId="18930" xr:uid="{00000000-0005-0000-0000-00005A740000}"/>
    <cellStyle name="Normal 80 6 2 3 2 2" xfId="35504" xr:uid="{00000000-0005-0000-0000-00005B740000}"/>
    <cellStyle name="Normal 80 6 2 3 3" xfId="27457" xr:uid="{00000000-0005-0000-0000-00005C740000}"/>
    <cellStyle name="Normal 80 6 2 4" xfId="15167" xr:uid="{00000000-0005-0000-0000-00005D740000}"/>
    <cellStyle name="Normal 80 6 2 4 2" xfId="31721" xr:uid="{00000000-0005-0000-0000-00005E740000}"/>
    <cellStyle name="Normal 80 6 2 5" xfId="23678" xr:uid="{00000000-0005-0000-0000-00005F740000}"/>
    <cellStyle name="Normal 80 6 3" xfId="5880" xr:uid="{00000000-0005-0000-0000-000060740000}"/>
    <cellStyle name="Normal 80 6 3 2" xfId="9757" xr:uid="{00000000-0005-0000-0000-000061740000}"/>
    <cellStyle name="Normal 80 6 3 2 2" xfId="18931" xr:uid="{00000000-0005-0000-0000-000062740000}"/>
    <cellStyle name="Normal 80 6 3 2 2 2" xfId="35505" xr:uid="{00000000-0005-0000-0000-000063740000}"/>
    <cellStyle name="Normal 80 6 3 2 3" xfId="27458" xr:uid="{00000000-0005-0000-0000-000064740000}"/>
    <cellStyle name="Normal 80 6 3 3" xfId="15169" xr:uid="{00000000-0005-0000-0000-000065740000}"/>
    <cellStyle name="Normal 80 6 3 3 2" xfId="31723" xr:uid="{00000000-0005-0000-0000-000066740000}"/>
    <cellStyle name="Normal 80 6 3 4" xfId="23680" xr:uid="{00000000-0005-0000-0000-000067740000}"/>
    <cellStyle name="Normal 80 6 4" xfId="9758" xr:uid="{00000000-0005-0000-0000-000068740000}"/>
    <cellStyle name="Normal 80 6 4 2" xfId="18932" xr:uid="{00000000-0005-0000-0000-000069740000}"/>
    <cellStyle name="Normal 80 6 4 2 2" xfId="35506" xr:uid="{00000000-0005-0000-0000-00006A740000}"/>
    <cellStyle name="Normal 80 6 4 3" xfId="27459" xr:uid="{00000000-0005-0000-0000-00006B740000}"/>
    <cellStyle name="Normal 80 6 5" xfId="15166" xr:uid="{00000000-0005-0000-0000-00006C740000}"/>
    <cellStyle name="Normal 80 6 5 2" xfId="31720" xr:uid="{00000000-0005-0000-0000-00006D740000}"/>
    <cellStyle name="Normal 80 6 6" xfId="23677" xr:uid="{00000000-0005-0000-0000-00006E740000}"/>
    <cellStyle name="Normal 80 7" xfId="5881" xr:uid="{00000000-0005-0000-0000-00006F740000}"/>
    <cellStyle name="Normal 80 7 2" xfId="5882" xr:uid="{00000000-0005-0000-0000-000070740000}"/>
    <cellStyle name="Normal 80 7 2 2" xfId="9759" xr:uid="{00000000-0005-0000-0000-000071740000}"/>
    <cellStyle name="Normal 80 7 2 2 2" xfId="18933" xr:uid="{00000000-0005-0000-0000-000072740000}"/>
    <cellStyle name="Normal 80 7 2 2 2 2" xfId="35507" xr:uid="{00000000-0005-0000-0000-000073740000}"/>
    <cellStyle name="Normal 80 7 2 2 3" xfId="27460" xr:uid="{00000000-0005-0000-0000-000074740000}"/>
    <cellStyle name="Normal 80 7 2 3" xfId="15171" xr:uid="{00000000-0005-0000-0000-000075740000}"/>
    <cellStyle name="Normal 80 7 2 3 2" xfId="31725" xr:uid="{00000000-0005-0000-0000-000076740000}"/>
    <cellStyle name="Normal 80 7 2 4" xfId="23682" xr:uid="{00000000-0005-0000-0000-000077740000}"/>
    <cellStyle name="Normal 80 7 3" xfId="9760" xr:uid="{00000000-0005-0000-0000-000078740000}"/>
    <cellStyle name="Normal 80 7 3 2" xfId="18934" xr:uid="{00000000-0005-0000-0000-000079740000}"/>
    <cellStyle name="Normal 80 7 3 2 2" xfId="35508" xr:uid="{00000000-0005-0000-0000-00007A740000}"/>
    <cellStyle name="Normal 80 7 3 3" xfId="27461" xr:uid="{00000000-0005-0000-0000-00007B740000}"/>
    <cellStyle name="Normal 80 7 4" xfId="15170" xr:uid="{00000000-0005-0000-0000-00007C740000}"/>
    <cellStyle name="Normal 80 7 4 2" xfId="31724" xr:uid="{00000000-0005-0000-0000-00007D740000}"/>
    <cellStyle name="Normal 80 7 5" xfId="23681" xr:uid="{00000000-0005-0000-0000-00007E740000}"/>
    <cellStyle name="Normal 80 8" xfId="5883" xr:uid="{00000000-0005-0000-0000-00007F740000}"/>
    <cellStyle name="Normal 80 8 2" xfId="9761" xr:uid="{00000000-0005-0000-0000-000080740000}"/>
    <cellStyle name="Normal 80 8 2 2" xfId="18935" xr:uid="{00000000-0005-0000-0000-000081740000}"/>
    <cellStyle name="Normal 80 8 2 2 2" xfId="35509" xr:uid="{00000000-0005-0000-0000-000082740000}"/>
    <cellStyle name="Normal 80 8 2 3" xfId="27462" xr:uid="{00000000-0005-0000-0000-000083740000}"/>
    <cellStyle name="Normal 80 8 3" xfId="15172" xr:uid="{00000000-0005-0000-0000-000084740000}"/>
    <cellStyle name="Normal 80 8 3 2" xfId="31726" xr:uid="{00000000-0005-0000-0000-000085740000}"/>
    <cellStyle name="Normal 80 8 4" xfId="23683" xr:uid="{00000000-0005-0000-0000-000086740000}"/>
    <cellStyle name="Normal 80 9" xfId="9762" xr:uid="{00000000-0005-0000-0000-000087740000}"/>
    <cellStyle name="Normal 80 9 2" xfId="18936" xr:uid="{00000000-0005-0000-0000-000088740000}"/>
    <cellStyle name="Normal 80 9 2 2" xfId="35510" xr:uid="{00000000-0005-0000-0000-000089740000}"/>
    <cellStyle name="Normal 80 9 3" xfId="27463" xr:uid="{00000000-0005-0000-0000-00008A740000}"/>
    <cellStyle name="Normal 81" xfId="5884" xr:uid="{00000000-0005-0000-0000-00008B740000}"/>
    <cellStyle name="Normal 81 10" xfId="15173" xr:uid="{00000000-0005-0000-0000-00008C740000}"/>
    <cellStyle name="Normal 81 10 2" xfId="31727" xr:uid="{00000000-0005-0000-0000-00008D740000}"/>
    <cellStyle name="Normal 81 11" xfId="23684" xr:uid="{00000000-0005-0000-0000-00008E740000}"/>
    <cellStyle name="Normal 81 2" xfId="5885" xr:uid="{00000000-0005-0000-0000-00008F740000}"/>
    <cellStyle name="Normal 81 2 2" xfId="5886" xr:uid="{00000000-0005-0000-0000-000090740000}"/>
    <cellStyle name="Normal 81 2 3" xfId="15174" xr:uid="{00000000-0005-0000-0000-000091740000}"/>
    <cellStyle name="Normal 81 2 3 2" xfId="31728" xr:uid="{00000000-0005-0000-0000-000092740000}"/>
    <cellStyle name="Normal 81 2 4" xfId="23685" xr:uid="{00000000-0005-0000-0000-000093740000}"/>
    <cellStyle name="Normal 81 3" xfId="5887" xr:uid="{00000000-0005-0000-0000-000094740000}"/>
    <cellStyle name="Normal 81 3 2" xfId="5888" xr:uid="{00000000-0005-0000-0000-000095740000}"/>
    <cellStyle name="Normal 81 3 2 2" xfId="5889" xr:uid="{00000000-0005-0000-0000-000096740000}"/>
    <cellStyle name="Normal 81 3 2 2 2" xfId="5890" xr:uid="{00000000-0005-0000-0000-000097740000}"/>
    <cellStyle name="Normal 81 3 2 2 2 2" xfId="9763" xr:uid="{00000000-0005-0000-0000-000098740000}"/>
    <cellStyle name="Normal 81 3 2 2 2 2 2" xfId="18937" xr:uid="{00000000-0005-0000-0000-000099740000}"/>
    <cellStyle name="Normal 81 3 2 2 2 2 2 2" xfId="35511" xr:uid="{00000000-0005-0000-0000-00009A740000}"/>
    <cellStyle name="Normal 81 3 2 2 2 2 3" xfId="27464" xr:uid="{00000000-0005-0000-0000-00009B740000}"/>
    <cellStyle name="Normal 81 3 2 2 2 3" xfId="15177" xr:uid="{00000000-0005-0000-0000-00009C740000}"/>
    <cellStyle name="Normal 81 3 2 2 2 3 2" xfId="31731" xr:uid="{00000000-0005-0000-0000-00009D740000}"/>
    <cellStyle name="Normal 81 3 2 2 2 4" xfId="23688" xr:uid="{00000000-0005-0000-0000-00009E740000}"/>
    <cellStyle name="Normal 81 3 2 2 3" xfId="9764" xr:uid="{00000000-0005-0000-0000-00009F740000}"/>
    <cellStyle name="Normal 81 3 2 2 3 2" xfId="18938" xr:uid="{00000000-0005-0000-0000-0000A0740000}"/>
    <cellStyle name="Normal 81 3 2 2 3 2 2" xfId="35512" xr:uid="{00000000-0005-0000-0000-0000A1740000}"/>
    <cellStyle name="Normal 81 3 2 2 3 3" xfId="27465" xr:uid="{00000000-0005-0000-0000-0000A2740000}"/>
    <cellStyle name="Normal 81 3 2 2 4" xfId="15176" xr:uid="{00000000-0005-0000-0000-0000A3740000}"/>
    <cellStyle name="Normal 81 3 2 2 4 2" xfId="31730" xr:uid="{00000000-0005-0000-0000-0000A4740000}"/>
    <cellStyle name="Normal 81 3 2 2 5" xfId="23687" xr:uid="{00000000-0005-0000-0000-0000A5740000}"/>
    <cellStyle name="Normal 81 3 2 3" xfId="5891" xr:uid="{00000000-0005-0000-0000-0000A6740000}"/>
    <cellStyle name="Normal 81 3 2 3 2" xfId="9765" xr:uid="{00000000-0005-0000-0000-0000A7740000}"/>
    <cellStyle name="Normal 81 3 2 3 2 2" xfId="18939" xr:uid="{00000000-0005-0000-0000-0000A8740000}"/>
    <cellStyle name="Normal 81 3 2 3 2 2 2" xfId="35513" xr:uid="{00000000-0005-0000-0000-0000A9740000}"/>
    <cellStyle name="Normal 81 3 2 3 2 3" xfId="27466" xr:uid="{00000000-0005-0000-0000-0000AA740000}"/>
    <cellStyle name="Normal 81 3 2 3 3" xfId="15178" xr:uid="{00000000-0005-0000-0000-0000AB740000}"/>
    <cellStyle name="Normal 81 3 2 3 3 2" xfId="31732" xr:uid="{00000000-0005-0000-0000-0000AC740000}"/>
    <cellStyle name="Normal 81 3 2 3 4" xfId="23689" xr:uid="{00000000-0005-0000-0000-0000AD740000}"/>
    <cellStyle name="Normal 81 3 2 4" xfId="9766" xr:uid="{00000000-0005-0000-0000-0000AE740000}"/>
    <cellStyle name="Normal 81 3 2 4 2" xfId="18940" xr:uid="{00000000-0005-0000-0000-0000AF740000}"/>
    <cellStyle name="Normal 81 3 2 4 2 2" xfId="35514" xr:uid="{00000000-0005-0000-0000-0000B0740000}"/>
    <cellStyle name="Normal 81 3 2 4 3" xfId="27467" xr:uid="{00000000-0005-0000-0000-0000B1740000}"/>
    <cellStyle name="Normal 81 3 2 5" xfId="15175" xr:uid="{00000000-0005-0000-0000-0000B2740000}"/>
    <cellStyle name="Normal 81 3 2 5 2" xfId="31729" xr:uid="{00000000-0005-0000-0000-0000B3740000}"/>
    <cellStyle name="Normal 81 3 2 6" xfId="23686" xr:uid="{00000000-0005-0000-0000-0000B4740000}"/>
    <cellStyle name="Normal 81 3 3" xfId="5892" xr:uid="{00000000-0005-0000-0000-0000B5740000}"/>
    <cellStyle name="Normal 81 3 3 2" xfId="5893" xr:uid="{00000000-0005-0000-0000-0000B6740000}"/>
    <cellStyle name="Normal 81 3 3 2 2" xfId="9767" xr:uid="{00000000-0005-0000-0000-0000B7740000}"/>
    <cellStyle name="Normal 81 3 3 2 2 2" xfId="18941" xr:uid="{00000000-0005-0000-0000-0000B8740000}"/>
    <cellStyle name="Normal 81 3 3 2 2 2 2" xfId="35515" xr:uid="{00000000-0005-0000-0000-0000B9740000}"/>
    <cellStyle name="Normal 81 3 3 2 2 3" xfId="27468" xr:uid="{00000000-0005-0000-0000-0000BA740000}"/>
    <cellStyle name="Normal 81 3 3 2 3" xfId="15180" xr:uid="{00000000-0005-0000-0000-0000BB740000}"/>
    <cellStyle name="Normal 81 3 3 2 3 2" xfId="31734" xr:uid="{00000000-0005-0000-0000-0000BC740000}"/>
    <cellStyle name="Normal 81 3 3 2 4" xfId="23691" xr:uid="{00000000-0005-0000-0000-0000BD740000}"/>
    <cellStyle name="Normal 81 3 3 3" xfId="9768" xr:uid="{00000000-0005-0000-0000-0000BE740000}"/>
    <cellStyle name="Normal 81 3 3 3 2" xfId="18942" xr:uid="{00000000-0005-0000-0000-0000BF740000}"/>
    <cellStyle name="Normal 81 3 3 3 2 2" xfId="35516" xr:uid="{00000000-0005-0000-0000-0000C0740000}"/>
    <cellStyle name="Normal 81 3 3 3 3" xfId="27469" xr:uid="{00000000-0005-0000-0000-0000C1740000}"/>
    <cellStyle name="Normal 81 3 3 4" xfId="15179" xr:uid="{00000000-0005-0000-0000-0000C2740000}"/>
    <cellStyle name="Normal 81 3 3 4 2" xfId="31733" xr:uid="{00000000-0005-0000-0000-0000C3740000}"/>
    <cellStyle name="Normal 81 3 3 5" xfId="23690" xr:uid="{00000000-0005-0000-0000-0000C4740000}"/>
    <cellStyle name="Normal 81 3 4" xfId="5894" xr:uid="{00000000-0005-0000-0000-0000C5740000}"/>
    <cellStyle name="Normal 81 3 4 2" xfId="9769" xr:uid="{00000000-0005-0000-0000-0000C6740000}"/>
    <cellStyle name="Normal 81 3 4 2 2" xfId="18943" xr:uid="{00000000-0005-0000-0000-0000C7740000}"/>
    <cellStyle name="Normal 81 3 4 2 2 2" xfId="35517" xr:uid="{00000000-0005-0000-0000-0000C8740000}"/>
    <cellStyle name="Normal 81 3 4 2 3" xfId="27470" xr:uid="{00000000-0005-0000-0000-0000C9740000}"/>
    <cellStyle name="Normal 81 3 4 3" xfId="15181" xr:uid="{00000000-0005-0000-0000-0000CA740000}"/>
    <cellStyle name="Normal 81 3 4 3 2" xfId="31735" xr:uid="{00000000-0005-0000-0000-0000CB740000}"/>
    <cellStyle name="Normal 81 3 4 4" xfId="23692" xr:uid="{00000000-0005-0000-0000-0000CC740000}"/>
    <cellStyle name="Normal 81 3 5" xfId="5895" xr:uid="{00000000-0005-0000-0000-0000CD740000}"/>
    <cellStyle name="Normal 81 3 5 2" xfId="15182" xr:uid="{00000000-0005-0000-0000-0000CE740000}"/>
    <cellStyle name="Normal 81 3 5 2 2" xfId="31736" xr:uid="{00000000-0005-0000-0000-0000CF740000}"/>
    <cellStyle name="Normal 81 3 5 3" xfId="23693" xr:uid="{00000000-0005-0000-0000-0000D0740000}"/>
    <cellStyle name="Normal 81 4" xfId="5896" xr:uid="{00000000-0005-0000-0000-0000D1740000}"/>
    <cellStyle name="Normal 81 4 2" xfId="5897" xr:uid="{00000000-0005-0000-0000-0000D2740000}"/>
    <cellStyle name="Normal 81 4 2 2" xfId="5898" xr:uid="{00000000-0005-0000-0000-0000D3740000}"/>
    <cellStyle name="Normal 81 4 2 2 2" xfId="5899" xr:uid="{00000000-0005-0000-0000-0000D4740000}"/>
    <cellStyle name="Normal 81 4 2 2 2 2" xfId="9770" xr:uid="{00000000-0005-0000-0000-0000D5740000}"/>
    <cellStyle name="Normal 81 4 2 2 2 2 2" xfId="18944" xr:uid="{00000000-0005-0000-0000-0000D6740000}"/>
    <cellStyle name="Normal 81 4 2 2 2 2 2 2" xfId="35518" xr:uid="{00000000-0005-0000-0000-0000D7740000}"/>
    <cellStyle name="Normal 81 4 2 2 2 2 3" xfId="27471" xr:uid="{00000000-0005-0000-0000-0000D8740000}"/>
    <cellStyle name="Normal 81 4 2 2 2 3" xfId="15186" xr:uid="{00000000-0005-0000-0000-0000D9740000}"/>
    <cellStyle name="Normal 81 4 2 2 2 3 2" xfId="31740" xr:uid="{00000000-0005-0000-0000-0000DA740000}"/>
    <cellStyle name="Normal 81 4 2 2 2 4" xfId="23697" xr:uid="{00000000-0005-0000-0000-0000DB740000}"/>
    <cellStyle name="Normal 81 4 2 2 3" xfId="9771" xr:uid="{00000000-0005-0000-0000-0000DC740000}"/>
    <cellStyle name="Normal 81 4 2 2 3 2" xfId="18945" xr:uid="{00000000-0005-0000-0000-0000DD740000}"/>
    <cellStyle name="Normal 81 4 2 2 3 2 2" xfId="35519" xr:uid="{00000000-0005-0000-0000-0000DE740000}"/>
    <cellStyle name="Normal 81 4 2 2 3 3" xfId="27472" xr:uid="{00000000-0005-0000-0000-0000DF740000}"/>
    <cellStyle name="Normal 81 4 2 2 4" xfId="15185" xr:uid="{00000000-0005-0000-0000-0000E0740000}"/>
    <cellStyle name="Normal 81 4 2 2 4 2" xfId="31739" xr:uid="{00000000-0005-0000-0000-0000E1740000}"/>
    <cellStyle name="Normal 81 4 2 2 5" xfId="23696" xr:uid="{00000000-0005-0000-0000-0000E2740000}"/>
    <cellStyle name="Normal 81 4 2 3" xfId="5900" xr:uid="{00000000-0005-0000-0000-0000E3740000}"/>
    <cellStyle name="Normal 81 4 2 3 2" xfId="9772" xr:uid="{00000000-0005-0000-0000-0000E4740000}"/>
    <cellStyle name="Normal 81 4 2 3 2 2" xfId="18946" xr:uid="{00000000-0005-0000-0000-0000E5740000}"/>
    <cellStyle name="Normal 81 4 2 3 2 2 2" xfId="35520" xr:uid="{00000000-0005-0000-0000-0000E6740000}"/>
    <cellStyle name="Normal 81 4 2 3 2 3" xfId="27473" xr:uid="{00000000-0005-0000-0000-0000E7740000}"/>
    <cellStyle name="Normal 81 4 2 3 3" xfId="15187" xr:uid="{00000000-0005-0000-0000-0000E8740000}"/>
    <cellStyle name="Normal 81 4 2 3 3 2" xfId="31741" xr:uid="{00000000-0005-0000-0000-0000E9740000}"/>
    <cellStyle name="Normal 81 4 2 3 4" xfId="23698" xr:uid="{00000000-0005-0000-0000-0000EA740000}"/>
    <cellStyle name="Normal 81 4 2 4" xfId="9773" xr:uid="{00000000-0005-0000-0000-0000EB740000}"/>
    <cellStyle name="Normal 81 4 2 4 2" xfId="18947" xr:uid="{00000000-0005-0000-0000-0000EC740000}"/>
    <cellStyle name="Normal 81 4 2 4 2 2" xfId="35521" xr:uid="{00000000-0005-0000-0000-0000ED740000}"/>
    <cellStyle name="Normal 81 4 2 4 3" xfId="27474" xr:uid="{00000000-0005-0000-0000-0000EE740000}"/>
    <cellStyle name="Normal 81 4 2 5" xfId="15184" xr:uid="{00000000-0005-0000-0000-0000EF740000}"/>
    <cellStyle name="Normal 81 4 2 5 2" xfId="31738" xr:uid="{00000000-0005-0000-0000-0000F0740000}"/>
    <cellStyle name="Normal 81 4 2 6" xfId="23695" xr:uid="{00000000-0005-0000-0000-0000F1740000}"/>
    <cellStyle name="Normal 81 4 3" xfId="5901" xr:uid="{00000000-0005-0000-0000-0000F2740000}"/>
    <cellStyle name="Normal 81 4 3 2" xfId="5902" xr:uid="{00000000-0005-0000-0000-0000F3740000}"/>
    <cellStyle name="Normal 81 4 3 2 2" xfId="9774" xr:uid="{00000000-0005-0000-0000-0000F4740000}"/>
    <cellStyle name="Normal 81 4 3 2 2 2" xfId="18948" xr:uid="{00000000-0005-0000-0000-0000F5740000}"/>
    <cellStyle name="Normal 81 4 3 2 2 2 2" xfId="35522" xr:uid="{00000000-0005-0000-0000-0000F6740000}"/>
    <cellStyle name="Normal 81 4 3 2 2 3" xfId="27475" xr:uid="{00000000-0005-0000-0000-0000F7740000}"/>
    <cellStyle name="Normal 81 4 3 2 3" xfId="15189" xr:uid="{00000000-0005-0000-0000-0000F8740000}"/>
    <cellStyle name="Normal 81 4 3 2 3 2" xfId="31743" xr:uid="{00000000-0005-0000-0000-0000F9740000}"/>
    <cellStyle name="Normal 81 4 3 2 4" xfId="23700" xr:uid="{00000000-0005-0000-0000-0000FA740000}"/>
    <cellStyle name="Normal 81 4 3 3" xfId="9775" xr:uid="{00000000-0005-0000-0000-0000FB740000}"/>
    <cellStyle name="Normal 81 4 3 3 2" xfId="18949" xr:uid="{00000000-0005-0000-0000-0000FC740000}"/>
    <cellStyle name="Normal 81 4 3 3 2 2" xfId="35523" xr:uid="{00000000-0005-0000-0000-0000FD740000}"/>
    <cellStyle name="Normal 81 4 3 3 3" xfId="27476" xr:uid="{00000000-0005-0000-0000-0000FE740000}"/>
    <cellStyle name="Normal 81 4 3 4" xfId="15188" xr:uid="{00000000-0005-0000-0000-0000FF740000}"/>
    <cellStyle name="Normal 81 4 3 4 2" xfId="31742" xr:uid="{00000000-0005-0000-0000-000000750000}"/>
    <cellStyle name="Normal 81 4 3 5" xfId="23699" xr:uid="{00000000-0005-0000-0000-000001750000}"/>
    <cellStyle name="Normal 81 4 4" xfId="5903" xr:uid="{00000000-0005-0000-0000-000002750000}"/>
    <cellStyle name="Normal 81 4 4 2" xfId="9776" xr:uid="{00000000-0005-0000-0000-000003750000}"/>
    <cellStyle name="Normal 81 4 4 2 2" xfId="18950" xr:uid="{00000000-0005-0000-0000-000004750000}"/>
    <cellStyle name="Normal 81 4 4 2 2 2" xfId="35524" xr:uid="{00000000-0005-0000-0000-000005750000}"/>
    <cellStyle name="Normal 81 4 4 2 3" xfId="27477" xr:uid="{00000000-0005-0000-0000-000006750000}"/>
    <cellStyle name="Normal 81 4 4 3" xfId="15190" xr:uid="{00000000-0005-0000-0000-000007750000}"/>
    <cellStyle name="Normal 81 4 4 3 2" xfId="31744" xr:uid="{00000000-0005-0000-0000-000008750000}"/>
    <cellStyle name="Normal 81 4 4 4" xfId="23701" xr:uid="{00000000-0005-0000-0000-000009750000}"/>
    <cellStyle name="Normal 81 4 5" xfId="9777" xr:uid="{00000000-0005-0000-0000-00000A750000}"/>
    <cellStyle name="Normal 81 4 5 2" xfId="18951" xr:uid="{00000000-0005-0000-0000-00000B750000}"/>
    <cellStyle name="Normal 81 4 5 2 2" xfId="35525" xr:uid="{00000000-0005-0000-0000-00000C750000}"/>
    <cellStyle name="Normal 81 4 5 3" xfId="27478" xr:uid="{00000000-0005-0000-0000-00000D750000}"/>
    <cellStyle name="Normal 81 4 6" xfId="15183" xr:uid="{00000000-0005-0000-0000-00000E750000}"/>
    <cellStyle name="Normal 81 4 6 2" xfId="31737" xr:uid="{00000000-0005-0000-0000-00000F750000}"/>
    <cellStyle name="Normal 81 4 7" xfId="23694" xr:uid="{00000000-0005-0000-0000-000010750000}"/>
    <cellStyle name="Normal 81 5" xfId="5904" xr:uid="{00000000-0005-0000-0000-000011750000}"/>
    <cellStyle name="Normal 81 5 2" xfId="5905" xr:uid="{00000000-0005-0000-0000-000012750000}"/>
    <cellStyle name="Normal 81 5 2 2" xfId="5906" xr:uid="{00000000-0005-0000-0000-000013750000}"/>
    <cellStyle name="Normal 81 5 2 2 2" xfId="5907" xr:uid="{00000000-0005-0000-0000-000014750000}"/>
    <cellStyle name="Normal 81 5 2 2 2 2" xfId="9778" xr:uid="{00000000-0005-0000-0000-000015750000}"/>
    <cellStyle name="Normal 81 5 2 2 2 2 2" xfId="18952" xr:uid="{00000000-0005-0000-0000-000016750000}"/>
    <cellStyle name="Normal 81 5 2 2 2 2 2 2" xfId="35526" xr:uid="{00000000-0005-0000-0000-000017750000}"/>
    <cellStyle name="Normal 81 5 2 2 2 2 3" xfId="27479" xr:uid="{00000000-0005-0000-0000-000018750000}"/>
    <cellStyle name="Normal 81 5 2 2 2 3" xfId="15194" xr:uid="{00000000-0005-0000-0000-000019750000}"/>
    <cellStyle name="Normal 81 5 2 2 2 3 2" xfId="31748" xr:uid="{00000000-0005-0000-0000-00001A750000}"/>
    <cellStyle name="Normal 81 5 2 2 2 4" xfId="23705" xr:uid="{00000000-0005-0000-0000-00001B750000}"/>
    <cellStyle name="Normal 81 5 2 2 3" xfId="9779" xr:uid="{00000000-0005-0000-0000-00001C750000}"/>
    <cellStyle name="Normal 81 5 2 2 3 2" xfId="18953" xr:uid="{00000000-0005-0000-0000-00001D750000}"/>
    <cellStyle name="Normal 81 5 2 2 3 2 2" xfId="35527" xr:uid="{00000000-0005-0000-0000-00001E750000}"/>
    <cellStyle name="Normal 81 5 2 2 3 3" xfId="27480" xr:uid="{00000000-0005-0000-0000-00001F750000}"/>
    <cellStyle name="Normal 81 5 2 2 4" xfId="15193" xr:uid="{00000000-0005-0000-0000-000020750000}"/>
    <cellStyle name="Normal 81 5 2 2 4 2" xfId="31747" xr:uid="{00000000-0005-0000-0000-000021750000}"/>
    <cellStyle name="Normal 81 5 2 2 5" xfId="23704" xr:uid="{00000000-0005-0000-0000-000022750000}"/>
    <cellStyle name="Normal 81 5 2 3" xfId="5908" xr:uid="{00000000-0005-0000-0000-000023750000}"/>
    <cellStyle name="Normal 81 5 2 3 2" xfId="9780" xr:uid="{00000000-0005-0000-0000-000024750000}"/>
    <cellStyle name="Normal 81 5 2 3 2 2" xfId="18954" xr:uid="{00000000-0005-0000-0000-000025750000}"/>
    <cellStyle name="Normal 81 5 2 3 2 2 2" xfId="35528" xr:uid="{00000000-0005-0000-0000-000026750000}"/>
    <cellStyle name="Normal 81 5 2 3 2 3" xfId="27481" xr:uid="{00000000-0005-0000-0000-000027750000}"/>
    <cellStyle name="Normal 81 5 2 3 3" xfId="15195" xr:uid="{00000000-0005-0000-0000-000028750000}"/>
    <cellStyle name="Normal 81 5 2 3 3 2" xfId="31749" xr:uid="{00000000-0005-0000-0000-000029750000}"/>
    <cellStyle name="Normal 81 5 2 3 4" xfId="23706" xr:uid="{00000000-0005-0000-0000-00002A750000}"/>
    <cellStyle name="Normal 81 5 2 4" xfId="9781" xr:uid="{00000000-0005-0000-0000-00002B750000}"/>
    <cellStyle name="Normal 81 5 2 4 2" xfId="18955" xr:uid="{00000000-0005-0000-0000-00002C750000}"/>
    <cellStyle name="Normal 81 5 2 4 2 2" xfId="35529" xr:uid="{00000000-0005-0000-0000-00002D750000}"/>
    <cellStyle name="Normal 81 5 2 4 3" xfId="27482" xr:uid="{00000000-0005-0000-0000-00002E750000}"/>
    <cellStyle name="Normal 81 5 2 5" xfId="15192" xr:uid="{00000000-0005-0000-0000-00002F750000}"/>
    <cellStyle name="Normal 81 5 2 5 2" xfId="31746" xr:uid="{00000000-0005-0000-0000-000030750000}"/>
    <cellStyle name="Normal 81 5 2 6" xfId="23703" xr:uid="{00000000-0005-0000-0000-000031750000}"/>
    <cellStyle name="Normal 81 5 3" xfId="5909" xr:uid="{00000000-0005-0000-0000-000032750000}"/>
    <cellStyle name="Normal 81 5 3 2" xfId="5910" xr:uid="{00000000-0005-0000-0000-000033750000}"/>
    <cellStyle name="Normal 81 5 3 2 2" xfId="9782" xr:uid="{00000000-0005-0000-0000-000034750000}"/>
    <cellStyle name="Normal 81 5 3 2 2 2" xfId="18956" xr:uid="{00000000-0005-0000-0000-000035750000}"/>
    <cellStyle name="Normal 81 5 3 2 2 2 2" xfId="35530" xr:uid="{00000000-0005-0000-0000-000036750000}"/>
    <cellStyle name="Normal 81 5 3 2 2 3" xfId="27483" xr:uid="{00000000-0005-0000-0000-000037750000}"/>
    <cellStyle name="Normal 81 5 3 2 3" xfId="15197" xr:uid="{00000000-0005-0000-0000-000038750000}"/>
    <cellStyle name="Normal 81 5 3 2 3 2" xfId="31751" xr:uid="{00000000-0005-0000-0000-000039750000}"/>
    <cellStyle name="Normal 81 5 3 2 4" xfId="23708" xr:uid="{00000000-0005-0000-0000-00003A750000}"/>
    <cellStyle name="Normal 81 5 3 3" xfId="9783" xr:uid="{00000000-0005-0000-0000-00003B750000}"/>
    <cellStyle name="Normal 81 5 3 3 2" xfId="18957" xr:uid="{00000000-0005-0000-0000-00003C750000}"/>
    <cellStyle name="Normal 81 5 3 3 2 2" xfId="35531" xr:uid="{00000000-0005-0000-0000-00003D750000}"/>
    <cellStyle name="Normal 81 5 3 3 3" xfId="27484" xr:uid="{00000000-0005-0000-0000-00003E750000}"/>
    <cellStyle name="Normal 81 5 3 4" xfId="15196" xr:uid="{00000000-0005-0000-0000-00003F750000}"/>
    <cellStyle name="Normal 81 5 3 4 2" xfId="31750" xr:uid="{00000000-0005-0000-0000-000040750000}"/>
    <cellStyle name="Normal 81 5 3 5" xfId="23707" xr:uid="{00000000-0005-0000-0000-000041750000}"/>
    <cellStyle name="Normal 81 5 4" xfId="5911" xr:uid="{00000000-0005-0000-0000-000042750000}"/>
    <cellStyle name="Normal 81 5 4 2" xfId="9784" xr:uid="{00000000-0005-0000-0000-000043750000}"/>
    <cellStyle name="Normal 81 5 4 2 2" xfId="18958" xr:uid="{00000000-0005-0000-0000-000044750000}"/>
    <cellStyle name="Normal 81 5 4 2 2 2" xfId="35532" xr:uid="{00000000-0005-0000-0000-000045750000}"/>
    <cellStyle name="Normal 81 5 4 2 3" xfId="27485" xr:uid="{00000000-0005-0000-0000-000046750000}"/>
    <cellStyle name="Normal 81 5 4 3" xfId="15198" xr:uid="{00000000-0005-0000-0000-000047750000}"/>
    <cellStyle name="Normal 81 5 4 3 2" xfId="31752" xr:uid="{00000000-0005-0000-0000-000048750000}"/>
    <cellStyle name="Normal 81 5 4 4" xfId="23709" xr:uid="{00000000-0005-0000-0000-000049750000}"/>
    <cellStyle name="Normal 81 5 5" xfId="9785" xr:uid="{00000000-0005-0000-0000-00004A750000}"/>
    <cellStyle name="Normal 81 5 5 2" xfId="18959" xr:uid="{00000000-0005-0000-0000-00004B750000}"/>
    <cellStyle name="Normal 81 5 5 2 2" xfId="35533" xr:uid="{00000000-0005-0000-0000-00004C750000}"/>
    <cellStyle name="Normal 81 5 5 3" xfId="27486" xr:uid="{00000000-0005-0000-0000-00004D750000}"/>
    <cellStyle name="Normal 81 5 6" xfId="15191" xr:uid="{00000000-0005-0000-0000-00004E750000}"/>
    <cellStyle name="Normal 81 5 6 2" xfId="31745" xr:uid="{00000000-0005-0000-0000-00004F750000}"/>
    <cellStyle name="Normal 81 5 7" xfId="23702" xr:uid="{00000000-0005-0000-0000-000050750000}"/>
    <cellStyle name="Normal 81 6" xfId="5912" xr:uid="{00000000-0005-0000-0000-000051750000}"/>
    <cellStyle name="Normal 81 6 2" xfId="5913" xr:uid="{00000000-0005-0000-0000-000052750000}"/>
    <cellStyle name="Normal 81 6 2 2" xfId="5914" xr:uid="{00000000-0005-0000-0000-000053750000}"/>
    <cellStyle name="Normal 81 6 2 2 2" xfId="9786" xr:uid="{00000000-0005-0000-0000-000054750000}"/>
    <cellStyle name="Normal 81 6 2 2 2 2" xfId="18960" xr:uid="{00000000-0005-0000-0000-000055750000}"/>
    <cellStyle name="Normal 81 6 2 2 2 2 2" xfId="35534" xr:uid="{00000000-0005-0000-0000-000056750000}"/>
    <cellStyle name="Normal 81 6 2 2 2 3" xfId="27487" xr:uid="{00000000-0005-0000-0000-000057750000}"/>
    <cellStyle name="Normal 81 6 2 2 3" xfId="15201" xr:uid="{00000000-0005-0000-0000-000058750000}"/>
    <cellStyle name="Normal 81 6 2 2 3 2" xfId="31755" xr:uid="{00000000-0005-0000-0000-000059750000}"/>
    <cellStyle name="Normal 81 6 2 2 4" xfId="23712" xr:uid="{00000000-0005-0000-0000-00005A750000}"/>
    <cellStyle name="Normal 81 6 2 3" xfId="9787" xr:uid="{00000000-0005-0000-0000-00005B750000}"/>
    <cellStyle name="Normal 81 6 2 3 2" xfId="18961" xr:uid="{00000000-0005-0000-0000-00005C750000}"/>
    <cellStyle name="Normal 81 6 2 3 2 2" xfId="35535" xr:uid="{00000000-0005-0000-0000-00005D750000}"/>
    <cellStyle name="Normal 81 6 2 3 3" xfId="27488" xr:uid="{00000000-0005-0000-0000-00005E750000}"/>
    <cellStyle name="Normal 81 6 2 4" xfId="15200" xr:uid="{00000000-0005-0000-0000-00005F750000}"/>
    <cellStyle name="Normal 81 6 2 4 2" xfId="31754" xr:uid="{00000000-0005-0000-0000-000060750000}"/>
    <cellStyle name="Normal 81 6 2 5" xfId="23711" xr:uid="{00000000-0005-0000-0000-000061750000}"/>
    <cellStyle name="Normal 81 6 3" xfId="5915" xr:uid="{00000000-0005-0000-0000-000062750000}"/>
    <cellStyle name="Normal 81 6 3 2" xfId="9788" xr:uid="{00000000-0005-0000-0000-000063750000}"/>
    <cellStyle name="Normal 81 6 3 2 2" xfId="18962" xr:uid="{00000000-0005-0000-0000-000064750000}"/>
    <cellStyle name="Normal 81 6 3 2 2 2" xfId="35536" xr:uid="{00000000-0005-0000-0000-000065750000}"/>
    <cellStyle name="Normal 81 6 3 2 3" xfId="27489" xr:uid="{00000000-0005-0000-0000-000066750000}"/>
    <cellStyle name="Normal 81 6 3 3" xfId="15202" xr:uid="{00000000-0005-0000-0000-000067750000}"/>
    <cellStyle name="Normal 81 6 3 3 2" xfId="31756" xr:uid="{00000000-0005-0000-0000-000068750000}"/>
    <cellStyle name="Normal 81 6 3 4" xfId="23713" xr:uid="{00000000-0005-0000-0000-000069750000}"/>
    <cellStyle name="Normal 81 6 4" xfId="9789" xr:uid="{00000000-0005-0000-0000-00006A750000}"/>
    <cellStyle name="Normal 81 6 4 2" xfId="18963" xr:uid="{00000000-0005-0000-0000-00006B750000}"/>
    <cellStyle name="Normal 81 6 4 2 2" xfId="35537" xr:uid="{00000000-0005-0000-0000-00006C750000}"/>
    <cellStyle name="Normal 81 6 4 3" xfId="27490" xr:uid="{00000000-0005-0000-0000-00006D750000}"/>
    <cellStyle name="Normal 81 6 5" xfId="15199" xr:uid="{00000000-0005-0000-0000-00006E750000}"/>
    <cellStyle name="Normal 81 6 5 2" xfId="31753" xr:uid="{00000000-0005-0000-0000-00006F750000}"/>
    <cellStyle name="Normal 81 6 6" xfId="23710" xr:uid="{00000000-0005-0000-0000-000070750000}"/>
    <cellStyle name="Normal 81 7" xfId="5916" xr:uid="{00000000-0005-0000-0000-000071750000}"/>
    <cellStyle name="Normal 81 7 2" xfId="5917" xr:uid="{00000000-0005-0000-0000-000072750000}"/>
    <cellStyle name="Normal 81 7 2 2" xfId="9790" xr:uid="{00000000-0005-0000-0000-000073750000}"/>
    <cellStyle name="Normal 81 7 2 2 2" xfId="18964" xr:uid="{00000000-0005-0000-0000-000074750000}"/>
    <cellStyle name="Normal 81 7 2 2 2 2" xfId="35538" xr:uid="{00000000-0005-0000-0000-000075750000}"/>
    <cellStyle name="Normal 81 7 2 2 3" xfId="27491" xr:uid="{00000000-0005-0000-0000-000076750000}"/>
    <cellStyle name="Normal 81 7 2 3" xfId="15204" xr:uid="{00000000-0005-0000-0000-000077750000}"/>
    <cellStyle name="Normal 81 7 2 3 2" xfId="31758" xr:uid="{00000000-0005-0000-0000-000078750000}"/>
    <cellStyle name="Normal 81 7 2 4" xfId="23715" xr:uid="{00000000-0005-0000-0000-000079750000}"/>
    <cellStyle name="Normal 81 7 3" xfId="9791" xr:uid="{00000000-0005-0000-0000-00007A750000}"/>
    <cellStyle name="Normal 81 7 3 2" xfId="18965" xr:uid="{00000000-0005-0000-0000-00007B750000}"/>
    <cellStyle name="Normal 81 7 3 2 2" xfId="35539" xr:uid="{00000000-0005-0000-0000-00007C750000}"/>
    <cellStyle name="Normal 81 7 3 3" xfId="27492" xr:uid="{00000000-0005-0000-0000-00007D750000}"/>
    <cellStyle name="Normal 81 7 4" xfId="15203" xr:uid="{00000000-0005-0000-0000-00007E750000}"/>
    <cellStyle name="Normal 81 7 4 2" xfId="31757" xr:uid="{00000000-0005-0000-0000-00007F750000}"/>
    <cellStyle name="Normal 81 7 5" xfId="23714" xr:uid="{00000000-0005-0000-0000-000080750000}"/>
    <cellStyle name="Normal 81 8" xfId="5918" xr:uid="{00000000-0005-0000-0000-000081750000}"/>
    <cellStyle name="Normal 81 8 2" xfId="9792" xr:uid="{00000000-0005-0000-0000-000082750000}"/>
    <cellStyle name="Normal 81 8 2 2" xfId="18966" xr:uid="{00000000-0005-0000-0000-000083750000}"/>
    <cellStyle name="Normal 81 8 2 2 2" xfId="35540" xr:uid="{00000000-0005-0000-0000-000084750000}"/>
    <cellStyle name="Normal 81 8 2 3" xfId="27493" xr:uid="{00000000-0005-0000-0000-000085750000}"/>
    <cellStyle name="Normal 81 8 3" xfId="15205" xr:uid="{00000000-0005-0000-0000-000086750000}"/>
    <cellStyle name="Normal 81 8 3 2" xfId="31759" xr:uid="{00000000-0005-0000-0000-000087750000}"/>
    <cellStyle name="Normal 81 8 4" xfId="23716" xr:uid="{00000000-0005-0000-0000-000088750000}"/>
    <cellStyle name="Normal 81 9" xfId="9793" xr:uid="{00000000-0005-0000-0000-000089750000}"/>
    <cellStyle name="Normal 81 9 2" xfId="18967" xr:uid="{00000000-0005-0000-0000-00008A750000}"/>
    <cellStyle name="Normal 81 9 2 2" xfId="35541" xr:uid="{00000000-0005-0000-0000-00008B750000}"/>
    <cellStyle name="Normal 81 9 3" xfId="27494" xr:uid="{00000000-0005-0000-0000-00008C750000}"/>
    <cellStyle name="Normal 82" xfId="5919" xr:uid="{00000000-0005-0000-0000-00008D750000}"/>
    <cellStyle name="Normal 82 10" xfId="15206" xr:uid="{00000000-0005-0000-0000-00008E750000}"/>
    <cellStyle name="Normal 82 10 2" xfId="31760" xr:uid="{00000000-0005-0000-0000-00008F750000}"/>
    <cellStyle name="Normal 82 11" xfId="23717" xr:uid="{00000000-0005-0000-0000-000090750000}"/>
    <cellStyle name="Normal 82 2" xfId="5920" xr:uid="{00000000-0005-0000-0000-000091750000}"/>
    <cellStyle name="Normal 82 2 2" xfId="5921" xr:uid="{00000000-0005-0000-0000-000092750000}"/>
    <cellStyle name="Normal 82 2 3" xfId="15207" xr:uid="{00000000-0005-0000-0000-000093750000}"/>
    <cellStyle name="Normal 82 2 3 2" xfId="31761" xr:uid="{00000000-0005-0000-0000-000094750000}"/>
    <cellStyle name="Normal 82 2 4" xfId="23718" xr:uid="{00000000-0005-0000-0000-000095750000}"/>
    <cellStyle name="Normal 82 3" xfId="5922" xr:uid="{00000000-0005-0000-0000-000096750000}"/>
    <cellStyle name="Normal 82 3 2" xfId="5923" xr:uid="{00000000-0005-0000-0000-000097750000}"/>
    <cellStyle name="Normal 82 3 2 2" xfId="5924" xr:uid="{00000000-0005-0000-0000-000098750000}"/>
    <cellStyle name="Normal 82 3 2 2 2" xfId="5925" xr:uid="{00000000-0005-0000-0000-000099750000}"/>
    <cellStyle name="Normal 82 3 2 2 2 2" xfId="9794" xr:uid="{00000000-0005-0000-0000-00009A750000}"/>
    <cellStyle name="Normal 82 3 2 2 2 2 2" xfId="18968" xr:uid="{00000000-0005-0000-0000-00009B750000}"/>
    <cellStyle name="Normal 82 3 2 2 2 2 2 2" xfId="35542" xr:uid="{00000000-0005-0000-0000-00009C750000}"/>
    <cellStyle name="Normal 82 3 2 2 2 2 3" xfId="27495" xr:uid="{00000000-0005-0000-0000-00009D750000}"/>
    <cellStyle name="Normal 82 3 2 2 2 3" xfId="15210" xr:uid="{00000000-0005-0000-0000-00009E750000}"/>
    <cellStyle name="Normal 82 3 2 2 2 3 2" xfId="31764" xr:uid="{00000000-0005-0000-0000-00009F750000}"/>
    <cellStyle name="Normal 82 3 2 2 2 4" xfId="23721" xr:uid="{00000000-0005-0000-0000-0000A0750000}"/>
    <cellStyle name="Normal 82 3 2 2 3" xfId="9795" xr:uid="{00000000-0005-0000-0000-0000A1750000}"/>
    <cellStyle name="Normal 82 3 2 2 3 2" xfId="18969" xr:uid="{00000000-0005-0000-0000-0000A2750000}"/>
    <cellStyle name="Normal 82 3 2 2 3 2 2" xfId="35543" xr:uid="{00000000-0005-0000-0000-0000A3750000}"/>
    <cellStyle name="Normal 82 3 2 2 3 3" xfId="27496" xr:uid="{00000000-0005-0000-0000-0000A4750000}"/>
    <cellStyle name="Normal 82 3 2 2 4" xfId="15209" xr:uid="{00000000-0005-0000-0000-0000A5750000}"/>
    <cellStyle name="Normal 82 3 2 2 4 2" xfId="31763" xr:uid="{00000000-0005-0000-0000-0000A6750000}"/>
    <cellStyle name="Normal 82 3 2 2 5" xfId="23720" xr:uid="{00000000-0005-0000-0000-0000A7750000}"/>
    <cellStyle name="Normal 82 3 2 3" xfId="5926" xr:uid="{00000000-0005-0000-0000-0000A8750000}"/>
    <cellStyle name="Normal 82 3 2 3 2" xfId="9796" xr:uid="{00000000-0005-0000-0000-0000A9750000}"/>
    <cellStyle name="Normal 82 3 2 3 2 2" xfId="18970" xr:uid="{00000000-0005-0000-0000-0000AA750000}"/>
    <cellStyle name="Normal 82 3 2 3 2 2 2" xfId="35544" xr:uid="{00000000-0005-0000-0000-0000AB750000}"/>
    <cellStyle name="Normal 82 3 2 3 2 3" xfId="27497" xr:uid="{00000000-0005-0000-0000-0000AC750000}"/>
    <cellStyle name="Normal 82 3 2 3 3" xfId="15211" xr:uid="{00000000-0005-0000-0000-0000AD750000}"/>
    <cellStyle name="Normal 82 3 2 3 3 2" xfId="31765" xr:uid="{00000000-0005-0000-0000-0000AE750000}"/>
    <cellStyle name="Normal 82 3 2 3 4" xfId="23722" xr:uid="{00000000-0005-0000-0000-0000AF750000}"/>
    <cellStyle name="Normal 82 3 2 4" xfId="9797" xr:uid="{00000000-0005-0000-0000-0000B0750000}"/>
    <cellStyle name="Normal 82 3 2 4 2" xfId="18971" xr:uid="{00000000-0005-0000-0000-0000B1750000}"/>
    <cellStyle name="Normal 82 3 2 4 2 2" xfId="35545" xr:uid="{00000000-0005-0000-0000-0000B2750000}"/>
    <cellStyle name="Normal 82 3 2 4 3" xfId="27498" xr:uid="{00000000-0005-0000-0000-0000B3750000}"/>
    <cellStyle name="Normal 82 3 2 5" xfId="15208" xr:uid="{00000000-0005-0000-0000-0000B4750000}"/>
    <cellStyle name="Normal 82 3 2 5 2" xfId="31762" xr:uid="{00000000-0005-0000-0000-0000B5750000}"/>
    <cellStyle name="Normal 82 3 2 6" xfId="23719" xr:uid="{00000000-0005-0000-0000-0000B6750000}"/>
    <cellStyle name="Normal 82 3 3" xfId="5927" xr:uid="{00000000-0005-0000-0000-0000B7750000}"/>
    <cellStyle name="Normal 82 3 3 2" xfId="5928" xr:uid="{00000000-0005-0000-0000-0000B8750000}"/>
    <cellStyle name="Normal 82 3 3 2 2" xfId="9798" xr:uid="{00000000-0005-0000-0000-0000B9750000}"/>
    <cellStyle name="Normal 82 3 3 2 2 2" xfId="18972" xr:uid="{00000000-0005-0000-0000-0000BA750000}"/>
    <cellStyle name="Normal 82 3 3 2 2 2 2" xfId="35546" xr:uid="{00000000-0005-0000-0000-0000BB750000}"/>
    <cellStyle name="Normal 82 3 3 2 2 3" xfId="27499" xr:uid="{00000000-0005-0000-0000-0000BC750000}"/>
    <cellStyle name="Normal 82 3 3 2 3" xfId="15213" xr:uid="{00000000-0005-0000-0000-0000BD750000}"/>
    <cellStyle name="Normal 82 3 3 2 3 2" xfId="31767" xr:uid="{00000000-0005-0000-0000-0000BE750000}"/>
    <cellStyle name="Normal 82 3 3 2 4" xfId="23724" xr:uid="{00000000-0005-0000-0000-0000BF750000}"/>
    <cellStyle name="Normal 82 3 3 3" xfId="9799" xr:uid="{00000000-0005-0000-0000-0000C0750000}"/>
    <cellStyle name="Normal 82 3 3 3 2" xfId="18973" xr:uid="{00000000-0005-0000-0000-0000C1750000}"/>
    <cellStyle name="Normal 82 3 3 3 2 2" xfId="35547" xr:uid="{00000000-0005-0000-0000-0000C2750000}"/>
    <cellStyle name="Normal 82 3 3 3 3" xfId="27500" xr:uid="{00000000-0005-0000-0000-0000C3750000}"/>
    <cellStyle name="Normal 82 3 3 4" xfId="15212" xr:uid="{00000000-0005-0000-0000-0000C4750000}"/>
    <cellStyle name="Normal 82 3 3 4 2" xfId="31766" xr:uid="{00000000-0005-0000-0000-0000C5750000}"/>
    <cellStyle name="Normal 82 3 3 5" xfId="23723" xr:uid="{00000000-0005-0000-0000-0000C6750000}"/>
    <cellStyle name="Normal 82 3 4" xfId="5929" xr:uid="{00000000-0005-0000-0000-0000C7750000}"/>
    <cellStyle name="Normal 82 3 4 2" xfId="9800" xr:uid="{00000000-0005-0000-0000-0000C8750000}"/>
    <cellStyle name="Normal 82 3 4 2 2" xfId="18974" xr:uid="{00000000-0005-0000-0000-0000C9750000}"/>
    <cellStyle name="Normal 82 3 4 2 2 2" xfId="35548" xr:uid="{00000000-0005-0000-0000-0000CA750000}"/>
    <cellStyle name="Normal 82 3 4 2 3" xfId="27501" xr:uid="{00000000-0005-0000-0000-0000CB750000}"/>
    <cellStyle name="Normal 82 3 4 3" xfId="15214" xr:uid="{00000000-0005-0000-0000-0000CC750000}"/>
    <cellStyle name="Normal 82 3 4 3 2" xfId="31768" xr:uid="{00000000-0005-0000-0000-0000CD750000}"/>
    <cellStyle name="Normal 82 3 4 4" xfId="23725" xr:uid="{00000000-0005-0000-0000-0000CE750000}"/>
    <cellStyle name="Normal 82 3 5" xfId="5930" xr:uid="{00000000-0005-0000-0000-0000CF750000}"/>
    <cellStyle name="Normal 82 3 5 2" xfId="15215" xr:uid="{00000000-0005-0000-0000-0000D0750000}"/>
    <cellStyle name="Normal 82 3 5 2 2" xfId="31769" xr:uid="{00000000-0005-0000-0000-0000D1750000}"/>
    <cellStyle name="Normal 82 3 5 3" xfId="23726" xr:uid="{00000000-0005-0000-0000-0000D2750000}"/>
    <cellStyle name="Normal 82 4" xfId="5931" xr:uid="{00000000-0005-0000-0000-0000D3750000}"/>
    <cellStyle name="Normal 82 4 2" xfId="5932" xr:uid="{00000000-0005-0000-0000-0000D4750000}"/>
    <cellStyle name="Normal 82 4 2 2" xfId="5933" xr:uid="{00000000-0005-0000-0000-0000D5750000}"/>
    <cellStyle name="Normal 82 4 2 2 2" xfId="5934" xr:uid="{00000000-0005-0000-0000-0000D6750000}"/>
    <cellStyle name="Normal 82 4 2 2 2 2" xfId="9801" xr:uid="{00000000-0005-0000-0000-0000D7750000}"/>
    <cellStyle name="Normal 82 4 2 2 2 2 2" xfId="18975" xr:uid="{00000000-0005-0000-0000-0000D8750000}"/>
    <cellStyle name="Normal 82 4 2 2 2 2 2 2" xfId="35549" xr:uid="{00000000-0005-0000-0000-0000D9750000}"/>
    <cellStyle name="Normal 82 4 2 2 2 2 3" xfId="27502" xr:uid="{00000000-0005-0000-0000-0000DA750000}"/>
    <cellStyle name="Normal 82 4 2 2 2 3" xfId="15219" xr:uid="{00000000-0005-0000-0000-0000DB750000}"/>
    <cellStyle name="Normal 82 4 2 2 2 3 2" xfId="31773" xr:uid="{00000000-0005-0000-0000-0000DC750000}"/>
    <cellStyle name="Normal 82 4 2 2 2 4" xfId="23730" xr:uid="{00000000-0005-0000-0000-0000DD750000}"/>
    <cellStyle name="Normal 82 4 2 2 3" xfId="9802" xr:uid="{00000000-0005-0000-0000-0000DE750000}"/>
    <cellStyle name="Normal 82 4 2 2 3 2" xfId="18976" xr:uid="{00000000-0005-0000-0000-0000DF750000}"/>
    <cellStyle name="Normal 82 4 2 2 3 2 2" xfId="35550" xr:uid="{00000000-0005-0000-0000-0000E0750000}"/>
    <cellStyle name="Normal 82 4 2 2 3 3" xfId="27503" xr:uid="{00000000-0005-0000-0000-0000E1750000}"/>
    <cellStyle name="Normal 82 4 2 2 4" xfId="15218" xr:uid="{00000000-0005-0000-0000-0000E2750000}"/>
    <cellStyle name="Normal 82 4 2 2 4 2" xfId="31772" xr:uid="{00000000-0005-0000-0000-0000E3750000}"/>
    <cellStyle name="Normal 82 4 2 2 5" xfId="23729" xr:uid="{00000000-0005-0000-0000-0000E4750000}"/>
    <cellStyle name="Normal 82 4 2 3" xfId="5935" xr:uid="{00000000-0005-0000-0000-0000E5750000}"/>
    <cellStyle name="Normal 82 4 2 3 2" xfId="9803" xr:uid="{00000000-0005-0000-0000-0000E6750000}"/>
    <cellStyle name="Normal 82 4 2 3 2 2" xfId="18977" xr:uid="{00000000-0005-0000-0000-0000E7750000}"/>
    <cellStyle name="Normal 82 4 2 3 2 2 2" xfId="35551" xr:uid="{00000000-0005-0000-0000-0000E8750000}"/>
    <cellStyle name="Normal 82 4 2 3 2 3" xfId="27504" xr:uid="{00000000-0005-0000-0000-0000E9750000}"/>
    <cellStyle name="Normal 82 4 2 3 3" xfId="15220" xr:uid="{00000000-0005-0000-0000-0000EA750000}"/>
    <cellStyle name="Normal 82 4 2 3 3 2" xfId="31774" xr:uid="{00000000-0005-0000-0000-0000EB750000}"/>
    <cellStyle name="Normal 82 4 2 3 4" xfId="23731" xr:uid="{00000000-0005-0000-0000-0000EC750000}"/>
    <cellStyle name="Normal 82 4 2 4" xfId="9804" xr:uid="{00000000-0005-0000-0000-0000ED750000}"/>
    <cellStyle name="Normal 82 4 2 4 2" xfId="18978" xr:uid="{00000000-0005-0000-0000-0000EE750000}"/>
    <cellStyle name="Normal 82 4 2 4 2 2" xfId="35552" xr:uid="{00000000-0005-0000-0000-0000EF750000}"/>
    <cellStyle name="Normal 82 4 2 4 3" xfId="27505" xr:uid="{00000000-0005-0000-0000-0000F0750000}"/>
    <cellStyle name="Normal 82 4 2 5" xfId="15217" xr:uid="{00000000-0005-0000-0000-0000F1750000}"/>
    <cellStyle name="Normal 82 4 2 5 2" xfId="31771" xr:uid="{00000000-0005-0000-0000-0000F2750000}"/>
    <cellStyle name="Normal 82 4 2 6" xfId="23728" xr:uid="{00000000-0005-0000-0000-0000F3750000}"/>
    <cellStyle name="Normal 82 4 3" xfId="5936" xr:uid="{00000000-0005-0000-0000-0000F4750000}"/>
    <cellStyle name="Normal 82 4 3 2" xfId="5937" xr:uid="{00000000-0005-0000-0000-0000F5750000}"/>
    <cellStyle name="Normal 82 4 3 2 2" xfId="9805" xr:uid="{00000000-0005-0000-0000-0000F6750000}"/>
    <cellStyle name="Normal 82 4 3 2 2 2" xfId="18979" xr:uid="{00000000-0005-0000-0000-0000F7750000}"/>
    <cellStyle name="Normal 82 4 3 2 2 2 2" xfId="35553" xr:uid="{00000000-0005-0000-0000-0000F8750000}"/>
    <cellStyle name="Normal 82 4 3 2 2 3" xfId="27506" xr:uid="{00000000-0005-0000-0000-0000F9750000}"/>
    <cellStyle name="Normal 82 4 3 2 3" xfId="15222" xr:uid="{00000000-0005-0000-0000-0000FA750000}"/>
    <cellStyle name="Normal 82 4 3 2 3 2" xfId="31776" xr:uid="{00000000-0005-0000-0000-0000FB750000}"/>
    <cellStyle name="Normal 82 4 3 2 4" xfId="23733" xr:uid="{00000000-0005-0000-0000-0000FC750000}"/>
    <cellStyle name="Normal 82 4 3 3" xfId="9806" xr:uid="{00000000-0005-0000-0000-0000FD750000}"/>
    <cellStyle name="Normal 82 4 3 3 2" xfId="18980" xr:uid="{00000000-0005-0000-0000-0000FE750000}"/>
    <cellStyle name="Normal 82 4 3 3 2 2" xfId="35554" xr:uid="{00000000-0005-0000-0000-0000FF750000}"/>
    <cellStyle name="Normal 82 4 3 3 3" xfId="27507" xr:uid="{00000000-0005-0000-0000-000000760000}"/>
    <cellStyle name="Normal 82 4 3 4" xfId="15221" xr:uid="{00000000-0005-0000-0000-000001760000}"/>
    <cellStyle name="Normal 82 4 3 4 2" xfId="31775" xr:uid="{00000000-0005-0000-0000-000002760000}"/>
    <cellStyle name="Normal 82 4 3 5" xfId="23732" xr:uid="{00000000-0005-0000-0000-000003760000}"/>
    <cellStyle name="Normal 82 4 4" xfId="5938" xr:uid="{00000000-0005-0000-0000-000004760000}"/>
    <cellStyle name="Normal 82 4 4 2" xfId="9807" xr:uid="{00000000-0005-0000-0000-000005760000}"/>
    <cellStyle name="Normal 82 4 4 2 2" xfId="18981" xr:uid="{00000000-0005-0000-0000-000006760000}"/>
    <cellStyle name="Normal 82 4 4 2 2 2" xfId="35555" xr:uid="{00000000-0005-0000-0000-000007760000}"/>
    <cellStyle name="Normal 82 4 4 2 3" xfId="27508" xr:uid="{00000000-0005-0000-0000-000008760000}"/>
    <cellStyle name="Normal 82 4 4 3" xfId="15223" xr:uid="{00000000-0005-0000-0000-000009760000}"/>
    <cellStyle name="Normal 82 4 4 3 2" xfId="31777" xr:uid="{00000000-0005-0000-0000-00000A760000}"/>
    <cellStyle name="Normal 82 4 4 4" xfId="23734" xr:uid="{00000000-0005-0000-0000-00000B760000}"/>
    <cellStyle name="Normal 82 4 5" xfId="9808" xr:uid="{00000000-0005-0000-0000-00000C760000}"/>
    <cellStyle name="Normal 82 4 5 2" xfId="18982" xr:uid="{00000000-0005-0000-0000-00000D760000}"/>
    <cellStyle name="Normal 82 4 5 2 2" xfId="35556" xr:uid="{00000000-0005-0000-0000-00000E760000}"/>
    <cellStyle name="Normal 82 4 5 3" xfId="27509" xr:uid="{00000000-0005-0000-0000-00000F760000}"/>
    <cellStyle name="Normal 82 4 6" xfId="15216" xr:uid="{00000000-0005-0000-0000-000010760000}"/>
    <cellStyle name="Normal 82 4 6 2" xfId="31770" xr:uid="{00000000-0005-0000-0000-000011760000}"/>
    <cellStyle name="Normal 82 4 7" xfId="23727" xr:uid="{00000000-0005-0000-0000-000012760000}"/>
    <cellStyle name="Normal 82 5" xfId="5939" xr:uid="{00000000-0005-0000-0000-000013760000}"/>
    <cellStyle name="Normal 82 5 2" xfId="5940" xr:uid="{00000000-0005-0000-0000-000014760000}"/>
    <cellStyle name="Normal 82 5 2 2" xfId="5941" xr:uid="{00000000-0005-0000-0000-000015760000}"/>
    <cellStyle name="Normal 82 5 2 2 2" xfId="5942" xr:uid="{00000000-0005-0000-0000-000016760000}"/>
    <cellStyle name="Normal 82 5 2 2 2 2" xfId="9809" xr:uid="{00000000-0005-0000-0000-000017760000}"/>
    <cellStyle name="Normal 82 5 2 2 2 2 2" xfId="18983" xr:uid="{00000000-0005-0000-0000-000018760000}"/>
    <cellStyle name="Normal 82 5 2 2 2 2 2 2" xfId="35557" xr:uid="{00000000-0005-0000-0000-000019760000}"/>
    <cellStyle name="Normal 82 5 2 2 2 2 3" xfId="27510" xr:uid="{00000000-0005-0000-0000-00001A760000}"/>
    <cellStyle name="Normal 82 5 2 2 2 3" xfId="15227" xr:uid="{00000000-0005-0000-0000-00001B760000}"/>
    <cellStyle name="Normal 82 5 2 2 2 3 2" xfId="31781" xr:uid="{00000000-0005-0000-0000-00001C760000}"/>
    <cellStyle name="Normal 82 5 2 2 2 4" xfId="23738" xr:uid="{00000000-0005-0000-0000-00001D760000}"/>
    <cellStyle name="Normal 82 5 2 2 3" xfId="9810" xr:uid="{00000000-0005-0000-0000-00001E760000}"/>
    <cellStyle name="Normal 82 5 2 2 3 2" xfId="18984" xr:uid="{00000000-0005-0000-0000-00001F760000}"/>
    <cellStyle name="Normal 82 5 2 2 3 2 2" xfId="35558" xr:uid="{00000000-0005-0000-0000-000020760000}"/>
    <cellStyle name="Normal 82 5 2 2 3 3" xfId="27511" xr:uid="{00000000-0005-0000-0000-000021760000}"/>
    <cellStyle name="Normal 82 5 2 2 4" xfId="15226" xr:uid="{00000000-0005-0000-0000-000022760000}"/>
    <cellStyle name="Normal 82 5 2 2 4 2" xfId="31780" xr:uid="{00000000-0005-0000-0000-000023760000}"/>
    <cellStyle name="Normal 82 5 2 2 5" xfId="23737" xr:uid="{00000000-0005-0000-0000-000024760000}"/>
    <cellStyle name="Normal 82 5 2 3" xfId="5943" xr:uid="{00000000-0005-0000-0000-000025760000}"/>
    <cellStyle name="Normal 82 5 2 3 2" xfId="9811" xr:uid="{00000000-0005-0000-0000-000026760000}"/>
    <cellStyle name="Normal 82 5 2 3 2 2" xfId="18985" xr:uid="{00000000-0005-0000-0000-000027760000}"/>
    <cellStyle name="Normal 82 5 2 3 2 2 2" xfId="35559" xr:uid="{00000000-0005-0000-0000-000028760000}"/>
    <cellStyle name="Normal 82 5 2 3 2 3" xfId="27512" xr:uid="{00000000-0005-0000-0000-000029760000}"/>
    <cellStyle name="Normal 82 5 2 3 3" xfId="15228" xr:uid="{00000000-0005-0000-0000-00002A760000}"/>
    <cellStyle name="Normal 82 5 2 3 3 2" xfId="31782" xr:uid="{00000000-0005-0000-0000-00002B760000}"/>
    <cellStyle name="Normal 82 5 2 3 4" xfId="23739" xr:uid="{00000000-0005-0000-0000-00002C760000}"/>
    <cellStyle name="Normal 82 5 2 4" xfId="9812" xr:uid="{00000000-0005-0000-0000-00002D760000}"/>
    <cellStyle name="Normal 82 5 2 4 2" xfId="18986" xr:uid="{00000000-0005-0000-0000-00002E760000}"/>
    <cellStyle name="Normal 82 5 2 4 2 2" xfId="35560" xr:uid="{00000000-0005-0000-0000-00002F760000}"/>
    <cellStyle name="Normal 82 5 2 4 3" xfId="27513" xr:uid="{00000000-0005-0000-0000-000030760000}"/>
    <cellStyle name="Normal 82 5 2 5" xfId="15225" xr:uid="{00000000-0005-0000-0000-000031760000}"/>
    <cellStyle name="Normal 82 5 2 5 2" xfId="31779" xr:uid="{00000000-0005-0000-0000-000032760000}"/>
    <cellStyle name="Normal 82 5 2 6" xfId="23736" xr:uid="{00000000-0005-0000-0000-000033760000}"/>
    <cellStyle name="Normal 82 5 3" xfId="5944" xr:uid="{00000000-0005-0000-0000-000034760000}"/>
    <cellStyle name="Normal 82 5 3 2" xfId="5945" xr:uid="{00000000-0005-0000-0000-000035760000}"/>
    <cellStyle name="Normal 82 5 3 2 2" xfId="9813" xr:uid="{00000000-0005-0000-0000-000036760000}"/>
    <cellStyle name="Normal 82 5 3 2 2 2" xfId="18987" xr:uid="{00000000-0005-0000-0000-000037760000}"/>
    <cellStyle name="Normal 82 5 3 2 2 2 2" xfId="35561" xr:uid="{00000000-0005-0000-0000-000038760000}"/>
    <cellStyle name="Normal 82 5 3 2 2 3" xfId="27514" xr:uid="{00000000-0005-0000-0000-000039760000}"/>
    <cellStyle name="Normal 82 5 3 2 3" xfId="15230" xr:uid="{00000000-0005-0000-0000-00003A760000}"/>
    <cellStyle name="Normal 82 5 3 2 3 2" xfId="31784" xr:uid="{00000000-0005-0000-0000-00003B760000}"/>
    <cellStyle name="Normal 82 5 3 2 4" xfId="23741" xr:uid="{00000000-0005-0000-0000-00003C760000}"/>
    <cellStyle name="Normal 82 5 3 3" xfId="9814" xr:uid="{00000000-0005-0000-0000-00003D760000}"/>
    <cellStyle name="Normal 82 5 3 3 2" xfId="18988" xr:uid="{00000000-0005-0000-0000-00003E760000}"/>
    <cellStyle name="Normal 82 5 3 3 2 2" xfId="35562" xr:uid="{00000000-0005-0000-0000-00003F760000}"/>
    <cellStyle name="Normal 82 5 3 3 3" xfId="27515" xr:uid="{00000000-0005-0000-0000-000040760000}"/>
    <cellStyle name="Normal 82 5 3 4" xfId="15229" xr:uid="{00000000-0005-0000-0000-000041760000}"/>
    <cellStyle name="Normal 82 5 3 4 2" xfId="31783" xr:uid="{00000000-0005-0000-0000-000042760000}"/>
    <cellStyle name="Normal 82 5 3 5" xfId="23740" xr:uid="{00000000-0005-0000-0000-000043760000}"/>
    <cellStyle name="Normal 82 5 4" xfId="5946" xr:uid="{00000000-0005-0000-0000-000044760000}"/>
    <cellStyle name="Normal 82 5 4 2" xfId="9815" xr:uid="{00000000-0005-0000-0000-000045760000}"/>
    <cellStyle name="Normal 82 5 4 2 2" xfId="18989" xr:uid="{00000000-0005-0000-0000-000046760000}"/>
    <cellStyle name="Normal 82 5 4 2 2 2" xfId="35563" xr:uid="{00000000-0005-0000-0000-000047760000}"/>
    <cellStyle name="Normal 82 5 4 2 3" xfId="27516" xr:uid="{00000000-0005-0000-0000-000048760000}"/>
    <cellStyle name="Normal 82 5 4 3" xfId="15231" xr:uid="{00000000-0005-0000-0000-000049760000}"/>
    <cellStyle name="Normal 82 5 4 3 2" xfId="31785" xr:uid="{00000000-0005-0000-0000-00004A760000}"/>
    <cellStyle name="Normal 82 5 4 4" xfId="23742" xr:uid="{00000000-0005-0000-0000-00004B760000}"/>
    <cellStyle name="Normal 82 5 5" xfId="9816" xr:uid="{00000000-0005-0000-0000-00004C760000}"/>
    <cellStyle name="Normal 82 5 5 2" xfId="18990" xr:uid="{00000000-0005-0000-0000-00004D760000}"/>
    <cellStyle name="Normal 82 5 5 2 2" xfId="35564" xr:uid="{00000000-0005-0000-0000-00004E760000}"/>
    <cellStyle name="Normal 82 5 5 3" xfId="27517" xr:uid="{00000000-0005-0000-0000-00004F760000}"/>
    <cellStyle name="Normal 82 5 6" xfId="15224" xr:uid="{00000000-0005-0000-0000-000050760000}"/>
    <cellStyle name="Normal 82 5 6 2" xfId="31778" xr:uid="{00000000-0005-0000-0000-000051760000}"/>
    <cellStyle name="Normal 82 5 7" xfId="23735" xr:uid="{00000000-0005-0000-0000-000052760000}"/>
    <cellStyle name="Normal 82 6" xfId="5947" xr:uid="{00000000-0005-0000-0000-000053760000}"/>
    <cellStyle name="Normal 82 6 2" xfId="5948" xr:uid="{00000000-0005-0000-0000-000054760000}"/>
    <cellStyle name="Normal 82 6 2 2" xfId="5949" xr:uid="{00000000-0005-0000-0000-000055760000}"/>
    <cellStyle name="Normal 82 6 2 2 2" xfId="9817" xr:uid="{00000000-0005-0000-0000-000056760000}"/>
    <cellStyle name="Normal 82 6 2 2 2 2" xfId="18991" xr:uid="{00000000-0005-0000-0000-000057760000}"/>
    <cellStyle name="Normal 82 6 2 2 2 2 2" xfId="35565" xr:uid="{00000000-0005-0000-0000-000058760000}"/>
    <cellStyle name="Normal 82 6 2 2 2 3" xfId="27518" xr:uid="{00000000-0005-0000-0000-000059760000}"/>
    <cellStyle name="Normal 82 6 2 2 3" xfId="15234" xr:uid="{00000000-0005-0000-0000-00005A760000}"/>
    <cellStyle name="Normal 82 6 2 2 3 2" xfId="31788" xr:uid="{00000000-0005-0000-0000-00005B760000}"/>
    <cellStyle name="Normal 82 6 2 2 4" xfId="23745" xr:uid="{00000000-0005-0000-0000-00005C760000}"/>
    <cellStyle name="Normal 82 6 2 3" xfId="9818" xr:uid="{00000000-0005-0000-0000-00005D760000}"/>
    <cellStyle name="Normal 82 6 2 3 2" xfId="18992" xr:uid="{00000000-0005-0000-0000-00005E760000}"/>
    <cellStyle name="Normal 82 6 2 3 2 2" xfId="35566" xr:uid="{00000000-0005-0000-0000-00005F760000}"/>
    <cellStyle name="Normal 82 6 2 3 3" xfId="27519" xr:uid="{00000000-0005-0000-0000-000060760000}"/>
    <cellStyle name="Normal 82 6 2 4" xfId="15233" xr:uid="{00000000-0005-0000-0000-000061760000}"/>
    <cellStyle name="Normal 82 6 2 4 2" xfId="31787" xr:uid="{00000000-0005-0000-0000-000062760000}"/>
    <cellStyle name="Normal 82 6 2 5" xfId="23744" xr:uid="{00000000-0005-0000-0000-000063760000}"/>
    <cellStyle name="Normal 82 6 3" xfId="5950" xr:uid="{00000000-0005-0000-0000-000064760000}"/>
    <cellStyle name="Normal 82 6 3 2" xfId="9819" xr:uid="{00000000-0005-0000-0000-000065760000}"/>
    <cellStyle name="Normal 82 6 3 2 2" xfId="18993" xr:uid="{00000000-0005-0000-0000-000066760000}"/>
    <cellStyle name="Normal 82 6 3 2 2 2" xfId="35567" xr:uid="{00000000-0005-0000-0000-000067760000}"/>
    <cellStyle name="Normal 82 6 3 2 3" xfId="27520" xr:uid="{00000000-0005-0000-0000-000068760000}"/>
    <cellStyle name="Normal 82 6 3 3" xfId="15235" xr:uid="{00000000-0005-0000-0000-000069760000}"/>
    <cellStyle name="Normal 82 6 3 3 2" xfId="31789" xr:uid="{00000000-0005-0000-0000-00006A760000}"/>
    <cellStyle name="Normal 82 6 3 4" xfId="23746" xr:uid="{00000000-0005-0000-0000-00006B760000}"/>
    <cellStyle name="Normal 82 6 4" xfId="9820" xr:uid="{00000000-0005-0000-0000-00006C760000}"/>
    <cellStyle name="Normal 82 6 4 2" xfId="18994" xr:uid="{00000000-0005-0000-0000-00006D760000}"/>
    <cellStyle name="Normal 82 6 4 2 2" xfId="35568" xr:uid="{00000000-0005-0000-0000-00006E760000}"/>
    <cellStyle name="Normal 82 6 4 3" xfId="27521" xr:uid="{00000000-0005-0000-0000-00006F760000}"/>
    <cellStyle name="Normal 82 6 5" xfId="15232" xr:uid="{00000000-0005-0000-0000-000070760000}"/>
    <cellStyle name="Normal 82 6 5 2" xfId="31786" xr:uid="{00000000-0005-0000-0000-000071760000}"/>
    <cellStyle name="Normal 82 6 6" xfId="23743" xr:uid="{00000000-0005-0000-0000-000072760000}"/>
    <cellStyle name="Normal 82 7" xfId="5951" xr:uid="{00000000-0005-0000-0000-000073760000}"/>
    <cellStyle name="Normal 82 7 2" xfId="5952" xr:uid="{00000000-0005-0000-0000-000074760000}"/>
    <cellStyle name="Normal 82 7 2 2" xfId="9821" xr:uid="{00000000-0005-0000-0000-000075760000}"/>
    <cellStyle name="Normal 82 7 2 2 2" xfId="18995" xr:uid="{00000000-0005-0000-0000-000076760000}"/>
    <cellStyle name="Normal 82 7 2 2 2 2" xfId="35569" xr:uid="{00000000-0005-0000-0000-000077760000}"/>
    <cellStyle name="Normal 82 7 2 2 3" xfId="27522" xr:uid="{00000000-0005-0000-0000-000078760000}"/>
    <cellStyle name="Normal 82 7 2 3" xfId="15237" xr:uid="{00000000-0005-0000-0000-000079760000}"/>
    <cellStyle name="Normal 82 7 2 3 2" xfId="31791" xr:uid="{00000000-0005-0000-0000-00007A760000}"/>
    <cellStyle name="Normal 82 7 2 4" xfId="23748" xr:uid="{00000000-0005-0000-0000-00007B760000}"/>
    <cellStyle name="Normal 82 7 3" xfId="9822" xr:uid="{00000000-0005-0000-0000-00007C760000}"/>
    <cellStyle name="Normal 82 7 3 2" xfId="18996" xr:uid="{00000000-0005-0000-0000-00007D760000}"/>
    <cellStyle name="Normal 82 7 3 2 2" xfId="35570" xr:uid="{00000000-0005-0000-0000-00007E760000}"/>
    <cellStyle name="Normal 82 7 3 3" xfId="27523" xr:uid="{00000000-0005-0000-0000-00007F760000}"/>
    <cellStyle name="Normal 82 7 4" xfId="15236" xr:uid="{00000000-0005-0000-0000-000080760000}"/>
    <cellStyle name="Normal 82 7 4 2" xfId="31790" xr:uid="{00000000-0005-0000-0000-000081760000}"/>
    <cellStyle name="Normal 82 7 5" xfId="23747" xr:uid="{00000000-0005-0000-0000-000082760000}"/>
    <cellStyle name="Normal 82 8" xfId="5953" xr:uid="{00000000-0005-0000-0000-000083760000}"/>
    <cellStyle name="Normal 82 8 2" xfId="9823" xr:uid="{00000000-0005-0000-0000-000084760000}"/>
    <cellStyle name="Normal 82 8 2 2" xfId="18997" xr:uid="{00000000-0005-0000-0000-000085760000}"/>
    <cellStyle name="Normal 82 8 2 2 2" xfId="35571" xr:uid="{00000000-0005-0000-0000-000086760000}"/>
    <cellStyle name="Normal 82 8 2 3" xfId="27524" xr:uid="{00000000-0005-0000-0000-000087760000}"/>
    <cellStyle name="Normal 82 8 3" xfId="15238" xr:uid="{00000000-0005-0000-0000-000088760000}"/>
    <cellStyle name="Normal 82 8 3 2" xfId="31792" xr:uid="{00000000-0005-0000-0000-000089760000}"/>
    <cellStyle name="Normal 82 8 4" xfId="23749" xr:uid="{00000000-0005-0000-0000-00008A760000}"/>
    <cellStyle name="Normal 82 9" xfId="9824" xr:uid="{00000000-0005-0000-0000-00008B760000}"/>
    <cellStyle name="Normal 82 9 2" xfId="18998" xr:uid="{00000000-0005-0000-0000-00008C760000}"/>
    <cellStyle name="Normal 82 9 2 2" xfId="35572" xr:uid="{00000000-0005-0000-0000-00008D760000}"/>
    <cellStyle name="Normal 82 9 3" xfId="27525" xr:uid="{00000000-0005-0000-0000-00008E760000}"/>
    <cellStyle name="Normal 83" xfId="5954" xr:uid="{00000000-0005-0000-0000-00008F760000}"/>
    <cellStyle name="Normal 83 10" xfId="15239" xr:uid="{00000000-0005-0000-0000-000090760000}"/>
    <cellStyle name="Normal 83 10 2" xfId="31793" xr:uid="{00000000-0005-0000-0000-000091760000}"/>
    <cellStyle name="Normal 83 11" xfId="23750" xr:uid="{00000000-0005-0000-0000-000092760000}"/>
    <cellStyle name="Normal 83 2" xfId="5955" xr:uid="{00000000-0005-0000-0000-000093760000}"/>
    <cellStyle name="Normal 83 2 2" xfId="5956" xr:uid="{00000000-0005-0000-0000-000094760000}"/>
    <cellStyle name="Normal 83 2 3" xfId="15240" xr:uid="{00000000-0005-0000-0000-000095760000}"/>
    <cellStyle name="Normal 83 2 3 2" xfId="31794" xr:uid="{00000000-0005-0000-0000-000096760000}"/>
    <cellStyle name="Normal 83 2 4" xfId="23751" xr:uid="{00000000-0005-0000-0000-000097760000}"/>
    <cellStyle name="Normal 83 3" xfId="5957" xr:uid="{00000000-0005-0000-0000-000098760000}"/>
    <cellStyle name="Normal 83 3 2" xfId="5958" xr:uid="{00000000-0005-0000-0000-000099760000}"/>
    <cellStyle name="Normal 83 3 2 2" xfId="5959" xr:uid="{00000000-0005-0000-0000-00009A760000}"/>
    <cellStyle name="Normal 83 3 2 2 2" xfId="5960" xr:uid="{00000000-0005-0000-0000-00009B760000}"/>
    <cellStyle name="Normal 83 3 2 2 2 2" xfId="9825" xr:uid="{00000000-0005-0000-0000-00009C760000}"/>
    <cellStyle name="Normal 83 3 2 2 2 2 2" xfId="18999" xr:uid="{00000000-0005-0000-0000-00009D760000}"/>
    <cellStyle name="Normal 83 3 2 2 2 2 2 2" xfId="35573" xr:uid="{00000000-0005-0000-0000-00009E760000}"/>
    <cellStyle name="Normal 83 3 2 2 2 2 3" xfId="27526" xr:uid="{00000000-0005-0000-0000-00009F760000}"/>
    <cellStyle name="Normal 83 3 2 2 2 3" xfId="15243" xr:uid="{00000000-0005-0000-0000-0000A0760000}"/>
    <cellStyle name="Normal 83 3 2 2 2 3 2" xfId="31797" xr:uid="{00000000-0005-0000-0000-0000A1760000}"/>
    <cellStyle name="Normal 83 3 2 2 2 4" xfId="23754" xr:uid="{00000000-0005-0000-0000-0000A2760000}"/>
    <cellStyle name="Normal 83 3 2 2 3" xfId="9826" xr:uid="{00000000-0005-0000-0000-0000A3760000}"/>
    <cellStyle name="Normal 83 3 2 2 3 2" xfId="19000" xr:uid="{00000000-0005-0000-0000-0000A4760000}"/>
    <cellStyle name="Normal 83 3 2 2 3 2 2" xfId="35574" xr:uid="{00000000-0005-0000-0000-0000A5760000}"/>
    <cellStyle name="Normal 83 3 2 2 3 3" xfId="27527" xr:uid="{00000000-0005-0000-0000-0000A6760000}"/>
    <cellStyle name="Normal 83 3 2 2 4" xfId="15242" xr:uid="{00000000-0005-0000-0000-0000A7760000}"/>
    <cellStyle name="Normal 83 3 2 2 4 2" xfId="31796" xr:uid="{00000000-0005-0000-0000-0000A8760000}"/>
    <cellStyle name="Normal 83 3 2 2 5" xfId="23753" xr:uid="{00000000-0005-0000-0000-0000A9760000}"/>
    <cellStyle name="Normal 83 3 2 3" xfId="5961" xr:uid="{00000000-0005-0000-0000-0000AA760000}"/>
    <cellStyle name="Normal 83 3 2 3 2" xfId="9827" xr:uid="{00000000-0005-0000-0000-0000AB760000}"/>
    <cellStyle name="Normal 83 3 2 3 2 2" xfId="19001" xr:uid="{00000000-0005-0000-0000-0000AC760000}"/>
    <cellStyle name="Normal 83 3 2 3 2 2 2" xfId="35575" xr:uid="{00000000-0005-0000-0000-0000AD760000}"/>
    <cellStyle name="Normal 83 3 2 3 2 3" xfId="27528" xr:uid="{00000000-0005-0000-0000-0000AE760000}"/>
    <cellStyle name="Normal 83 3 2 3 3" xfId="15244" xr:uid="{00000000-0005-0000-0000-0000AF760000}"/>
    <cellStyle name="Normal 83 3 2 3 3 2" xfId="31798" xr:uid="{00000000-0005-0000-0000-0000B0760000}"/>
    <cellStyle name="Normal 83 3 2 3 4" xfId="23755" xr:uid="{00000000-0005-0000-0000-0000B1760000}"/>
    <cellStyle name="Normal 83 3 2 4" xfId="9828" xr:uid="{00000000-0005-0000-0000-0000B2760000}"/>
    <cellStyle name="Normal 83 3 2 4 2" xfId="19002" xr:uid="{00000000-0005-0000-0000-0000B3760000}"/>
    <cellStyle name="Normal 83 3 2 4 2 2" xfId="35576" xr:uid="{00000000-0005-0000-0000-0000B4760000}"/>
    <cellStyle name="Normal 83 3 2 4 3" xfId="27529" xr:uid="{00000000-0005-0000-0000-0000B5760000}"/>
    <cellStyle name="Normal 83 3 2 5" xfId="15241" xr:uid="{00000000-0005-0000-0000-0000B6760000}"/>
    <cellStyle name="Normal 83 3 2 5 2" xfId="31795" xr:uid="{00000000-0005-0000-0000-0000B7760000}"/>
    <cellStyle name="Normal 83 3 2 6" xfId="23752" xr:uid="{00000000-0005-0000-0000-0000B8760000}"/>
    <cellStyle name="Normal 83 3 3" xfId="5962" xr:uid="{00000000-0005-0000-0000-0000B9760000}"/>
    <cellStyle name="Normal 83 3 3 2" xfId="5963" xr:uid="{00000000-0005-0000-0000-0000BA760000}"/>
    <cellStyle name="Normal 83 3 3 2 2" xfId="9829" xr:uid="{00000000-0005-0000-0000-0000BB760000}"/>
    <cellStyle name="Normal 83 3 3 2 2 2" xfId="19003" xr:uid="{00000000-0005-0000-0000-0000BC760000}"/>
    <cellStyle name="Normal 83 3 3 2 2 2 2" xfId="35577" xr:uid="{00000000-0005-0000-0000-0000BD760000}"/>
    <cellStyle name="Normal 83 3 3 2 2 3" xfId="27530" xr:uid="{00000000-0005-0000-0000-0000BE760000}"/>
    <cellStyle name="Normal 83 3 3 2 3" xfId="15246" xr:uid="{00000000-0005-0000-0000-0000BF760000}"/>
    <cellStyle name="Normal 83 3 3 2 3 2" xfId="31800" xr:uid="{00000000-0005-0000-0000-0000C0760000}"/>
    <cellStyle name="Normal 83 3 3 2 4" xfId="23757" xr:uid="{00000000-0005-0000-0000-0000C1760000}"/>
    <cellStyle name="Normal 83 3 3 3" xfId="9830" xr:uid="{00000000-0005-0000-0000-0000C2760000}"/>
    <cellStyle name="Normal 83 3 3 3 2" xfId="19004" xr:uid="{00000000-0005-0000-0000-0000C3760000}"/>
    <cellStyle name="Normal 83 3 3 3 2 2" xfId="35578" xr:uid="{00000000-0005-0000-0000-0000C4760000}"/>
    <cellStyle name="Normal 83 3 3 3 3" xfId="27531" xr:uid="{00000000-0005-0000-0000-0000C5760000}"/>
    <cellStyle name="Normal 83 3 3 4" xfId="15245" xr:uid="{00000000-0005-0000-0000-0000C6760000}"/>
    <cellStyle name="Normal 83 3 3 4 2" xfId="31799" xr:uid="{00000000-0005-0000-0000-0000C7760000}"/>
    <cellStyle name="Normal 83 3 3 5" xfId="23756" xr:uid="{00000000-0005-0000-0000-0000C8760000}"/>
    <cellStyle name="Normal 83 3 4" xfId="5964" xr:uid="{00000000-0005-0000-0000-0000C9760000}"/>
    <cellStyle name="Normal 83 3 4 2" xfId="9831" xr:uid="{00000000-0005-0000-0000-0000CA760000}"/>
    <cellStyle name="Normal 83 3 4 2 2" xfId="19005" xr:uid="{00000000-0005-0000-0000-0000CB760000}"/>
    <cellStyle name="Normal 83 3 4 2 2 2" xfId="35579" xr:uid="{00000000-0005-0000-0000-0000CC760000}"/>
    <cellStyle name="Normal 83 3 4 2 3" xfId="27532" xr:uid="{00000000-0005-0000-0000-0000CD760000}"/>
    <cellStyle name="Normal 83 3 4 3" xfId="15247" xr:uid="{00000000-0005-0000-0000-0000CE760000}"/>
    <cellStyle name="Normal 83 3 4 3 2" xfId="31801" xr:uid="{00000000-0005-0000-0000-0000CF760000}"/>
    <cellStyle name="Normal 83 3 4 4" xfId="23758" xr:uid="{00000000-0005-0000-0000-0000D0760000}"/>
    <cellStyle name="Normal 83 3 5" xfId="5965" xr:uid="{00000000-0005-0000-0000-0000D1760000}"/>
    <cellStyle name="Normal 83 3 5 2" xfId="15248" xr:uid="{00000000-0005-0000-0000-0000D2760000}"/>
    <cellStyle name="Normal 83 3 5 2 2" xfId="31802" xr:uid="{00000000-0005-0000-0000-0000D3760000}"/>
    <cellStyle name="Normal 83 3 5 3" xfId="23759" xr:uid="{00000000-0005-0000-0000-0000D4760000}"/>
    <cellStyle name="Normal 83 4" xfId="5966" xr:uid="{00000000-0005-0000-0000-0000D5760000}"/>
    <cellStyle name="Normal 83 4 2" xfId="5967" xr:uid="{00000000-0005-0000-0000-0000D6760000}"/>
    <cellStyle name="Normal 83 4 2 2" xfId="5968" xr:uid="{00000000-0005-0000-0000-0000D7760000}"/>
    <cellStyle name="Normal 83 4 2 2 2" xfId="5969" xr:uid="{00000000-0005-0000-0000-0000D8760000}"/>
    <cellStyle name="Normal 83 4 2 2 2 2" xfId="9832" xr:uid="{00000000-0005-0000-0000-0000D9760000}"/>
    <cellStyle name="Normal 83 4 2 2 2 2 2" xfId="19006" xr:uid="{00000000-0005-0000-0000-0000DA760000}"/>
    <cellStyle name="Normal 83 4 2 2 2 2 2 2" xfId="35580" xr:uid="{00000000-0005-0000-0000-0000DB760000}"/>
    <cellStyle name="Normal 83 4 2 2 2 2 3" xfId="27533" xr:uid="{00000000-0005-0000-0000-0000DC760000}"/>
    <cellStyle name="Normal 83 4 2 2 2 3" xfId="15252" xr:uid="{00000000-0005-0000-0000-0000DD760000}"/>
    <cellStyle name="Normal 83 4 2 2 2 3 2" xfId="31806" xr:uid="{00000000-0005-0000-0000-0000DE760000}"/>
    <cellStyle name="Normal 83 4 2 2 2 4" xfId="23763" xr:uid="{00000000-0005-0000-0000-0000DF760000}"/>
    <cellStyle name="Normal 83 4 2 2 3" xfId="9833" xr:uid="{00000000-0005-0000-0000-0000E0760000}"/>
    <cellStyle name="Normal 83 4 2 2 3 2" xfId="19007" xr:uid="{00000000-0005-0000-0000-0000E1760000}"/>
    <cellStyle name="Normal 83 4 2 2 3 2 2" xfId="35581" xr:uid="{00000000-0005-0000-0000-0000E2760000}"/>
    <cellStyle name="Normal 83 4 2 2 3 3" xfId="27534" xr:uid="{00000000-0005-0000-0000-0000E3760000}"/>
    <cellStyle name="Normal 83 4 2 2 4" xfId="15251" xr:uid="{00000000-0005-0000-0000-0000E4760000}"/>
    <cellStyle name="Normal 83 4 2 2 4 2" xfId="31805" xr:uid="{00000000-0005-0000-0000-0000E5760000}"/>
    <cellStyle name="Normal 83 4 2 2 5" xfId="23762" xr:uid="{00000000-0005-0000-0000-0000E6760000}"/>
    <cellStyle name="Normal 83 4 2 3" xfId="5970" xr:uid="{00000000-0005-0000-0000-0000E7760000}"/>
    <cellStyle name="Normal 83 4 2 3 2" xfId="9834" xr:uid="{00000000-0005-0000-0000-0000E8760000}"/>
    <cellStyle name="Normal 83 4 2 3 2 2" xfId="19008" xr:uid="{00000000-0005-0000-0000-0000E9760000}"/>
    <cellStyle name="Normal 83 4 2 3 2 2 2" xfId="35582" xr:uid="{00000000-0005-0000-0000-0000EA760000}"/>
    <cellStyle name="Normal 83 4 2 3 2 3" xfId="27535" xr:uid="{00000000-0005-0000-0000-0000EB760000}"/>
    <cellStyle name="Normal 83 4 2 3 3" xfId="15253" xr:uid="{00000000-0005-0000-0000-0000EC760000}"/>
    <cellStyle name="Normal 83 4 2 3 3 2" xfId="31807" xr:uid="{00000000-0005-0000-0000-0000ED760000}"/>
    <cellStyle name="Normal 83 4 2 3 4" xfId="23764" xr:uid="{00000000-0005-0000-0000-0000EE760000}"/>
    <cellStyle name="Normal 83 4 2 4" xfId="9835" xr:uid="{00000000-0005-0000-0000-0000EF760000}"/>
    <cellStyle name="Normal 83 4 2 4 2" xfId="19009" xr:uid="{00000000-0005-0000-0000-0000F0760000}"/>
    <cellStyle name="Normal 83 4 2 4 2 2" xfId="35583" xr:uid="{00000000-0005-0000-0000-0000F1760000}"/>
    <cellStyle name="Normal 83 4 2 4 3" xfId="27536" xr:uid="{00000000-0005-0000-0000-0000F2760000}"/>
    <cellStyle name="Normal 83 4 2 5" xfId="15250" xr:uid="{00000000-0005-0000-0000-0000F3760000}"/>
    <cellStyle name="Normal 83 4 2 5 2" xfId="31804" xr:uid="{00000000-0005-0000-0000-0000F4760000}"/>
    <cellStyle name="Normal 83 4 2 6" xfId="23761" xr:uid="{00000000-0005-0000-0000-0000F5760000}"/>
    <cellStyle name="Normal 83 4 3" xfId="5971" xr:uid="{00000000-0005-0000-0000-0000F6760000}"/>
    <cellStyle name="Normal 83 4 3 2" xfId="5972" xr:uid="{00000000-0005-0000-0000-0000F7760000}"/>
    <cellStyle name="Normal 83 4 3 2 2" xfId="9836" xr:uid="{00000000-0005-0000-0000-0000F8760000}"/>
    <cellStyle name="Normal 83 4 3 2 2 2" xfId="19010" xr:uid="{00000000-0005-0000-0000-0000F9760000}"/>
    <cellStyle name="Normal 83 4 3 2 2 2 2" xfId="35584" xr:uid="{00000000-0005-0000-0000-0000FA760000}"/>
    <cellStyle name="Normal 83 4 3 2 2 3" xfId="27537" xr:uid="{00000000-0005-0000-0000-0000FB760000}"/>
    <cellStyle name="Normal 83 4 3 2 3" xfId="15255" xr:uid="{00000000-0005-0000-0000-0000FC760000}"/>
    <cellStyle name="Normal 83 4 3 2 3 2" xfId="31809" xr:uid="{00000000-0005-0000-0000-0000FD760000}"/>
    <cellStyle name="Normal 83 4 3 2 4" xfId="23766" xr:uid="{00000000-0005-0000-0000-0000FE760000}"/>
    <cellStyle name="Normal 83 4 3 3" xfId="9837" xr:uid="{00000000-0005-0000-0000-0000FF760000}"/>
    <cellStyle name="Normal 83 4 3 3 2" xfId="19011" xr:uid="{00000000-0005-0000-0000-000000770000}"/>
    <cellStyle name="Normal 83 4 3 3 2 2" xfId="35585" xr:uid="{00000000-0005-0000-0000-000001770000}"/>
    <cellStyle name="Normal 83 4 3 3 3" xfId="27538" xr:uid="{00000000-0005-0000-0000-000002770000}"/>
    <cellStyle name="Normal 83 4 3 4" xfId="15254" xr:uid="{00000000-0005-0000-0000-000003770000}"/>
    <cellStyle name="Normal 83 4 3 4 2" xfId="31808" xr:uid="{00000000-0005-0000-0000-000004770000}"/>
    <cellStyle name="Normal 83 4 3 5" xfId="23765" xr:uid="{00000000-0005-0000-0000-000005770000}"/>
    <cellStyle name="Normal 83 4 4" xfId="5973" xr:uid="{00000000-0005-0000-0000-000006770000}"/>
    <cellStyle name="Normal 83 4 4 2" xfId="9838" xr:uid="{00000000-0005-0000-0000-000007770000}"/>
    <cellStyle name="Normal 83 4 4 2 2" xfId="19012" xr:uid="{00000000-0005-0000-0000-000008770000}"/>
    <cellStyle name="Normal 83 4 4 2 2 2" xfId="35586" xr:uid="{00000000-0005-0000-0000-000009770000}"/>
    <cellStyle name="Normal 83 4 4 2 3" xfId="27539" xr:uid="{00000000-0005-0000-0000-00000A770000}"/>
    <cellStyle name="Normal 83 4 4 3" xfId="15256" xr:uid="{00000000-0005-0000-0000-00000B770000}"/>
    <cellStyle name="Normal 83 4 4 3 2" xfId="31810" xr:uid="{00000000-0005-0000-0000-00000C770000}"/>
    <cellStyle name="Normal 83 4 4 4" xfId="23767" xr:uid="{00000000-0005-0000-0000-00000D770000}"/>
    <cellStyle name="Normal 83 4 5" xfId="9839" xr:uid="{00000000-0005-0000-0000-00000E770000}"/>
    <cellStyle name="Normal 83 4 5 2" xfId="19013" xr:uid="{00000000-0005-0000-0000-00000F770000}"/>
    <cellStyle name="Normal 83 4 5 2 2" xfId="35587" xr:uid="{00000000-0005-0000-0000-000010770000}"/>
    <cellStyle name="Normal 83 4 5 3" xfId="27540" xr:uid="{00000000-0005-0000-0000-000011770000}"/>
    <cellStyle name="Normal 83 4 6" xfId="15249" xr:uid="{00000000-0005-0000-0000-000012770000}"/>
    <cellStyle name="Normal 83 4 6 2" xfId="31803" xr:uid="{00000000-0005-0000-0000-000013770000}"/>
    <cellStyle name="Normal 83 4 7" xfId="23760" xr:uid="{00000000-0005-0000-0000-000014770000}"/>
    <cellStyle name="Normal 83 5" xfId="5974" xr:uid="{00000000-0005-0000-0000-000015770000}"/>
    <cellStyle name="Normal 83 5 2" xfId="5975" xr:uid="{00000000-0005-0000-0000-000016770000}"/>
    <cellStyle name="Normal 83 5 2 2" xfId="5976" xr:uid="{00000000-0005-0000-0000-000017770000}"/>
    <cellStyle name="Normal 83 5 2 2 2" xfId="5977" xr:uid="{00000000-0005-0000-0000-000018770000}"/>
    <cellStyle name="Normal 83 5 2 2 2 2" xfId="9840" xr:uid="{00000000-0005-0000-0000-000019770000}"/>
    <cellStyle name="Normal 83 5 2 2 2 2 2" xfId="19014" xr:uid="{00000000-0005-0000-0000-00001A770000}"/>
    <cellStyle name="Normal 83 5 2 2 2 2 2 2" xfId="35588" xr:uid="{00000000-0005-0000-0000-00001B770000}"/>
    <cellStyle name="Normal 83 5 2 2 2 2 3" xfId="27541" xr:uid="{00000000-0005-0000-0000-00001C770000}"/>
    <cellStyle name="Normal 83 5 2 2 2 3" xfId="15260" xr:uid="{00000000-0005-0000-0000-00001D770000}"/>
    <cellStyle name="Normal 83 5 2 2 2 3 2" xfId="31814" xr:uid="{00000000-0005-0000-0000-00001E770000}"/>
    <cellStyle name="Normal 83 5 2 2 2 4" xfId="23771" xr:uid="{00000000-0005-0000-0000-00001F770000}"/>
    <cellStyle name="Normal 83 5 2 2 3" xfId="9841" xr:uid="{00000000-0005-0000-0000-000020770000}"/>
    <cellStyle name="Normal 83 5 2 2 3 2" xfId="19015" xr:uid="{00000000-0005-0000-0000-000021770000}"/>
    <cellStyle name="Normal 83 5 2 2 3 2 2" xfId="35589" xr:uid="{00000000-0005-0000-0000-000022770000}"/>
    <cellStyle name="Normal 83 5 2 2 3 3" xfId="27542" xr:uid="{00000000-0005-0000-0000-000023770000}"/>
    <cellStyle name="Normal 83 5 2 2 4" xfId="15259" xr:uid="{00000000-0005-0000-0000-000024770000}"/>
    <cellStyle name="Normal 83 5 2 2 4 2" xfId="31813" xr:uid="{00000000-0005-0000-0000-000025770000}"/>
    <cellStyle name="Normal 83 5 2 2 5" xfId="23770" xr:uid="{00000000-0005-0000-0000-000026770000}"/>
    <cellStyle name="Normal 83 5 2 3" xfId="5978" xr:uid="{00000000-0005-0000-0000-000027770000}"/>
    <cellStyle name="Normal 83 5 2 3 2" xfId="9842" xr:uid="{00000000-0005-0000-0000-000028770000}"/>
    <cellStyle name="Normal 83 5 2 3 2 2" xfId="19016" xr:uid="{00000000-0005-0000-0000-000029770000}"/>
    <cellStyle name="Normal 83 5 2 3 2 2 2" xfId="35590" xr:uid="{00000000-0005-0000-0000-00002A770000}"/>
    <cellStyle name="Normal 83 5 2 3 2 3" xfId="27543" xr:uid="{00000000-0005-0000-0000-00002B770000}"/>
    <cellStyle name="Normal 83 5 2 3 3" xfId="15261" xr:uid="{00000000-0005-0000-0000-00002C770000}"/>
    <cellStyle name="Normal 83 5 2 3 3 2" xfId="31815" xr:uid="{00000000-0005-0000-0000-00002D770000}"/>
    <cellStyle name="Normal 83 5 2 3 4" xfId="23772" xr:uid="{00000000-0005-0000-0000-00002E770000}"/>
    <cellStyle name="Normal 83 5 2 4" xfId="9843" xr:uid="{00000000-0005-0000-0000-00002F770000}"/>
    <cellStyle name="Normal 83 5 2 4 2" xfId="19017" xr:uid="{00000000-0005-0000-0000-000030770000}"/>
    <cellStyle name="Normal 83 5 2 4 2 2" xfId="35591" xr:uid="{00000000-0005-0000-0000-000031770000}"/>
    <cellStyle name="Normal 83 5 2 4 3" xfId="27544" xr:uid="{00000000-0005-0000-0000-000032770000}"/>
    <cellStyle name="Normal 83 5 2 5" xfId="15258" xr:uid="{00000000-0005-0000-0000-000033770000}"/>
    <cellStyle name="Normal 83 5 2 5 2" xfId="31812" xr:uid="{00000000-0005-0000-0000-000034770000}"/>
    <cellStyle name="Normal 83 5 2 6" xfId="23769" xr:uid="{00000000-0005-0000-0000-000035770000}"/>
    <cellStyle name="Normal 83 5 3" xfId="5979" xr:uid="{00000000-0005-0000-0000-000036770000}"/>
    <cellStyle name="Normal 83 5 3 2" xfId="5980" xr:uid="{00000000-0005-0000-0000-000037770000}"/>
    <cellStyle name="Normal 83 5 3 2 2" xfId="9844" xr:uid="{00000000-0005-0000-0000-000038770000}"/>
    <cellStyle name="Normal 83 5 3 2 2 2" xfId="19018" xr:uid="{00000000-0005-0000-0000-000039770000}"/>
    <cellStyle name="Normal 83 5 3 2 2 2 2" xfId="35592" xr:uid="{00000000-0005-0000-0000-00003A770000}"/>
    <cellStyle name="Normal 83 5 3 2 2 3" xfId="27545" xr:uid="{00000000-0005-0000-0000-00003B770000}"/>
    <cellStyle name="Normal 83 5 3 2 3" xfId="15263" xr:uid="{00000000-0005-0000-0000-00003C770000}"/>
    <cellStyle name="Normal 83 5 3 2 3 2" xfId="31817" xr:uid="{00000000-0005-0000-0000-00003D770000}"/>
    <cellStyle name="Normal 83 5 3 2 4" xfId="23774" xr:uid="{00000000-0005-0000-0000-00003E770000}"/>
    <cellStyle name="Normal 83 5 3 3" xfId="9845" xr:uid="{00000000-0005-0000-0000-00003F770000}"/>
    <cellStyle name="Normal 83 5 3 3 2" xfId="19019" xr:uid="{00000000-0005-0000-0000-000040770000}"/>
    <cellStyle name="Normal 83 5 3 3 2 2" xfId="35593" xr:uid="{00000000-0005-0000-0000-000041770000}"/>
    <cellStyle name="Normal 83 5 3 3 3" xfId="27546" xr:uid="{00000000-0005-0000-0000-000042770000}"/>
    <cellStyle name="Normal 83 5 3 4" xfId="15262" xr:uid="{00000000-0005-0000-0000-000043770000}"/>
    <cellStyle name="Normal 83 5 3 4 2" xfId="31816" xr:uid="{00000000-0005-0000-0000-000044770000}"/>
    <cellStyle name="Normal 83 5 3 5" xfId="23773" xr:uid="{00000000-0005-0000-0000-000045770000}"/>
    <cellStyle name="Normal 83 5 4" xfId="5981" xr:uid="{00000000-0005-0000-0000-000046770000}"/>
    <cellStyle name="Normal 83 5 4 2" xfId="9846" xr:uid="{00000000-0005-0000-0000-000047770000}"/>
    <cellStyle name="Normal 83 5 4 2 2" xfId="19020" xr:uid="{00000000-0005-0000-0000-000048770000}"/>
    <cellStyle name="Normal 83 5 4 2 2 2" xfId="35594" xr:uid="{00000000-0005-0000-0000-000049770000}"/>
    <cellStyle name="Normal 83 5 4 2 3" xfId="27547" xr:uid="{00000000-0005-0000-0000-00004A770000}"/>
    <cellStyle name="Normal 83 5 4 3" xfId="15264" xr:uid="{00000000-0005-0000-0000-00004B770000}"/>
    <cellStyle name="Normal 83 5 4 3 2" xfId="31818" xr:uid="{00000000-0005-0000-0000-00004C770000}"/>
    <cellStyle name="Normal 83 5 4 4" xfId="23775" xr:uid="{00000000-0005-0000-0000-00004D770000}"/>
    <cellStyle name="Normal 83 5 5" xfId="9847" xr:uid="{00000000-0005-0000-0000-00004E770000}"/>
    <cellStyle name="Normal 83 5 5 2" xfId="19021" xr:uid="{00000000-0005-0000-0000-00004F770000}"/>
    <cellStyle name="Normal 83 5 5 2 2" xfId="35595" xr:uid="{00000000-0005-0000-0000-000050770000}"/>
    <cellStyle name="Normal 83 5 5 3" xfId="27548" xr:uid="{00000000-0005-0000-0000-000051770000}"/>
    <cellStyle name="Normal 83 5 6" xfId="15257" xr:uid="{00000000-0005-0000-0000-000052770000}"/>
    <cellStyle name="Normal 83 5 6 2" xfId="31811" xr:uid="{00000000-0005-0000-0000-000053770000}"/>
    <cellStyle name="Normal 83 5 7" xfId="23768" xr:uid="{00000000-0005-0000-0000-000054770000}"/>
    <cellStyle name="Normal 83 6" xfId="5982" xr:uid="{00000000-0005-0000-0000-000055770000}"/>
    <cellStyle name="Normal 83 6 2" xfId="5983" xr:uid="{00000000-0005-0000-0000-000056770000}"/>
    <cellStyle name="Normal 83 6 2 2" xfId="5984" xr:uid="{00000000-0005-0000-0000-000057770000}"/>
    <cellStyle name="Normal 83 6 2 2 2" xfId="9848" xr:uid="{00000000-0005-0000-0000-000058770000}"/>
    <cellStyle name="Normal 83 6 2 2 2 2" xfId="19022" xr:uid="{00000000-0005-0000-0000-000059770000}"/>
    <cellStyle name="Normal 83 6 2 2 2 2 2" xfId="35596" xr:uid="{00000000-0005-0000-0000-00005A770000}"/>
    <cellStyle name="Normal 83 6 2 2 2 3" xfId="27549" xr:uid="{00000000-0005-0000-0000-00005B770000}"/>
    <cellStyle name="Normal 83 6 2 2 3" xfId="15267" xr:uid="{00000000-0005-0000-0000-00005C770000}"/>
    <cellStyle name="Normal 83 6 2 2 3 2" xfId="31821" xr:uid="{00000000-0005-0000-0000-00005D770000}"/>
    <cellStyle name="Normal 83 6 2 2 4" xfId="23778" xr:uid="{00000000-0005-0000-0000-00005E770000}"/>
    <cellStyle name="Normal 83 6 2 3" xfId="9849" xr:uid="{00000000-0005-0000-0000-00005F770000}"/>
    <cellStyle name="Normal 83 6 2 3 2" xfId="19023" xr:uid="{00000000-0005-0000-0000-000060770000}"/>
    <cellStyle name="Normal 83 6 2 3 2 2" xfId="35597" xr:uid="{00000000-0005-0000-0000-000061770000}"/>
    <cellStyle name="Normal 83 6 2 3 3" xfId="27550" xr:uid="{00000000-0005-0000-0000-000062770000}"/>
    <cellStyle name="Normal 83 6 2 4" xfId="15266" xr:uid="{00000000-0005-0000-0000-000063770000}"/>
    <cellStyle name="Normal 83 6 2 4 2" xfId="31820" xr:uid="{00000000-0005-0000-0000-000064770000}"/>
    <cellStyle name="Normal 83 6 2 5" xfId="23777" xr:uid="{00000000-0005-0000-0000-000065770000}"/>
    <cellStyle name="Normal 83 6 3" xfId="5985" xr:uid="{00000000-0005-0000-0000-000066770000}"/>
    <cellStyle name="Normal 83 6 3 2" xfId="9850" xr:uid="{00000000-0005-0000-0000-000067770000}"/>
    <cellStyle name="Normal 83 6 3 2 2" xfId="19024" xr:uid="{00000000-0005-0000-0000-000068770000}"/>
    <cellStyle name="Normal 83 6 3 2 2 2" xfId="35598" xr:uid="{00000000-0005-0000-0000-000069770000}"/>
    <cellStyle name="Normal 83 6 3 2 3" xfId="27551" xr:uid="{00000000-0005-0000-0000-00006A770000}"/>
    <cellStyle name="Normal 83 6 3 3" xfId="15268" xr:uid="{00000000-0005-0000-0000-00006B770000}"/>
    <cellStyle name="Normal 83 6 3 3 2" xfId="31822" xr:uid="{00000000-0005-0000-0000-00006C770000}"/>
    <cellStyle name="Normal 83 6 3 4" xfId="23779" xr:uid="{00000000-0005-0000-0000-00006D770000}"/>
    <cellStyle name="Normal 83 6 4" xfId="9851" xr:uid="{00000000-0005-0000-0000-00006E770000}"/>
    <cellStyle name="Normal 83 6 4 2" xfId="19025" xr:uid="{00000000-0005-0000-0000-00006F770000}"/>
    <cellStyle name="Normal 83 6 4 2 2" xfId="35599" xr:uid="{00000000-0005-0000-0000-000070770000}"/>
    <cellStyle name="Normal 83 6 4 3" xfId="27552" xr:uid="{00000000-0005-0000-0000-000071770000}"/>
    <cellStyle name="Normal 83 6 5" xfId="15265" xr:uid="{00000000-0005-0000-0000-000072770000}"/>
    <cellStyle name="Normal 83 6 5 2" xfId="31819" xr:uid="{00000000-0005-0000-0000-000073770000}"/>
    <cellStyle name="Normal 83 6 6" xfId="23776" xr:uid="{00000000-0005-0000-0000-000074770000}"/>
    <cellStyle name="Normal 83 7" xfId="5986" xr:uid="{00000000-0005-0000-0000-000075770000}"/>
    <cellStyle name="Normal 83 7 2" xfId="5987" xr:uid="{00000000-0005-0000-0000-000076770000}"/>
    <cellStyle name="Normal 83 7 2 2" xfId="9852" xr:uid="{00000000-0005-0000-0000-000077770000}"/>
    <cellStyle name="Normal 83 7 2 2 2" xfId="19026" xr:uid="{00000000-0005-0000-0000-000078770000}"/>
    <cellStyle name="Normal 83 7 2 2 2 2" xfId="35600" xr:uid="{00000000-0005-0000-0000-000079770000}"/>
    <cellStyle name="Normal 83 7 2 2 3" xfId="27553" xr:uid="{00000000-0005-0000-0000-00007A770000}"/>
    <cellStyle name="Normal 83 7 2 3" xfId="15270" xr:uid="{00000000-0005-0000-0000-00007B770000}"/>
    <cellStyle name="Normal 83 7 2 3 2" xfId="31824" xr:uid="{00000000-0005-0000-0000-00007C770000}"/>
    <cellStyle name="Normal 83 7 2 4" xfId="23781" xr:uid="{00000000-0005-0000-0000-00007D770000}"/>
    <cellStyle name="Normal 83 7 3" xfId="9853" xr:uid="{00000000-0005-0000-0000-00007E770000}"/>
    <cellStyle name="Normal 83 7 3 2" xfId="19027" xr:uid="{00000000-0005-0000-0000-00007F770000}"/>
    <cellStyle name="Normal 83 7 3 2 2" xfId="35601" xr:uid="{00000000-0005-0000-0000-000080770000}"/>
    <cellStyle name="Normal 83 7 3 3" xfId="27554" xr:uid="{00000000-0005-0000-0000-000081770000}"/>
    <cellStyle name="Normal 83 7 4" xfId="15269" xr:uid="{00000000-0005-0000-0000-000082770000}"/>
    <cellStyle name="Normal 83 7 4 2" xfId="31823" xr:uid="{00000000-0005-0000-0000-000083770000}"/>
    <cellStyle name="Normal 83 7 5" xfId="23780" xr:uid="{00000000-0005-0000-0000-000084770000}"/>
    <cellStyle name="Normal 83 8" xfId="5988" xr:uid="{00000000-0005-0000-0000-000085770000}"/>
    <cellStyle name="Normal 83 8 2" xfId="9854" xr:uid="{00000000-0005-0000-0000-000086770000}"/>
    <cellStyle name="Normal 83 8 2 2" xfId="19028" xr:uid="{00000000-0005-0000-0000-000087770000}"/>
    <cellStyle name="Normal 83 8 2 2 2" xfId="35602" xr:uid="{00000000-0005-0000-0000-000088770000}"/>
    <cellStyle name="Normal 83 8 2 3" xfId="27555" xr:uid="{00000000-0005-0000-0000-000089770000}"/>
    <cellStyle name="Normal 83 8 3" xfId="15271" xr:uid="{00000000-0005-0000-0000-00008A770000}"/>
    <cellStyle name="Normal 83 8 3 2" xfId="31825" xr:uid="{00000000-0005-0000-0000-00008B770000}"/>
    <cellStyle name="Normal 83 8 4" xfId="23782" xr:uid="{00000000-0005-0000-0000-00008C770000}"/>
    <cellStyle name="Normal 83 9" xfId="9855" xr:uid="{00000000-0005-0000-0000-00008D770000}"/>
    <cellStyle name="Normal 83 9 2" xfId="19029" xr:uid="{00000000-0005-0000-0000-00008E770000}"/>
    <cellStyle name="Normal 83 9 2 2" xfId="35603" xr:uid="{00000000-0005-0000-0000-00008F770000}"/>
    <cellStyle name="Normal 83 9 3" xfId="27556" xr:uid="{00000000-0005-0000-0000-000090770000}"/>
    <cellStyle name="Normal 84" xfId="5989" xr:uid="{00000000-0005-0000-0000-000091770000}"/>
    <cellStyle name="Normal 84 10" xfId="15272" xr:uid="{00000000-0005-0000-0000-000092770000}"/>
    <cellStyle name="Normal 84 10 2" xfId="31826" xr:uid="{00000000-0005-0000-0000-000093770000}"/>
    <cellStyle name="Normal 84 11" xfId="23783" xr:uid="{00000000-0005-0000-0000-000094770000}"/>
    <cellStyle name="Normal 84 2" xfId="5990" xr:uid="{00000000-0005-0000-0000-000095770000}"/>
    <cellStyle name="Normal 84 2 2" xfId="5991" xr:uid="{00000000-0005-0000-0000-000096770000}"/>
    <cellStyle name="Normal 84 2 3" xfId="15273" xr:uid="{00000000-0005-0000-0000-000097770000}"/>
    <cellStyle name="Normal 84 2 3 2" xfId="31827" xr:uid="{00000000-0005-0000-0000-000098770000}"/>
    <cellStyle name="Normal 84 2 4" xfId="23784" xr:uid="{00000000-0005-0000-0000-000099770000}"/>
    <cellStyle name="Normal 84 3" xfId="5992" xr:uid="{00000000-0005-0000-0000-00009A770000}"/>
    <cellStyle name="Normal 84 3 2" xfId="5993" xr:uid="{00000000-0005-0000-0000-00009B770000}"/>
    <cellStyle name="Normal 84 3 2 2" xfId="5994" xr:uid="{00000000-0005-0000-0000-00009C770000}"/>
    <cellStyle name="Normal 84 3 2 2 2" xfId="5995" xr:uid="{00000000-0005-0000-0000-00009D770000}"/>
    <cellStyle name="Normal 84 3 2 2 2 2" xfId="9856" xr:uid="{00000000-0005-0000-0000-00009E770000}"/>
    <cellStyle name="Normal 84 3 2 2 2 2 2" xfId="19030" xr:uid="{00000000-0005-0000-0000-00009F770000}"/>
    <cellStyle name="Normal 84 3 2 2 2 2 2 2" xfId="35604" xr:uid="{00000000-0005-0000-0000-0000A0770000}"/>
    <cellStyle name="Normal 84 3 2 2 2 2 3" xfId="27557" xr:uid="{00000000-0005-0000-0000-0000A1770000}"/>
    <cellStyle name="Normal 84 3 2 2 2 3" xfId="15276" xr:uid="{00000000-0005-0000-0000-0000A2770000}"/>
    <cellStyle name="Normal 84 3 2 2 2 3 2" xfId="31830" xr:uid="{00000000-0005-0000-0000-0000A3770000}"/>
    <cellStyle name="Normal 84 3 2 2 2 4" xfId="23787" xr:uid="{00000000-0005-0000-0000-0000A4770000}"/>
    <cellStyle name="Normal 84 3 2 2 3" xfId="9857" xr:uid="{00000000-0005-0000-0000-0000A5770000}"/>
    <cellStyle name="Normal 84 3 2 2 3 2" xfId="19031" xr:uid="{00000000-0005-0000-0000-0000A6770000}"/>
    <cellStyle name="Normal 84 3 2 2 3 2 2" xfId="35605" xr:uid="{00000000-0005-0000-0000-0000A7770000}"/>
    <cellStyle name="Normal 84 3 2 2 3 3" xfId="27558" xr:uid="{00000000-0005-0000-0000-0000A8770000}"/>
    <cellStyle name="Normal 84 3 2 2 4" xfId="15275" xr:uid="{00000000-0005-0000-0000-0000A9770000}"/>
    <cellStyle name="Normal 84 3 2 2 4 2" xfId="31829" xr:uid="{00000000-0005-0000-0000-0000AA770000}"/>
    <cellStyle name="Normal 84 3 2 2 5" xfId="23786" xr:uid="{00000000-0005-0000-0000-0000AB770000}"/>
    <cellStyle name="Normal 84 3 2 3" xfId="5996" xr:uid="{00000000-0005-0000-0000-0000AC770000}"/>
    <cellStyle name="Normal 84 3 2 3 2" xfId="9858" xr:uid="{00000000-0005-0000-0000-0000AD770000}"/>
    <cellStyle name="Normal 84 3 2 3 2 2" xfId="19032" xr:uid="{00000000-0005-0000-0000-0000AE770000}"/>
    <cellStyle name="Normal 84 3 2 3 2 2 2" xfId="35606" xr:uid="{00000000-0005-0000-0000-0000AF770000}"/>
    <cellStyle name="Normal 84 3 2 3 2 3" xfId="27559" xr:uid="{00000000-0005-0000-0000-0000B0770000}"/>
    <cellStyle name="Normal 84 3 2 3 3" xfId="15277" xr:uid="{00000000-0005-0000-0000-0000B1770000}"/>
    <cellStyle name="Normal 84 3 2 3 3 2" xfId="31831" xr:uid="{00000000-0005-0000-0000-0000B2770000}"/>
    <cellStyle name="Normal 84 3 2 3 4" xfId="23788" xr:uid="{00000000-0005-0000-0000-0000B3770000}"/>
    <cellStyle name="Normal 84 3 2 4" xfId="9859" xr:uid="{00000000-0005-0000-0000-0000B4770000}"/>
    <cellStyle name="Normal 84 3 2 4 2" xfId="19033" xr:uid="{00000000-0005-0000-0000-0000B5770000}"/>
    <cellStyle name="Normal 84 3 2 4 2 2" xfId="35607" xr:uid="{00000000-0005-0000-0000-0000B6770000}"/>
    <cellStyle name="Normal 84 3 2 4 3" xfId="27560" xr:uid="{00000000-0005-0000-0000-0000B7770000}"/>
    <cellStyle name="Normal 84 3 2 5" xfId="15274" xr:uid="{00000000-0005-0000-0000-0000B8770000}"/>
    <cellStyle name="Normal 84 3 2 5 2" xfId="31828" xr:uid="{00000000-0005-0000-0000-0000B9770000}"/>
    <cellStyle name="Normal 84 3 2 6" xfId="23785" xr:uid="{00000000-0005-0000-0000-0000BA770000}"/>
    <cellStyle name="Normal 84 3 3" xfId="5997" xr:uid="{00000000-0005-0000-0000-0000BB770000}"/>
    <cellStyle name="Normal 84 3 3 2" xfId="5998" xr:uid="{00000000-0005-0000-0000-0000BC770000}"/>
    <cellStyle name="Normal 84 3 3 2 2" xfId="9860" xr:uid="{00000000-0005-0000-0000-0000BD770000}"/>
    <cellStyle name="Normal 84 3 3 2 2 2" xfId="19034" xr:uid="{00000000-0005-0000-0000-0000BE770000}"/>
    <cellStyle name="Normal 84 3 3 2 2 2 2" xfId="35608" xr:uid="{00000000-0005-0000-0000-0000BF770000}"/>
    <cellStyle name="Normal 84 3 3 2 2 3" xfId="27561" xr:uid="{00000000-0005-0000-0000-0000C0770000}"/>
    <cellStyle name="Normal 84 3 3 2 3" xfId="15279" xr:uid="{00000000-0005-0000-0000-0000C1770000}"/>
    <cellStyle name="Normal 84 3 3 2 3 2" xfId="31833" xr:uid="{00000000-0005-0000-0000-0000C2770000}"/>
    <cellStyle name="Normal 84 3 3 2 4" xfId="23790" xr:uid="{00000000-0005-0000-0000-0000C3770000}"/>
    <cellStyle name="Normal 84 3 3 3" xfId="9861" xr:uid="{00000000-0005-0000-0000-0000C4770000}"/>
    <cellStyle name="Normal 84 3 3 3 2" xfId="19035" xr:uid="{00000000-0005-0000-0000-0000C5770000}"/>
    <cellStyle name="Normal 84 3 3 3 2 2" xfId="35609" xr:uid="{00000000-0005-0000-0000-0000C6770000}"/>
    <cellStyle name="Normal 84 3 3 3 3" xfId="27562" xr:uid="{00000000-0005-0000-0000-0000C7770000}"/>
    <cellStyle name="Normal 84 3 3 4" xfId="15278" xr:uid="{00000000-0005-0000-0000-0000C8770000}"/>
    <cellStyle name="Normal 84 3 3 4 2" xfId="31832" xr:uid="{00000000-0005-0000-0000-0000C9770000}"/>
    <cellStyle name="Normal 84 3 3 5" xfId="23789" xr:uid="{00000000-0005-0000-0000-0000CA770000}"/>
    <cellStyle name="Normal 84 3 4" xfId="5999" xr:uid="{00000000-0005-0000-0000-0000CB770000}"/>
    <cellStyle name="Normal 84 3 4 2" xfId="9862" xr:uid="{00000000-0005-0000-0000-0000CC770000}"/>
    <cellStyle name="Normal 84 3 4 2 2" xfId="19036" xr:uid="{00000000-0005-0000-0000-0000CD770000}"/>
    <cellStyle name="Normal 84 3 4 2 2 2" xfId="35610" xr:uid="{00000000-0005-0000-0000-0000CE770000}"/>
    <cellStyle name="Normal 84 3 4 2 3" xfId="27563" xr:uid="{00000000-0005-0000-0000-0000CF770000}"/>
    <cellStyle name="Normal 84 3 4 3" xfId="15280" xr:uid="{00000000-0005-0000-0000-0000D0770000}"/>
    <cellStyle name="Normal 84 3 4 3 2" xfId="31834" xr:uid="{00000000-0005-0000-0000-0000D1770000}"/>
    <cellStyle name="Normal 84 3 4 4" xfId="23791" xr:uid="{00000000-0005-0000-0000-0000D2770000}"/>
    <cellStyle name="Normal 84 3 5" xfId="6000" xr:uid="{00000000-0005-0000-0000-0000D3770000}"/>
    <cellStyle name="Normal 84 3 5 2" xfId="15281" xr:uid="{00000000-0005-0000-0000-0000D4770000}"/>
    <cellStyle name="Normal 84 3 5 2 2" xfId="31835" xr:uid="{00000000-0005-0000-0000-0000D5770000}"/>
    <cellStyle name="Normal 84 3 5 3" xfId="23792" xr:uid="{00000000-0005-0000-0000-0000D6770000}"/>
    <cellStyle name="Normal 84 4" xfId="6001" xr:uid="{00000000-0005-0000-0000-0000D7770000}"/>
    <cellStyle name="Normal 84 4 2" xfId="6002" xr:uid="{00000000-0005-0000-0000-0000D8770000}"/>
    <cellStyle name="Normal 84 4 2 2" xfId="6003" xr:uid="{00000000-0005-0000-0000-0000D9770000}"/>
    <cellStyle name="Normal 84 4 2 2 2" xfId="6004" xr:uid="{00000000-0005-0000-0000-0000DA770000}"/>
    <cellStyle name="Normal 84 4 2 2 2 2" xfId="9863" xr:uid="{00000000-0005-0000-0000-0000DB770000}"/>
    <cellStyle name="Normal 84 4 2 2 2 2 2" xfId="19037" xr:uid="{00000000-0005-0000-0000-0000DC770000}"/>
    <cellStyle name="Normal 84 4 2 2 2 2 2 2" xfId="35611" xr:uid="{00000000-0005-0000-0000-0000DD770000}"/>
    <cellStyle name="Normal 84 4 2 2 2 2 3" xfId="27564" xr:uid="{00000000-0005-0000-0000-0000DE770000}"/>
    <cellStyle name="Normal 84 4 2 2 2 3" xfId="15285" xr:uid="{00000000-0005-0000-0000-0000DF770000}"/>
    <cellStyle name="Normal 84 4 2 2 2 3 2" xfId="31839" xr:uid="{00000000-0005-0000-0000-0000E0770000}"/>
    <cellStyle name="Normal 84 4 2 2 2 4" xfId="23796" xr:uid="{00000000-0005-0000-0000-0000E1770000}"/>
    <cellStyle name="Normal 84 4 2 2 3" xfId="9864" xr:uid="{00000000-0005-0000-0000-0000E2770000}"/>
    <cellStyle name="Normal 84 4 2 2 3 2" xfId="19038" xr:uid="{00000000-0005-0000-0000-0000E3770000}"/>
    <cellStyle name="Normal 84 4 2 2 3 2 2" xfId="35612" xr:uid="{00000000-0005-0000-0000-0000E4770000}"/>
    <cellStyle name="Normal 84 4 2 2 3 3" xfId="27565" xr:uid="{00000000-0005-0000-0000-0000E5770000}"/>
    <cellStyle name="Normal 84 4 2 2 4" xfId="15284" xr:uid="{00000000-0005-0000-0000-0000E6770000}"/>
    <cellStyle name="Normal 84 4 2 2 4 2" xfId="31838" xr:uid="{00000000-0005-0000-0000-0000E7770000}"/>
    <cellStyle name="Normal 84 4 2 2 5" xfId="23795" xr:uid="{00000000-0005-0000-0000-0000E8770000}"/>
    <cellStyle name="Normal 84 4 2 3" xfId="6005" xr:uid="{00000000-0005-0000-0000-0000E9770000}"/>
    <cellStyle name="Normal 84 4 2 3 2" xfId="9865" xr:uid="{00000000-0005-0000-0000-0000EA770000}"/>
    <cellStyle name="Normal 84 4 2 3 2 2" xfId="19039" xr:uid="{00000000-0005-0000-0000-0000EB770000}"/>
    <cellStyle name="Normal 84 4 2 3 2 2 2" xfId="35613" xr:uid="{00000000-0005-0000-0000-0000EC770000}"/>
    <cellStyle name="Normal 84 4 2 3 2 3" xfId="27566" xr:uid="{00000000-0005-0000-0000-0000ED770000}"/>
    <cellStyle name="Normal 84 4 2 3 3" xfId="15286" xr:uid="{00000000-0005-0000-0000-0000EE770000}"/>
    <cellStyle name="Normal 84 4 2 3 3 2" xfId="31840" xr:uid="{00000000-0005-0000-0000-0000EF770000}"/>
    <cellStyle name="Normal 84 4 2 3 4" xfId="23797" xr:uid="{00000000-0005-0000-0000-0000F0770000}"/>
    <cellStyle name="Normal 84 4 2 4" xfId="9866" xr:uid="{00000000-0005-0000-0000-0000F1770000}"/>
    <cellStyle name="Normal 84 4 2 4 2" xfId="19040" xr:uid="{00000000-0005-0000-0000-0000F2770000}"/>
    <cellStyle name="Normal 84 4 2 4 2 2" xfId="35614" xr:uid="{00000000-0005-0000-0000-0000F3770000}"/>
    <cellStyle name="Normal 84 4 2 4 3" xfId="27567" xr:uid="{00000000-0005-0000-0000-0000F4770000}"/>
    <cellStyle name="Normal 84 4 2 5" xfId="15283" xr:uid="{00000000-0005-0000-0000-0000F5770000}"/>
    <cellStyle name="Normal 84 4 2 5 2" xfId="31837" xr:uid="{00000000-0005-0000-0000-0000F6770000}"/>
    <cellStyle name="Normal 84 4 2 6" xfId="23794" xr:uid="{00000000-0005-0000-0000-0000F7770000}"/>
    <cellStyle name="Normal 84 4 3" xfId="6006" xr:uid="{00000000-0005-0000-0000-0000F8770000}"/>
    <cellStyle name="Normal 84 4 3 2" xfId="6007" xr:uid="{00000000-0005-0000-0000-0000F9770000}"/>
    <cellStyle name="Normal 84 4 3 2 2" xfId="9867" xr:uid="{00000000-0005-0000-0000-0000FA770000}"/>
    <cellStyle name="Normal 84 4 3 2 2 2" xfId="19041" xr:uid="{00000000-0005-0000-0000-0000FB770000}"/>
    <cellStyle name="Normal 84 4 3 2 2 2 2" xfId="35615" xr:uid="{00000000-0005-0000-0000-0000FC770000}"/>
    <cellStyle name="Normal 84 4 3 2 2 3" xfId="27568" xr:uid="{00000000-0005-0000-0000-0000FD770000}"/>
    <cellStyle name="Normal 84 4 3 2 3" xfId="15288" xr:uid="{00000000-0005-0000-0000-0000FE770000}"/>
    <cellStyle name="Normal 84 4 3 2 3 2" xfId="31842" xr:uid="{00000000-0005-0000-0000-0000FF770000}"/>
    <cellStyle name="Normal 84 4 3 2 4" xfId="23799" xr:uid="{00000000-0005-0000-0000-000000780000}"/>
    <cellStyle name="Normal 84 4 3 3" xfId="9868" xr:uid="{00000000-0005-0000-0000-000001780000}"/>
    <cellStyle name="Normal 84 4 3 3 2" xfId="19042" xr:uid="{00000000-0005-0000-0000-000002780000}"/>
    <cellStyle name="Normal 84 4 3 3 2 2" xfId="35616" xr:uid="{00000000-0005-0000-0000-000003780000}"/>
    <cellStyle name="Normal 84 4 3 3 3" xfId="27569" xr:uid="{00000000-0005-0000-0000-000004780000}"/>
    <cellStyle name="Normal 84 4 3 4" xfId="15287" xr:uid="{00000000-0005-0000-0000-000005780000}"/>
    <cellStyle name="Normal 84 4 3 4 2" xfId="31841" xr:uid="{00000000-0005-0000-0000-000006780000}"/>
    <cellStyle name="Normal 84 4 3 5" xfId="23798" xr:uid="{00000000-0005-0000-0000-000007780000}"/>
    <cellStyle name="Normal 84 4 4" xfId="6008" xr:uid="{00000000-0005-0000-0000-000008780000}"/>
    <cellStyle name="Normal 84 4 4 2" xfId="9869" xr:uid="{00000000-0005-0000-0000-000009780000}"/>
    <cellStyle name="Normal 84 4 4 2 2" xfId="19043" xr:uid="{00000000-0005-0000-0000-00000A780000}"/>
    <cellStyle name="Normal 84 4 4 2 2 2" xfId="35617" xr:uid="{00000000-0005-0000-0000-00000B780000}"/>
    <cellStyle name="Normal 84 4 4 2 3" xfId="27570" xr:uid="{00000000-0005-0000-0000-00000C780000}"/>
    <cellStyle name="Normal 84 4 4 3" xfId="15289" xr:uid="{00000000-0005-0000-0000-00000D780000}"/>
    <cellStyle name="Normal 84 4 4 3 2" xfId="31843" xr:uid="{00000000-0005-0000-0000-00000E780000}"/>
    <cellStyle name="Normal 84 4 4 4" xfId="23800" xr:uid="{00000000-0005-0000-0000-00000F780000}"/>
    <cellStyle name="Normal 84 4 5" xfId="9870" xr:uid="{00000000-0005-0000-0000-000010780000}"/>
    <cellStyle name="Normal 84 4 5 2" xfId="19044" xr:uid="{00000000-0005-0000-0000-000011780000}"/>
    <cellStyle name="Normal 84 4 5 2 2" xfId="35618" xr:uid="{00000000-0005-0000-0000-000012780000}"/>
    <cellStyle name="Normal 84 4 5 3" xfId="27571" xr:uid="{00000000-0005-0000-0000-000013780000}"/>
    <cellStyle name="Normal 84 4 6" xfId="15282" xr:uid="{00000000-0005-0000-0000-000014780000}"/>
    <cellStyle name="Normal 84 4 6 2" xfId="31836" xr:uid="{00000000-0005-0000-0000-000015780000}"/>
    <cellStyle name="Normal 84 4 7" xfId="23793" xr:uid="{00000000-0005-0000-0000-000016780000}"/>
    <cellStyle name="Normal 84 5" xfId="6009" xr:uid="{00000000-0005-0000-0000-000017780000}"/>
    <cellStyle name="Normal 84 5 2" xfId="6010" xr:uid="{00000000-0005-0000-0000-000018780000}"/>
    <cellStyle name="Normal 84 5 2 2" xfId="6011" xr:uid="{00000000-0005-0000-0000-000019780000}"/>
    <cellStyle name="Normal 84 5 2 2 2" xfId="6012" xr:uid="{00000000-0005-0000-0000-00001A780000}"/>
    <cellStyle name="Normal 84 5 2 2 2 2" xfId="9871" xr:uid="{00000000-0005-0000-0000-00001B780000}"/>
    <cellStyle name="Normal 84 5 2 2 2 2 2" xfId="19045" xr:uid="{00000000-0005-0000-0000-00001C780000}"/>
    <cellStyle name="Normal 84 5 2 2 2 2 2 2" xfId="35619" xr:uid="{00000000-0005-0000-0000-00001D780000}"/>
    <cellStyle name="Normal 84 5 2 2 2 2 3" xfId="27572" xr:uid="{00000000-0005-0000-0000-00001E780000}"/>
    <cellStyle name="Normal 84 5 2 2 2 3" xfId="15293" xr:uid="{00000000-0005-0000-0000-00001F780000}"/>
    <cellStyle name="Normal 84 5 2 2 2 3 2" xfId="31847" xr:uid="{00000000-0005-0000-0000-000020780000}"/>
    <cellStyle name="Normal 84 5 2 2 2 4" xfId="23804" xr:uid="{00000000-0005-0000-0000-000021780000}"/>
    <cellStyle name="Normal 84 5 2 2 3" xfId="9872" xr:uid="{00000000-0005-0000-0000-000022780000}"/>
    <cellStyle name="Normal 84 5 2 2 3 2" xfId="19046" xr:uid="{00000000-0005-0000-0000-000023780000}"/>
    <cellStyle name="Normal 84 5 2 2 3 2 2" xfId="35620" xr:uid="{00000000-0005-0000-0000-000024780000}"/>
    <cellStyle name="Normal 84 5 2 2 3 3" xfId="27573" xr:uid="{00000000-0005-0000-0000-000025780000}"/>
    <cellStyle name="Normal 84 5 2 2 4" xfId="15292" xr:uid="{00000000-0005-0000-0000-000026780000}"/>
    <cellStyle name="Normal 84 5 2 2 4 2" xfId="31846" xr:uid="{00000000-0005-0000-0000-000027780000}"/>
    <cellStyle name="Normal 84 5 2 2 5" xfId="23803" xr:uid="{00000000-0005-0000-0000-000028780000}"/>
    <cellStyle name="Normal 84 5 2 3" xfId="6013" xr:uid="{00000000-0005-0000-0000-000029780000}"/>
    <cellStyle name="Normal 84 5 2 3 2" xfId="9873" xr:uid="{00000000-0005-0000-0000-00002A780000}"/>
    <cellStyle name="Normal 84 5 2 3 2 2" xfId="19047" xr:uid="{00000000-0005-0000-0000-00002B780000}"/>
    <cellStyle name="Normal 84 5 2 3 2 2 2" xfId="35621" xr:uid="{00000000-0005-0000-0000-00002C780000}"/>
    <cellStyle name="Normal 84 5 2 3 2 3" xfId="27574" xr:uid="{00000000-0005-0000-0000-00002D780000}"/>
    <cellStyle name="Normal 84 5 2 3 3" xfId="15294" xr:uid="{00000000-0005-0000-0000-00002E780000}"/>
    <cellStyle name="Normal 84 5 2 3 3 2" xfId="31848" xr:uid="{00000000-0005-0000-0000-00002F780000}"/>
    <cellStyle name="Normal 84 5 2 3 4" xfId="23805" xr:uid="{00000000-0005-0000-0000-000030780000}"/>
    <cellStyle name="Normal 84 5 2 4" xfId="9874" xr:uid="{00000000-0005-0000-0000-000031780000}"/>
    <cellStyle name="Normal 84 5 2 4 2" xfId="19048" xr:uid="{00000000-0005-0000-0000-000032780000}"/>
    <cellStyle name="Normal 84 5 2 4 2 2" xfId="35622" xr:uid="{00000000-0005-0000-0000-000033780000}"/>
    <cellStyle name="Normal 84 5 2 4 3" xfId="27575" xr:uid="{00000000-0005-0000-0000-000034780000}"/>
    <cellStyle name="Normal 84 5 2 5" xfId="15291" xr:uid="{00000000-0005-0000-0000-000035780000}"/>
    <cellStyle name="Normal 84 5 2 5 2" xfId="31845" xr:uid="{00000000-0005-0000-0000-000036780000}"/>
    <cellStyle name="Normal 84 5 2 6" xfId="23802" xr:uid="{00000000-0005-0000-0000-000037780000}"/>
    <cellStyle name="Normal 84 5 3" xfId="6014" xr:uid="{00000000-0005-0000-0000-000038780000}"/>
    <cellStyle name="Normal 84 5 3 2" xfId="6015" xr:uid="{00000000-0005-0000-0000-000039780000}"/>
    <cellStyle name="Normal 84 5 3 2 2" xfId="9875" xr:uid="{00000000-0005-0000-0000-00003A780000}"/>
    <cellStyle name="Normal 84 5 3 2 2 2" xfId="19049" xr:uid="{00000000-0005-0000-0000-00003B780000}"/>
    <cellStyle name="Normal 84 5 3 2 2 2 2" xfId="35623" xr:uid="{00000000-0005-0000-0000-00003C780000}"/>
    <cellStyle name="Normal 84 5 3 2 2 3" xfId="27576" xr:uid="{00000000-0005-0000-0000-00003D780000}"/>
    <cellStyle name="Normal 84 5 3 2 3" xfId="15296" xr:uid="{00000000-0005-0000-0000-00003E780000}"/>
    <cellStyle name="Normal 84 5 3 2 3 2" xfId="31850" xr:uid="{00000000-0005-0000-0000-00003F780000}"/>
    <cellStyle name="Normal 84 5 3 2 4" xfId="23807" xr:uid="{00000000-0005-0000-0000-000040780000}"/>
    <cellStyle name="Normal 84 5 3 3" xfId="9876" xr:uid="{00000000-0005-0000-0000-000041780000}"/>
    <cellStyle name="Normal 84 5 3 3 2" xfId="19050" xr:uid="{00000000-0005-0000-0000-000042780000}"/>
    <cellStyle name="Normal 84 5 3 3 2 2" xfId="35624" xr:uid="{00000000-0005-0000-0000-000043780000}"/>
    <cellStyle name="Normal 84 5 3 3 3" xfId="27577" xr:uid="{00000000-0005-0000-0000-000044780000}"/>
    <cellStyle name="Normal 84 5 3 4" xfId="15295" xr:uid="{00000000-0005-0000-0000-000045780000}"/>
    <cellStyle name="Normal 84 5 3 4 2" xfId="31849" xr:uid="{00000000-0005-0000-0000-000046780000}"/>
    <cellStyle name="Normal 84 5 3 5" xfId="23806" xr:uid="{00000000-0005-0000-0000-000047780000}"/>
    <cellStyle name="Normal 84 5 4" xfId="6016" xr:uid="{00000000-0005-0000-0000-000048780000}"/>
    <cellStyle name="Normal 84 5 4 2" xfId="9877" xr:uid="{00000000-0005-0000-0000-000049780000}"/>
    <cellStyle name="Normal 84 5 4 2 2" xfId="19051" xr:uid="{00000000-0005-0000-0000-00004A780000}"/>
    <cellStyle name="Normal 84 5 4 2 2 2" xfId="35625" xr:uid="{00000000-0005-0000-0000-00004B780000}"/>
    <cellStyle name="Normal 84 5 4 2 3" xfId="27578" xr:uid="{00000000-0005-0000-0000-00004C780000}"/>
    <cellStyle name="Normal 84 5 4 3" xfId="15297" xr:uid="{00000000-0005-0000-0000-00004D780000}"/>
    <cellStyle name="Normal 84 5 4 3 2" xfId="31851" xr:uid="{00000000-0005-0000-0000-00004E780000}"/>
    <cellStyle name="Normal 84 5 4 4" xfId="23808" xr:uid="{00000000-0005-0000-0000-00004F780000}"/>
    <cellStyle name="Normal 84 5 5" xfId="9878" xr:uid="{00000000-0005-0000-0000-000050780000}"/>
    <cellStyle name="Normal 84 5 5 2" xfId="19052" xr:uid="{00000000-0005-0000-0000-000051780000}"/>
    <cellStyle name="Normal 84 5 5 2 2" xfId="35626" xr:uid="{00000000-0005-0000-0000-000052780000}"/>
    <cellStyle name="Normal 84 5 5 3" xfId="27579" xr:uid="{00000000-0005-0000-0000-000053780000}"/>
    <cellStyle name="Normal 84 5 6" xfId="15290" xr:uid="{00000000-0005-0000-0000-000054780000}"/>
    <cellStyle name="Normal 84 5 6 2" xfId="31844" xr:uid="{00000000-0005-0000-0000-000055780000}"/>
    <cellStyle name="Normal 84 5 7" xfId="23801" xr:uid="{00000000-0005-0000-0000-000056780000}"/>
    <cellStyle name="Normal 84 6" xfId="6017" xr:uid="{00000000-0005-0000-0000-000057780000}"/>
    <cellStyle name="Normal 84 6 2" xfId="6018" xr:uid="{00000000-0005-0000-0000-000058780000}"/>
    <cellStyle name="Normal 84 6 2 2" xfId="6019" xr:uid="{00000000-0005-0000-0000-000059780000}"/>
    <cellStyle name="Normal 84 6 2 2 2" xfId="9879" xr:uid="{00000000-0005-0000-0000-00005A780000}"/>
    <cellStyle name="Normal 84 6 2 2 2 2" xfId="19053" xr:uid="{00000000-0005-0000-0000-00005B780000}"/>
    <cellStyle name="Normal 84 6 2 2 2 2 2" xfId="35627" xr:uid="{00000000-0005-0000-0000-00005C780000}"/>
    <cellStyle name="Normal 84 6 2 2 2 3" xfId="27580" xr:uid="{00000000-0005-0000-0000-00005D780000}"/>
    <cellStyle name="Normal 84 6 2 2 3" xfId="15300" xr:uid="{00000000-0005-0000-0000-00005E780000}"/>
    <cellStyle name="Normal 84 6 2 2 3 2" xfId="31854" xr:uid="{00000000-0005-0000-0000-00005F780000}"/>
    <cellStyle name="Normal 84 6 2 2 4" xfId="23811" xr:uid="{00000000-0005-0000-0000-000060780000}"/>
    <cellStyle name="Normal 84 6 2 3" xfId="9880" xr:uid="{00000000-0005-0000-0000-000061780000}"/>
    <cellStyle name="Normal 84 6 2 3 2" xfId="19054" xr:uid="{00000000-0005-0000-0000-000062780000}"/>
    <cellStyle name="Normal 84 6 2 3 2 2" xfId="35628" xr:uid="{00000000-0005-0000-0000-000063780000}"/>
    <cellStyle name="Normal 84 6 2 3 3" xfId="27581" xr:uid="{00000000-0005-0000-0000-000064780000}"/>
    <cellStyle name="Normal 84 6 2 4" xfId="15299" xr:uid="{00000000-0005-0000-0000-000065780000}"/>
    <cellStyle name="Normal 84 6 2 4 2" xfId="31853" xr:uid="{00000000-0005-0000-0000-000066780000}"/>
    <cellStyle name="Normal 84 6 2 5" xfId="23810" xr:uid="{00000000-0005-0000-0000-000067780000}"/>
    <cellStyle name="Normal 84 6 3" xfId="6020" xr:uid="{00000000-0005-0000-0000-000068780000}"/>
    <cellStyle name="Normal 84 6 3 2" xfId="9881" xr:uid="{00000000-0005-0000-0000-000069780000}"/>
    <cellStyle name="Normal 84 6 3 2 2" xfId="19055" xr:uid="{00000000-0005-0000-0000-00006A780000}"/>
    <cellStyle name="Normal 84 6 3 2 2 2" xfId="35629" xr:uid="{00000000-0005-0000-0000-00006B780000}"/>
    <cellStyle name="Normal 84 6 3 2 3" xfId="27582" xr:uid="{00000000-0005-0000-0000-00006C780000}"/>
    <cellStyle name="Normal 84 6 3 3" xfId="15301" xr:uid="{00000000-0005-0000-0000-00006D780000}"/>
    <cellStyle name="Normal 84 6 3 3 2" xfId="31855" xr:uid="{00000000-0005-0000-0000-00006E780000}"/>
    <cellStyle name="Normal 84 6 3 4" xfId="23812" xr:uid="{00000000-0005-0000-0000-00006F780000}"/>
    <cellStyle name="Normal 84 6 4" xfId="9882" xr:uid="{00000000-0005-0000-0000-000070780000}"/>
    <cellStyle name="Normal 84 6 4 2" xfId="19056" xr:uid="{00000000-0005-0000-0000-000071780000}"/>
    <cellStyle name="Normal 84 6 4 2 2" xfId="35630" xr:uid="{00000000-0005-0000-0000-000072780000}"/>
    <cellStyle name="Normal 84 6 4 3" xfId="27583" xr:uid="{00000000-0005-0000-0000-000073780000}"/>
    <cellStyle name="Normal 84 6 5" xfId="15298" xr:uid="{00000000-0005-0000-0000-000074780000}"/>
    <cellStyle name="Normal 84 6 5 2" xfId="31852" xr:uid="{00000000-0005-0000-0000-000075780000}"/>
    <cellStyle name="Normal 84 6 6" xfId="23809" xr:uid="{00000000-0005-0000-0000-000076780000}"/>
    <cellStyle name="Normal 84 7" xfId="6021" xr:uid="{00000000-0005-0000-0000-000077780000}"/>
    <cellStyle name="Normal 84 7 2" xfId="6022" xr:uid="{00000000-0005-0000-0000-000078780000}"/>
    <cellStyle name="Normal 84 7 2 2" xfId="9883" xr:uid="{00000000-0005-0000-0000-000079780000}"/>
    <cellStyle name="Normal 84 7 2 2 2" xfId="19057" xr:uid="{00000000-0005-0000-0000-00007A780000}"/>
    <cellStyle name="Normal 84 7 2 2 2 2" xfId="35631" xr:uid="{00000000-0005-0000-0000-00007B780000}"/>
    <cellStyle name="Normal 84 7 2 2 3" xfId="27584" xr:uid="{00000000-0005-0000-0000-00007C780000}"/>
    <cellStyle name="Normal 84 7 2 3" xfId="15303" xr:uid="{00000000-0005-0000-0000-00007D780000}"/>
    <cellStyle name="Normal 84 7 2 3 2" xfId="31857" xr:uid="{00000000-0005-0000-0000-00007E780000}"/>
    <cellStyle name="Normal 84 7 2 4" xfId="23814" xr:uid="{00000000-0005-0000-0000-00007F780000}"/>
    <cellStyle name="Normal 84 7 3" xfId="9884" xr:uid="{00000000-0005-0000-0000-000080780000}"/>
    <cellStyle name="Normal 84 7 3 2" xfId="19058" xr:uid="{00000000-0005-0000-0000-000081780000}"/>
    <cellStyle name="Normal 84 7 3 2 2" xfId="35632" xr:uid="{00000000-0005-0000-0000-000082780000}"/>
    <cellStyle name="Normal 84 7 3 3" xfId="27585" xr:uid="{00000000-0005-0000-0000-000083780000}"/>
    <cellStyle name="Normal 84 7 4" xfId="15302" xr:uid="{00000000-0005-0000-0000-000084780000}"/>
    <cellStyle name="Normal 84 7 4 2" xfId="31856" xr:uid="{00000000-0005-0000-0000-000085780000}"/>
    <cellStyle name="Normal 84 7 5" xfId="23813" xr:uid="{00000000-0005-0000-0000-000086780000}"/>
    <cellStyle name="Normal 84 8" xfId="6023" xr:uid="{00000000-0005-0000-0000-000087780000}"/>
    <cellStyle name="Normal 84 8 2" xfId="9885" xr:uid="{00000000-0005-0000-0000-000088780000}"/>
    <cellStyle name="Normal 84 8 2 2" xfId="19059" xr:uid="{00000000-0005-0000-0000-000089780000}"/>
    <cellStyle name="Normal 84 8 2 2 2" xfId="35633" xr:uid="{00000000-0005-0000-0000-00008A780000}"/>
    <cellStyle name="Normal 84 8 2 3" xfId="27586" xr:uid="{00000000-0005-0000-0000-00008B780000}"/>
    <cellStyle name="Normal 84 8 3" xfId="15304" xr:uid="{00000000-0005-0000-0000-00008C780000}"/>
    <cellStyle name="Normal 84 8 3 2" xfId="31858" xr:uid="{00000000-0005-0000-0000-00008D780000}"/>
    <cellStyle name="Normal 84 8 4" xfId="23815" xr:uid="{00000000-0005-0000-0000-00008E780000}"/>
    <cellStyle name="Normal 84 9" xfId="9886" xr:uid="{00000000-0005-0000-0000-00008F780000}"/>
    <cellStyle name="Normal 84 9 2" xfId="19060" xr:uid="{00000000-0005-0000-0000-000090780000}"/>
    <cellStyle name="Normal 84 9 2 2" xfId="35634" xr:uid="{00000000-0005-0000-0000-000091780000}"/>
    <cellStyle name="Normal 84 9 3" xfId="27587" xr:uid="{00000000-0005-0000-0000-000092780000}"/>
    <cellStyle name="Normal 85" xfId="6024" xr:uid="{00000000-0005-0000-0000-000093780000}"/>
    <cellStyle name="Normal 85 10" xfId="15305" xr:uid="{00000000-0005-0000-0000-000094780000}"/>
    <cellStyle name="Normal 85 10 2" xfId="31859" xr:uid="{00000000-0005-0000-0000-000095780000}"/>
    <cellStyle name="Normal 85 11" xfId="23816" xr:uid="{00000000-0005-0000-0000-000096780000}"/>
    <cellStyle name="Normal 85 2" xfId="6025" xr:uid="{00000000-0005-0000-0000-000097780000}"/>
    <cellStyle name="Normal 85 2 2" xfId="6026" xr:uid="{00000000-0005-0000-0000-000098780000}"/>
    <cellStyle name="Normal 85 2 3" xfId="15306" xr:uid="{00000000-0005-0000-0000-000099780000}"/>
    <cellStyle name="Normal 85 2 3 2" xfId="31860" xr:uid="{00000000-0005-0000-0000-00009A780000}"/>
    <cellStyle name="Normal 85 2 4" xfId="23817" xr:uid="{00000000-0005-0000-0000-00009B780000}"/>
    <cellStyle name="Normal 85 3" xfId="6027" xr:uid="{00000000-0005-0000-0000-00009C780000}"/>
    <cellStyle name="Normal 85 3 2" xfId="6028" xr:uid="{00000000-0005-0000-0000-00009D780000}"/>
    <cellStyle name="Normal 85 3 2 2" xfId="6029" xr:uid="{00000000-0005-0000-0000-00009E780000}"/>
    <cellStyle name="Normal 85 3 2 2 2" xfId="6030" xr:uid="{00000000-0005-0000-0000-00009F780000}"/>
    <cellStyle name="Normal 85 3 2 2 2 2" xfId="9887" xr:uid="{00000000-0005-0000-0000-0000A0780000}"/>
    <cellStyle name="Normal 85 3 2 2 2 2 2" xfId="19061" xr:uid="{00000000-0005-0000-0000-0000A1780000}"/>
    <cellStyle name="Normal 85 3 2 2 2 2 2 2" xfId="35635" xr:uid="{00000000-0005-0000-0000-0000A2780000}"/>
    <cellStyle name="Normal 85 3 2 2 2 2 3" xfId="27588" xr:uid="{00000000-0005-0000-0000-0000A3780000}"/>
    <cellStyle name="Normal 85 3 2 2 2 3" xfId="15309" xr:uid="{00000000-0005-0000-0000-0000A4780000}"/>
    <cellStyle name="Normal 85 3 2 2 2 3 2" xfId="31863" xr:uid="{00000000-0005-0000-0000-0000A5780000}"/>
    <cellStyle name="Normal 85 3 2 2 2 4" xfId="23820" xr:uid="{00000000-0005-0000-0000-0000A6780000}"/>
    <cellStyle name="Normal 85 3 2 2 3" xfId="9888" xr:uid="{00000000-0005-0000-0000-0000A7780000}"/>
    <cellStyle name="Normal 85 3 2 2 3 2" xfId="19062" xr:uid="{00000000-0005-0000-0000-0000A8780000}"/>
    <cellStyle name="Normal 85 3 2 2 3 2 2" xfId="35636" xr:uid="{00000000-0005-0000-0000-0000A9780000}"/>
    <cellStyle name="Normal 85 3 2 2 3 3" xfId="27589" xr:uid="{00000000-0005-0000-0000-0000AA780000}"/>
    <cellStyle name="Normal 85 3 2 2 4" xfId="15308" xr:uid="{00000000-0005-0000-0000-0000AB780000}"/>
    <cellStyle name="Normal 85 3 2 2 4 2" xfId="31862" xr:uid="{00000000-0005-0000-0000-0000AC780000}"/>
    <cellStyle name="Normal 85 3 2 2 5" xfId="23819" xr:uid="{00000000-0005-0000-0000-0000AD780000}"/>
    <cellStyle name="Normal 85 3 2 3" xfId="6031" xr:uid="{00000000-0005-0000-0000-0000AE780000}"/>
    <cellStyle name="Normal 85 3 2 3 2" xfId="9889" xr:uid="{00000000-0005-0000-0000-0000AF780000}"/>
    <cellStyle name="Normal 85 3 2 3 2 2" xfId="19063" xr:uid="{00000000-0005-0000-0000-0000B0780000}"/>
    <cellStyle name="Normal 85 3 2 3 2 2 2" xfId="35637" xr:uid="{00000000-0005-0000-0000-0000B1780000}"/>
    <cellStyle name="Normal 85 3 2 3 2 3" xfId="27590" xr:uid="{00000000-0005-0000-0000-0000B2780000}"/>
    <cellStyle name="Normal 85 3 2 3 3" xfId="15310" xr:uid="{00000000-0005-0000-0000-0000B3780000}"/>
    <cellStyle name="Normal 85 3 2 3 3 2" xfId="31864" xr:uid="{00000000-0005-0000-0000-0000B4780000}"/>
    <cellStyle name="Normal 85 3 2 3 4" xfId="23821" xr:uid="{00000000-0005-0000-0000-0000B5780000}"/>
    <cellStyle name="Normal 85 3 2 4" xfId="9890" xr:uid="{00000000-0005-0000-0000-0000B6780000}"/>
    <cellStyle name="Normal 85 3 2 4 2" xfId="19064" xr:uid="{00000000-0005-0000-0000-0000B7780000}"/>
    <cellStyle name="Normal 85 3 2 4 2 2" xfId="35638" xr:uid="{00000000-0005-0000-0000-0000B8780000}"/>
    <cellStyle name="Normal 85 3 2 4 3" xfId="27591" xr:uid="{00000000-0005-0000-0000-0000B9780000}"/>
    <cellStyle name="Normal 85 3 2 5" xfId="15307" xr:uid="{00000000-0005-0000-0000-0000BA780000}"/>
    <cellStyle name="Normal 85 3 2 5 2" xfId="31861" xr:uid="{00000000-0005-0000-0000-0000BB780000}"/>
    <cellStyle name="Normal 85 3 2 6" xfId="23818" xr:uid="{00000000-0005-0000-0000-0000BC780000}"/>
    <cellStyle name="Normal 85 3 3" xfId="6032" xr:uid="{00000000-0005-0000-0000-0000BD780000}"/>
    <cellStyle name="Normal 85 3 3 2" xfId="6033" xr:uid="{00000000-0005-0000-0000-0000BE780000}"/>
    <cellStyle name="Normal 85 3 3 2 2" xfId="9891" xr:uid="{00000000-0005-0000-0000-0000BF780000}"/>
    <cellStyle name="Normal 85 3 3 2 2 2" xfId="19065" xr:uid="{00000000-0005-0000-0000-0000C0780000}"/>
    <cellStyle name="Normal 85 3 3 2 2 2 2" xfId="35639" xr:uid="{00000000-0005-0000-0000-0000C1780000}"/>
    <cellStyle name="Normal 85 3 3 2 2 3" xfId="27592" xr:uid="{00000000-0005-0000-0000-0000C2780000}"/>
    <cellStyle name="Normal 85 3 3 2 3" xfId="15312" xr:uid="{00000000-0005-0000-0000-0000C3780000}"/>
    <cellStyle name="Normal 85 3 3 2 3 2" xfId="31866" xr:uid="{00000000-0005-0000-0000-0000C4780000}"/>
    <cellStyle name="Normal 85 3 3 2 4" xfId="23823" xr:uid="{00000000-0005-0000-0000-0000C5780000}"/>
    <cellStyle name="Normal 85 3 3 3" xfId="9892" xr:uid="{00000000-0005-0000-0000-0000C6780000}"/>
    <cellStyle name="Normal 85 3 3 3 2" xfId="19066" xr:uid="{00000000-0005-0000-0000-0000C7780000}"/>
    <cellStyle name="Normal 85 3 3 3 2 2" xfId="35640" xr:uid="{00000000-0005-0000-0000-0000C8780000}"/>
    <cellStyle name="Normal 85 3 3 3 3" xfId="27593" xr:uid="{00000000-0005-0000-0000-0000C9780000}"/>
    <cellStyle name="Normal 85 3 3 4" xfId="15311" xr:uid="{00000000-0005-0000-0000-0000CA780000}"/>
    <cellStyle name="Normal 85 3 3 4 2" xfId="31865" xr:uid="{00000000-0005-0000-0000-0000CB780000}"/>
    <cellStyle name="Normal 85 3 3 5" xfId="23822" xr:uid="{00000000-0005-0000-0000-0000CC780000}"/>
    <cellStyle name="Normal 85 3 4" xfId="6034" xr:uid="{00000000-0005-0000-0000-0000CD780000}"/>
    <cellStyle name="Normal 85 3 4 2" xfId="9893" xr:uid="{00000000-0005-0000-0000-0000CE780000}"/>
    <cellStyle name="Normal 85 3 4 2 2" xfId="19067" xr:uid="{00000000-0005-0000-0000-0000CF780000}"/>
    <cellStyle name="Normal 85 3 4 2 2 2" xfId="35641" xr:uid="{00000000-0005-0000-0000-0000D0780000}"/>
    <cellStyle name="Normal 85 3 4 2 3" xfId="27594" xr:uid="{00000000-0005-0000-0000-0000D1780000}"/>
    <cellStyle name="Normal 85 3 4 3" xfId="15313" xr:uid="{00000000-0005-0000-0000-0000D2780000}"/>
    <cellStyle name="Normal 85 3 4 3 2" xfId="31867" xr:uid="{00000000-0005-0000-0000-0000D3780000}"/>
    <cellStyle name="Normal 85 3 4 4" xfId="23824" xr:uid="{00000000-0005-0000-0000-0000D4780000}"/>
    <cellStyle name="Normal 85 3 5" xfId="6035" xr:uid="{00000000-0005-0000-0000-0000D5780000}"/>
    <cellStyle name="Normal 85 3 5 2" xfId="15314" xr:uid="{00000000-0005-0000-0000-0000D6780000}"/>
    <cellStyle name="Normal 85 3 5 2 2" xfId="31868" xr:uid="{00000000-0005-0000-0000-0000D7780000}"/>
    <cellStyle name="Normal 85 3 5 3" xfId="23825" xr:uid="{00000000-0005-0000-0000-0000D8780000}"/>
    <cellStyle name="Normal 85 4" xfId="6036" xr:uid="{00000000-0005-0000-0000-0000D9780000}"/>
    <cellStyle name="Normal 85 4 2" xfId="6037" xr:uid="{00000000-0005-0000-0000-0000DA780000}"/>
    <cellStyle name="Normal 85 4 2 2" xfId="6038" xr:uid="{00000000-0005-0000-0000-0000DB780000}"/>
    <cellStyle name="Normal 85 4 2 2 2" xfId="6039" xr:uid="{00000000-0005-0000-0000-0000DC780000}"/>
    <cellStyle name="Normal 85 4 2 2 2 2" xfId="9894" xr:uid="{00000000-0005-0000-0000-0000DD780000}"/>
    <cellStyle name="Normal 85 4 2 2 2 2 2" xfId="19068" xr:uid="{00000000-0005-0000-0000-0000DE780000}"/>
    <cellStyle name="Normal 85 4 2 2 2 2 2 2" xfId="35642" xr:uid="{00000000-0005-0000-0000-0000DF780000}"/>
    <cellStyle name="Normal 85 4 2 2 2 2 3" xfId="27595" xr:uid="{00000000-0005-0000-0000-0000E0780000}"/>
    <cellStyle name="Normal 85 4 2 2 2 3" xfId="15318" xr:uid="{00000000-0005-0000-0000-0000E1780000}"/>
    <cellStyle name="Normal 85 4 2 2 2 3 2" xfId="31872" xr:uid="{00000000-0005-0000-0000-0000E2780000}"/>
    <cellStyle name="Normal 85 4 2 2 2 4" xfId="23829" xr:uid="{00000000-0005-0000-0000-0000E3780000}"/>
    <cellStyle name="Normal 85 4 2 2 3" xfId="9895" xr:uid="{00000000-0005-0000-0000-0000E4780000}"/>
    <cellStyle name="Normal 85 4 2 2 3 2" xfId="19069" xr:uid="{00000000-0005-0000-0000-0000E5780000}"/>
    <cellStyle name="Normal 85 4 2 2 3 2 2" xfId="35643" xr:uid="{00000000-0005-0000-0000-0000E6780000}"/>
    <cellStyle name="Normal 85 4 2 2 3 3" xfId="27596" xr:uid="{00000000-0005-0000-0000-0000E7780000}"/>
    <cellStyle name="Normal 85 4 2 2 4" xfId="15317" xr:uid="{00000000-0005-0000-0000-0000E8780000}"/>
    <cellStyle name="Normal 85 4 2 2 4 2" xfId="31871" xr:uid="{00000000-0005-0000-0000-0000E9780000}"/>
    <cellStyle name="Normal 85 4 2 2 5" xfId="23828" xr:uid="{00000000-0005-0000-0000-0000EA780000}"/>
    <cellStyle name="Normal 85 4 2 3" xfId="6040" xr:uid="{00000000-0005-0000-0000-0000EB780000}"/>
    <cellStyle name="Normal 85 4 2 3 2" xfId="9896" xr:uid="{00000000-0005-0000-0000-0000EC780000}"/>
    <cellStyle name="Normal 85 4 2 3 2 2" xfId="19070" xr:uid="{00000000-0005-0000-0000-0000ED780000}"/>
    <cellStyle name="Normal 85 4 2 3 2 2 2" xfId="35644" xr:uid="{00000000-0005-0000-0000-0000EE780000}"/>
    <cellStyle name="Normal 85 4 2 3 2 3" xfId="27597" xr:uid="{00000000-0005-0000-0000-0000EF780000}"/>
    <cellStyle name="Normal 85 4 2 3 3" xfId="15319" xr:uid="{00000000-0005-0000-0000-0000F0780000}"/>
    <cellStyle name="Normal 85 4 2 3 3 2" xfId="31873" xr:uid="{00000000-0005-0000-0000-0000F1780000}"/>
    <cellStyle name="Normal 85 4 2 3 4" xfId="23830" xr:uid="{00000000-0005-0000-0000-0000F2780000}"/>
    <cellStyle name="Normal 85 4 2 4" xfId="9897" xr:uid="{00000000-0005-0000-0000-0000F3780000}"/>
    <cellStyle name="Normal 85 4 2 4 2" xfId="19071" xr:uid="{00000000-0005-0000-0000-0000F4780000}"/>
    <cellStyle name="Normal 85 4 2 4 2 2" xfId="35645" xr:uid="{00000000-0005-0000-0000-0000F5780000}"/>
    <cellStyle name="Normal 85 4 2 4 3" xfId="27598" xr:uid="{00000000-0005-0000-0000-0000F6780000}"/>
    <cellStyle name="Normal 85 4 2 5" xfId="15316" xr:uid="{00000000-0005-0000-0000-0000F7780000}"/>
    <cellStyle name="Normal 85 4 2 5 2" xfId="31870" xr:uid="{00000000-0005-0000-0000-0000F8780000}"/>
    <cellStyle name="Normal 85 4 2 6" xfId="23827" xr:uid="{00000000-0005-0000-0000-0000F9780000}"/>
    <cellStyle name="Normal 85 4 3" xfId="6041" xr:uid="{00000000-0005-0000-0000-0000FA780000}"/>
    <cellStyle name="Normal 85 4 3 2" xfId="6042" xr:uid="{00000000-0005-0000-0000-0000FB780000}"/>
    <cellStyle name="Normal 85 4 3 2 2" xfId="9898" xr:uid="{00000000-0005-0000-0000-0000FC780000}"/>
    <cellStyle name="Normal 85 4 3 2 2 2" xfId="19072" xr:uid="{00000000-0005-0000-0000-0000FD780000}"/>
    <cellStyle name="Normal 85 4 3 2 2 2 2" xfId="35646" xr:uid="{00000000-0005-0000-0000-0000FE780000}"/>
    <cellStyle name="Normal 85 4 3 2 2 3" xfId="27599" xr:uid="{00000000-0005-0000-0000-0000FF780000}"/>
    <cellStyle name="Normal 85 4 3 2 3" xfId="15321" xr:uid="{00000000-0005-0000-0000-000000790000}"/>
    <cellStyle name="Normal 85 4 3 2 3 2" xfId="31875" xr:uid="{00000000-0005-0000-0000-000001790000}"/>
    <cellStyle name="Normal 85 4 3 2 4" xfId="23832" xr:uid="{00000000-0005-0000-0000-000002790000}"/>
    <cellStyle name="Normal 85 4 3 3" xfId="9899" xr:uid="{00000000-0005-0000-0000-000003790000}"/>
    <cellStyle name="Normal 85 4 3 3 2" xfId="19073" xr:uid="{00000000-0005-0000-0000-000004790000}"/>
    <cellStyle name="Normal 85 4 3 3 2 2" xfId="35647" xr:uid="{00000000-0005-0000-0000-000005790000}"/>
    <cellStyle name="Normal 85 4 3 3 3" xfId="27600" xr:uid="{00000000-0005-0000-0000-000006790000}"/>
    <cellStyle name="Normal 85 4 3 4" xfId="15320" xr:uid="{00000000-0005-0000-0000-000007790000}"/>
    <cellStyle name="Normal 85 4 3 4 2" xfId="31874" xr:uid="{00000000-0005-0000-0000-000008790000}"/>
    <cellStyle name="Normal 85 4 3 5" xfId="23831" xr:uid="{00000000-0005-0000-0000-000009790000}"/>
    <cellStyle name="Normal 85 4 4" xfId="6043" xr:uid="{00000000-0005-0000-0000-00000A790000}"/>
    <cellStyle name="Normal 85 4 4 2" xfId="9900" xr:uid="{00000000-0005-0000-0000-00000B790000}"/>
    <cellStyle name="Normal 85 4 4 2 2" xfId="19074" xr:uid="{00000000-0005-0000-0000-00000C790000}"/>
    <cellStyle name="Normal 85 4 4 2 2 2" xfId="35648" xr:uid="{00000000-0005-0000-0000-00000D790000}"/>
    <cellStyle name="Normal 85 4 4 2 3" xfId="27601" xr:uid="{00000000-0005-0000-0000-00000E790000}"/>
    <cellStyle name="Normal 85 4 4 3" xfId="15322" xr:uid="{00000000-0005-0000-0000-00000F790000}"/>
    <cellStyle name="Normal 85 4 4 3 2" xfId="31876" xr:uid="{00000000-0005-0000-0000-000010790000}"/>
    <cellStyle name="Normal 85 4 4 4" xfId="23833" xr:uid="{00000000-0005-0000-0000-000011790000}"/>
    <cellStyle name="Normal 85 4 5" xfId="9901" xr:uid="{00000000-0005-0000-0000-000012790000}"/>
    <cellStyle name="Normal 85 4 5 2" xfId="19075" xr:uid="{00000000-0005-0000-0000-000013790000}"/>
    <cellStyle name="Normal 85 4 5 2 2" xfId="35649" xr:uid="{00000000-0005-0000-0000-000014790000}"/>
    <cellStyle name="Normal 85 4 5 3" xfId="27602" xr:uid="{00000000-0005-0000-0000-000015790000}"/>
    <cellStyle name="Normal 85 4 6" xfId="15315" xr:uid="{00000000-0005-0000-0000-000016790000}"/>
    <cellStyle name="Normal 85 4 6 2" xfId="31869" xr:uid="{00000000-0005-0000-0000-000017790000}"/>
    <cellStyle name="Normal 85 4 7" xfId="23826" xr:uid="{00000000-0005-0000-0000-000018790000}"/>
    <cellStyle name="Normal 85 5" xfId="6044" xr:uid="{00000000-0005-0000-0000-000019790000}"/>
    <cellStyle name="Normal 85 5 2" xfId="6045" xr:uid="{00000000-0005-0000-0000-00001A790000}"/>
    <cellStyle name="Normal 85 5 2 2" xfId="6046" xr:uid="{00000000-0005-0000-0000-00001B790000}"/>
    <cellStyle name="Normal 85 5 2 2 2" xfId="6047" xr:uid="{00000000-0005-0000-0000-00001C790000}"/>
    <cellStyle name="Normal 85 5 2 2 2 2" xfId="9902" xr:uid="{00000000-0005-0000-0000-00001D790000}"/>
    <cellStyle name="Normal 85 5 2 2 2 2 2" xfId="19076" xr:uid="{00000000-0005-0000-0000-00001E790000}"/>
    <cellStyle name="Normal 85 5 2 2 2 2 2 2" xfId="35650" xr:uid="{00000000-0005-0000-0000-00001F790000}"/>
    <cellStyle name="Normal 85 5 2 2 2 2 3" xfId="27603" xr:uid="{00000000-0005-0000-0000-000020790000}"/>
    <cellStyle name="Normal 85 5 2 2 2 3" xfId="15326" xr:uid="{00000000-0005-0000-0000-000021790000}"/>
    <cellStyle name="Normal 85 5 2 2 2 3 2" xfId="31880" xr:uid="{00000000-0005-0000-0000-000022790000}"/>
    <cellStyle name="Normal 85 5 2 2 2 4" xfId="23837" xr:uid="{00000000-0005-0000-0000-000023790000}"/>
    <cellStyle name="Normal 85 5 2 2 3" xfId="9903" xr:uid="{00000000-0005-0000-0000-000024790000}"/>
    <cellStyle name="Normal 85 5 2 2 3 2" xfId="19077" xr:uid="{00000000-0005-0000-0000-000025790000}"/>
    <cellStyle name="Normal 85 5 2 2 3 2 2" xfId="35651" xr:uid="{00000000-0005-0000-0000-000026790000}"/>
    <cellStyle name="Normal 85 5 2 2 3 3" xfId="27604" xr:uid="{00000000-0005-0000-0000-000027790000}"/>
    <cellStyle name="Normal 85 5 2 2 4" xfId="15325" xr:uid="{00000000-0005-0000-0000-000028790000}"/>
    <cellStyle name="Normal 85 5 2 2 4 2" xfId="31879" xr:uid="{00000000-0005-0000-0000-000029790000}"/>
    <cellStyle name="Normal 85 5 2 2 5" xfId="23836" xr:uid="{00000000-0005-0000-0000-00002A790000}"/>
    <cellStyle name="Normal 85 5 2 3" xfId="6048" xr:uid="{00000000-0005-0000-0000-00002B790000}"/>
    <cellStyle name="Normal 85 5 2 3 2" xfId="9904" xr:uid="{00000000-0005-0000-0000-00002C790000}"/>
    <cellStyle name="Normal 85 5 2 3 2 2" xfId="19078" xr:uid="{00000000-0005-0000-0000-00002D790000}"/>
    <cellStyle name="Normal 85 5 2 3 2 2 2" xfId="35652" xr:uid="{00000000-0005-0000-0000-00002E790000}"/>
    <cellStyle name="Normal 85 5 2 3 2 3" xfId="27605" xr:uid="{00000000-0005-0000-0000-00002F790000}"/>
    <cellStyle name="Normal 85 5 2 3 3" xfId="15327" xr:uid="{00000000-0005-0000-0000-000030790000}"/>
    <cellStyle name="Normal 85 5 2 3 3 2" xfId="31881" xr:uid="{00000000-0005-0000-0000-000031790000}"/>
    <cellStyle name="Normal 85 5 2 3 4" xfId="23838" xr:uid="{00000000-0005-0000-0000-000032790000}"/>
    <cellStyle name="Normal 85 5 2 4" xfId="9905" xr:uid="{00000000-0005-0000-0000-000033790000}"/>
    <cellStyle name="Normal 85 5 2 4 2" xfId="19079" xr:uid="{00000000-0005-0000-0000-000034790000}"/>
    <cellStyle name="Normal 85 5 2 4 2 2" xfId="35653" xr:uid="{00000000-0005-0000-0000-000035790000}"/>
    <cellStyle name="Normal 85 5 2 4 3" xfId="27606" xr:uid="{00000000-0005-0000-0000-000036790000}"/>
    <cellStyle name="Normal 85 5 2 5" xfId="15324" xr:uid="{00000000-0005-0000-0000-000037790000}"/>
    <cellStyle name="Normal 85 5 2 5 2" xfId="31878" xr:uid="{00000000-0005-0000-0000-000038790000}"/>
    <cellStyle name="Normal 85 5 2 6" xfId="23835" xr:uid="{00000000-0005-0000-0000-000039790000}"/>
    <cellStyle name="Normal 85 5 3" xfId="6049" xr:uid="{00000000-0005-0000-0000-00003A790000}"/>
    <cellStyle name="Normal 85 5 3 2" xfId="6050" xr:uid="{00000000-0005-0000-0000-00003B790000}"/>
    <cellStyle name="Normal 85 5 3 2 2" xfId="9906" xr:uid="{00000000-0005-0000-0000-00003C790000}"/>
    <cellStyle name="Normal 85 5 3 2 2 2" xfId="19080" xr:uid="{00000000-0005-0000-0000-00003D790000}"/>
    <cellStyle name="Normal 85 5 3 2 2 2 2" xfId="35654" xr:uid="{00000000-0005-0000-0000-00003E790000}"/>
    <cellStyle name="Normal 85 5 3 2 2 3" xfId="27607" xr:uid="{00000000-0005-0000-0000-00003F790000}"/>
    <cellStyle name="Normal 85 5 3 2 3" xfId="15329" xr:uid="{00000000-0005-0000-0000-000040790000}"/>
    <cellStyle name="Normal 85 5 3 2 3 2" xfId="31883" xr:uid="{00000000-0005-0000-0000-000041790000}"/>
    <cellStyle name="Normal 85 5 3 2 4" xfId="23840" xr:uid="{00000000-0005-0000-0000-000042790000}"/>
    <cellStyle name="Normal 85 5 3 3" xfId="9907" xr:uid="{00000000-0005-0000-0000-000043790000}"/>
    <cellStyle name="Normal 85 5 3 3 2" xfId="19081" xr:uid="{00000000-0005-0000-0000-000044790000}"/>
    <cellStyle name="Normal 85 5 3 3 2 2" xfId="35655" xr:uid="{00000000-0005-0000-0000-000045790000}"/>
    <cellStyle name="Normal 85 5 3 3 3" xfId="27608" xr:uid="{00000000-0005-0000-0000-000046790000}"/>
    <cellStyle name="Normal 85 5 3 4" xfId="15328" xr:uid="{00000000-0005-0000-0000-000047790000}"/>
    <cellStyle name="Normal 85 5 3 4 2" xfId="31882" xr:uid="{00000000-0005-0000-0000-000048790000}"/>
    <cellStyle name="Normal 85 5 3 5" xfId="23839" xr:uid="{00000000-0005-0000-0000-000049790000}"/>
    <cellStyle name="Normal 85 5 4" xfId="6051" xr:uid="{00000000-0005-0000-0000-00004A790000}"/>
    <cellStyle name="Normal 85 5 4 2" xfId="9908" xr:uid="{00000000-0005-0000-0000-00004B790000}"/>
    <cellStyle name="Normal 85 5 4 2 2" xfId="19082" xr:uid="{00000000-0005-0000-0000-00004C790000}"/>
    <cellStyle name="Normal 85 5 4 2 2 2" xfId="35656" xr:uid="{00000000-0005-0000-0000-00004D790000}"/>
    <cellStyle name="Normal 85 5 4 2 3" xfId="27609" xr:uid="{00000000-0005-0000-0000-00004E790000}"/>
    <cellStyle name="Normal 85 5 4 3" xfId="15330" xr:uid="{00000000-0005-0000-0000-00004F790000}"/>
    <cellStyle name="Normal 85 5 4 3 2" xfId="31884" xr:uid="{00000000-0005-0000-0000-000050790000}"/>
    <cellStyle name="Normal 85 5 4 4" xfId="23841" xr:uid="{00000000-0005-0000-0000-000051790000}"/>
    <cellStyle name="Normal 85 5 5" xfId="9909" xr:uid="{00000000-0005-0000-0000-000052790000}"/>
    <cellStyle name="Normal 85 5 5 2" xfId="19083" xr:uid="{00000000-0005-0000-0000-000053790000}"/>
    <cellStyle name="Normal 85 5 5 2 2" xfId="35657" xr:uid="{00000000-0005-0000-0000-000054790000}"/>
    <cellStyle name="Normal 85 5 5 3" xfId="27610" xr:uid="{00000000-0005-0000-0000-000055790000}"/>
    <cellStyle name="Normal 85 5 6" xfId="15323" xr:uid="{00000000-0005-0000-0000-000056790000}"/>
    <cellStyle name="Normal 85 5 6 2" xfId="31877" xr:uid="{00000000-0005-0000-0000-000057790000}"/>
    <cellStyle name="Normal 85 5 7" xfId="23834" xr:uid="{00000000-0005-0000-0000-000058790000}"/>
    <cellStyle name="Normal 85 6" xfId="6052" xr:uid="{00000000-0005-0000-0000-000059790000}"/>
    <cellStyle name="Normal 85 6 2" xfId="6053" xr:uid="{00000000-0005-0000-0000-00005A790000}"/>
    <cellStyle name="Normal 85 6 2 2" xfId="6054" xr:uid="{00000000-0005-0000-0000-00005B790000}"/>
    <cellStyle name="Normal 85 6 2 2 2" xfId="9910" xr:uid="{00000000-0005-0000-0000-00005C790000}"/>
    <cellStyle name="Normal 85 6 2 2 2 2" xfId="19084" xr:uid="{00000000-0005-0000-0000-00005D790000}"/>
    <cellStyle name="Normal 85 6 2 2 2 2 2" xfId="35658" xr:uid="{00000000-0005-0000-0000-00005E790000}"/>
    <cellStyle name="Normal 85 6 2 2 2 3" xfId="27611" xr:uid="{00000000-0005-0000-0000-00005F790000}"/>
    <cellStyle name="Normal 85 6 2 2 3" xfId="15333" xr:uid="{00000000-0005-0000-0000-000060790000}"/>
    <cellStyle name="Normal 85 6 2 2 3 2" xfId="31887" xr:uid="{00000000-0005-0000-0000-000061790000}"/>
    <cellStyle name="Normal 85 6 2 2 4" xfId="23844" xr:uid="{00000000-0005-0000-0000-000062790000}"/>
    <cellStyle name="Normal 85 6 2 3" xfId="9911" xr:uid="{00000000-0005-0000-0000-000063790000}"/>
    <cellStyle name="Normal 85 6 2 3 2" xfId="19085" xr:uid="{00000000-0005-0000-0000-000064790000}"/>
    <cellStyle name="Normal 85 6 2 3 2 2" xfId="35659" xr:uid="{00000000-0005-0000-0000-000065790000}"/>
    <cellStyle name="Normal 85 6 2 3 3" xfId="27612" xr:uid="{00000000-0005-0000-0000-000066790000}"/>
    <cellStyle name="Normal 85 6 2 4" xfId="15332" xr:uid="{00000000-0005-0000-0000-000067790000}"/>
    <cellStyle name="Normal 85 6 2 4 2" xfId="31886" xr:uid="{00000000-0005-0000-0000-000068790000}"/>
    <cellStyle name="Normal 85 6 2 5" xfId="23843" xr:uid="{00000000-0005-0000-0000-000069790000}"/>
    <cellStyle name="Normal 85 6 3" xfId="6055" xr:uid="{00000000-0005-0000-0000-00006A790000}"/>
    <cellStyle name="Normal 85 6 3 2" xfId="9912" xr:uid="{00000000-0005-0000-0000-00006B790000}"/>
    <cellStyle name="Normal 85 6 3 2 2" xfId="19086" xr:uid="{00000000-0005-0000-0000-00006C790000}"/>
    <cellStyle name="Normal 85 6 3 2 2 2" xfId="35660" xr:uid="{00000000-0005-0000-0000-00006D790000}"/>
    <cellStyle name="Normal 85 6 3 2 3" xfId="27613" xr:uid="{00000000-0005-0000-0000-00006E790000}"/>
    <cellStyle name="Normal 85 6 3 3" xfId="15334" xr:uid="{00000000-0005-0000-0000-00006F790000}"/>
    <cellStyle name="Normal 85 6 3 3 2" xfId="31888" xr:uid="{00000000-0005-0000-0000-000070790000}"/>
    <cellStyle name="Normal 85 6 3 4" xfId="23845" xr:uid="{00000000-0005-0000-0000-000071790000}"/>
    <cellStyle name="Normal 85 6 4" xfId="9913" xr:uid="{00000000-0005-0000-0000-000072790000}"/>
    <cellStyle name="Normal 85 6 4 2" xfId="19087" xr:uid="{00000000-0005-0000-0000-000073790000}"/>
    <cellStyle name="Normal 85 6 4 2 2" xfId="35661" xr:uid="{00000000-0005-0000-0000-000074790000}"/>
    <cellStyle name="Normal 85 6 4 3" xfId="27614" xr:uid="{00000000-0005-0000-0000-000075790000}"/>
    <cellStyle name="Normal 85 6 5" xfId="15331" xr:uid="{00000000-0005-0000-0000-000076790000}"/>
    <cellStyle name="Normal 85 6 5 2" xfId="31885" xr:uid="{00000000-0005-0000-0000-000077790000}"/>
    <cellStyle name="Normal 85 6 6" xfId="23842" xr:uid="{00000000-0005-0000-0000-000078790000}"/>
    <cellStyle name="Normal 85 7" xfId="6056" xr:uid="{00000000-0005-0000-0000-000079790000}"/>
    <cellStyle name="Normal 85 7 2" xfId="6057" xr:uid="{00000000-0005-0000-0000-00007A790000}"/>
    <cellStyle name="Normal 85 7 2 2" xfId="9914" xr:uid="{00000000-0005-0000-0000-00007B790000}"/>
    <cellStyle name="Normal 85 7 2 2 2" xfId="19088" xr:uid="{00000000-0005-0000-0000-00007C790000}"/>
    <cellStyle name="Normal 85 7 2 2 2 2" xfId="35662" xr:uid="{00000000-0005-0000-0000-00007D790000}"/>
    <cellStyle name="Normal 85 7 2 2 3" xfId="27615" xr:uid="{00000000-0005-0000-0000-00007E790000}"/>
    <cellStyle name="Normal 85 7 2 3" xfId="15336" xr:uid="{00000000-0005-0000-0000-00007F790000}"/>
    <cellStyle name="Normal 85 7 2 3 2" xfId="31890" xr:uid="{00000000-0005-0000-0000-000080790000}"/>
    <cellStyle name="Normal 85 7 2 4" xfId="23847" xr:uid="{00000000-0005-0000-0000-000081790000}"/>
    <cellStyle name="Normal 85 7 3" xfId="9915" xr:uid="{00000000-0005-0000-0000-000082790000}"/>
    <cellStyle name="Normal 85 7 3 2" xfId="19089" xr:uid="{00000000-0005-0000-0000-000083790000}"/>
    <cellStyle name="Normal 85 7 3 2 2" xfId="35663" xr:uid="{00000000-0005-0000-0000-000084790000}"/>
    <cellStyle name="Normal 85 7 3 3" xfId="27616" xr:uid="{00000000-0005-0000-0000-000085790000}"/>
    <cellStyle name="Normal 85 7 4" xfId="15335" xr:uid="{00000000-0005-0000-0000-000086790000}"/>
    <cellStyle name="Normal 85 7 4 2" xfId="31889" xr:uid="{00000000-0005-0000-0000-000087790000}"/>
    <cellStyle name="Normal 85 7 5" xfId="23846" xr:uid="{00000000-0005-0000-0000-000088790000}"/>
    <cellStyle name="Normal 85 8" xfId="6058" xr:uid="{00000000-0005-0000-0000-000089790000}"/>
    <cellStyle name="Normal 85 8 2" xfId="9916" xr:uid="{00000000-0005-0000-0000-00008A790000}"/>
    <cellStyle name="Normal 85 8 2 2" xfId="19090" xr:uid="{00000000-0005-0000-0000-00008B790000}"/>
    <cellStyle name="Normal 85 8 2 2 2" xfId="35664" xr:uid="{00000000-0005-0000-0000-00008C790000}"/>
    <cellStyle name="Normal 85 8 2 3" xfId="27617" xr:uid="{00000000-0005-0000-0000-00008D790000}"/>
    <cellStyle name="Normal 85 8 3" xfId="15337" xr:uid="{00000000-0005-0000-0000-00008E790000}"/>
    <cellStyle name="Normal 85 8 3 2" xfId="31891" xr:uid="{00000000-0005-0000-0000-00008F790000}"/>
    <cellStyle name="Normal 85 8 4" xfId="23848" xr:uid="{00000000-0005-0000-0000-000090790000}"/>
    <cellStyle name="Normal 85 9" xfId="9917" xr:uid="{00000000-0005-0000-0000-000091790000}"/>
    <cellStyle name="Normal 85 9 2" xfId="19091" xr:uid="{00000000-0005-0000-0000-000092790000}"/>
    <cellStyle name="Normal 85 9 2 2" xfId="35665" xr:uid="{00000000-0005-0000-0000-000093790000}"/>
    <cellStyle name="Normal 85 9 3" xfId="27618" xr:uid="{00000000-0005-0000-0000-000094790000}"/>
    <cellStyle name="Normal 86" xfId="6059" xr:uid="{00000000-0005-0000-0000-000095790000}"/>
    <cellStyle name="Normal 86 10" xfId="15338" xr:uid="{00000000-0005-0000-0000-000096790000}"/>
    <cellStyle name="Normal 86 10 2" xfId="31892" xr:uid="{00000000-0005-0000-0000-000097790000}"/>
    <cellStyle name="Normal 86 11" xfId="23849" xr:uid="{00000000-0005-0000-0000-000098790000}"/>
    <cellStyle name="Normal 86 2" xfId="6060" xr:uid="{00000000-0005-0000-0000-000099790000}"/>
    <cellStyle name="Normal 86 2 2" xfId="6061" xr:uid="{00000000-0005-0000-0000-00009A790000}"/>
    <cellStyle name="Normal 86 2 3" xfId="15339" xr:uid="{00000000-0005-0000-0000-00009B790000}"/>
    <cellStyle name="Normal 86 2 3 2" xfId="31893" xr:uid="{00000000-0005-0000-0000-00009C790000}"/>
    <cellStyle name="Normal 86 2 4" xfId="23850" xr:uid="{00000000-0005-0000-0000-00009D790000}"/>
    <cellStyle name="Normal 86 3" xfId="6062" xr:uid="{00000000-0005-0000-0000-00009E790000}"/>
    <cellStyle name="Normal 86 3 2" xfId="6063" xr:uid="{00000000-0005-0000-0000-00009F790000}"/>
    <cellStyle name="Normal 86 3 2 2" xfId="6064" xr:uid="{00000000-0005-0000-0000-0000A0790000}"/>
    <cellStyle name="Normal 86 3 2 2 2" xfId="6065" xr:uid="{00000000-0005-0000-0000-0000A1790000}"/>
    <cellStyle name="Normal 86 3 2 2 2 2" xfId="9918" xr:uid="{00000000-0005-0000-0000-0000A2790000}"/>
    <cellStyle name="Normal 86 3 2 2 2 2 2" xfId="19092" xr:uid="{00000000-0005-0000-0000-0000A3790000}"/>
    <cellStyle name="Normal 86 3 2 2 2 2 2 2" xfId="35666" xr:uid="{00000000-0005-0000-0000-0000A4790000}"/>
    <cellStyle name="Normal 86 3 2 2 2 2 3" xfId="27619" xr:uid="{00000000-0005-0000-0000-0000A5790000}"/>
    <cellStyle name="Normal 86 3 2 2 2 3" xfId="15342" xr:uid="{00000000-0005-0000-0000-0000A6790000}"/>
    <cellStyle name="Normal 86 3 2 2 2 3 2" xfId="31896" xr:uid="{00000000-0005-0000-0000-0000A7790000}"/>
    <cellStyle name="Normal 86 3 2 2 2 4" xfId="23853" xr:uid="{00000000-0005-0000-0000-0000A8790000}"/>
    <cellStyle name="Normal 86 3 2 2 3" xfId="9919" xr:uid="{00000000-0005-0000-0000-0000A9790000}"/>
    <cellStyle name="Normal 86 3 2 2 3 2" xfId="19093" xr:uid="{00000000-0005-0000-0000-0000AA790000}"/>
    <cellStyle name="Normal 86 3 2 2 3 2 2" xfId="35667" xr:uid="{00000000-0005-0000-0000-0000AB790000}"/>
    <cellStyle name="Normal 86 3 2 2 3 3" xfId="27620" xr:uid="{00000000-0005-0000-0000-0000AC790000}"/>
    <cellStyle name="Normal 86 3 2 2 4" xfId="15341" xr:uid="{00000000-0005-0000-0000-0000AD790000}"/>
    <cellStyle name="Normal 86 3 2 2 4 2" xfId="31895" xr:uid="{00000000-0005-0000-0000-0000AE790000}"/>
    <cellStyle name="Normal 86 3 2 2 5" xfId="23852" xr:uid="{00000000-0005-0000-0000-0000AF790000}"/>
    <cellStyle name="Normal 86 3 2 3" xfId="6066" xr:uid="{00000000-0005-0000-0000-0000B0790000}"/>
    <cellStyle name="Normal 86 3 2 3 2" xfId="9920" xr:uid="{00000000-0005-0000-0000-0000B1790000}"/>
    <cellStyle name="Normal 86 3 2 3 2 2" xfId="19094" xr:uid="{00000000-0005-0000-0000-0000B2790000}"/>
    <cellStyle name="Normal 86 3 2 3 2 2 2" xfId="35668" xr:uid="{00000000-0005-0000-0000-0000B3790000}"/>
    <cellStyle name="Normal 86 3 2 3 2 3" xfId="27621" xr:uid="{00000000-0005-0000-0000-0000B4790000}"/>
    <cellStyle name="Normal 86 3 2 3 3" xfId="15343" xr:uid="{00000000-0005-0000-0000-0000B5790000}"/>
    <cellStyle name="Normal 86 3 2 3 3 2" xfId="31897" xr:uid="{00000000-0005-0000-0000-0000B6790000}"/>
    <cellStyle name="Normal 86 3 2 3 4" xfId="23854" xr:uid="{00000000-0005-0000-0000-0000B7790000}"/>
    <cellStyle name="Normal 86 3 2 4" xfId="9921" xr:uid="{00000000-0005-0000-0000-0000B8790000}"/>
    <cellStyle name="Normal 86 3 2 4 2" xfId="19095" xr:uid="{00000000-0005-0000-0000-0000B9790000}"/>
    <cellStyle name="Normal 86 3 2 4 2 2" xfId="35669" xr:uid="{00000000-0005-0000-0000-0000BA790000}"/>
    <cellStyle name="Normal 86 3 2 4 3" xfId="27622" xr:uid="{00000000-0005-0000-0000-0000BB790000}"/>
    <cellStyle name="Normal 86 3 2 5" xfId="15340" xr:uid="{00000000-0005-0000-0000-0000BC790000}"/>
    <cellStyle name="Normal 86 3 2 5 2" xfId="31894" xr:uid="{00000000-0005-0000-0000-0000BD790000}"/>
    <cellStyle name="Normal 86 3 2 6" xfId="23851" xr:uid="{00000000-0005-0000-0000-0000BE790000}"/>
    <cellStyle name="Normal 86 3 3" xfId="6067" xr:uid="{00000000-0005-0000-0000-0000BF790000}"/>
    <cellStyle name="Normal 86 3 3 2" xfId="6068" xr:uid="{00000000-0005-0000-0000-0000C0790000}"/>
    <cellStyle name="Normal 86 3 3 2 2" xfId="9922" xr:uid="{00000000-0005-0000-0000-0000C1790000}"/>
    <cellStyle name="Normal 86 3 3 2 2 2" xfId="19096" xr:uid="{00000000-0005-0000-0000-0000C2790000}"/>
    <cellStyle name="Normal 86 3 3 2 2 2 2" xfId="35670" xr:uid="{00000000-0005-0000-0000-0000C3790000}"/>
    <cellStyle name="Normal 86 3 3 2 2 3" xfId="27623" xr:uid="{00000000-0005-0000-0000-0000C4790000}"/>
    <cellStyle name="Normal 86 3 3 2 3" xfId="15345" xr:uid="{00000000-0005-0000-0000-0000C5790000}"/>
    <cellStyle name="Normal 86 3 3 2 3 2" xfId="31899" xr:uid="{00000000-0005-0000-0000-0000C6790000}"/>
    <cellStyle name="Normal 86 3 3 2 4" xfId="23856" xr:uid="{00000000-0005-0000-0000-0000C7790000}"/>
    <cellStyle name="Normal 86 3 3 3" xfId="9923" xr:uid="{00000000-0005-0000-0000-0000C8790000}"/>
    <cellStyle name="Normal 86 3 3 3 2" xfId="19097" xr:uid="{00000000-0005-0000-0000-0000C9790000}"/>
    <cellStyle name="Normal 86 3 3 3 2 2" xfId="35671" xr:uid="{00000000-0005-0000-0000-0000CA790000}"/>
    <cellStyle name="Normal 86 3 3 3 3" xfId="27624" xr:uid="{00000000-0005-0000-0000-0000CB790000}"/>
    <cellStyle name="Normal 86 3 3 4" xfId="15344" xr:uid="{00000000-0005-0000-0000-0000CC790000}"/>
    <cellStyle name="Normal 86 3 3 4 2" xfId="31898" xr:uid="{00000000-0005-0000-0000-0000CD790000}"/>
    <cellStyle name="Normal 86 3 3 5" xfId="23855" xr:uid="{00000000-0005-0000-0000-0000CE790000}"/>
    <cellStyle name="Normal 86 3 4" xfId="6069" xr:uid="{00000000-0005-0000-0000-0000CF790000}"/>
    <cellStyle name="Normal 86 3 4 2" xfId="9924" xr:uid="{00000000-0005-0000-0000-0000D0790000}"/>
    <cellStyle name="Normal 86 3 4 2 2" xfId="19098" xr:uid="{00000000-0005-0000-0000-0000D1790000}"/>
    <cellStyle name="Normal 86 3 4 2 2 2" xfId="35672" xr:uid="{00000000-0005-0000-0000-0000D2790000}"/>
    <cellStyle name="Normal 86 3 4 2 3" xfId="27625" xr:uid="{00000000-0005-0000-0000-0000D3790000}"/>
    <cellStyle name="Normal 86 3 4 3" xfId="15346" xr:uid="{00000000-0005-0000-0000-0000D4790000}"/>
    <cellStyle name="Normal 86 3 4 3 2" xfId="31900" xr:uid="{00000000-0005-0000-0000-0000D5790000}"/>
    <cellStyle name="Normal 86 3 4 4" xfId="23857" xr:uid="{00000000-0005-0000-0000-0000D6790000}"/>
    <cellStyle name="Normal 86 3 5" xfId="6070" xr:uid="{00000000-0005-0000-0000-0000D7790000}"/>
    <cellStyle name="Normal 86 3 5 2" xfId="15347" xr:uid="{00000000-0005-0000-0000-0000D8790000}"/>
    <cellStyle name="Normal 86 3 5 2 2" xfId="31901" xr:uid="{00000000-0005-0000-0000-0000D9790000}"/>
    <cellStyle name="Normal 86 3 5 3" xfId="23858" xr:uid="{00000000-0005-0000-0000-0000DA790000}"/>
    <cellStyle name="Normal 86 4" xfId="6071" xr:uid="{00000000-0005-0000-0000-0000DB790000}"/>
    <cellStyle name="Normal 86 4 2" xfId="6072" xr:uid="{00000000-0005-0000-0000-0000DC790000}"/>
    <cellStyle name="Normal 86 4 2 2" xfId="6073" xr:uid="{00000000-0005-0000-0000-0000DD790000}"/>
    <cellStyle name="Normal 86 4 2 2 2" xfId="6074" xr:uid="{00000000-0005-0000-0000-0000DE790000}"/>
    <cellStyle name="Normal 86 4 2 2 2 2" xfId="9925" xr:uid="{00000000-0005-0000-0000-0000DF790000}"/>
    <cellStyle name="Normal 86 4 2 2 2 2 2" xfId="19099" xr:uid="{00000000-0005-0000-0000-0000E0790000}"/>
    <cellStyle name="Normal 86 4 2 2 2 2 2 2" xfId="35673" xr:uid="{00000000-0005-0000-0000-0000E1790000}"/>
    <cellStyle name="Normal 86 4 2 2 2 2 3" xfId="27626" xr:uid="{00000000-0005-0000-0000-0000E2790000}"/>
    <cellStyle name="Normal 86 4 2 2 2 3" xfId="15351" xr:uid="{00000000-0005-0000-0000-0000E3790000}"/>
    <cellStyle name="Normal 86 4 2 2 2 3 2" xfId="31905" xr:uid="{00000000-0005-0000-0000-0000E4790000}"/>
    <cellStyle name="Normal 86 4 2 2 2 4" xfId="23862" xr:uid="{00000000-0005-0000-0000-0000E5790000}"/>
    <cellStyle name="Normal 86 4 2 2 3" xfId="9926" xr:uid="{00000000-0005-0000-0000-0000E6790000}"/>
    <cellStyle name="Normal 86 4 2 2 3 2" xfId="19100" xr:uid="{00000000-0005-0000-0000-0000E7790000}"/>
    <cellStyle name="Normal 86 4 2 2 3 2 2" xfId="35674" xr:uid="{00000000-0005-0000-0000-0000E8790000}"/>
    <cellStyle name="Normal 86 4 2 2 3 3" xfId="27627" xr:uid="{00000000-0005-0000-0000-0000E9790000}"/>
    <cellStyle name="Normal 86 4 2 2 4" xfId="15350" xr:uid="{00000000-0005-0000-0000-0000EA790000}"/>
    <cellStyle name="Normal 86 4 2 2 4 2" xfId="31904" xr:uid="{00000000-0005-0000-0000-0000EB790000}"/>
    <cellStyle name="Normal 86 4 2 2 5" xfId="23861" xr:uid="{00000000-0005-0000-0000-0000EC790000}"/>
    <cellStyle name="Normal 86 4 2 3" xfId="6075" xr:uid="{00000000-0005-0000-0000-0000ED790000}"/>
    <cellStyle name="Normal 86 4 2 3 2" xfId="9927" xr:uid="{00000000-0005-0000-0000-0000EE790000}"/>
    <cellStyle name="Normal 86 4 2 3 2 2" xfId="19101" xr:uid="{00000000-0005-0000-0000-0000EF790000}"/>
    <cellStyle name="Normal 86 4 2 3 2 2 2" xfId="35675" xr:uid="{00000000-0005-0000-0000-0000F0790000}"/>
    <cellStyle name="Normal 86 4 2 3 2 3" xfId="27628" xr:uid="{00000000-0005-0000-0000-0000F1790000}"/>
    <cellStyle name="Normal 86 4 2 3 3" xfId="15352" xr:uid="{00000000-0005-0000-0000-0000F2790000}"/>
    <cellStyle name="Normal 86 4 2 3 3 2" xfId="31906" xr:uid="{00000000-0005-0000-0000-0000F3790000}"/>
    <cellStyle name="Normal 86 4 2 3 4" xfId="23863" xr:uid="{00000000-0005-0000-0000-0000F4790000}"/>
    <cellStyle name="Normal 86 4 2 4" xfId="9928" xr:uid="{00000000-0005-0000-0000-0000F5790000}"/>
    <cellStyle name="Normal 86 4 2 4 2" xfId="19102" xr:uid="{00000000-0005-0000-0000-0000F6790000}"/>
    <cellStyle name="Normal 86 4 2 4 2 2" xfId="35676" xr:uid="{00000000-0005-0000-0000-0000F7790000}"/>
    <cellStyle name="Normal 86 4 2 4 3" xfId="27629" xr:uid="{00000000-0005-0000-0000-0000F8790000}"/>
    <cellStyle name="Normal 86 4 2 5" xfId="15349" xr:uid="{00000000-0005-0000-0000-0000F9790000}"/>
    <cellStyle name="Normal 86 4 2 5 2" xfId="31903" xr:uid="{00000000-0005-0000-0000-0000FA790000}"/>
    <cellStyle name="Normal 86 4 2 6" xfId="23860" xr:uid="{00000000-0005-0000-0000-0000FB790000}"/>
    <cellStyle name="Normal 86 4 3" xfId="6076" xr:uid="{00000000-0005-0000-0000-0000FC790000}"/>
    <cellStyle name="Normal 86 4 3 2" xfId="6077" xr:uid="{00000000-0005-0000-0000-0000FD790000}"/>
    <cellStyle name="Normal 86 4 3 2 2" xfId="9929" xr:uid="{00000000-0005-0000-0000-0000FE790000}"/>
    <cellStyle name="Normal 86 4 3 2 2 2" xfId="19103" xr:uid="{00000000-0005-0000-0000-0000FF790000}"/>
    <cellStyle name="Normal 86 4 3 2 2 2 2" xfId="35677" xr:uid="{00000000-0005-0000-0000-0000007A0000}"/>
    <cellStyle name="Normal 86 4 3 2 2 3" xfId="27630" xr:uid="{00000000-0005-0000-0000-0000017A0000}"/>
    <cellStyle name="Normal 86 4 3 2 3" xfId="15354" xr:uid="{00000000-0005-0000-0000-0000027A0000}"/>
    <cellStyle name="Normal 86 4 3 2 3 2" xfId="31908" xr:uid="{00000000-0005-0000-0000-0000037A0000}"/>
    <cellStyle name="Normal 86 4 3 2 4" xfId="23865" xr:uid="{00000000-0005-0000-0000-0000047A0000}"/>
    <cellStyle name="Normal 86 4 3 3" xfId="9930" xr:uid="{00000000-0005-0000-0000-0000057A0000}"/>
    <cellStyle name="Normal 86 4 3 3 2" xfId="19104" xr:uid="{00000000-0005-0000-0000-0000067A0000}"/>
    <cellStyle name="Normal 86 4 3 3 2 2" xfId="35678" xr:uid="{00000000-0005-0000-0000-0000077A0000}"/>
    <cellStyle name="Normal 86 4 3 3 3" xfId="27631" xr:uid="{00000000-0005-0000-0000-0000087A0000}"/>
    <cellStyle name="Normal 86 4 3 4" xfId="15353" xr:uid="{00000000-0005-0000-0000-0000097A0000}"/>
    <cellStyle name="Normal 86 4 3 4 2" xfId="31907" xr:uid="{00000000-0005-0000-0000-00000A7A0000}"/>
    <cellStyle name="Normal 86 4 3 5" xfId="23864" xr:uid="{00000000-0005-0000-0000-00000B7A0000}"/>
    <cellStyle name="Normal 86 4 4" xfId="6078" xr:uid="{00000000-0005-0000-0000-00000C7A0000}"/>
    <cellStyle name="Normal 86 4 4 2" xfId="9931" xr:uid="{00000000-0005-0000-0000-00000D7A0000}"/>
    <cellStyle name="Normal 86 4 4 2 2" xfId="19105" xr:uid="{00000000-0005-0000-0000-00000E7A0000}"/>
    <cellStyle name="Normal 86 4 4 2 2 2" xfId="35679" xr:uid="{00000000-0005-0000-0000-00000F7A0000}"/>
    <cellStyle name="Normal 86 4 4 2 3" xfId="27632" xr:uid="{00000000-0005-0000-0000-0000107A0000}"/>
    <cellStyle name="Normal 86 4 4 3" xfId="15355" xr:uid="{00000000-0005-0000-0000-0000117A0000}"/>
    <cellStyle name="Normal 86 4 4 3 2" xfId="31909" xr:uid="{00000000-0005-0000-0000-0000127A0000}"/>
    <cellStyle name="Normal 86 4 4 4" xfId="23866" xr:uid="{00000000-0005-0000-0000-0000137A0000}"/>
    <cellStyle name="Normal 86 4 5" xfId="9932" xr:uid="{00000000-0005-0000-0000-0000147A0000}"/>
    <cellStyle name="Normal 86 4 5 2" xfId="19106" xr:uid="{00000000-0005-0000-0000-0000157A0000}"/>
    <cellStyle name="Normal 86 4 5 2 2" xfId="35680" xr:uid="{00000000-0005-0000-0000-0000167A0000}"/>
    <cellStyle name="Normal 86 4 5 3" xfId="27633" xr:uid="{00000000-0005-0000-0000-0000177A0000}"/>
    <cellStyle name="Normal 86 4 6" xfId="15348" xr:uid="{00000000-0005-0000-0000-0000187A0000}"/>
    <cellStyle name="Normal 86 4 6 2" xfId="31902" xr:uid="{00000000-0005-0000-0000-0000197A0000}"/>
    <cellStyle name="Normal 86 4 7" xfId="23859" xr:uid="{00000000-0005-0000-0000-00001A7A0000}"/>
    <cellStyle name="Normal 86 5" xfId="6079" xr:uid="{00000000-0005-0000-0000-00001B7A0000}"/>
    <cellStyle name="Normal 86 5 2" xfId="6080" xr:uid="{00000000-0005-0000-0000-00001C7A0000}"/>
    <cellStyle name="Normal 86 5 2 2" xfId="6081" xr:uid="{00000000-0005-0000-0000-00001D7A0000}"/>
    <cellStyle name="Normal 86 5 2 2 2" xfId="6082" xr:uid="{00000000-0005-0000-0000-00001E7A0000}"/>
    <cellStyle name="Normal 86 5 2 2 2 2" xfId="9933" xr:uid="{00000000-0005-0000-0000-00001F7A0000}"/>
    <cellStyle name="Normal 86 5 2 2 2 2 2" xfId="19107" xr:uid="{00000000-0005-0000-0000-0000207A0000}"/>
    <cellStyle name="Normal 86 5 2 2 2 2 2 2" xfId="35681" xr:uid="{00000000-0005-0000-0000-0000217A0000}"/>
    <cellStyle name="Normal 86 5 2 2 2 2 3" xfId="27634" xr:uid="{00000000-0005-0000-0000-0000227A0000}"/>
    <cellStyle name="Normal 86 5 2 2 2 3" xfId="15359" xr:uid="{00000000-0005-0000-0000-0000237A0000}"/>
    <cellStyle name="Normal 86 5 2 2 2 3 2" xfId="31913" xr:uid="{00000000-0005-0000-0000-0000247A0000}"/>
    <cellStyle name="Normal 86 5 2 2 2 4" xfId="23870" xr:uid="{00000000-0005-0000-0000-0000257A0000}"/>
    <cellStyle name="Normal 86 5 2 2 3" xfId="9934" xr:uid="{00000000-0005-0000-0000-0000267A0000}"/>
    <cellStyle name="Normal 86 5 2 2 3 2" xfId="19108" xr:uid="{00000000-0005-0000-0000-0000277A0000}"/>
    <cellStyle name="Normal 86 5 2 2 3 2 2" xfId="35682" xr:uid="{00000000-0005-0000-0000-0000287A0000}"/>
    <cellStyle name="Normal 86 5 2 2 3 3" xfId="27635" xr:uid="{00000000-0005-0000-0000-0000297A0000}"/>
    <cellStyle name="Normal 86 5 2 2 4" xfId="15358" xr:uid="{00000000-0005-0000-0000-00002A7A0000}"/>
    <cellStyle name="Normal 86 5 2 2 4 2" xfId="31912" xr:uid="{00000000-0005-0000-0000-00002B7A0000}"/>
    <cellStyle name="Normal 86 5 2 2 5" xfId="23869" xr:uid="{00000000-0005-0000-0000-00002C7A0000}"/>
    <cellStyle name="Normal 86 5 2 3" xfId="6083" xr:uid="{00000000-0005-0000-0000-00002D7A0000}"/>
    <cellStyle name="Normal 86 5 2 3 2" xfId="9935" xr:uid="{00000000-0005-0000-0000-00002E7A0000}"/>
    <cellStyle name="Normal 86 5 2 3 2 2" xfId="19109" xr:uid="{00000000-0005-0000-0000-00002F7A0000}"/>
    <cellStyle name="Normal 86 5 2 3 2 2 2" xfId="35683" xr:uid="{00000000-0005-0000-0000-0000307A0000}"/>
    <cellStyle name="Normal 86 5 2 3 2 3" xfId="27636" xr:uid="{00000000-0005-0000-0000-0000317A0000}"/>
    <cellStyle name="Normal 86 5 2 3 3" xfId="15360" xr:uid="{00000000-0005-0000-0000-0000327A0000}"/>
    <cellStyle name="Normal 86 5 2 3 3 2" xfId="31914" xr:uid="{00000000-0005-0000-0000-0000337A0000}"/>
    <cellStyle name="Normal 86 5 2 3 4" xfId="23871" xr:uid="{00000000-0005-0000-0000-0000347A0000}"/>
    <cellStyle name="Normal 86 5 2 4" xfId="9936" xr:uid="{00000000-0005-0000-0000-0000357A0000}"/>
    <cellStyle name="Normal 86 5 2 4 2" xfId="19110" xr:uid="{00000000-0005-0000-0000-0000367A0000}"/>
    <cellStyle name="Normal 86 5 2 4 2 2" xfId="35684" xr:uid="{00000000-0005-0000-0000-0000377A0000}"/>
    <cellStyle name="Normal 86 5 2 4 3" xfId="27637" xr:uid="{00000000-0005-0000-0000-0000387A0000}"/>
    <cellStyle name="Normal 86 5 2 5" xfId="15357" xr:uid="{00000000-0005-0000-0000-0000397A0000}"/>
    <cellStyle name="Normal 86 5 2 5 2" xfId="31911" xr:uid="{00000000-0005-0000-0000-00003A7A0000}"/>
    <cellStyle name="Normal 86 5 2 6" xfId="23868" xr:uid="{00000000-0005-0000-0000-00003B7A0000}"/>
    <cellStyle name="Normal 86 5 3" xfId="6084" xr:uid="{00000000-0005-0000-0000-00003C7A0000}"/>
    <cellStyle name="Normal 86 5 3 2" xfId="6085" xr:uid="{00000000-0005-0000-0000-00003D7A0000}"/>
    <cellStyle name="Normal 86 5 3 2 2" xfId="9937" xr:uid="{00000000-0005-0000-0000-00003E7A0000}"/>
    <cellStyle name="Normal 86 5 3 2 2 2" xfId="19111" xr:uid="{00000000-0005-0000-0000-00003F7A0000}"/>
    <cellStyle name="Normal 86 5 3 2 2 2 2" xfId="35685" xr:uid="{00000000-0005-0000-0000-0000407A0000}"/>
    <cellStyle name="Normal 86 5 3 2 2 3" xfId="27638" xr:uid="{00000000-0005-0000-0000-0000417A0000}"/>
    <cellStyle name="Normal 86 5 3 2 3" xfId="15362" xr:uid="{00000000-0005-0000-0000-0000427A0000}"/>
    <cellStyle name="Normal 86 5 3 2 3 2" xfId="31916" xr:uid="{00000000-0005-0000-0000-0000437A0000}"/>
    <cellStyle name="Normal 86 5 3 2 4" xfId="23873" xr:uid="{00000000-0005-0000-0000-0000447A0000}"/>
    <cellStyle name="Normal 86 5 3 3" xfId="9938" xr:uid="{00000000-0005-0000-0000-0000457A0000}"/>
    <cellStyle name="Normal 86 5 3 3 2" xfId="19112" xr:uid="{00000000-0005-0000-0000-0000467A0000}"/>
    <cellStyle name="Normal 86 5 3 3 2 2" xfId="35686" xr:uid="{00000000-0005-0000-0000-0000477A0000}"/>
    <cellStyle name="Normal 86 5 3 3 3" xfId="27639" xr:uid="{00000000-0005-0000-0000-0000487A0000}"/>
    <cellStyle name="Normal 86 5 3 4" xfId="15361" xr:uid="{00000000-0005-0000-0000-0000497A0000}"/>
    <cellStyle name="Normal 86 5 3 4 2" xfId="31915" xr:uid="{00000000-0005-0000-0000-00004A7A0000}"/>
    <cellStyle name="Normal 86 5 3 5" xfId="23872" xr:uid="{00000000-0005-0000-0000-00004B7A0000}"/>
    <cellStyle name="Normal 86 5 4" xfId="6086" xr:uid="{00000000-0005-0000-0000-00004C7A0000}"/>
    <cellStyle name="Normal 86 5 4 2" xfId="9939" xr:uid="{00000000-0005-0000-0000-00004D7A0000}"/>
    <cellStyle name="Normal 86 5 4 2 2" xfId="19113" xr:uid="{00000000-0005-0000-0000-00004E7A0000}"/>
    <cellStyle name="Normal 86 5 4 2 2 2" xfId="35687" xr:uid="{00000000-0005-0000-0000-00004F7A0000}"/>
    <cellStyle name="Normal 86 5 4 2 3" xfId="27640" xr:uid="{00000000-0005-0000-0000-0000507A0000}"/>
    <cellStyle name="Normal 86 5 4 3" xfId="15363" xr:uid="{00000000-0005-0000-0000-0000517A0000}"/>
    <cellStyle name="Normal 86 5 4 3 2" xfId="31917" xr:uid="{00000000-0005-0000-0000-0000527A0000}"/>
    <cellStyle name="Normal 86 5 4 4" xfId="23874" xr:uid="{00000000-0005-0000-0000-0000537A0000}"/>
    <cellStyle name="Normal 86 5 5" xfId="9940" xr:uid="{00000000-0005-0000-0000-0000547A0000}"/>
    <cellStyle name="Normal 86 5 5 2" xfId="19114" xr:uid="{00000000-0005-0000-0000-0000557A0000}"/>
    <cellStyle name="Normal 86 5 5 2 2" xfId="35688" xr:uid="{00000000-0005-0000-0000-0000567A0000}"/>
    <cellStyle name="Normal 86 5 5 3" xfId="27641" xr:uid="{00000000-0005-0000-0000-0000577A0000}"/>
    <cellStyle name="Normal 86 5 6" xfId="15356" xr:uid="{00000000-0005-0000-0000-0000587A0000}"/>
    <cellStyle name="Normal 86 5 6 2" xfId="31910" xr:uid="{00000000-0005-0000-0000-0000597A0000}"/>
    <cellStyle name="Normal 86 5 7" xfId="23867" xr:uid="{00000000-0005-0000-0000-00005A7A0000}"/>
    <cellStyle name="Normal 86 6" xfId="6087" xr:uid="{00000000-0005-0000-0000-00005B7A0000}"/>
    <cellStyle name="Normal 86 6 2" xfId="6088" xr:uid="{00000000-0005-0000-0000-00005C7A0000}"/>
    <cellStyle name="Normal 86 6 2 2" xfId="6089" xr:uid="{00000000-0005-0000-0000-00005D7A0000}"/>
    <cellStyle name="Normal 86 6 2 2 2" xfId="9941" xr:uid="{00000000-0005-0000-0000-00005E7A0000}"/>
    <cellStyle name="Normal 86 6 2 2 2 2" xfId="19115" xr:uid="{00000000-0005-0000-0000-00005F7A0000}"/>
    <cellStyle name="Normal 86 6 2 2 2 2 2" xfId="35689" xr:uid="{00000000-0005-0000-0000-0000607A0000}"/>
    <cellStyle name="Normal 86 6 2 2 2 3" xfId="27642" xr:uid="{00000000-0005-0000-0000-0000617A0000}"/>
    <cellStyle name="Normal 86 6 2 2 3" xfId="15366" xr:uid="{00000000-0005-0000-0000-0000627A0000}"/>
    <cellStyle name="Normal 86 6 2 2 3 2" xfId="31920" xr:uid="{00000000-0005-0000-0000-0000637A0000}"/>
    <cellStyle name="Normal 86 6 2 2 4" xfId="23877" xr:uid="{00000000-0005-0000-0000-0000647A0000}"/>
    <cellStyle name="Normal 86 6 2 3" xfId="9942" xr:uid="{00000000-0005-0000-0000-0000657A0000}"/>
    <cellStyle name="Normal 86 6 2 3 2" xfId="19116" xr:uid="{00000000-0005-0000-0000-0000667A0000}"/>
    <cellStyle name="Normal 86 6 2 3 2 2" xfId="35690" xr:uid="{00000000-0005-0000-0000-0000677A0000}"/>
    <cellStyle name="Normal 86 6 2 3 3" xfId="27643" xr:uid="{00000000-0005-0000-0000-0000687A0000}"/>
    <cellStyle name="Normal 86 6 2 4" xfId="15365" xr:uid="{00000000-0005-0000-0000-0000697A0000}"/>
    <cellStyle name="Normal 86 6 2 4 2" xfId="31919" xr:uid="{00000000-0005-0000-0000-00006A7A0000}"/>
    <cellStyle name="Normal 86 6 2 5" xfId="23876" xr:uid="{00000000-0005-0000-0000-00006B7A0000}"/>
    <cellStyle name="Normal 86 6 3" xfId="6090" xr:uid="{00000000-0005-0000-0000-00006C7A0000}"/>
    <cellStyle name="Normal 86 6 3 2" xfId="9943" xr:uid="{00000000-0005-0000-0000-00006D7A0000}"/>
    <cellStyle name="Normal 86 6 3 2 2" xfId="19117" xr:uid="{00000000-0005-0000-0000-00006E7A0000}"/>
    <cellStyle name="Normal 86 6 3 2 2 2" xfId="35691" xr:uid="{00000000-0005-0000-0000-00006F7A0000}"/>
    <cellStyle name="Normal 86 6 3 2 3" xfId="27644" xr:uid="{00000000-0005-0000-0000-0000707A0000}"/>
    <cellStyle name="Normal 86 6 3 3" xfId="15367" xr:uid="{00000000-0005-0000-0000-0000717A0000}"/>
    <cellStyle name="Normal 86 6 3 3 2" xfId="31921" xr:uid="{00000000-0005-0000-0000-0000727A0000}"/>
    <cellStyle name="Normal 86 6 3 4" xfId="23878" xr:uid="{00000000-0005-0000-0000-0000737A0000}"/>
    <cellStyle name="Normal 86 6 4" xfId="9944" xr:uid="{00000000-0005-0000-0000-0000747A0000}"/>
    <cellStyle name="Normal 86 6 4 2" xfId="19118" xr:uid="{00000000-0005-0000-0000-0000757A0000}"/>
    <cellStyle name="Normal 86 6 4 2 2" xfId="35692" xr:uid="{00000000-0005-0000-0000-0000767A0000}"/>
    <cellStyle name="Normal 86 6 4 3" xfId="27645" xr:uid="{00000000-0005-0000-0000-0000777A0000}"/>
    <cellStyle name="Normal 86 6 5" xfId="15364" xr:uid="{00000000-0005-0000-0000-0000787A0000}"/>
    <cellStyle name="Normal 86 6 5 2" xfId="31918" xr:uid="{00000000-0005-0000-0000-0000797A0000}"/>
    <cellStyle name="Normal 86 6 6" xfId="23875" xr:uid="{00000000-0005-0000-0000-00007A7A0000}"/>
    <cellStyle name="Normal 86 7" xfId="6091" xr:uid="{00000000-0005-0000-0000-00007B7A0000}"/>
    <cellStyle name="Normal 86 7 2" xfId="6092" xr:uid="{00000000-0005-0000-0000-00007C7A0000}"/>
    <cellStyle name="Normal 86 7 2 2" xfId="9945" xr:uid="{00000000-0005-0000-0000-00007D7A0000}"/>
    <cellStyle name="Normal 86 7 2 2 2" xfId="19119" xr:uid="{00000000-0005-0000-0000-00007E7A0000}"/>
    <cellStyle name="Normal 86 7 2 2 2 2" xfId="35693" xr:uid="{00000000-0005-0000-0000-00007F7A0000}"/>
    <cellStyle name="Normal 86 7 2 2 3" xfId="27646" xr:uid="{00000000-0005-0000-0000-0000807A0000}"/>
    <cellStyle name="Normal 86 7 2 3" xfId="15369" xr:uid="{00000000-0005-0000-0000-0000817A0000}"/>
    <cellStyle name="Normal 86 7 2 3 2" xfId="31923" xr:uid="{00000000-0005-0000-0000-0000827A0000}"/>
    <cellStyle name="Normal 86 7 2 4" xfId="23880" xr:uid="{00000000-0005-0000-0000-0000837A0000}"/>
    <cellStyle name="Normal 86 7 3" xfId="9946" xr:uid="{00000000-0005-0000-0000-0000847A0000}"/>
    <cellStyle name="Normal 86 7 3 2" xfId="19120" xr:uid="{00000000-0005-0000-0000-0000857A0000}"/>
    <cellStyle name="Normal 86 7 3 2 2" xfId="35694" xr:uid="{00000000-0005-0000-0000-0000867A0000}"/>
    <cellStyle name="Normal 86 7 3 3" xfId="27647" xr:uid="{00000000-0005-0000-0000-0000877A0000}"/>
    <cellStyle name="Normal 86 7 4" xfId="15368" xr:uid="{00000000-0005-0000-0000-0000887A0000}"/>
    <cellStyle name="Normal 86 7 4 2" xfId="31922" xr:uid="{00000000-0005-0000-0000-0000897A0000}"/>
    <cellStyle name="Normal 86 7 5" xfId="23879" xr:uid="{00000000-0005-0000-0000-00008A7A0000}"/>
    <cellStyle name="Normal 86 8" xfId="6093" xr:uid="{00000000-0005-0000-0000-00008B7A0000}"/>
    <cellStyle name="Normal 86 8 2" xfId="9947" xr:uid="{00000000-0005-0000-0000-00008C7A0000}"/>
    <cellStyle name="Normal 86 8 2 2" xfId="19121" xr:uid="{00000000-0005-0000-0000-00008D7A0000}"/>
    <cellStyle name="Normal 86 8 2 2 2" xfId="35695" xr:uid="{00000000-0005-0000-0000-00008E7A0000}"/>
    <cellStyle name="Normal 86 8 2 3" xfId="27648" xr:uid="{00000000-0005-0000-0000-00008F7A0000}"/>
    <cellStyle name="Normal 86 8 3" xfId="15370" xr:uid="{00000000-0005-0000-0000-0000907A0000}"/>
    <cellStyle name="Normal 86 8 3 2" xfId="31924" xr:uid="{00000000-0005-0000-0000-0000917A0000}"/>
    <cellStyle name="Normal 86 8 4" xfId="23881" xr:uid="{00000000-0005-0000-0000-0000927A0000}"/>
    <cellStyle name="Normal 86 9" xfId="9948" xr:uid="{00000000-0005-0000-0000-0000937A0000}"/>
    <cellStyle name="Normal 86 9 2" xfId="19122" xr:uid="{00000000-0005-0000-0000-0000947A0000}"/>
    <cellStyle name="Normal 86 9 2 2" xfId="35696" xr:uid="{00000000-0005-0000-0000-0000957A0000}"/>
    <cellStyle name="Normal 86 9 3" xfId="27649" xr:uid="{00000000-0005-0000-0000-0000967A0000}"/>
    <cellStyle name="Normal 87" xfId="6094" xr:uid="{00000000-0005-0000-0000-0000977A0000}"/>
    <cellStyle name="Normal 87 10" xfId="15371" xr:uid="{00000000-0005-0000-0000-0000987A0000}"/>
    <cellStyle name="Normal 87 10 2" xfId="31925" xr:uid="{00000000-0005-0000-0000-0000997A0000}"/>
    <cellStyle name="Normal 87 11" xfId="23882" xr:uid="{00000000-0005-0000-0000-00009A7A0000}"/>
    <cellStyle name="Normal 87 2" xfId="6095" xr:uid="{00000000-0005-0000-0000-00009B7A0000}"/>
    <cellStyle name="Normal 87 2 2" xfId="6096" xr:uid="{00000000-0005-0000-0000-00009C7A0000}"/>
    <cellStyle name="Normal 87 2 3" xfId="15372" xr:uid="{00000000-0005-0000-0000-00009D7A0000}"/>
    <cellStyle name="Normal 87 2 3 2" xfId="31926" xr:uid="{00000000-0005-0000-0000-00009E7A0000}"/>
    <cellStyle name="Normal 87 2 4" xfId="23883" xr:uid="{00000000-0005-0000-0000-00009F7A0000}"/>
    <cellStyle name="Normal 87 3" xfId="6097" xr:uid="{00000000-0005-0000-0000-0000A07A0000}"/>
    <cellStyle name="Normal 87 3 2" xfId="6098" xr:uid="{00000000-0005-0000-0000-0000A17A0000}"/>
    <cellStyle name="Normal 87 3 2 2" xfId="6099" xr:uid="{00000000-0005-0000-0000-0000A27A0000}"/>
    <cellStyle name="Normal 87 3 2 2 2" xfId="6100" xr:uid="{00000000-0005-0000-0000-0000A37A0000}"/>
    <cellStyle name="Normal 87 3 2 2 2 2" xfId="9949" xr:uid="{00000000-0005-0000-0000-0000A47A0000}"/>
    <cellStyle name="Normal 87 3 2 2 2 2 2" xfId="19123" xr:uid="{00000000-0005-0000-0000-0000A57A0000}"/>
    <cellStyle name="Normal 87 3 2 2 2 2 2 2" xfId="35697" xr:uid="{00000000-0005-0000-0000-0000A67A0000}"/>
    <cellStyle name="Normal 87 3 2 2 2 2 3" xfId="27650" xr:uid="{00000000-0005-0000-0000-0000A77A0000}"/>
    <cellStyle name="Normal 87 3 2 2 2 3" xfId="15375" xr:uid="{00000000-0005-0000-0000-0000A87A0000}"/>
    <cellStyle name="Normal 87 3 2 2 2 3 2" xfId="31929" xr:uid="{00000000-0005-0000-0000-0000A97A0000}"/>
    <cellStyle name="Normal 87 3 2 2 2 4" xfId="23886" xr:uid="{00000000-0005-0000-0000-0000AA7A0000}"/>
    <cellStyle name="Normal 87 3 2 2 3" xfId="9950" xr:uid="{00000000-0005-0000-0000-0000AB7A0000}"/>
    <cellStyle name="Normal 87 3 2 2 3 2" xfId="19124" xr:uid="{00000000-0005-0000-0000-0000AC7A0000}"/>
    <cellStyle name="Normal 87 3 2 2 3 2 2" xfId="35698" xr:uid="{00000000-0005-0000-0000-0000AD7A0000}"/>
    <cellStyle name="Normal 87 3 2 2 3 3" xfId="27651" xr:uid="{00000000-0005-0000-0000-0000AE7A0000}"/>
    <cellStyle name="Normal 87 3 2 2 4" xfId="15374" xr:uid="{00000000-0005-0000-0000-0000AF7A0000}"/>
    <cellStyle name="Normal 87 3 2 2 4 2" xfId="31928" xr:uid="{00000000-0005-0000-0000-0000B07A0000}"/>
    <cellStyle name="Normal 87 3 2 2 5" xfId="23885" xr:uid="{00000000-0005-0000-0000-0000B17A0000}"/>
    <cellStyle name="Normal 87 3 2 3" xfId="6101" xr:uid="{00000000-0005-0000-0000-0000B27A0000}"/>
    <cellStyle name="Normal 87 3 2 3 2" xfId="9951" xr:uid="{00000000-0005-0000-0000-0000B37A0000}"/>
    <cellStyle name="Normal 87 3 2 3 2 2" xfId="19125" xr:uid="{00000000-0005-0000-0000-0000B47A0000}"/>
    <cellStyle name="Normal 87 3 2 3 2 2 2" xfId="35699" xr:uid="{00000000-0005-0000-0000-0000B57A0000}"/>
    <cellStyle name="Normal 87 3 2 3 2 3" xfId="27652" xr:uid="{00000000-0005-0000-0000-0000B67A0000}"/>
    <cellStyle name="Normal 87 3 2 3 3" xfId="15376" xr:uid="{00000000-0005-0000-0000-0000B77A0000}"/>
    <cellStyle name="Normal 87 3 2 3 3 2" xfId="31930" xr:uid="{00000000-0005-0000-0000-0000B87A0000}"/>
    <cellStyle name="Normal 87 3 2 3 4" xfId="23887" xr:uid="{00000000-0005-0000-0000-0000B97A0000}"/>
    <cellStyle name="Normal 87 3 2 4" xfId="9952" xr:uid="{00000000-0005-0000-0000-0000BA7A0000}"/>
    <cellStyle name="Normal 87 3 2 4 2" xfId="19126" xr:uid="{00000000-0005-0000-0000-0000BB7A0000}"/>
    <cellStyle name="Normal 87 3 2 4 2 2" xfId="35700" xr:uid="{00000000-0005-0000-0000-0000BC7A0000}"/>
    <cellStyle name="Normal 87 3 2 4 3" xfId="27653" xr:uid="{00000000-0005-0000-0000-0000BD7A0000}"/>
    <cellStyle name="Normal 87 3 2 5" xfId="15373" xr:uid="{00000000-0005-0000-0000-0000BE7A0000}"/>
    <cellStyle name="Normal 87 3 2 5 2" xfId="31927" xr:uid="{00000000-0005-0000-0000-0000BF7A0000}"/>
    <cellStyle name="Normal 87 3 2 6" xfId="23884" xr:uid="{00000000-0005-0000-0000-0000C07A0000}"/>
    <cellStyle name="Normal 87 3 3" xfId="6102" xr:uid="{00000000-0005-0000-0000-0000C17A0000}"/>
    <cellStyle name="Normal 87 3 3 2" xfId="6103" xr:uid="{00000000-0005-0000-0000-0000C27A0000}"/>
    <cellStyle name="Normal 87 3 3 2 2" xfId="9953" xr:uid="{00000000-0005-0000-0000-0000C37A0000}"/>
    <cellStyle name="Normal 87 3 3 2 2 2" xfId="19127" xr:uid="{00000000-0005-0000-0000-0000C47A0000}"/>
    <cellStyle name="Normal 87 3 3 2 2 2 2" xfId="35701" xr:uid="{00000000-0005-0000-0000-0000C57A0000}"/>
    <cellStyle name="Normal 87 3 3 2 2 3" xfId="27654" xr:uid="{00000000-0005-0000-0000-0000C67A0000}"/>
    <cellStyle name="Normal 87 3 3 2 3" xfId="15378" xr:uid="{00000000-0005-0000-0000-0000C77A0000}"/>
    <cellStyle name="Normal 87 3 3 2 3 2" xfId="31932" xr:uid="{00000000-0005-0000-0000-0000C87A0000}"/>
    <cellStyle name="Normal 87 3 3 2 4" xfId="23889" xr:uid="{00000000-0005-0000-0000-0000C97A0000}"/>
    <cellStyle name="Normal 87 3 3 3" xfId="9954" xr:uid="{00000000-0005-0000-0000-0000CA7A0000}"/>
    <cellStyle name="Normal 87 3 3 3 2" xfId="19128" xr:uid="{00000000-0005-0000-0000-0000CB7A0000}"/>
    <cellStyle name="Normal 87 3 3 3 2 2" xfId="35702" xr:uid="{00000000-0005-0000-0000-0000CC7A0000}"/>
    <cellStyle name="Normal 87 3 3 3 3" xfId="27655" xr:uid="{00000000-0005-0000-0000-0000CD7A0000}"/>
    <cellStyle name="Normal 87 3 3 4" xfId="15377" xr:uid="{00000000-0005-0000-0000-0000CE7A0000}"/>
    <cellStyle name="Normal 87 3 3 4 2" xfId="31931" xr:uid="{00000000-0005-0000-0000-0000CF7A0000}"/>
    <cellStyle name="Normal 87 3 3 5" xfId="23888" xr:uid="{00000000-0005-0000-0000-0000D07A0000}"/>
    <cellStyle name="Normal 87 3 4" xfId="6104" xr:uid="{00000000-0005-0000-0000-0000D17A0000}"/>
    <cellStyle name="Normal 87 3 4 2" xfId="9955" xr:uid="{00000000-0005-0000-0000-0000D27A0000}"/>
    <cellStyle name="Normal 87 3 4 2 2" xfId="19129" xr:uid="{00000000-0005-0000-0000-0000D37A0000}"/>
    <cellStyle name="Normal 87 3 4 2 2 2" xfId="35703" xr:uid="{00000000-0005-0000-0000-0000D47A0000}"/>
    <cellStyle name="Normal 87 3 4 2 3" xfId="27656" xr:uid="{00000000-0005-0000-0000-0000D57A0000}"/>
    <cellStyle name="Normal 87 3 4 3" xfId="15379" xr:uid="{00000000-0005-0000-0000-0000D67A0000}"/>
    <cellStyle name="Normal 87 3 4 3 2" xfId="31933" xr:uid="{00000000-0005-0000-0000-0000D77A0000}"/>
    <cellStyle name="Normal 87 3 4 4" xfId="23890" xr:uid="{00000000-0005-0000-0000-0000D87A0000}"/>
    <cellStyle name="Normal 87 3 5" xfId="6105" xr:uid="{00000000-0005-0000-0000-0000D97A0000}"/>
    <cellStyle name="Normal 87 3 5 2" xfId="15380" xr:uid="{00000000-0005-0000-0000-0000DA7A0000}"/>
    <cellStyle name="Normal 87 3 5 2 2" xfId="31934" xr:uid="{00000000-0005-0000-0000-0000DB7A0000}"/>
    <cellStyle name="Normal 87 3 5 3" xfId="23891" xr:uid="{00000000-0005-0000-0000-0000DC7A0000}"/>
    <cellStyle name="Normal 87 4" xfId="6106" xr:uid="{00000000-0005-0000-0000-0000DD7A0000}"/>
    <cellStyle name="Normal 87 4 2" xfId="6107" xr:uid="{00000000-0005-0000-0000-0000DE7A0000}"/>
    <cellStyle name="Normal 87 4 2 2" xfId="6108" xr:uid="{00000000-0005-0000-0000-0000DF7A0000}"/>
    <cellStyle name="Normal 87 4 2 2 2" xfId="6109" xr:uid="{00000000-0005-0000-0000-0000E07A0000}"/>
    <cellStyle name="Normal 87 4 2 2 2 2" xfId="9956" xr:uid="{00000000-0005-0000-0000-0000E17A0000}"/>
    <cellStyle name="Normal 87 4 2 2 2 2 2" xfId="19130" xr:uid="{00000000-0005-0000-0000-0000E27A0000}"/>
    <cellStyle name="Normal 87 4 2 2 2 2 2 2" xfId="35704" xr:uid="{00000000-0005-0000-0000-0000E37A0000}"/>
    <cellStyle name="Normal 87 4 2 2 2 2 3" xfId="27657" xr:uid="{00000000-0005-0000-0000-0000E47A0000}"/>
    <cellStyle name="Normal 87 4 2 2 2 3" xfId="15384" xr:uid="{00000000-0005-0000-0000-0000E57A0000}"/>
    <cellStyle name="Normal 87 4 2 2 2 3 2" xfId="31938" xr:uid="{00000000-0005-0000-0000-0000E67A0000}"/>
    <cellStyle name="Normal 87 4 2 2 2 4" xfId="23895" xr:uid="{00000000-0005-0000-0000-0000E77A0000}"/>
    <cellStyle name="Normal 87 4 2 2 3" xfId="9957" xr:uid="{00000000-0005-0000-0000-0000E87A0000}"/>
    <cellStyle name="Normal 87 4 2 2 3 2" xfId="19131" xr:uid="{00000000-0005-0000-0000-0000E97A0000}"/>
    <cellStyle name="Normal 87 4 2 2 3 2 2" xfId="35705" xr:uid="{00000000-0005-0000-0000-0000EA7A0000}"/>
    <cellStyle name="Normal 87 4 2 2 3 3" xfId="27658" xr:uid="{00000000-0005-0000-0000-0000EB7A0000}"/>
    <cellStyle name="Normal 87 4 2 2 4" xfId="15383" xr:uid="{00000000-0005-0000-0000-0000EC7A0000}"/>
    <cellStyle name="Normal 87 4 2 2 4 2" xfId="31937" xr:uid="{00000000-0005-0000-0000-0000ED7A0000}"/>
    <cellStyle name="Normal 87 4 2 2 5" xfId="23894" xr:uid="{00000000-0005-0000-0000-0000EE7A0000}"/>
    <cellStyle name="Normal 87 4 2 3" xfId="6110" xr:uid="{00000000-0005-0000-0000-0000EF7A0000}"/>
    <cellStyle name="Normal 87 4 2 3 2" xfId="9958" xr:uid="{00000000-0005-0000-0000-0000F07A0000}"/>
    <cellStyle name="Normal 87 4 2 3 2 2" xfId="19132" xr:uid="{00000000-0005-0000-0000-0000F17A0000}"/>
    <cellStyle name="Normal 87 4 2 3 2 2 2" xfId="35706" xr:uid="{00000000-0005-0000-0000-0000F27A0000}"/>
    <cellStyle name="Normal 87 4 2 3 2 3" xfId="27659" xr:uid="{00000000-0005-0000-0000-0000F37A0000}"/>
    <cellStyle name="Normal 87 4 2 3 3" xfId="15385" xr:uid="{00000000-0005-0000-0000-0000F47A0000}"/>
    <cellStyle name="Normal 87 4 2 3 3 2" xfId="31939" xr:uid="{00000000-0005-0000-0000-0000F57A0000}"/>
    <cellStyle name="Normal 87 4 2 3 4" xfId="23896" xr:uid="{00000000-0005-0000-0000-0000F67A0000}"/>
    <cellStyle name="Normal 87 4 2 4" xfId="9959" xr:uid="{00000000-0005-0000-0000-0000F77A0000}"/>
    <cellStyle name="Normal 87 4 2 4 2" xfId="19133" xr:uid="{00000000-0005-0000-0000-0000F87A0000}"/>
    <cellStyle name="Normal 87 4 2 4 2 2" xfId="35707" xr:uid="{00000000-0005-0000-0000-0000F97A0000}"/>
    <cellStyle name="Normal 87 4 2 4 3" xfId="27660" xr:uid="{00000000-0005-0000-0000-0000FA7A0000}"/>
    <cellStyle name="Normal 87 4 2 5" xfId="15382" xr:uid="{00000000-0005-0000-0000-0000FB7A0000}"/>
    <cellStyle name="Normal 87 4 2 5 2" xfId="31936" xr:uid="{00000000-0005-0000-0000-0000FC7A0000}"/>
    <cellStyle name="Normal 87 4 2 6" xfId="23893" xr:uid="{00000000-0005-0000-0000-0000FD7A0000}"/>
    <cellStyle name="Normal 87 4 3" xfId="6111" xr:uid="{00000000-0005-0000-0000-0000FE7A0000}"/>
    <cellStyle name="Normal 87 4 3 2" xfId="6112" xr:uid="{00000000-0005-0000-0000-0000FF7A0000}"/>
    <cellStyle name="Normal 87 4 3 2 2" xfId="9960" xr:uid="{00000000-0005-0000-0000-0000007B0000}"/>
    <cellStyle name="Normal 87 4 3 2 2 2" xfId="19134" xr:uid="{00000000-0005-0000-0000-0000017B0000}"/>
    <cellStyle name="Normal 87 4 3 2 2 2 2" xfId="35708" xr:uid="{00000000-0005-0000-0000-0000027B0000}"/>
    <cellStyle name="Normal 87 4 3 2 2 3" xfId="27661" xr:uid="{00000000-0005-0000-0000-0000037B0000}"/>
    <cellStyle name="Normal 87 4 3 2 3" xfId="15387" xr:uid="{00000000-0005-0000-0000-0000047B0000}"/>
    <cellStyle name="Normal 87 4 3 2 3 2" xfId="31941" xr:uid="{00000000-0005-0000-0000-0000057B0000}"/>
    <cellStyle name="Normal 87 4 3 2 4" xfId="23898" xr:uid="{00000000-0005-0000-0000-0000067B0000}"/>
    <cellStyle name="Normal 87 4 3 3" xfId="9961" xr:uid="{00000000-0005-0000-0000-0000077B0000}"/>
    <cellStyle name="Normal 87 4 3 3 2" xfId="19135" xr:uid="{00000000-0005-0000-0000-0000087B0000}"/>
    <cellStyle name="Normal 87 4 3 3 2 2" xfId="35709" xr:uid="{00000000-0005-0000-0000-0000097B0000}"/>
    <cellStyle name="Normal 87 4 3 3 3" xfId="27662" xr:uid="{00000000-0005-0000-0000-00000A7B0000}"/>
    <cellStyle name="Normal 87 4 3 4" xfId="15386" xr:uid="{00000000-0005-0000-0000-00000B7B0000}"/>
    <cellStyle name="Normal 87 4 3 4 2" xfId="31940" xr:uid="{00000000-0005-0000-0000-00000C7B0000}"/>
    <cellStyle name="Normal 87 4 3 5" xfId="23897" xr:uid="{00000000-0005-0000-0000-00000D7B0000}"/>
    <cellStyle name="Normal 87 4 4" xfId="6113" xr:uid="{00000000-0005-0000-0000-00000E7B0000}"/>
    <cellStyle name="Normal 87 4 4 2" xfId="9962" xr:uid="{00000000-0005-0000-0000-00000F7B0000}"/>
    <cellStyle name="Normal 87 4 4 2 2" xfId="19136" xr:uid="{00000000-0005-0000-0000-0000107B0000}"/>
    <cellStyle name="Normal 87 4 4 2 2 2" xfId="35710" xr:uid="{00000000-0005-0000-0000-0000117B0000}"/>
    <cellStyle name="Normal 87 4 4 2 3" xfId="27663" xr:uid="{00000000-0005-0000-0000-0000127B0000}"/>
    <cellStyle name="Normal 87 4 4 3" xfId="15388" xr:uid="{00000000-0005-0000-0000-0000137B0000}"/>
    <cellStyle name="Normal 87 4 4 3 2" xfId="31942" xr:uid="{00000000-0005-0000-0000-0000147B0000}"/>
    <cellStyle name="Normal 87 4 4 4" xfId="23899" xr:uid="{00000000-0005-0000-0000-0000157B0000}"/>
    <cellStyle name="Normal 87 4 5" xfId="9963" xr:uid="{00000000-0005-0000-0000-0000167B0000}"/>
    <cellStyle name="Normal 87 4 5 2" xfId="19137" xr:uid="{00000000-0005-0000-0000-0000177B0000}"/>
    <cellStyle name="Normal 87 4 5 2 2" xfId="35711" xr:uid="{00000000-0005-0000-0000-0000187B0000}"/>
    <cellStyle name="Normal 87 4 5 3" xfId="27664" xr:uid="{00000000-0005-0000-0000-0000197B0000}"/>
    <cellStyle name="Normal 87 4 6" xfId="15381" xr:uid="{00000000-0005-0000-0000-00001A7B0000}"/>
    <cellStyle name="Normal 87 4 6 2" xfId="31935" xr:uid="{00000000-0005-0000-0000-00001B7B0000}"/>
    <cellStyle name="Normal 87 4 7" xfId="23892" xr:uid="{00000000-0005-0000-0000-00001C7B0000}"/>
    <cellStyle name="Normal 87 5" xfId="6114" xr:uid="{00000000-0005-0000-0000-00001D7B0000}"/>
    <cellStyle name="Normal 87 5 2" xfId="6115" xr:uid="{00000000-0005-0000-0000-00001E7B0000}"/>
    <cellStyle name="Normal 87 5 2 2" xfId="6116" xr:uid="{00000000-0005-0000-0000-00001F7B0000}"/>
    <cellStyle name="Normal 87 5 2 2 2" xfId="6117" xr:uid="{00000000-0005-0000-0000-0000207B0000}"/>
    <cellStyle name="Normal 87 5 2 2 2 2" xfId="9964" xr:uid="{00000000-0005-0000-0000-0000217B0000}"/>
    <cellStyle name="Normal 87 5 2 2 2 2 2" xfId="19138" xr:uid="{00000000-0005-0000-0000-0000227B0000}"/>
    <cellStyle name="Normal 87 5 2 2 2 2 2 2" xfId="35712" xr:uid="{00000000-0005-0000-0000-0000237B0000}"/>
    <cellStyle name="Normal 87 5 2 2 2 2 3" xfId="27665" xr:uid="{00000000-0005-0000-0000-0000247B0000}"/>
    <cellStyle name="Normal 87 5 2 2 2 3" xfId="15392" xr:uid="{00000000-0005-0000-0000-0000257B0000}"/>
    <cellStyle name="Normal 87 5 2 2 2 3 2" xfId="31946" xr:uid="{00000000-0005-0000-0000-0000267B0000}"/>
    <cellStyle name="Normal 87 5 2 2 2 4" xfId="23903" xr:uid="{00000000-0005-0000-0000-0000277B0000}"/>
    <cellStyle name="Normal 87 5 2 2 3" xfId="9965" xr:uid="{00000000-0005-0000-0000-0000287B0000}"/>
    <cellStyle name="Normal 87 5 2 2 3 2" xfId="19139" xr:uid="{00000000-0005-0000-0000-0000297B0000}"/>
    <cellStyle name="Normal 87 5 2 2 3 2 2" xfId="35713" xr:uid="{00000000-0005-0000-0000-00002A7B0000}"/>
    <cellStyle name="Normal 87 5 2 2 3 3" xfId="27666" xr:uid="{00000000-0005-0000-0000-00002B7B0000}"/>
    <cellStyle name="Normal 87 5 2 2 4" xfId="15391" xr:uid="{00000000-0005-0000-0000-00002C7B0000}"/>
    <cellStyle name="Normal 87 5 2 2 4 2" xfId="31945" xr:uid="{00000000-0005-0000-0000-00002D7B0000}"/>
    <cellStyle name="Normal 87 5 2 2 5" xfId="23902" xr:uid="{00000000-0005-0000-0000-00002E7B0000}"/>
    <cellStyle name="Normal 87 5 2 3" xfId="6118" xr:uid="{00000000-0005-0000-0000-00002F7B0000}"/>
    <cellStyle name="Normal 87 5 2 3 2" xfId="9966" xr:uid="{00000000-0005-0000-0000-0000307B0000}"/>
    <cellStyle name="Normal 87 5 2 3 2 2" xfId="19140" xr:uid="{00000000-0005-0000-0000-0000317B0000}"/>
    <cellStyle name="Normal 87 5 2 3 2 2 2" xfId="35714" xr:uid="{00000000-0005-0000-0000-0000327B0000}"/>
    <cellStyle name="Normal 87 5 2 3 2 3" xfId="27667" xr:uid="{00000000-0005-0000-0000-0000337B0000}"/>
    <cellStyle name="Normal 87 5 2 3 3" xfId="15393" xr:uid="{00000000-0005-0000-0000-0000347B0000}"/>
    <cellStyle name="Normal 87 5 2 3 3 2" xfId="31947" xr:uid="{00000000-0005-0000-0000-0000357B0000}"/>
    <cellStyle name="Normal 87 5 2 3 4" xfId="23904" xr:uid="{00000000-0005-0000-0000-0000367B0000}"/>
    <cellStyle name="Normal 87 5 2 4" xfId="9967" xr:uid="{00000000-0005-0000-0000-0000377B0000}"/>
    <cellStyle name="Normal 87 5 2 4 2" xfId="19141" xr:uid="{00000000-0005-0000-0000-0000387B0000}"/>
    <cellStyle name="Normal 87 5 2 4 2 2" xfId="35715" xr:uid="{00000000-0005-0000-0000-0000397B0000}"/>
    <cellStyle name="Normal 87 5 2 4 3" xfId="27668" xr:uid="{00000000-0005-0000-0000-00003A7B0000}"/>
    <cellStyle name="Normal 87 5 2 5" xfId="15390" xr:uid="{00000000-0005-0000-0000-00003B7B0000}"/>
    <cellStyle name="Normal 87 5 2 5 2" xfId="31944" xr:uid="{00000000-0005-0000-0000-00003C7B0000}"/>
    <cellStyle name="Normal 87 5 2 6" xfId="23901" xr:uid="{00000000-0005-0000-0000-00003D7B0000}"/>
    <cellStyle name="Normal 87 5 3" xfId="6119" xr:uid="{00000000-0005-0000-0000-00003E7B0000}"/>
    <cellStyle name="Normal 87 5 3 2" xfId="6120" xr:uid="{00000000-0005-0000-0000-00003F7B0000}"/>
    <cellStyle name="Normal 87 5 3 2 2" xfId="9968" xr:uid="{00000000-0005-0000-0000-0000407B0000}"/>
    <cellStyle name="Normal 87 5 3 2 2 2" xfId="19142" xr:uid="{00000000-0005-0000-0000-0000417B0000}"/>
    <cellStyle name="Normal 87 5 3 2 2 2 2" xfId="35716" xr:uid="{00000000-0005-0000-0000-0000427B0000}"/>
    <cellStyle name="Normal 87 5 3 2 2 3" xfId="27669" xr:uid="{00000000-0005-0000-0000-0000437B0000}"/>
    <cellStyle name="Normal 87 5 3 2 3" xfId="15395" xr:uid="{00000000-0005-0000-0000-0000447B0000}"/>
    <cellStyle name="Normal 87 5 3 2 3 2" xfId="31949" xr:uid="{00000000-0005-0000-0000-0000457B0000}"/>
    <cellStyle name="Normal 87 5 3 2 4" xfId="23906" xr:uid="{00000000-0005-0000-0000-0000467B0000}"/>
    <cellStyle name="Normal 87 5 3 3" xfId="9969" xr:uid="{00000000-0005-0000-0000-0000477B0000}"/>
    <cellStyle name="Normal 87 5 3 3 2" xfId="19143" xr:uid="{00000000-0005-0000-0000-0000487B0000}"/>
    <cellStyle name="Normal 87 5 3 3 2 2" xfId="35717" xr:uid="{00000000-0005-0000-0000-0000497B0000}"/>
    <cellStyle name="Normal 87 5 3 3 3" xfId="27670" xr:uid="{00000000-0005-0000-0000-00004A7B0000}"/>
    <cellStyle name="Normal 87 5 3 4" xfId="15394" xr:uid="{00000000-0005-0000-0000-00004B7B0000}"/>
    <cellStyle name="Normal 87 5 3 4 2" xfId="31948" xr:uid="{00000000-0005-0000-0000-00004C7B0000}"/>
    <cellStyle name="Normal 87 5 3 5" xfId="23905" xr:uid="{00000000-0005-0000-0000-00004D7B0000}"/>
    <cellStyle name="Normal 87 5 4" xfId="6121" xr:uid="{00000000-0005-0000-0000-00004E7B0000}"/>
    <cellStyle name="Normal 87 5 4 2" xfId="9970" xr:uid="{00000000-0005-0000-0000-00004F7B0000}"/>
    <cellStyle name="Normal 87 5 4 2 2" xfId="19144" xr:uid="{00000000-0005-0000-0000-0000507B0000}"/>
    <cellStyle name="Normal 87 5 4 2 2 2" xfId="35718" xr:uid="{00000000-0005-0000-0000-0000517B0000}"/>
    <cellStyle name="Normal 87 5 4 2 3" xfId="27671" xr:uid="{00000000-0005-0000-0000-0000527B0000}"/>
    <cellStyle name="Normal 87 5 4 3" xfId="15396" xr:uid="{00000000-0005-0000-0000-0000537B0000}"/>
    <cellStyle name="Normal 87 5 4 3 2" xfId="31950" xr:uid="{00000000-0005-0000-0000-0000547B0000}"/>
    <cellStyle name="Normal 87 5 4 4" xfId="23907" xr:uid="{00000000-0005-0000-0000-0000557B0000}"/>
    <cellStyle name="Normal 87 5 5" xfId="9971" xr:uid="{00000000-0005-0000-0000-0000567B0000}"/>
    <cellStyle name="Normal 87 5 5 2" xfId="19145" xr:uid="{00000000-0005-0000-0000-0000577B0000}"/>
    <cellStyle name="Normal 87 5 5 2 2" xfId="35719" xr:uid="{00000000-0005-0000-0000-0000587B0000}"/>
    <cellStyle name="Normal 87 5 5 3" xfId="27672" xr:uid="{00000000-0005-0000-0000-0000597B0000}"/>
    <cellStyle name="Normal 87 5 6" xfId="15389" xr:uid="{00000000-0005-0000-0000-00005A7B0000}"/>
    <cellStyle name="Normal 87 5 6 2" xfId="31943" xr:uid="{00000000-0005-0000-0000-00005B7B0000}"/>
    <cellStyle name="Normal 87 5 7" xfId="23900" xr:uid="{00000000-0005-0000-0000-00005C7B0000}"/>
    <cellStyle name="Normal 87 6" xfId="6122" xr:uid="{00000000-0005-0000-0000-00005D7B0000}"/>
    <cellStyle name="Normal 87 6 2" xfId="6123" xr:uid="{00000000-0005-0000-0000-00005E7B0000}"/>
    <cellStyle name="Normal 87 6 2 2" xfId="6124" xr:uid="{00000000-0005-0000-0000-00005F7B0000}"/>
    <cellStyle name="Normal 87 6 2 2 2" xfId="9972" xr:uid="{00000000-0005-0000-0000-0000607B0000}"/>
    <cellStyle name="Normal 87 6 2 2 2 2" xfId="19146" xr:uid="{00000000-0005-0000-0000-0000617B0000}"/>
    <cellStyle name="Normal 87 6 2 2 2 2 2" xfId="35720" xr:uid="{00000000-0005-0000-0000-0000627B0000}"/>
    <cellStyle name="Normal 87 6 2 2 2 3" xfId="27673" xr:uid="{00000000-0005-0000-0000-0000637B0000}"/>
    <cellStyle name="Normal 87 6 2 2 3" xfId="15399" xr:uid="{00000000-0005-0000-0000-0000647B0000}"/>
    <cellStyle name="Normal 87 6 2 2 3 2" xfId="31953" xr:uid="{00000000-0005-0000-0000-0000657B0000}"/>
    <cellStyle name="Normal 87 6 2 2 4" xfId="23910" xr:uid="{00000000-0005-0000-0000-0000667B0000}"/>
    <cellStyle name="Normal 87 6 2 3" xfId="9973" xr:uid="{00000000-0005-0000-0000-0000677B0000}"/>
    <cellStyle name="Normal 87 6 2 3 2" xfId="19147" xr:uid="{00000000-0005-0000-0000-0000687B0000}"/>
    <cellStyle name="Normal 87 6 2 3 2 2" xfId="35721" xr:uid="{00000000-0005-0000-0000-0000697B0000}"/>
    <cellStyle name="Normal 87 6 2 3 3" xfId="27674" xr:uid="{00000000-0005-0000-0000-00006A7B0000}"/>
    <cellStyle name="Normal 87 6 2 4" xfId="15398" xr:uid="{00000000-0005-0000-0000-00006B7B0000}"/>
    <cellStyle name="Normal 87 6 2 4 2" xfId="31952" xr:uid="{00000000-0005-0000-0000-00006C7B0000}"/>
    <cellStyle name="Normal 87 6 2 5" xfId="23909" xr:uid="{00000000-0005-0000-0000-00006D7B0000}"/>
    <cellStyle name="Normal 87 6 3" xfId="6125" xr:uid="{00000000-0005-0000-0000-00006E7B0000}"/>
    <cellStyle name="Normal 87 6 3 2" xfId="9974" xr:uid="{00000000-0005-0000-0000-00006F7B0000}"/>
    <cellStyle name="Normal 87 6 3 2 2" xfId="19148" xr:uid="{00000000-0005-0000-0000-0000707B0000}"/>
    <cellStyle name="Normal 87 6 3 2 2 2" xfId="35722" xr:uid="{00000000-0005-0000-0000-0000717B0000}"/>
    <cellStyle name="Normal 87 6 3 2 3" xfId="27675" xr:uid="{00000000-0005-0000-0000-0000727B0000}"/>
    <cellStyle name="Normal 87 6 3 3" xfId="15400" xr:uid="{00000000-0005-0000-0000-0000737B0000}"/>
    <cellStyle name="Normal 87 6 3 3 2" xfId="31954" xr:uid="{00000000-0005-0000-0000-0000747B0000}"/>
    <cellStyle name="Normal 87 6 3 4" xfId="23911" xr:uid="{00000000-0005-0000-0000-0000757B0000}"/>
    <cellStyle name="Normal 87 6 4" xfId="9975" xr:uid="{00000000-0005-0000-0000-0000767B0000}"/>
    <cellStyle name="Normal 87 6 4 2" xfId="19149" xr:uid="{00000000-0005-0000-0000-0000777B0000}"/>
    <cellStyle name="Normal 87 6 4 2 2" xfId="35723" xr:uid="{00000000-0005-0000-0000-0000787B0000}"/>
    <cellStyle name="Normal 87 6 4 3" xfId="27676" xr:uid="{00000000-0005-0000-0000-0000797B0000}"/>
    <cellStyle name="Normal 87 6 5" xfId="15397" xr:uid="{00000000-0005-0000-0000-00007A7B0000}"/>
    <cellStyle name="Normal 87 6 5 2" xfId="31951" xr:uid="{00000000-0005-0000-0000-00007B7B0000}"/>
    <cellStyle name="Normal 87 6 6" xfId="23908" xr:uid="{00000000-0005-0000-0000-00007C7B0000}"/>
    <cellStyle name="Normal 87 7" xfId="6126" xr:uid="{00000000-0005-0000-0000-00007D7B0000}"/>
    <cellStyle name="Normal 87 7 2" xfId="6127" xr:uid="{00000000-0005-0000-0000-00007E7B0000}"/>
    <cellStyle name="Normal 87 7 2 2" xfId="9976" xr:uid="{00000000-0005-0000-0000-00007F7B0000}"/>
    <cellStyle name="Normal 87 7 2 2 2" xfId="19150" xr:uid="{00000000-0005-0000-0000-0000807B0000}"/>
    <cellStyle name="Normal 87 7 2 2 2 2" xfId="35724" xr:uid="{00000000-0005-0000-0000-0000817B0000}"/>
    <cellStyle name="Normal 87 7 2 2 3" xfId="27677" xr:uid="{00000000-0005-0000-0000-0000827B0000}"/>
    <cellStyle name="Normal 87 7 2 3" xfId="15402" xr:uid="{00000000-0005-0000-0000-0000837B0000}"/>
    <cellStyle name="Normal 87 7 2 3 2" xfId="31956" xr:uid="{00000000-0005-0000-0000-0000847B0000}"/>
    <cellStyle name="Normal 87 7 2 4" xfId="23913" xr:uid="{00000000-0005-0000-0000-0000857B0000}"/>
    <cellStyle name="Normal 87 7 3" xfId="9977" xr:uid="{00000000-0005-0000-0000-0000867B0000}"/>
    <cellStyle name="Normal 87 7 3 2" xfId="19151" xr:uid="{00000000-0005-0000-0000-0000877B0000}"/>
    <cellStyle name="Normal 87 7 3 2 2" xfId="35725" xr:uid="{00000000-0005-0000-0000-0000887B0000}"/>
    <cellStyle name="Normal 87 7 3 3" xfId="27678" xr:uid="{00000000-0005-0000-0000-0000897B0000}"/>
    <cellStyle name="Normal 87 7 4" xfId="15401" xr:uid="{00000000-0005-0000-0000-00008A7B0000}"/>
    <cellStyle name="Normal 87 7 4 2" xfId="31955" xr:uid="{00000000-0005-0000-0000-00008B7B0000}"/>
    <cellStyle name="Normal 87 7 5" xfId="23912" xr:uid="{00000000-0005-0000-0000-00008C7B0000}"/>
    <cellStyle name="Normal 87 8" xfId="6128" xr:uid="{00000000-0005-0000-0000-00008D7B0000}"/>
    <cellStyle name="Normal 87 8 2" xfId="9978" xr:uid="{00000000-0005-0000-0000-00008E7B0000}"/>
    <cellStyle name="Normal 87 8 2 2" xfId="19152" xr:uid="{00000000-0005-0000-0000-00008F7B0000}"/>
    <cellStyle name="Normal 87 8 2 2 2" xfId="35726" xr:uid="{00000000-0005-0000-0000-0000907B0000}"/>
    <cellStyle name="Normal 87 8 2 3" xfId="27679" xr:uid="{00000000-0005-0000-0000-0000917B0000}"/>
    <cellStyle name="Normal 87 8 3" xfId="15403" xr:uid="{00000000-0005-0000-0000-0000927B0000}"/>
    <cellStyle name="Normal 87 8 3 2" xfId="31957" xr:uid="{00000000-0005-0000-0000-0000937B0000}"/>
    <cellStyle name="Normal 87 8 4" xfId="23914" xr:uid="{00000000-0005-0000-0000-0000947B0000}"/>
    <cellStyle name="Normal 87 9" xfId="9979" xr:uid="{00000000-0005-0000-0000-0000957B0000}"/>
    <cellStyle name="Normal 87 9 2" xfId="19153" xr:uid="{00000000-0005-0000-0000-0000967B0000}"/>
    <cellStyle name="Normal 87 9 2 2" xfId="35727" xr:uid="{00000000-0005-0000-0000-0000977B0000}"/>
    <cellStyle name="Normal 87 9 3" xfId="27680" xr:uid="{00000000-0005-0000-0000-0000987B0000}"/>
    <cellStyle name="Normal 88" xfId="6129" xr:uid="{00000000-0005-0000-0000-0000997B0000}"/>
    <cellStyle name="Normal 88 10" xfId="15404" xr:uid="{00000000-0005-0000-0000-00009A7B0000}"/>
    <cellStyle name="Normal 88 10 2" xfId="31958" xr:uid="{00000000-0005-0000-0000-00009B7B0000}"/>
    <cellStyle name="Normal 88 11" xfId="23915" xr:uid="{00000000-0005-0000-0000-00009C7B0000}"/>
    <cellStyle name="Normal 88 2" xfId="6130" xr:uid="{00000000-0005-0000-0000-00009D7B0000}"/>
    <cellStyle name="Normal 88 2 2" xfId="6131" xr:uid="{00000000-0005-0000-0000-00009E7B0000}"/>
    <cellStyle name="Normal 88 2 3" xfId="15405" xr:uid="{00000000-0005-0000-0000-00009F7B0000}"/>
    <cellStyle name="Normal 88 2 3 2" xfId="31959" xr:uid="{00000000-0005-0000-0000-0000A07B0000}"/>
    <cellStyle name="Normal 88 2 4" xfId="23916" xr:uid="{00000000-0005-0000-0000-0000A17B0000}"/>
    <cellStyle name="Normal 88 3" xfId="6132" xr:uid="{00000000-0005-0000-0000-0000A27B0000}"/>
    <cellStyle name="Normal 88 3 2" xfId="6133" xr:uid="{00000000-0005-0000-0000-0000A37B0000}"/>
    <cellStyle name="Normal 88 3 2 2" xfId="6134" xr:uid="{00000000-0005-0000-0000-0000A47B0000}"/>
    <cellStyle name="Normal 88 3 2 2 2" xfId="6135" xr:uid="{00000000-0005-0000-0000-0000A57B0000}"/>
    <cellStyle name="Normal 88 3 2 2 2 2" xfId="9980" xr:uid="{00000000-0005-0000-0000-0000A67B0000}"/>
    <cellStyle name="Normal 88 3 2 2 2 2 2" xfId="19154" xr:uid="{00000000-0005-0000-0000-0000A77B0000}"/>
    <cellStyle name="Normal 88 3 2 2 2 2 2 2" xfId="35728" xr:uid="{00000000-0005-0000-0000-0000A87B0000}"/>
    <cellStyle name="Normal 88 3 2 2 2 2 3" xfId="27681" xr:uid="{00000000-0005-0000-0000-0000A97B0000}"/>
    <cellStyle name="Normal 88 3 2 2 2 3" xfId="15408" xr:uid="{00000000-0005-0000-0000-0000AA7B0000}"/>
    <cellStyle name="Normal 88 3 2 2 2 3 2" xfId="31962" xr:uid="{00000000-0005-0000-0000-0000AB7B0000}"/>
    <cellStyle name="Normal 88 3 2 2 2 4" xfId="23919" xr:uid="{00000000-0005-0000-0000-0000AC7B0000}"/>
    <cellStyle name="Normal 88 3 2 2 3" xfId="9981" xr:uid="{00000000-0005-0000-0000-0000AD7B0000}"/>
    <cellStyle name="Normal 88 3 2 2 3 2" xfId="19155" xr:uid="{00000000-0005-0000-0000-0000AE7B0000}"/>
    <cellStyle name="Normal 88 3 2 2 3 2 2" xfId="35729" xr:uid="{00000000-0005-0000-0000-0000AF7B0000}"/>
    <cellStyle name="Normal 88 3 2 2 3 3" xfId="27682" xr:uid="{00000000-0005-0000-0000-0000B07B0000}"/>
    <cellStyle name="Normal 88 3 2 2 4" xfId="15407" xr:uid="{00000000-0005-0000-0000-0000B17B0000}"/>
    <cellStyle name="Normal 88 3 2 2 4 2" xfId="31961" xr:uid="{00000000-0005-0000-0000-0000B27B0000}"/>
    <cellStyle name="Normal 88 3 2 2 5" xfId="23918" xr:uid="{00000000-0005-0000-0000-0000B37B0000}"/>
    <cellStyle name="Normal 88 3 2 3" xfId="6136" xr:uid="{00000000-0005-0000-0000-0000B47B0000}"/>
    <cellStyle name="Normal 88 3 2 3 2" xfId="9982" xr:uid="{00000000-0005-0000-0000-0000B57B0000}"/>
    <cellStyle name="Normal 88 3 2 3 2 2" xfId="19156" xr:uid="{00000000-0005-0000-0000-0000B67B0000}"/>
    <cellStyle name="Normal 88 3 2 3 2 2 2" xfId="35730" xr:uid="{00000000-0005-0000-0000-0000B77B0000}"/>
    <cellStyle name="Normal 88 3 2 3 2 3" xfId="27683" xr:uid="{00000000-0005-0000-0000-0000B87B0000}"/>
    <cellStyle name="Normal 88 3 2 3 3" xfId="15409" xr:uid="{00000000-0005-0000-0000-0000B97B0000}"/>
    <cellStyle name="Normal 88 3 2 3 3 2" xfId="31963" xr:uid="{00000000-0005-0000-0000-0000BA7B0000}"/>
    <cellStyle name="Normal 88 3 2 3 4" xfId="23920" xr:uid="{00000000-0005-0000-0000-0000BB7B0000}"/>
    <cellStyle name="Normal 88 3 2 4" xfId="9983" xr:uid="{00000000-0005-0000-0000-0000BC7B0000}"/>
    <cellStyle name="Normal 88 3 2 4 2" xfId="19157" xr:uid="{00000000-0005-0000-0000-0000BD7B0000}"/>
    <cellStyle name="Normal 88 3 2 4 2 2" xfId="35731" xr:uid="{00000000-0005-0000-0000-0000BE7B0000}"/>
    <cellStyle name="Normal 88 3 2 4 3" xfId="27684" xr:uid="{00000000-0005-0000-0000-0000BF7B0000}"/>
    <cellStyle name="Normal 88 3 2 5" xfId="15406" xr:uid="{00000000-0005-0000-0000-0000C07B0000}"/>
    <cellStyle name="Normal 88 3 2 5 2" xfId="31960" xr:uid="{00000000-0005-0000-0000-0000C17B0000}"/>
    <cellStyle name="Normal 88 3 2 6" xfId="23917" xr:uid="{00000000-0005-0000-0000-0000C27B0000}"/>
    <cellStyle name="Normal 88 3 3" xfId="6137" xr:uid="{00000000-0005-0000-0000-0000C37B0000}"/>
    <cellStyle name="Normal 88 3 3 2" xfId="6138" xr:uid="{00000000-0005-0000-0000-0000C47B0000}"/>
    <cellStyle name="Normal 88 3 3 2 2" xfId="9984" xr:uid="{00000000-0005-0000-0000-0000C57B0000}"/>
    <cellStyle name="Normal 88 3 3 2 2 2" xfId="19158" xr:uid="{00000000-0005-0000-0000-0000C67B0000}"/>
    <cellStyle name="Normal 88 3 3 2 2 2 2" xfId="35732" xr:uid="{00000000-0005-0000-0000-0000C77B0000}"/>
    <cellStyle name="Normal 88 3 3 2 2 3" xfId="27685" xr:uid="{00000000-0005-0000-0000-0000C87B0000}"/>
    <cellStyle name="Normal 88 3 3 2 3" xfId="15411" xr:uid="{00000000-0005-0000-0000-0000C97B0000}"/>
    <cellStyle name="Normal 88 3 3 2 3 2" xfId="31965" xr:uid="{00000000-0005-0000-0000-0000CA7B0000}"/>
    <cellStyle name="Normal 88 3 3 2 4" xfId="23922" xr:uid="{00000000-0005-0000-0000-0000CB7B0000}"/>
    <cellStyle name="Normal 88 3 3 3" xfId="9985" xr:uid="{00000000-0005-0000-0000-0000CC7B0000}"/>
    <cellStyle name="Normal 88 3 3 3 2" xfId="19159" xr:uid="{00000000-0005-0000-0000-0000CD7B0000}"/>
    <cellStyle name="Normal 88 3 3 3 2 2" xfId="35733" xr:uid="{00000000-0005-0000-0000-0000CE7B0000}"/>
    <cellStyle name="Normal 88 3 3 3 3" xfId="27686" xr:uid="{00000000-0005-0000-0000-0000CF7B0000}"/>
    <cellStyle name="Normal 88 3 3 4" xfId="15410" xr:uid="{00000000-0005-0000-0000-0000D07B0000}"/>
    <cellStyle name="Normal 88 3 3 4 2" xfId="31964" xr:uid="{00000000-0005-0000-0000-0000D17B0000}"/>
    <cellStyle name="Normal 88 3 3 5" xfId="23921" xr:uid="{00000000-0005-0000-0000-0000D27B0000}"/>
    <cellStyle name="Normal 88 3 4" xfId="6139" xr:uid="{00000000-0005-0000-0000-0000D37B0000}"/>
    <cellStyle name="Normal 88 3 4 2" xfId="9986" xr:uid="{00000000-0005-0000-0000-0000D47B0000}"/>
    <cellStyle name="Normal 88 3 4 2 2" xfId="19160" xr:uid="{00000000-0005-0000-0000-0000D57B0000}"/>
    <cellStyle name="Normal 88 3 4 2 2 2" xfId="35734" xr:uid="{00000000-0005-0000-0000-0000D67B0000}"/>
    <cellStyle name="Normal 88 3 4 2 3" xfId="27687" xr:uid="{00000000-0005-0000-0000-0000D77B0000}"/>
    <cellStyle name="Normal 88 3 4 3" xfId="15412" xr:uid="{00000000-0005-0000-0000-0000D87B0000}"/>
    <cellStyle name="Normal 88 3 4 3 2" xfId="31966" xr:uid="{00000000-0005-0000-0000-0000D97B0000}"/>
    <cellStyle name="Normal 88 3 4 4" xfId="23923" xr:uid="{00000000-0005-0000-0000-0000DA7B0000}"/>
    <cellStyle name="Normal 88 3 5" xfId="6140" xr:uid="{00000000-0005-0000-0000-0000DB7B0000}"/>
    <cellStyle name="Normal 88 3 5 2" xfId="15413" xr:uid="{00000000-0005-0000-0000-0000DC7B0000}"/>
    <cellStyle name="Normal 88 3 5 2 2" xfId="31967" xr:uid="{00000000-0005-0000-0000-0000DD7B0000}"/>
    <cellStyle name="Normal 88 3 5 3" xfId="23924" xr:uid="{00000000-0005-0000-0000-0000DE7B0000}"/>
    <cellStyle name="Normal 88 4" xfId="6141" xr:uid="{00000000-0005-0000-0000-0000DF7B0000}"/>
    <cellStyle name="Normal 88 4 2" xfId="6142" xr:uid="{00000000-0005-0000-0000-0000E07B0000}"/>
    <cellStyle name="Normal 88 4 2 2" xfId="6143" xr:uid="{00000000-0005-0000-0000-0000E17B0000}"/>
    <cellStyle name="Normal 88 4 2 2 2" xfId="6144" xr:uid="{00000000-0005-0000-0000-0000E27B0000}"/>
    <cellStyle name="Normal 88 4 2 2 2 2" xfId="9987" xr:uid="{00000000-0005-0000-0000-0000E37B0000}"/>
    <cellStyle name="Normal 88 4 2 2 2 2 2" xfId="19161" xr:uid="{00000000-0005-0000-0000-0000E47B0000}"/>
    <cellStyle name="Normal 88 4 2 2 2 2 2 2" xfId="35735" xr:uid="{00000000-0005-0000-0000-0000E57B0000}"/>
    <cellStyle name="Normal 88 4 2 2 2 2 3" xfId="27688" xr:uid="{00000000-0005-0000-0000-0000E67B0000}"/>
    <cellStyle name="Normal 88 4 2 2 2 3" xfId="15417" xr:uid="{00000000-0005-0000-0000-0000E77B0000}"/>
    <cellStyle name="Normal 88 4 2 2 2 3 2" xfId="31971" xr:uid="{00000000-0005-0000-0000-0000E87B0000}"/>
    <cellStyle name="Normal 88 4 2 2 2 4" xfId="23928" xr:uid="{00000000-0005-0000-0000-0000E97B0000}"/>
    <cellStyle name="Normal 88 4 2 2 3" xfId="9988" xr:uid="{00000000-0005-0000-0000-0000EA7B0000}"/>
    <cellStyle name="Normal 88 4 2 2 3 2" xfId="19162" xr:uid="{00000000-0005-0000-0000-0000EB7B0000}"/>
    <cellStyle name="Normal 88 4 2 2 3 2 2" xfId="35736" xr:uid="{00000000-0005-0000-0000-0000EC7B0000}"/>
    <cellStyle name="Normal 88 4 2 2 3 3" xfId="27689" xr:uid="{00000000-0005-0000-0000-0000ED7B0000}"/>
    <cellStyle name="Normal 88 4 2 2 4" xfId="15416" xr:uid="{00000000-0005-0000-0000-0000EE7B0000}"/>
    <cellStyle name="Normal 88 4 2 2 4 2" xfId="31970" xr:uid="{00000000-0005-0000-0000-0000EF7B0000}"/>
    <cellStyle name="Normal 88 4 2 2 5" xfId="23927" xr:uid="{00000000-0005-0000-0000-0000F07B0000}"/>
    <cellStyle name="Normal 88 4 2 3" xfId="6145" xr:uid="{00000000-0005-0000-0000-0000F17B0000}"/>
    <cellStyle name="Normal 88 4 2 3 2" xfId="9989" xr:uid="{00000000-0005-0000-0000-0000F27B0000}"/>
    <cellStyle name="Normal 88 4 2 3 2 2" xfId="19163" xr:uid="{00000000-0005-0000-0000-0000F37B0000}"/>
    <cellStyle name="Normal 88 4 2 3 2 2 2" xfId="35737" xr:uid="{00000000-0005-0000-0000-0000F47B0000}"/>
    <cellStyle name="Normal 88 4 2 3 2 3" xfId="27690" xr:uid="{00000000-0005-0000-0000-0000F57B0000}"/>
    <cellStyle name="Normal 88 4 2 3 3" xfId="15418" xr:uid="{00000000-0005-0000-0000-0000F67B0000}"/>
    <cellStyle name="Normal 88 4 2 3 3 2" xfId="31972" xr:uid="{00000000-0005-0000-0000-0000F77B0000}"/>
    <cellStyle name="Normal 88 4 2 3 4" xfId="23929" xr:uid="{00000000-0005-0000-0000-0000F87B0000}"/>
    <cellStyle name="Normal 88 4 2 4" xfId="9990" xr:uid="{00000000-0005-0000-0000-0000F97B0000}"/>
    <cellStyle name="Normal 88 4 2 4 2" xfId="19164" xr:uid="{00000000-0005-0000-0000-0000FA7B0000}"/>
    <cellStyle name="Normal 88 4 2 4 2 2" xfId="35738" xr:uid="{00000000-0005-0000-0000-0000FB7B0000}"/>
    <cellStyle name="Normal 88 4 2 4 3" xfId="27691" xr:uid="{00000000-0005-0000-0000-0000FC7B0000}"/>
    <cellStyle name="Normal 88 4 2 5" xfId="15415" xr:uid="{00000000-0005-0000-0000-0000FD7B0000}"/>
    <cellStyle name="Normal 88 4 2 5 2" xfId="31969" xr:uid="{00000000-0005-0000-0000-0000FE7B0000}"/>
    <cellStyle name="Normal 88 4 2 6" xfId="23926" xr:uid="{00000000-0005-0000-0000-0000FF7B0000}"/>
    <cellStyle name="Normal 88 4 3" xfId="6146" xr:uid="{00000000-0005-0000-0000-0000007C0000}"/>
    <cellStyle name="Normal 88 4 3 2" xfId="6147" xr:uid="{00000000-0005-0000-0000-0000017C0000}"/>
    <cellStyle name="Normal 88 4 3 2 2" xfId="9991" xr:uid="{00000000-0005-0000-0000-0000027C0000}"/>
    <cellStyle name="Normal 88 4 3 2 2 2" xfId="19165" xr:uid="{00000000-0005-0000-0000-0000037C0000}"/>
    <cellStyle name="Normal 88 4 3 2 2 2 2" xfId="35739" xr:uid="{00000000-0005-0000-0000-0000047C0000}"/>
    <cellStyle name="Normal 88 4 3 2 2 3" xfId="27692" xr:uid="{00000000-0005-0000-0000-0000057C0000}"/>
    <cellStyle name="Normal 88 4 3 2 3" xfId="15420" xr:uid="{00000000-0005-0000-0000-0000067C0000}"/>
    <cellStyle name="Normal 88 4 3 2 3 2" xfId="31974" xr:uid="{00000000-0005-0000-0000-0000077C0000}"/>
    <cellStyle name="Normal 88 4 3 2 4" xfId="23931" xr:uid="{00000000-0005-0000-0000-0000087C0000}"/>
    <cellStyle name="Normal 88 4 3 3" xfId="9992" xr:uid="{00000000-0005-0000-0000-0000097C0000}"/>
    <cellStyle name="Normal 88 4 3 3 2" xfId="19166" xr:uid="{00000000-0005-0000-0000-00000A7C0000}"/>
    <cellStyle name="Normal 88 4 3 3 2 2" xfId="35740" xr:uid="{00000000-0005-0000-0000-00000B7C0000}"/>
    <cellStyle name="Normal 88 4 3 3 3" xfId="27693" xr:uid="{00000000-0005-0000-0000-00000C7C0000}"/>
    <cellStyle name="Normal 88 4 3 4" xfId="15419" xr:uid="{00000000-0005-0000-0000-00000D7C0000}"/>
    <cellStyle name="Normal 88 4 3 4 2" xfId="31973" xr:uid="{00000000-0005-0000-0000-00000E7C0000}"/>
    <cellStyle name="Normal 88 4 3 5" xfId="23930" xr:uid="{00000000-0005-0000-0000-00000F7C0000}"/>
    <cellStyle name="Normal 88 4 4" xfId="6148" xr:uid="{00000000-0005-0000-0000-0000107C0000}"/>
    <cellStyle name="Normal 88 4 4 2" xfId="9993" xr:uid="{00000000-0005-0000-0000-0000117C0000}"/>
    <cellStyle name="Normal 88 4 4 2 2" xfId="19167" xr:uid="{00000000-0005-0000-0000-0000127C0000}"/>
    <cellStyle name="Normal 88 4 4 2 2 2" xfId="35741" xr:uid="{00000000-0005-0000-0000-0000137C0000}"/>
    <cellStyle name="Normal 88 4 4 2 3" xfId="27694" xr:uid="{00000000-0005-0000-0000-0000147C0000}"/>
    <cellStyle name="Normal 88 4 4 3" xfId="15421" xr:uid="{00000000-0005-0000-0000-0000157C0000}"/>
    <cellStyle name="Normal 88 4 4 3 2" xfId="31975" xr:uid="{00000000-0005-0000-0000-0000167C0000}"/>
    <cellStyle name="Normal 88 4 4 4" xfId="23932" xr:uid="{00000000-0005-0000-0000-0000177C0000}"/>
    <cellStyle name="Normal 88 4 5" xfId="9994" xr:uid="{00000000-0005-0000-0000-0000187C0000}"/>
    <cellStyle name="Normal 88 4 5 2" xfId="19168" xr:uid="{00000000-0005-0000-0000-0000197C0000}"/>
    <cellStyle name="Normal 88 4 5 2 2" xfId="35742" xr:uid="{00000000-0005-0000-0000-00001A7C0000}"/>
    <cellStyle name="Normal 88 4 5 3" xfId="27695" xr:uid="{00000000-0005-0000-0000-00001B7C0000}"/>
    <cellStyle name="Normal 88 4 6" xfId="15414" xr:uid="{00000000-0005-0000-0000-00001C7C0000}"/>
    <cellStyle name="Normal 88 4 6 2" xfId="31968" xr:uid="{00000000-0005-0000-0000-00001D7C0000}"/>
    <cellStyle name="Normal 88 4 7" xfId="23925" xr:uid="{00000000-0005-0000-0000-00001E7C0000}"/>
    <cellStyle name="Normal 88 5" xfId="6149" xr:uid="{00000000-0005-0000-0000-00001F7C0000}"/>
    <cellStyle name="Normal 88 5 2" xfId="6150" xr:uid="{00000000-0005-0000-0000-0000207C0000}"/>
    <cellStyle name="Normal 88 5 2 2" xfId="6151" xr:uid="{00000000-0005-0000-0000-0000217C0000}"/>
    <cellStyle name="Normal 88 5 2 2 2" xfId="6152" xr:uid="{00000000-0005-0000-0000-0000227C0000}"/>
    <cellStyle name="Normal 88 5 2 2 2 2" xfId="9995" xr:uid="{00000000-0005-0000-0000-0000237C0000}"/>
    <cellStyle name="Normal 88 5 2 2 2 2 2" xfId="19169" xr:uid="{00000000-0005-0000-0000-0000247C0000}"/>
    <cellStyle name="Normal 88 5 2 2 2 2 2 2" xfId="35743" xr:uid="{00000000-0005-0000-0000-0000257C0000}"/>
    <cellStyle name="Normal 88 5 2 2 2 2 3" xfId="27696" xr:uid="{00000000-0005-0000-0000-0000267C0000}"/>
    <cellStyle name="Normal 88 5 2 2 2 3" xfId="15425" xr:uid="{00000000-0005-0000-0000-0000277C0000}"/>
    <cellStyle name="Normal 88 5 2 2 2 3 2" xfId="31979" xr:uid="{00000000-0005-0000-0000-0000287C0000}"/>
    <cellStyle name="Normal 88 5 2 2 2 4" xfId="23936" xr:uid="{00000000-0005-0000-0000-0000297C0000}"/>
    <cellStyle name="Normal 88 5 2 2 3" xfId="9996" xr:uid="{00000000-0005-0000-0000-00002A7C0000}"/>
    <cellStyle name="Normal 88 5 2 2 3 2" xfId="19170" xr:uid="{00000000-0005-0000-0000-00002B7C0000}"/>
    <cellStyle name="Normal 88 5 2 2 3 2 2" xfId="35744" xr:uid="{00000000-0005-0000-0000-00002C7C0000}"/>
    <cellStyle name="Normal 88 5 2 2 3 3" xfId="27697" xr:uid="{00000000-0005-0000-0000-00002D7C0000}"/>
    <cellStyle name="Normal 88 5 2 2 4" xfId="15424" xr:uid="{00000000-0005-0000-0000-00002E7C0000}"/>
    <cellStyle name="Normal 88 5 2 2 4 2" xfId="31978" xr:uid="{00000000-0005-0000-0000-00002F7C0000}"/>
    <cellStyle name="Normal 88 5 2 2 5" xfId="23935" xr:uid="{00000000-0005-0000-0000-0000307C0000}"/>
    <cellStyle name="Normal 88 5 2 3" xfId="6153" xr:uid="{00000000-0005-0000-0000-0000317C0000}"/>
    <cellStyle name="Normal 88 5 2 3 2" xfId="9997" xr:uid="{00000000-0005-0000-0000-0000327C0000}"/>
    <cellStyle name="Normal 88 5 2 3 2 2" xfId="19171" xr:uid="{00000000-0005-0000-0000-0000337C0000}"/>
    <cellStyle name="Normal 88 5 2 3 2 2 2" xfId="35745" xr:uid="{00000000-0005-0000-0000-0000347C0000}"/>
    <cellStyle name="Normal 88 5 2 3 2 3" xfId="27698" xr:uid="{00000000-0005-0000-0000-0000357C0000}"/>
    <cellStyle name="Normal 88 5 2 3 3" xfId="15426" xr:uid="{00000000-0005-0000-0000-0000367C0000}"/>
    <cellStyle name="Normal 88 5 2 3 3 2" xfId="31980" xr:uid="{00000000-0005-0000-0000-0000377C0000}"/>
    <cellStyle name="Normal 88 5 2 3 4" xfId="23937" xr:uid="{00000000-0005-0000-0000-0000387C0000}"/>
    <cellStyle name="Normal 88 5 2 4" xfId="9998" xr:uid="{00000000-0005-0000-0000-0000397C0000}"/>
    <cellStyle name="Normal 88 5 2 4 2" xfId="19172" xr:uid="{00000000-0005-0000-0000-00003A7C0000}"/>
    <cellStyle name="Normal 88 5 2 4 2 2" xfId="35746" xr:uid="{00000000-0005-0000-0000-00003B7C0000}"/>
    <cellStyle name="Normal 88 5 2 4 3" xfId="27699" xr:uid="{00000000-0005-0000-0000-00003C7C0000}"/>
    <cellStyle name="Normal 88 5 2 5" xfId="15423" xr:uid="{00000000-0005-0000-0000-00003D7C0000}"/>
    <cellStyle name="Normal 88 5 2 5 2" xfId="31977" xr:uid="{00000000-0005-0000-0000-00003E7C0000}"/>
    <cellStyle name="Normal 88 5 2 6" xfId="23934" xr:uid="{00000000-0005-0000-0000-00003F7C0000}"/>
    <cellStyle name="Normal 88 5 3" xfId="6154" xr:uid="{00000000-0005-0000-0000-0000407C0000}"/>
    <cellStyle name="Normal 88 5 3 2" xfId="6155" xr:uid="{00000000-0005-0000-0000-0000417C0000}"/>
    <cellStyle name="Normal 88 5 3 2 2" xfId="9999" xr:uid="{00000000-0005-0000-0000-0000427C0000}"/>
    <cellStyle name="Normal 88 5 3 2 2 2" xfId="19173" xr:uid="{00000000-0005-0000-0000-0000437C0000}"/>
    <cellStyle name="Normal 88 5 3 2 2 2 2" xfId="35747" xr:uid="{00000000-0005-0000-0000-0000447C0000}"/>
    <cellStyle name="Normal 88 5 3 2 2 3" xfId="27700" xr:uid="{00000000-0005-0000-0000-0000457C0000}"/>
    <cellStyle name="Normal 88 5 3 2 3" xfId="15428" xr:uid="{00000000-0005-0000-0000-0000467C0000}"/>
    <cellStyle name="Normal 88 5 3 2 3 2" xfId="31982" xr:uid="{00000000-0005-0000-0000-0000477C0000}"/>
    <cellStyle name="Normal 88 5 3 2 4" xfId="23939" xr:uid="{00000000-0005-0000-0000-0000487C0000}"/>
    <cellStyle name="Normal 88 5 3 3" xfId="10000" xr:uid="{00000000-0005-0000-0000-0000497C0000}"/>
    <cellStyle name="Normal 88 5 3 3 2" xfId="19174" xr:uid="{00000000-0005-0000-0000-00004A7C0000}"/>
    <cellStyle name="Normal 88 5 3 3 2 2" xfId="35748" xr:uid="{00000000-0005-0000-0000-00004B7C0000}"/>
    <cellStyle name="Normal 88 5 3 3 3" xfId="27701" xr:uid="{00000000-0005-0000-0000-00004C7C0000}"/>
    <cellStyle name="Normal 88 5 3 4" xfId="15427" xr:uid="{00000000-0005-0000-0000-00004D7C0000}"/>
    <cellStyle name="Normal 88 5 3 4 2" xfId="31981" xr:uid="{00000000-0005-0000-0000-00004E7C0000}"/>
    <cellStyle name="Normal 88 5 3 5" xfId="23938" xr:uid="{00000000-0005-0000-0000-00004F7C0000}"/>
    <cellStyle name="Normal 88 5 4" xfId="6156" xr:uid="{00000000-0005-0000-0000-0000507C0000}"/>
    <cellStyle name="Normal 88 5 4 2" xfId="10001" xr:uid="{00000000-0005-0000-0000-0000517C0000}"/>
    <cellStyle name="Normal 88 5 4 2 2" xfId="19175" xr:uid="{00000000-0005-0000-0000-0000527C0000}"/>
    <cellStyle name="Normal 88 5 4 2 2 2" xfId="35749" xr:uid="{00000000-0005-0000-0000-0000537C0000}"/>
    <cellStyle name="Normal 88 5 4 2 3" xfId="27702" xr:uid="{00000000-0005-0000-0000-0000547C0000}"/>
    <cellStyle name="Normal 88 5 4 3" xfId="15429" xr:uid="{00000000-0005-0000-0000-0000557C0000}"/>
    <cellStyle name="Normal 88 5 4 3 2" xfId="31983" xr:uid="{00000000-0005-0000-0000-0000567C0000}"/>
    <cellStyle name="Normal 88 5 4 4" xfId="23940" xr:uid="{00000000-0005-0000-0000-0000577C0000}"/>
    <cellStyle name="Normal 88 5 5" xfId="10002" xr:uid="{00000000-0005-0000-0000-0000587C0000}"/>
    <cellStyle name="Normal 88 5 5 2" xfId="19176" xr:uid="{00000000-0005-0000-0000-0000597C0000}"/>
    <cellStyle name="Normal 88 5 5 2 2" xfId="35750" xr:uid="{00000000-0005-0000-0000-00005A7C0000}"/>
    <cellStyle name="Normal 88 5 5 3" xfId="27703" xr:uid="{00000000-0005-0000-0000-00005B7C0000}"/>
    <cellStyle name="Normal 88 5 6" xfId="15422" xr:uid="{00000000-0005-0000-0000-00005C7C0000}"/>
    <cellStyle name="Normal 88 5 6 2" xfId="31976" xr:uid="{00000000-0005-0000-0000-00005D7C0000}"/>
    <cellStyle name="Normal 88 5 7" xfId="23933" xr:uid="{00000000-0005-0000-0000-00005E7C0000}"/>
    <cellStyle name="Normal 88 6" xfId="6157" xr:uid="{00000000-0005-0000-0000-00005F7C0000}"/>
    <cellStyle name="Normal 88 6 2" xfId="6158" xr:uid="{00000000-0005-0000-0000-0000607C0000}"/>
    <cellStyle name="Normal 88 6 2 2" xfId="6159" xr:uid="{00000000-0005-0000-0000-0000617C0000}"/>
    <cellStyle name="Normal 88 6 2 2 2" xfId="10003" xr:uid="{00000000-0005-0000-0000-0000627C0000}"/>
    <cellStyle name="Normal 88 6 2 2 2 2" xfId="19177" xr:uid="{00000000-0005-0000-0000-0000637C0000}"/>
    <cellStyle name="Normal 88 6 2 2 2 2 2" xfId="35751" xr:uid="{00000000-0005-0000-0000-0000647C0000}"/>
    <cellStyle name="Normal 88 6 2 2 2 3" xfId="27704" xr:uid="{00000000-0005-0000-0000-0000657C0000}"/>
    <cellStyle name="Normal 88 6 2 2 3" xfId="15432" xr:uid="{00000000-0005-0000-0000-0000667C0000}"/>
    <cellStyle name="Normal 88 6 2 2 3 2" xfId="31986" xr:uid="{00000000-0005-0000-0000-0000677C0000}"/>
    <cellStyle name="Normal 88 6 2 2 4" xfId="23943" xr:uid="{00000000-0005-0000-0000-0000687C0000}"/>
    <cellStyle name="Normal 88 6 2 3" xfId="10004" xr:uid="{00000000-0005-0000-0000-0000697C0000}"/>
    <cellStyle name="Normal 88 6 2 3 2" xfId="19178" xr:uid="{00000000-0005-0000-0000-00006A7C0000}"/>
    <cellStyle name="Normal 88 6 2 3 2 2" xfId="35752" xr:uid="{00000000-0005-0000-0000-00006B7C0000}"/>
    <cellStyle name="Normal 88 6 2 3 3" xfId="27705" xr:uid="{00000000-0005-0000-0000-00006C7C0000}"/>
    <cellStyle name="Normal 88 6 2 4" xfId="15431" xr:uid="{00000000-0005-0000-0000-00006D7C0000}"/>
    <cellStyle name="Normal 88 6 2 4 2" xfId="31985" xr:uid="{00000000-0005-0000-0000-00006E7C0000}"/>
    <cellStyle name="Normal 88 6 2 5" xfId="23942" xr:uid="{00000000-0005-0000-0000-00006F7C0000}"/>
    <cellStyle name="Normal 88 6 3" xfId="6160" xr:uid="{00000000-0005-0000-0000-0000707C0000}"/>
    <cellStyle name="Normal 88 6 3 2" xfId="10005" xr:uid="{00000000-0005-0000-0000-0000717C0000}"/>
    <cellStyle name="Normal 88 6 3 2 2" xfId="19179" xr:uid="{00000000-0005-0000-0000-0000727C0000}"/>
    <cellStyle name="Normal 88 6 3 2 2 2" xfId="35753" xr:uid="{00000000-0005-0000-0000-0000737C0000}"/>
    <cellStyle name="Normal 88 6 3 2 3" xfId="27706" xr:uid="{00000000-0005-0000-0000-0000747C0000}"/>
    <cellStyle name="Normal 88 6 3 3" xfId="15433" xr:uid="{00000000-0005-0000-0000-0000757C0000}"/>
    <cellStyle name="Normal 88 6 3 3 2" xfId="31987" xr:uid="{00000000-0005-0000-0000-0000767C0000}"/>
    <cellStyle name="Normal 88 6 3 4" xfId="23944" xr:uid="{00000000-0005-0000-0000-0000777C0000}"/>
    <cellStyle name="Normal 88 6 4" xfId="10006" xr:uid="{00000000-0005-0000-0000-0000787C0000}"/>
    <cellStyle name="Normal 88 6 4 2" xfId="19180" xr:uid="{00000000-0005-0000-0000-0000797C0000}"/>
    <cellStyle name="Normal 88 6 4 2 2" xfId="35754" xr:uid="{00000000-0005-0000-0000-00007A7C0000}"/>
    <cellStyle name="Normal 88 6 4 3" xfId="27707" xr:uid="{00000000-0005-0000-0000-00007B7C0000}"/>
    <cellStyle name="Normal 88 6 5" xfId="15430" xr:uid="{00000000-0005-0000-0000-00007C7C0000}"/>
    <cellStyle name="Normal 88 6 5 2" xfId="31984" xr:uid="{00000000-0005-0000-0000-00007D7C0000}"/>
    <cellStyle name="Normal 88 6 6" xfId="23941" xr:uid="{00000000-0005-0000-0000-00007E7C0000}"/>
    <cellStyle name="Normal 88 7" xfId="6161" xr:uid="{00000000-0005-0000-0000-00007F7C0000}"/>
    <cellStyle name="Normal 88 7 2" xfId="6162" xr:uid="{00000000-0005-0000-0000-0000807C0000}"/>
    <cellStyle name="Normal 88 7 2 2" xfId="10007" xr:uid="{00000000-0005-0000-0000-0000817C0000}"/>
    <cellStyle name="Normal 88 7 2 2 2" xfId="19181" xr:uid="{00000000-0005-0000-0000-0000827C0000}"/>
    <cellStyle name="Normal 88 7 2 2 2 2" xfId="35755" xr:uid="{00000000-0005-0000-0000-0000837C0000}"/>
    <cellStyle name="Normal 88 7 2 2 3" xfId="27708" xr:uid="{00000000-0005-0000-0000-0000847C0000}"/>
    <cellStyle name="Normal 88 7 2 3" xfId="15435" xr:uid="{00000000-0005-0000-0000-0000857C0000}"/>
    <cellStyle name="Normal 88 7 2 3 2" xfId="31989" xr:uid="{00000000-0005-0000-0000-0000867C0000}"/>
    <cellStyle name="Normal 88 7 2 4" xfId="23946" xr:uid="{00000000-0005-0000-0000-0000877C0000}"/>
    <cellStyle name="Normal 88 7 3" xfId="10008" xr:uid="{00000000-0005-0000-0000-0000887C0000}"/>
    <cellStyle name="Normal 88 7 3 2" xfId="19182" xr:uid="{00000000-0005-0000-0000-0000897C0000}"/>
    <cellStyle name="Normal 88 7 3 2 2" xfId="35756" xr:uid="{00000000-0005-0000-0000-00008A7C0000}"/>
    <cellStyle name="Normal 88 7 3 3" xfId="27709" xr:uid="{00000000-0005-0000-0000-00008B7C0000}"/>
    <cellStyle name="Normal 88 7 4" xfId="15434" xr:uid="{00000000-0005-0000-0000-00008C7C0000}"/>
    <cellStyle name="Normal 88 7 4 2" xfId="31988" xr:uid="{00000000-0005-0000-0000-00008D7C0000}"/>
    <cellStyle name="Normal 88 7 5" xfId="23945" xr:uid="{00000000-0005-0000-0000-00008E7C0000}"/>
    <cellStyle name="Normal 88 8" xfId="6163" xr:uid="{00000000-0005-0000-0000-00008F7C0000}"/>
    <cellStyle name="Normal 88 8 2" xfId="10009" xr:uid="{00000000-0005-0000-0000-0000907C0000}"/>
    <cellStyle name="Normal 88 8 2 2" xfId="19183" xr:uid="{00000000-0005-0000-0000-0000917C0000}"/>
    <cellStyle name="Normal 88 8 2 2 2" xfId="35757" xr:uid="{00000000-0005-0000-0000-0000927C0000}"/>
    <cellStyle name="Normal 88 8 2 3" xfId="27710" xr:uid="{00000000-0005-0000-0000-0000937C0000}"/>
    <cellStyle name="Normal 88 8 3" xfId="15436" xr:uid="{00000000-0005-0000-0000-0000947C0000}"/>
    <cellStyle name="Normal 88 8 3 2" xfId="31990" xr:uid="{00000000-0005-0000-0000-0000957C0000}"/>
    <cellStyle name="Normal 88 8 4" xfId="23947" xr:uid="{00000000-0005-0000-0000-0000967C0000}"/>
    <cellStyle name="Normal 88 9" xfId="10010" xr:uid="{00000000-0005-0000-0000-0000977C0000}"/>
    <cellStyle name="Normal 88 9 2" xfId="19184" xr:uid="{00000000-0005-0000-0000-0000987C0000}"/>
    <cellStyle name="Normal 88 9 2 2" xfId="35758" xr:uid="{00000000-0005-0000-0000-0000997C0000}"/>
    <cellStyle name="Normal 88 9 3" xfId="27711" xr:uid="{00000000-0005-0000-0000-00009A7C0000}"/>
    <cellStyle name="Normal 89" xfId="6164" xr:uid="{00000000-0005-0000-0000-00009B7C0000}"/>
    <cellStyle name="Normal 89 10" xfId="15437" xr:uid="{00000000-0005-0000-0000-00009C7C0000}"/>
    <cellStyle name="Normal 89 10 2" xfId="31991" xr:uid="{00000000-0005-0000-0000-00009D7C0000}"/>
    <cellStyle name="Normal 89 11" xfId="23948" xr:uid="{00000000-0005-0000-0000-00009E7C0000}"/>
    <cellStyle name="Normal 89 2" xfId="6165" xr:uid="{00000000-0005-0000-0000-00009F7C0000}"/>
    <cellStyle name="Normal 89 2 2" xfId="6166" xr:uid="{00000000-0005-0000-0000-0000A07C0000}"/>
    <cellStyle name="Normal 89 2 3" xfId="15438" xr:uid="{00000000-0005-0000-0000-0000A17C0000}"/>
    <cellStyle name="Normal 89 2 3 2" xfId="31992" xr:uid="{00000000-0005-0000-0000-0000A27C0000}"/>
    <cellStyle name="Normal 89 2 4" xfId="23949" xr:uid="{00000000-0005-0000-0000-0000A37C0000}"/>
    <cellStyle name="Normal 89 3" xfId="6167" xr:uid="{00000000-0005-0000-0000-0000A47C0000}"/>
    <cellStyle name="Normal 89 3 2" xfId="6168" xr:uid="{00000000-0005-0000-0000-0000A57C0000}"/>
    <cellStyle name="Normal 89 3 2 2" xfId="6169" xr:uid="{00000000-0005-0000-0000-0000A67C0000}"/>
    <cellStyle name="Normal 89 3 2 2 2" xfId="6170" xr:uid="{00000000-0005-0000-0000-0000A77C0000}"/>
    <cellStyle name="Normal 89 3 2 2 2 2" xfId="10011" xr:uid="{00000000-0005-0000-0000-0000A87C0000}"/>
    <cellStyle name="Normal 89 3 2 2 2 2 2" xfId="19185" xr:uid="{00000000-0005-0000-0000-0000A97C0000}"/>
    <cellStyle name="Normal 89 3 2 2 2 2 2 2" xfId="35759" xr:uid="{00000000-0005-0000-0000-0000AA7C0000}"/>
    <cellStyle name="Normal 89 3 2 2 2 2 3" xfId="27712" xr:uid="{00000000-0005-0000-0000-0000AB7C0000}"/>
    <cellStyle name="Normal 89 3 2 2 2 3" xfId="15441" xr:uid="{00000000-0005-0000-0000-0000AC7C0000}"/>
    <cellStyle name="Normal 89 3 2 2 2 3 2" xfId="31995" xr:uid="{00000000-0005-0000-0000-0000AD7C0000}"/>
    <cellStyle name="Normal 89 3 2 2 2 4" xfId="23952" xr:uid="{00000000-0005-0000-0000-0000AE7C0000}"/>
    <cellStyle name="Normal 89 3 2 2 3" xfId="10012" xr:uid="{00000000-0005-0000-0000-0000AF7C0000}"/>
    <cellStyle name="Normal 89 3 2 2 3 2" xfId="19186" xr:uid="{00000000-0005-0000-0000-0000B07C0000}"/>
    <cellStyle name="Normal 89 3 2 2 3 2 2" xfId="35760" xr:uid="{00000000-0005-0000-0000-0000B17C0000}"/>
    <cellStyle name="Normal 89 3 2 2 3 3" xfId="27713" xr:uid="{00000000-0005-0000-0000-0000B27C0000}"/>
    <cellStyle name="Normal 89 3 2 2 4" xfId="15440" xr:uid="{00000000-0005-0000-0000-0000B37C0000}"/>
    <cellStyle name="Normal 89 3 2 2 4 2" xfId="31994" xr:uid="{00000000-0005-0000-0000-0000B47C0000}"/>
    <cellStyle name="Normal 89 3 2 2 5" xfId="23951" xr:uid="{00000000-0005-0000-0000-0000B57C0000}"/>
    <cellStyle name="Normal 89 3 2 3" xfId="6171" xr:uid="{00000000-0005-0000-0000-0000B67C0000}"/>
    <cellStyle name="Normal 89 3 2 3 2" xfId="10013" xr:uid="{00000000-0005-0000-0000-0000B77C0000}"/>
    <cellStyle name="Normal 89 3 2 3 2 2" xfId="19187" xr:uid="{00000000-0005-0000-0000-0000B87C0000}"/>
    <cellStyle name="Normal 89 3 2 3 2 2 2" xfId="35761" xr:uid="{00000000-0005-0000-0000-0000B97C0000}"/>
    <cellStyle name="Normal 89 3 2 3 2 3" xfId="27714" xr:uid="{00000000-0005-0000-0000-0000BA7C0000}"/>
    <cellStyle name="Normal 89 3 2 3 3" xfId="15442" xr:uid="{00000000-0005-0000-0000-0000BB7C0000}"/>
    <cellStyle name="Normal 89 3 2 3 3 2" xfId="31996" xr:uid="{00000000-0005-0000-0000-0000BC7C0000}"/>
    <cellStyle name="Normal 89 3 2 3 4" xfId="23953" xr:uid="{00000000-0005-0000-0000-0000BD7C0000}"/>
    <cellStyle name="Normal 89 3 2 4" xfId="10014" xr:uid="{00000000-0005-0000-0000-0000BE7C0000}"/>
    <cellStyle name="Normal 89 3 2 4 2" xfId="19188" xr:uid="{00000000-0005-0000-0000-0000BF7C0000}"/>
    <cellStyle name="Normal 89 3 2 4 2 2" xfId="35762" xr:uid="{00000000-0005-0000-0000-0000C07C0000}"/>
    <cellStyle name="Normal 89 3 2 4 3" xfId="27715" xr:uid="{00000000-0005-0000-0000-0000C17C0000}"/>
    <cellStyle name="Normal 89 3 2 5" xfId="15439" xr:uid="{00000000-0005-0000-0000-0000C27C0000}"/>
    <cellStyle name="Normal 89 3 2 5 2" xfId="31993" xr:uid="{00000000-0005-0000-0000-0000C37C0000}"/>
    <cellStyle name="Normal 89 3 2 6" xfId="23950" xr:uid="{00000000-0005-0000-0000-0000C47C0000}"/>
    <cellStyle name="Normal 89 3 3" xfId="6172" xr:uid="{00000000-0005-0000-0000-0000C57C0000}"/>
    <cellStyle name="Normal 89 3 3 2" xfId="6173" xr:uid="{00000000-0005-0000-0000-0000C67C0000}"/>
    <cellStyle name="Normal 89 3 3 2 2" xfId="10015" xr:uid="{00000000-0005-0000-0000-0000C77C0000}"/>
    <cellStyle name="Normal 89 3 3 2 2 2" xfId="19189" xr:uid="{00000000-0005-0000-0000-0000C87C0000}"/>
    <cellStyle name="Normal 89 3 3 2 2 2 2" xfId="35763" xr:uid="{00000000-0005-0000-0000-0000C97C0000}"/>
    <cellStyle name="Normal 89 3 3 2 2 3" xfId="27716" xr:uid="{00000000-0005-0000-0000-0000CA7C0000}"/>
    <cellStyle name="Normal 89 3 3 2 3" xfId="15444" xr:uid="{00000000-0005-0000-0000-0000CB7C0000}"/>
    <cellStyle name="Normal 89 3 3 2 3 2" xfId="31998" xr:uid="{00000000-0005-0000-0000-0000CC7C0000}"/>
    <cellStyle name="Normal 89 3 3 2 4" xfId="23955" xr:uid="{00000000-0005-0000-0000-0000CD7C0000}"/>
    <cellStyle name="Normal 89 3 3 3" xfId="10016" xr:uid="{00000000-0005-0000-0000-0000CE7C0000}"/>
    <cellStyle name="Normal 89 3 3 3 2" xfId="19190" xr:uid="{00000000-0005-0000-0000-0000CF7C0000}"/>
    <cellStyle name="Normal 89 3 3 3 2 2" xfId="35764" xr:uid="{00000000-0005-0000-0000-0000D07C0000}"/>
    <cellStyle name="Normal 89 3 3 3 3" xfId="27717" xr:uid="{00000000-0005-0000-0000-0000D17C0000}"/>
    <cellStyle name="Normal 89 3 3 4" xfId="15443" xr:uid="{00000000-0005-0000-0000-0000D27C0000}"/>
    <cellStyle name="Normal 89 3 3 4 2" xfId="31997" xr:uid="{00000000-0005-0000-0000-0000D37C0000}"/>
    <cellStyle name="Normal 89 3 3 5" xfId="23954" xr:uid="{00000000-0005-0000-0000-0000D47C0000}"/>
    <cellStyle name="Normal 89 3 4" xfId="6174" xr:uid="{00000000-0005-0000-0000-0000D57C0000}"/>
    <cellStyle name="Normal 89 3 4 2" xfId="10017" xr:uid="{00000000-0005-0000-0000-0000D67C0000}"/>
    <cellStyle name="Normal 89 3 4 2 2" xfId="19191" xr:uid="{00000000-0005-0000-0000-0000D77C0000}"/>
    <cellStyle name="Normal 89 3 4 2 2 2" xfId="35765" xr:uid="{00000000-0005-0000-0000-0000D87C0000}"/>
    <cellStyle name="Normal 89 3 4 2 3" xfId="27718" xr:uid="{00000000-0005-0000-0000-0000D97C0000}"/>
    <cellStyle name="Normal 89 3 4 3" xfId="15445" xr:uid="{00000000-0005-0000-0000-0000DA7C0000}"/>
    <cellStyle name="Normal 89 3 4 3 2" xfId="31999" xr:uid="{00000000-0005-0000-0000-0000DB7C0000}"/>
    <cellStyle name="Normal 89 3 4 4" xfId="23956" xr:uid="{00000000-0005-0000-0000-0000DC7C0000}"/>
    <cellStyle name="Normal 89 3 5" xfId="6175" xr:uid="{00000000-0005-0000-0000-0000DD7C0000}"/>
    <cellStyle name="Normal 89 3 5 2" xfId="15446" xr:uid="{00000000-0005-0000-0000-0000DE7C0000}"/>
    <cellStyle name="Normal 89 3 5 2 2" xfId="32000" xr:uid="{00000000-0005-0000-0000-0000DF7C0000}"/>
    <cellStyle name="Normal 89 3 5 3" xfId="23957" xr:uid="{00000000-0005-0000-0000-0000E07C0000}"/>
    <cellStyle name="Normal 89 4" xfId="6176" xr:uid="{00000000-0005-0000-0000-0000E17C0000}"/>
    <cellStyle name="Normal 89 4 2" xfId="6177" xr:uid="{00000000-0005-0000-0000-0000E27C0000}"/>
    <cellStyle name="Normal 89 4 2 2" xfId="6178" xr:uid="{00000000-0005-0000-0000-0000E37C0000}"/>
    <cellStyle name="Normal 89 4 2 2 2" xfId="6179" xr:uid="{00000000-0005-0000-0000-0000E47C0000}"/>
    <cellStyle name="Normal 89 4 2 2 2 2" xfId="10018" xr:uid="{00000000-0005-0000-0000-0000E57C0000}"/>
    <cellStyle name="Normal 89 4 2 2 2 2 2" xfId="19192" xr:uid="{00000000-0005-0000-0000-0000E67C0000}"/>
    <cellStyle name="Normal 89 4 2 2 2 2 2 2" xfId="35766" xr:uid="{00000000-0005-0000-0000-0000E77C0000}"/>
    <cellStyle name="Normal 89 4 2 2 2 2 3" xfId="27719" xr:uid="{00000000-0005-0000-0000-0000E87C0000}"/>
    <cellStyle name="Normal 89 4 2 2 2 3" xfId="15450" xr:uid="{00000000-0005-0000-0000-0000E97C0000}"/>
    <cellStyle name="Normal 89 4 2 2 2 3 2" xfId="32004" xr:uid="{00000000-0005-0000-0000-0000EA7C0000}"/>
    <cellStyle name="Normal 89 4 2 2 2 4" xfId="23961" xr:uid="{00000000-0005-0000-0000-0000EB7C0000}"/>
    <cellStyle name="Normal 89 4 2 2 3" xfId="10019" xr:uid="{00000000-0005-0000-0000-0000EC7C0000}"/>
    <cellStyle name="Normal 89 4 2 2 3 2" xfId="19193" xr:uid="{00000000-0005-0000-0000-0000ED7C0000}"/>
    <cellStyle name="Normal 89 4 2 2 3 2 2" xfId="35767" xr:uid="{00000000-0005-0000-0000-0000EE7C0000}"/>
    <cellStyle name="Normal 89 4 2 2 3 3" xfId="27720" xr:uid="{00000000-0005-0000-0000-0000EF7C0000}"/>
    <cellStyle name="Normal 89 4 2 2 4" xfId="15449" xr:uid="{00000000-0005-0000-0000-0000F07C0000}"/>
    <cellStyle name="Normal 89 4 2 2 4 2" xfId="32003" xr:uid="{00000000-0005-0000-0000-0000F17C0000}"/>
    <cellStyle name="Normal 89 4 2 2 5" xfId="23960" xr:uid="{00000000-0005-0000-0000-0000F27C0000}"/>
    <cellStyle name="Normal 89 4 2 3" xfId="6180" xr:uid="{00000000-0005-0000-0000-0000F37C0000}"/>
    <cellStyle name="Normal 89 4 2 3 2" xfId="10020" xr:uid="{00000000-0005-0000-0000-0000F47C0000}"/>
    <cellStyle name="Normal 89 4 2 3 2 2" xfId="19194" xr:uid="{00000000-0005-0000-0000-0000F57C0000}"/>
    <cellStyle name="Normal 89 4 2 3 2 2 2" xfId="35768" xr:uid="{00000000-0005-0000-0000-0000F67C0000}"/>
    <cellStyle name="Normal 89 4 2 3 2 3" xfId="27721" xr:uid="{00000000-0005-0000-0000-0000F77C0000}"/>
    <cellStyle name="Normal 89 4 2 3 3" xfId="15451" xr:uid="{00000000-0005-0000-0000-0000F87C0000}"/>
    <cellStyle name="Normal 89 4 2 3 3 2" xfId="32005" xr:uid="{00000000-0005-0000-0000-0000F97C0000}"/>
    <cellStyle name="Normal 89 4 2 3 4" xfId="23962" xr:uid="{00000000-0005-0000-0000-0000FA7C0000}"/>
    <cellStyle name="Normal 89 4 2 4" xfId="10021" xr:uid="{00000000-0005-0000-0000-0000FB7C0000}"/>
    <cellStyle name="Normal 89 4 2 4 2" xfId="19195" xr:uid="{00000000-0005-0000-0000-0000FC7C0000}"/>
    <cellStyle name="Normal 89 4 2 4 2 2" xfId="35769" xr:uid="{00000000-0005-0000-0000-0000FD7C0000}"/>
    <cellStyle name="Normal 89 4 2 4 3" xfId="27722" xr:uid="{00000000-0005-0000-0000-0000FE7C0000}"/>
    <cellStyle name="Normal 89 4 2 5" xfId="15448" xr:uid="{00000000-0005-0000-0000-0000FF7C0000}"/>
    <cellStyle name="Normal 89 4 2 5 2" xfId="32002" xr:uid="{00000000-0005-0000-0000-0000007D0000}"/>
    <cellStyle name="Normal 89 4 2 6" xfId="23959" xr:uid="{00000000-0005-0000-0000-0000017D0000}"/>
    <cellStyle name="Normal 89 4 3" xfId="6181" xr:uid="{00000000-0005-0000-0000-0000027D0000}"/>
    <cellStyle name="Normal 89 4 3 2" xfId="6182" xr:uid="{00000000-0005-0000-0000-0000037D0000}"/>
    <cellStyle name="Normal 89 4 3 2 2" xfId="10022" xr:uid="{00000000-0005-0000-0000-0000047D0000}"/>
    <cellStyle name="Normal 89 4 3 2 2 2" xfId="19196" xr:uid="{00000000-0005-0000-0000-0000057D0000}"/>
    <cellStyle name="Normal 89 4 3 2 2 2 2" xfId="35770" xr:uid="{00000000-0005-0000-0000-0000067D0000}"/>
    <cellStyle name="Normal 89 4 3 2 2 3" xfId="27723" xr:uid="{00000000-0005-0000-0000-0000077D0000}"/>
    <cellStyle name="Normal 89 4 3 2 3" xfId="15453" xr:uid="{00000000-0005-0000-0000-0000087D0000}"/>
    <cellStyle name="Normal 89 4 3 2 3 2" xfId="32007" xr:uid="{00000000-0005-0000-0000-0000097D0000}"/>
    <cellStyle name="Normal 89 4 3 2 4" xfId="23964" xr:uid="{00000000-0005-0000-0000-00000A7D0000}"/>
    <cellStyle name="Normal 89 4 3 3" xfId="10023" xr:uid="{00000000-0005-0000-0000-00000B7D0000}"/>
    <cellStyle name="Normal 89 4 3 3 2" xfId="19197" xr:uid="{00000000-0005-0000-0000-00000C7D0000}"/>
    <cellStyle name="Normal 89 4 3 3 2 2" xfId="35771" xr:uid="{00000000-0005-0000-0000-00000D7D0000}"/>
    <cellStyle name="Normal 89 4 3 3 3" xfId="27724" xr:uid="{00000000-0005-0000-0000-00000E7D0000}"/>
    <cellStyle name="Normal 89 4 3 4" xfId="15452" xr:uid="{00000000-0005-0000-0000-00000F7D0000}"/>
    <cellStyle name="Normal 89 4 3 4 2" xfId="32006" xr:uid="{00000000-0005-0000-0000-0000107D0000}"/>
    <cellStyle name="Normal 89 4 3 5" xfId="23963" xr:uid="{00000000-0005-0000-0000-0000117D0000}"/>
    <cellStyle name="Normal 89 4 4" xfId="6183" xr:uid="{00000000-0005-0000-0000-0000127D0000}"/>
    <cellStyle name="Normal 89 4 4 2" xfId="10024" xr:uid="{00000000-0005-0000-0000-0000137D0000}"/>
    <cellStyle name="Normal 89 4 4 2 2" xfId="19198" xr:uid="{00000000-0005-0000-0000-0000147D0000}"/>
    <cellStyle name="Normal 89 4 4 2 2 2" xfId="35772" xr:uid="{00000000-0005-0000-0000-0000157D0000}"/>
    <cellStyle name="Normal 89 4 4 2 3" xfId="27725" xr:uid="{00000000-0005-0000-0000-0000167D0000}"/>
    <cellStyle name="Normal 89 4 4 3" xfId="15454" xr:uid="{00000000-0005-0000-0000-0000177D0000}"/>
    <cellStyle name="Normal 89 4 4 3 2" xfId="32008" xr:uid="{00000000-0005-0000-0000-0000187D0000}"/>
    <cellStyle name="Normal 89 4 4 4" xfId="23965" xr:uid="{00000000-0005-0000-0000-0000197D0000}"/>
    <cellStyle name="Normal 89 4 5" xfId="10025" xr:uid="{00000000-0005-0000-0000-00001A7D0000}"/>
    <cellStyle name="Normal 89 4 5 2" xfId="19199" xr:uid="{00000000-0005-0000-0000-00001B7D0000}"/>
    <cellStyle name="Normal 89 4 5 2 2" xfId="35773" xr:uid="{00000000-0005-0000-0000-00001C7D0000}"/>
    <cellStyle name="Normal 89 4 5 3" xfId="27726" xr:uid="{00000000-0005-0000-0000-00001D7D0000}"/>
    <cellStyle name="Normal 89 4 6" xfId="15447" xr:uid="{00000000-0005-0000-0000-00001E7D0000}"/>
    <cellStyle name="Normal 89 4 6 2" xfId="32001" xr:uid="{00000000-0005-0000-0000-00001F7D0000}"/>
    <cellStyle name="Normal 89 4 7" xfId="23958" xr:uid="{00000000-0005-0000-0000-0000207D0000}"/>
    <cellStyle name="Normal 89 5" xfId="6184" xr:uid="{00000000-0005-0000-0000-0000217D0000}"/>
    <cellStyle name="Normal 89 5 2" xfId="6185" xr:uid="{00000000-0005-0000-0000-0000227D0000}"/>
    <cellStyle name="Normal 89 5 2 2" xfId="6186" xr:uid="{00000000-0005-0000-0000-0000237D0000}"/>
    <cellStyle name="Normal 89 5 2 2 2" xfId="6187" xr:uid="{00000000-0005-0000-0000-0000247D0000}"/>
    <cellStyle name="Normal 89 5 2 2 2 2" xfId="10026" xr:uid="{00000000-0005-0000-0000-0000257D0000}"/>
    <cellStyle name="Normal 89 5 2 2 2 2 2" xfId="19200" xr:uid="{00000000-0005-0000-0000-0000267D0000}"/>
    <cellStyle name="Normal 89 5 2 2 2 2 2 2" xfId="35774" xr:uid="{00000000-0005-0000-0000-0000277D0000}"/>
    <cellStyle name="Normal 89 5 2 2 2 2 3" xfId="27727" xr:uid="{00000000-0005-0000-0000-0000287D0000}"/>
    <cellStyle name="Normal 89 5 2 2 2 3" xfId="15458" xr:uid="{00000000-0005-0000-0000-0000297D0000}"/>
    <cellStyle name="Normal 89 5 2 2 2 3 2" xfId="32012" xr:uid="{00000000-0005-0000-0000-00002A7D0000}"/>
    <cellStyle name="Normal 89 5 2 2 2 4" xfId="23969" xr:uid="{00000000-0005-0000-0000-00002B7D0000}"/>
    <cellStyle name="Normal 89 5 2 2 3" xfId="10027" xr:uid="{00000000-0005-0000-0000-00002C7D0000}"/>
    <cellStyle name="Normal 89 5 2 2 3 2" xfId="19201" xr:uid="{00000000-0005-0000-0000-00002D7D0000}"/>
    <cellStyle name="Normal 89 5 2 2 3 2 2" xfId="35775" xr:uid="{00000000-0005-0000-0000-00002E7D0000}"/>
    <cellStyle name="Normal 89 5 2 2 3 3" xfId="27728" xr:uid="{00000000-0005-0000-0000-00002F7D0000}"/>
    <cellStyle name="Normal 89 5 2 2 4" xfId="15457" xr:uid="{00000000-0005-0000-0000-0000307D0000}"/>
    <cellStyle name="Normal 89 5 2 2 4 2" xfId="32011" xr:uid="{00000000-0005-0000-0000-0000317D0000}"/>
    <cellStyle name="Normal 89 5 2 2 5" xfId="23968" xr:uid="{00000000-0005-0000-0000-0000327D0000}"/>
    <cellStyle name="Normal 89 5 2 3" xfId="6188" xr:uid="{00000000-0005-0000-0000-0000337D0000}"/>
    <cellStyle name="Normal 89 5 2 3 2" xfId="10028" xr:uid="{00000000-0005-0000-0000-0000347D0000}"/>
    <cellStyle name="Normal 89 5 2 3 2 2" xfId="19202" xr:uid="{00000000-0005-0000-0000-0000357D0000}"/>
    <cellStyle name="Normal 89 5 2 3 2 2 2" xfId="35776" xr:uid="{00000000-0005-0000-0000-0000367D0000}"/>
    <cellStyle name="Normal 89 5 2 3 2 3" xfId="27729" xr:uid="{00000000-0005-0000-0000-0000377D0000}"/>
    <cellStyle name="Normal 89 5 2 3 3" xfId="15459" xr:uid="{00000000-0005-0000-0000-0000387D0000}"/>
    <cellStyle name="Normal 89 5 2 3 3 2" xfId="32013" xr:uid="{00000000-0005-0000-0000-0000397D0000}"/>
    <cellStyle name="Normal 89 5 2 3 4" xfId="23970" xr:uid="{00000000-0005-0000-0000-00003A7D0000}"/>
    <cellStyle name="Normal 89 5 2 4" xfId="10029" xr:uid="{00000000-0005-0000-0000-00003B7D0000}"/>
    <cellStyle name="Normal 89 5 2 4 2" xfId="19203" xr:uid="{00000000-0005-0000-0000-00003C7D0000}"/>
    <cellStyle name="Normal 89 5 2 4 2 2" xfId="35777" xr:uid="{00000000-0005-0000-0000-00003D7D0000}"/>
    <cellStyle name="Normal 89 5 2 4 3" xfId="27730" xr:uid="{00000000-0005-0000-0000-00003E7D0000}"/>
    <cellStyle name="Normal 89 5 2 5" xfId="15456" xr:uid="{00000000-0005-0000-0000-00003F7D0000}"/>
    <cellStyle name="Normal 89 5 2 5 2" xfId="32010" xr:uid="{00000000-0005-0000-0000-0000407D0000}"/>
    <cellStyle name="Normal 89 5 2 6" xfId="23967" xr:uid="{00000000-0005-0000-0000-0000417D0000}"/>
    <cellStyle name="Normal 89 5 3" xfId="6189" xr:uid="{00000000-0005-0000-0000-0000427D0000}"/>
    <cellStyle name="Normal 89 5 3 2" xfId="6190" xr:uid="{00000000-0005-0000-0000-0000437D0000}"/>
    <cellStyle name="Normal 89 5 3 2 2" xfId="10030" xr:uid="{00000000-0005-0000-0000-0000447D0000}"/>
    <cellStyle name="Normal 89 5 3 2 2 2" xfId="19204" xr:uid="{00000000-0005-0000-0000-0000457D0000}"/>
    <cellStyle name="Normal 89 5 3 2 2 2 2" xfId="35778" xr:uid="{00000000-0005-0000-0000-0000467D0000}"/>
    <cellStyle name="Normal 89 5 3 2 2 3" xfId="27731" xr:uid="{00000000-0005-0000-0000-0000477D0000}"/>
    <cellStyle name="Normal 89 5 3 2 3" xfId="15461" xr:uid="{00000000-0005-0000-0000-0000487D0000}"/>
    <cellStyle name="Normal 89 5 3 2 3 2" xfId="32015" xr:uid="{00000000-0005-0000-0000-0000497D0000}"/>
    <cellStyle name="Normal 89 5 3 2 4" xfId="23972" xr:uid="{00000000-0005-0000-0000-00004A7D0000}"/>
    <cellStyle name="Normal 89 5 3 3" xfId="10031" xr:uid="{00000000-0005-0000-0000-00004B7D0000}"/>
    <cellStyle name="Normal 89 5 3 3 2" xfId="19205" xr:uid="{00000000-0005-0000-0000-00004C7D0000}"/>
    <cellStyle name="Normal 89 5 3 3 2 2" xfId="35779" xr:uid="{00000000-0005-0000-0000-00004D7D0000}"/>
    <cellStyle name="Normal 89 5 3 3 3" xfId="27732" xr:uid="{00000000-0005-0000-0000-00004E7D0000}"/>
    <cellStyle name="Normal 89 5 3 4" xfId="15460" xr:uid="{00000000-0005-0000-0000-00004F7D0000}"/>
    <cellStyle name="Normal 89 5 3 4 2" xfId="32014" xr:uid="{00000000-0005-0000-0000-0000507D0000}"/>
    <cellStyle name="Normal 89 5 3 5" xfId="23971" xr:uid="{00000000-0005-0000-0000-0000517D0000}"/>
    <cellStyle name="Normal 89 5 4" xfId="6191" xr:uid="{00000000-0005-0000-0000-0000527D0000}"/>
    <cellStyle name="Normal 89 5 4 2" xfId="10032" xr:uid="{00000000-0005-0000-0000-0000537D0000}"/>
    <cellStyle name="Normal 89 5 4 2 2" xfId="19206" xr:uid="{00000000-0005-0000-0000-0000547D0000}"/>
    <cellStyle name="Normal 89 5 4 2 2 2" xfId="35780" xr:uid="{00000000-0005-0000-0000-0000557D0000}"/>
    <cellStyle name="Normal 89 5 4 2 3" xfId="27733" xr:uid="{00000000-0005-0000-0000-0000567D0000}"/>
    <cellStyle name="Normal 89 5 4 3" xfId="15462" xr:uid="{00000000-0005-0000-0000-0000577D0000}"/>
    <cellStyle name="Normal 89 5 4 3 2" xfId="32016" xr:uid="{00000000-0005-0000-0000-0000587D0000}"/>
    <cellStyle name="Normal 89 5 4 4" xfId="23973" xr:uid="{00000000-0005-0000-0000-0000597D0000}"/>
    <cellStyle name="Normal 89 5 5" xfId="10033" xr:uid="{00000000-0005-0000-0000-00005A7D0000}"/>
    <cellStyle name="Normal 89 5 5 2" xfId="19207" xr:uid="{00000000-0005-0000-0000-00005B7D0000}"/>
    <cellStyle name="Normal 89 5 5 2 2" xfId="35781" xr:uid="{00000000-0005-0000-0000-00005C7D0000}"/>
    <cellStyle name="Normal 89 5 5 3" xfId="27734" xr:uid="{00000000-0005-0000-0000-00005D7D0000}"/>
    <cellStyle name="Normal 89 5 6" xfId="15455" xr:uid="{00000000-0005-0000-0000-00005E7D0000}"/>
    <cellStyle name="Normal 89 5 6 2" xfId="32009" xr:uid="{00000000-0005-0000-0000-00005F7D0000}"/>
    <cellStyle name="Normal 89 5 7" xfId="23966" xr:uid="{00000000-0005-0000-0000-0000607D0000}"/>
    <cellStyle name="Normal 89 6" xfId="6192" xr:uid="{00000000-0005-0000-0000-0000617D0000}"/>
    <cellStyle name="Normal 89 6 2" xfId="6193" xr:uid="{00000000-0005-0000-0000-0000627D0000}"/>
    <cellStyle name="Normal 89 6 2 2" xfId="6194" xr:uid="{00000000-0005-0000-0000-0000637D0000}"/>
    <cellStyle name="Normal 89 6 2 2 2" xfId="10034" xr:uid="{00000000-0005-0000-0000-0000647D0000}"/>
    <cellStyle name="Normal 89 6 2 2 2 2" xfId="19208" xr:uid="{00000000-0005-0000-0000-0000657D0000}"/>
    <cellStyle name="Normal 89 6 2 2 2 2 2" xfId="35782" xr:uid="{00000000-0005-0000-0000-0000667D0000}"/>
    <cellStyle name="Normal 89 6 2 2 2 3" xfId="27735" xr:uid="{00000000-0005-0000-0000-0000677D0000}"/>
    <cellStyle name="Normal 89 6 2 2 3" xfId="15465" xr:uid="{00000000-0005-0000-0000-0000687D0000}"/>
    <cellStyle name="Normal 89 6 2 2 3 2" xfId="32019" xr:uid="{00000000-0005-0000-0000-0000697D0000}"/>
    <cellStyle name="Normal 89 6 2 2 4" xfId="23976" xr:uid="{00000000-0005-0000-0000-00006A7D0000}"/>
    <cellStyle name="Normal 89 6 2 3" xfId="10035" xr:uid="{00000000-0005-0000-0000-00006B7D0000}"/>
    <cellStyle name="Normal 89 6 2 3 2" xfId="19209" xr:uid="{00000000-0005-0000-0000-00006C7D0000}"/>
    <cellStyle name="Normal 89 6 2 3 2 2" xfId="35783" xr:uid="{00000000-0005-0000-0000-00006D7D0000}"/>
    <cellStyle name="Normal 89 6 2 3 3" xfId="27736" xr:uid="{00000000-0005-0000-0000-00006E7D0000}"/>
    <cellStyle name="Normal 89 6 2 4" xfId="15464" xr:uid="{00000000-0005-0000-0000-00006F7D0000}"/>
    <cellStyle name="Normal 89 6 2 4 2" xfId="32018" xr:uid="{00000000-0005-0000-0000-0000707D0000}"/>
    <cellStyle name="Normal 89 6 2 5" xfId="23975" xr:uid="{00000000-0005-0000-0000-0000717D0000}"/>
    <cellStyle name="Normal 89 6 3" xfId="6195" xr:uid="{00000000-0005-0000-0000-0000727D0000}"/>
    <cellStyle name="Normal 89 6 3 2" xfId="10036" xr:uid="{00000000-0005-0000-0000-0000737D0000}"/>
    <cellStyle name="Normal 89 6 3 2 2" xfId="19210" xr:uid="{00000000-0005-0000-0000-0000747D0000}"/>
    <cellStyle name="Normal 89 6 3 2 2 2" xfId="35784" xr:uid="{00000000-0005-0000-0000-0000757D0000}"/>
    <cellStyle name="Normal 89 6 3 2 3" xfId="27737" xr:uid="{00000000-0005-0000-0000-0000767D0000}"/>
    <cellStyle name="Normal 89 6 3 3" xfId="15466" xr:uid="{00000000-0005-0000-0000-0000777D0000}"/>
    <cellStyle name="Normal 89 6 3 3 2" xfId="32020" xr:uid="{00000000-0005-0000-0000-0000787D0000}"/>
    <cellStyle name="Normal 89 6 3 4" xfId="23977" xr:uid="{00000000-0005-0000-0000-0000797D0000}"/>
    <cellStyle name="Normal 89 6 4" xfId="10037" xr:uid="{00000000-0005-0000-0000-00007A7D0000}"/>
    <cellStyle name="Normal 89 6 4 2" xfId="19211" xr:uid="{00000000-0005-0000-0000-00007B7D0000}"/>
    <cellStyle name="Normal 89 6 4 2 2" xfId="35785" xr:uid="{00000000-0005-0000-0000-00007C7D0000}"/>
    <cellStyle name="Normal 89 6 4 3" xfId="27738" xr:uid="{00000000-0005-0000-0000-00007D7D0000}"/>
    <cellStyle name="Normal 89 6 5" xfId="15463" xr:uid="{00000000-0005-0000-0000-00007E7D0000}"/>
    <cellStyle name="Normal 89 6 5 2" xfId="32017" xr:uid="{00000000-0005-0000-0000-00007F7D0000}"/>
    <cellStyle name="Normal 89 6 6" xfId="23974" xr:uid="{00000000-0005-0000-0000-0000807D0000}"/>
    <cellStyle name="Normal 89 7" xfId="6196" xr:uid="{00000000-0005-0000-0000-0000817D0000}"/>
    <cellStyle name="Normal 89 7 2" xfId="6197" xr:uid="{00000000-0005-0000-0000-0000827D0000}"/>
    <cellStyle name="Normal 89 7 2 2" xfId="10038" xr:uid="{00000000-0005-0000-0000-0000837D0000}"/>
    <cellStyle name="Normal 89 7 2 2 2" xfId="19212" xr:uid="{00000000-0005-0000-0000-0000847D0000}"/>
    <cellStyle name="Normal 89 7 2 2 2 2" xfId="35786" xr:uid="{00000000-0005-0000-0000-0000857D0000}"/>
    <cellStyle name="Normal 89 7 2 2 3" xfId="27739" xr:uid="{00000000-0005-0000-0000-0000867D0000}"/>
    <cellStyle name="Normal 89 7 2 3" xfId="15468" xr:uid="{00000000-0005-0000-0000-0000877D0000}"/>
    <cellStyle name="Normal 89 7 2 3 2" xfId="32022" xr:uid="{00000000-0005-0000-0000-0000887D0000}"/>
    <cellStyle name="Normal 89 7 2 4" xfId="23979" xr:uid="{00000000-0005-0000-0000-0000897D0000}"/>
    <cellStyle name="Normal 89 7 3" xfId="10039" xr:uid="{00000000-0005-0000-0000-00008A7D0000}"/>
    <cellStyle name="Normal 89 7 3 2" xfId="19213" xr:uid="{00000000-0005-0000-0000-00008B7D0000}"/>
    <cellStyle name="Normal 89 7 3 2 2" xfId="35787" xr:uid="{00000000-0005-0000-0000-00008C7D0000}"/>
    <cellStyle name="Normal 89 7 3 3" xfId="27740" xr:uid="{00000000-0005-0000-0000-00008D7D0000}"/>
    <cellStyle name="Normal 89 7 4" xfId="15467" xr:uid="{00000000-0005-0000-0000-00008E7D0000}"/>
    <cellStyle name="Normal 89 7 4 2" xfId="32021" xr:uid="{00000000-0005-0000-0000-00008F7D0000}"/>
    <cellStyle name="Normal 89 7 5" xfId="23978" xr:uid="{00000000-0005-0000-0000-0000907D0000}"/>
    <cellStyle name="Normal 89 8" xfId="6198" xr:uid="{00000000-0005-0000-0000-0000917D0000}"/>
    <cellStyle name="Normal 89 8 2" xfId="10040" xr:uid="{00000000-0005-0000-0000-0000927D0000}"/>
    <cellStyle name="Normal 89 8 2 2" xfId="19214" xr:uid="{00000000-0005-0000-0000-0000937D0000}"/>
    <cellStyle name="Normal 89 8 2 2 2" xfId="35788" xr:uid="{00000000-0005-0000-0000-0000947D0000}"/>
    <cellStyle name="Normal 89 8 2 3" xfId="27741" xr:uid="{00000000-0005-0000-0000-0000957D0000}"/>
    <cellStyle name="Normal 89 8 3" xfId="15469" xr:uid="{00000000-0005-0000-0000-0000967D0000}"/>
    <cellStyle name="Normal 89 8 3 2" xfId="32023" xr:uid="{00000000-0005-0000-0000-0000977D0000}"/>
    <cellStyle name="Normal 89 8 4" xfId="23980" xr:uid="{00000000-0005-0000-0000-0000987D0000}"/>
    <cellStyle name="Normal 89 9" xfId="10041" xr:uid="{00000000-0005-0000-0000-0000997D0000}"/>
    <cellStyle name="Normal 89 9 2" xfId="19215" xr:uid="{00000000-0005-0000-0000-00009A7D0000}"/>
    <cellStyle name="Normal 89 9 2 2" xfId="35789" xr:uid="{00000000-0005-0000-0000-00009B7D0000}"/>
    <cellStyle name="Normal 89 9 3" xfId="27742" xr:uid="{00000000-0005-0000-0000-00009C7D0000}"/>
    <cellStyle name="Normal 9" xfId="292" xr:uid="{00000000-0005-0000-0000-00009D7D0000}"/>
    <cellStyle name="Normal 9 10" xfId="11123" xr:uid="{00000000-0005-0000-0000-00009E7D0000}"/>
    <cellStyle name="Normal 9 11" xfId="15470" xr:uid="{00000000-0005-0000-0000-00009F7D0000}"/>
    <cellStyle name="Normal 9 11 2" xfId="32024" xr:uid="{00000000-0005-0000-0000-0000A07D0000}"/>
    <cellStyle name="Normal 9 12" xfId="23981" xr:uid="{00000000-0005-0000-0000-0000A17D0000}"/>
    <cellStyle name="Normal 9 2" xfId="293" xr:uid="{00000000-0005-0000-0000-0000A27D0000}"/>
    <cellStyle name="Normal 9 2 2" xfId="294" xr:uid="{00000000-0005-0000-0000-0000A37D0000}"/>
    <cellStyle name="Normal 9 2 2 2" xfId="6199" xr:uid="{00000000-0005-0000-0000-0000A47D0000}"/>
    <cellStyle name="Normal 9 2 3" xfId="15471" xr:uid="{00000000-0005-0000-0000-0000A57D0000}"/>
    <cellStyle name="Normal 9 2 3 2" xfId="32025" xr:uid="{00000000-0005-0000-0000-0000A67D0000}"/>
    <cellStyle name="Normal 9 2 4" xfId="23982" xr:uid="{00000000-0005-0000-0000-0000A77D0000}"/>
    <cellStyle name="Normal 9 3" xfId="295" xr:uid="{00000000-0005-0000-0000-0000A87D0000}"/>
    <cellStyle name="Normal 9 3 2" xfId="6201" xr:uid="{00000000-0005-0000-0000-0000A97D0000}"/>
    <cellStyle name="Normal 9 3 2 2" xfId="6202" xr:uid="{00000000-0005-0000-0000-0000AA7D0000}"/>
    <cellStyle name="Normal 9 3 2 2 2" xfId="6203" xr:uid="{00000000-0005-0000-0000-0000AB7D0000}"/>
    <cellStyle name="Normal 9 3 2 2 2 2" xfId="10042" xr:uid="{00000000-0005-0000-0000-0000AC7D0000}"/>
    <cellStyle name="Normal 9 3 2 2 2 2 2" xfId="19216" xr:uid="{00000000-0005-0000-0000-0000AD7D0000}"/>
    <cellStyle name="Normal 9 3 2 2 2 2 2 2" xfId="35790" xr:uid="{00000000-0005-0000-0000-0000AE7D0000}"/>
    <cellStyle name="Normal 9 3 2 2 2 2 3" xfId="27743" xr:uid="{00000000-0005-0000-0000-0000AF7D0000}"/>
    <cellStyle name="Normal 9 3 2 2 2 3" xfId="15474" xr:uid="{00000000-0005-0000-0000-0000B07D0000}"/>
    <cellStyle name="Normal 9 3 2 2 2 3 2" xfId="32028" xr:uid="{00000000-0005-0000-0000-0000B17D0000}"/>
    <cellStyle name="Normal 9 3 2 2 2 4" xfId="23985" xr:uid="{00000000-0005-0000-0000-0000B27D0000}"/>
    <cellStyle name="Normal 9 3 2 2 3" xfId="10043" xr:uid="{00000000-0005-0000-0000-0000B37D0000}"/>
    <cellStyle name="Normal 9 3 2 2 3 2" xfId="19217" xr:uid="{00000000-0005-0000-0000-0000B47D0000}"/>
    <cellStyle name="Normal 9 3 2 2 3 2 2" xfId="35791" xr:uid="{00000000-0005-0000-0000-0000B57D0000}"/>
    <cellStyle name="Normal 9 3 2 2 3 3" xfId="27744" xr:uid="{00000000-0005-0000-0000-0000B67D0000}"/>
    <cellStyle name="Normal 9 3 2 2 4" xfId="15473" xr:uid="{00000000-0005-0000-0000-0000B77D0000}"/>
    <cellStyle name="Normal 9 3 2 2 4 2" xfId="32027" xr:uid="{00000000-0005-0000-0000-0000B87D0000}"/>
    <cellStyle name="Normal 9 3 2 2 5" xfId="23984" xr:uid="{00000000-0005-0000-0000-0000B97D0000}"/>
    <cellStyle name="Normal 9 3 2 3" xfId="6204" xr:uid="{00000000-0005-0000-0000-0000BA7D0000}"/>
    <cellStyle name="Normal 9 3 2 3 2" xfId="10044" xr:uid="{00000000-0005-0000-0000-0000BB7D0000}"/>
    <cellStyle name="Normal 9 3 2 3 2 2" xfId="19218" xr:uid="{00000000-0005-0000-0000-0000BC7D0000}"/>
    <cellStyle name="Normal 9 3 2 3 2 2 2" xfId="35792" xr:uid="{00000000-0005-0000-0000-0000BD7D0000}"/>
    <cellStyle name="Normal 9 3 2 3 2 3" xfId="27745" xr:uid="{00000000-0005-0000-0000-0000BE7D0000}"/>
    <cellStyle name="Normal 9 3 2 3 3" xfId="15475" xr:uid="{00000000-0005-0000-0000-0000BF7D0000}"/>
    <cellStyle name="Normal 9 3 2 3 3 2" xfId="32029" xr:uid="{00000000-0005-0000-0000-0000C07D0000}"/>
    <cellStyle name="Normal 9 3 2 3 4" xfId="23986" xr:uid="{00000000-0005-0000-0000-0000C17D0000}"/>
    <cellStyle name="Normal 9 3 2 4" xfId="10045" xr:uid="{00000000-0005-0000-0000-0000C27D0000}"/>
    <cellStyle name="Normal 9 3 2 4 2" xfId="19219" xr:uid="{00000000-0005-0000-0000-0000C37D0000}"/>
    <cellStyle name="Normal 9 3 2 4 2 2" xfId="35793" xr:uid="{00000000-0005-0000-0000-0000C47D0000}"/>
    <cellStyle name="Normal 9 3 2 4 3" xfId="27746" xr:uid="{00000000-0005-0000-0000-0000C57D0000}"/>
    <cellStyle name="Normal 9 3 2 5" xfId="15472" xr:uid="{00000000-0005-0000-0000-0000C67D0000}"/>
    <cellStyle name="Normal 9 3 2 5 2" xfId="32026" xr:uid="{00000000-0005-0000-0000-0000C77D0000}"/>
    <cellStyle name="Normal 9 3 2 6" xfId="23983" xr:uid="{00000000-0005-0000-0000-0000C87D0000}"/>
    <cellStyle name="Normal 9 3 3" xfId="6205" xr:uid="{00000000-0005-0000-0000-0000C97D0000}"/>
    <cellStyle name="Normal 9 3 3 2" xfId="6206" xr:uid="{00000000-0005-0000-0000-0000CA7D0000}"/>
    <cellStyle name="Normal 9 3 3 2 2" xfId="10046" xr:uid="{00000000-0005-0000-0000-0000CB7D0000}"/>
    <cellStyle name="Normal 9 3 3 2 2 2" xfId="19220" xr:uid="{00000000-0005-0000-0000-0000CC7D0000}"/>
    <cellStyle name="Normal 9 3 3 2 2 2 2" xfId="35794" xr:uid="{00000000-0005-0000-0000-0000CD7D0000}"/>
    <cellStyle name="Normal 9 3 3 2 2 3" xfId="27747" xr:uid="{00000000-0005-0000-0000-0000CE7D0000}"/>
    <cellStyle name="Normal 9 3 3 2 3" xfId="15477" xr:uid="{00000000-0005-0000-0000-0000CF7D0000}"/>
    <cellStyle name="Normal 9 3 3 2 3 2" xfId="32031" xr:uid="{00000000-0005-0000-0000-0000D07D0000}"/>
    <cellStyle name="Normal 9 3 3 2 4" xfId="23988" xr:uid="{00000000-0005-0000-0000-0000D17D0000}"/>
    <cellStyle name="Normal 9 3 3 3" xfId="10047" xr:uid="{00000000-0005-0000-0000-0000D27D0000}"/>
    <cellStyle name="Normal 9 3 3 3 2" xfId="19221" xr:uid="{00000000-0005-0000-0000-0000D37D0000}"/>
    <cellStyle name="Normal 9 3 3 3 2 2" xfId="35795" xr:uid="{00000000-0005-0000-0000-0000D47D0000}"/>
    <cellStyle name="Normal 9 3 3 3 3" xfId="27748" xr:uid="{00000000-0005-0000-0000-0000D57D0000}"/>
    <cellStyle name="Normal 9 3 3 4" xfId="15476" xr:uid="{00000000-0005-0000-0000-0000D67D0000}"/>
    <cellStyle name="Normal 9 3 3 4 2" xfId="32030" xr:uid="{00000000-0005-0000-0000-0000D77D0000}"/>
    <cellStyle name="Normal 9 3 3 5" xfId="23987" xr:uid="{00000000-0005-0000-0000-0000D87D0000}"/>
    <cellStyle name="Normal 9 3 4" xfId="6207" xr:uid="{00000000-0005-0000-0000-0000D97D0000}"/>
    <cellStyle name="Normal 9 3 4 2" xfId="10048" xr:uid="{00000000-0005-0000-0000-0000DA7D0000}"/>
    <cellStyle name="Normal 9 3 4 2 2" xfId="19222" xr:uid="{00000000-0005-0000-0000-0000DB7D0000}"/>
    <cellStyle name="Normal 9 3 4 2 2 2" xfId="35796" xr:uid="{00000000-0005-0000-0000-0000DC7D0000}"/>
    <cellStyle name="Normal 9 3 4 2 3" xfId="27749" xr:uid="{00000000-0005-0000-0000-0000DD7D0000}"/>
    <cellStyle name="Normal 9 3 4 3" xfId="15478" xr:uid="{00000000-0005-0000-0000-0000DE7D0000}"/>
    <cellStyle name="Normal 9 3 4 3 2" xfId="32032" xr:uid="{00000000-0005-0000-0000-0000DF7D0000}"/>
    <cellStyle name="Normal 9 3 4 4" xfId="23989" xr:uid="{00000000-0005-0000-0000-0000E07D0000}"/>
    <cellStyle name="Normal 9 3 5" xfId="10049" xr:uid="{00000000-0005-0000-0000-0000E17D0000}"/>
    <cellStyle name="Normal 9 3 5 2" xfId="19223" xr:uid="{00000000-0005-0000-0000-0000E27D0000}"/>
    <cellStyle name="Normal 9 3 5 2 2" xfId="35797" xr:uid="{00000000-0005-0000-0000-0000E37D0000}"/>
    <cellStyle name="Normal 9 3 5 3" xfId="27750" xr:uid="{00000000-0005-0000-0000-0000E47D0000}"/>
    <cellStyle name="Normal 9 3 6" xfId="6200" xr:uid="{00000000-0005-0000-0000-0000E57D0000}"/>
    <cellStyle name="Normal 9 4" xfId="385" xr:uid="{00000000-0005-0000-0000-0000E67D0000}"/>
    <cellStyle name="Normal 9 4 2" xfId="6208" xr:uid="{00000000-0005-0000-0000-0000E77D0000}"/>
    <cellStyle name="Normal 9 4 2 2" xfId="6209" xr:uid="{00000000-0005-0000-0000-0000E87D0000}"/>
    <cellStyle name="Normal 9 4 2 2 2" xfId="6210" xr:uid="{00000000-0005-0000-0000-0000E97D0000}"/>
    <cellStyle name="Normal 9 4 2 2 2 2" xfId="10050" xr:uid="{00000000-0005-0000-0000-0000EA7D0000}"/>
    <cellStyle name="Normal 9 4 2 2 2 2 2" xfId="19224" xr:uid="{00000000-0005-0000-0000-0000EB7D0000}"/>
    <cellStyle name="Normal 9 4 2 2 2 2 2 2" xfId="35798" xr:uid="{00000000-0005-0000-0000-0000EC7D0000}"/>
    <cellStyle name="Normal 9 4 2 2 2 2 3" xfId="27751" xr:uid="{00000000-0005-0000-0000-0000ED7D0000}"/>
    <cellStyle name="Normal 9 4 2 2 2 3" xfId="15482" xr:uid="{00000000-0005-0000-0000-0000EE7D0000}"/>
    <cellStyle name="Normal 9 4 2 2 2 3 2" xfId="32036" xr:uid="{00000000-0005-0000-0000-0000EF7D0000}"/>
    <cellStyle name="Normal 9 4 2 2 2 4" xfId="23993" xr:uid="{00000000-0005-0000-0000-0000F07D0000}"/>
    <cellStyle name="Normal 9 4 2 2 3" xfId="10051" xr:uid="{00000000-0005-0000-0000-0000F17D0000}"/>
    <cellStyle name="Normal 9 4 2 2 3 2" xfId="19225" xr:uid="{00000000-0005-0000-0000-0000F27D0000}"/>
    <cellStyle name="Normal 9 4 2 2 3 2 2" xfId="35799" xr:uid="{00000000-0005-0000-0000-0000F37D0000}"/>
    <cellStyle name="Normal 9 4 2 2 3 3" xfId="27752" xr:uid="{00000000-0005-0000-0000-0000F47D0000}"/>
    <cellStyle name="Normal 9 4 2 2 4" xfId="15481" xr:uid="{00000000-0005-0000-0000-0000F57D0000}"/>
    <cellStyle name="Normal 9 4 2 2 4 2" xfId="32035" xr:uid="{00000000-0005-0000-0000-0000F67D0000}"/>
    <cellStyle name="Normal 9 4 2 2 5" xfId="23992" xr:uid="{00000000-0005-0000-0000-0000F77D0000}"/>
    <cellStyle name="Normal 9 4 2 3" xfId="6211" xr:uid="{00000000-0005-0000-0000-0000F87D0000}"/>
    <cellStyle name="Normal 9 4 2 3 2" xfId="10052" xr:uid="{00000000-0005-0000-0000-0000F97D0000}"/>
    <cellStyle name="Normal 9 4 2 3 2 2" xfId="19226" xr:uid="{00000000-0005-0000-0000-0000FA7D0000}"/>
    <cellStyle name="Normal 9 4 2 3 2 2 2" xfId="35800" xr:uid="{00000000-0005-0000-0000-0000FB7D0000}"/>
    <cellStyle name="Normal 9 4 2 3 2 3" xfId="27753" xr:uid="{00000000-0005-0000-0000-0000FC7D0000}"/>
    <cellStyle name="Normal 9 4 2 3 3" xfId="15483" xr:uid="{00000000-0005-0000-0000-0000FD7D0000}"/>
    <cellStyle name="Normal 9 4 2 3 3 2" xfId="32037" xr:uid="{00000000-0005-0000-0000-0000FE7D0000}"/>
    <cellStyle name="Normal 9 4 2 3 4" xfId="23994" xr:uid="{00000000-0005-0000-0000-0000FF7D0000}"/>
    <cellStyle name="Normal 9 4 2 4" xfId="10053" xr:uid="{00000000-0005-0000-0000-0000007E0000}"/>
    <cellStyle name="Normal 9 4 2 4 2" xfId="19227" xr:uid="{00000000-0005-0000-0000-0000017E0000}"/>
    <cellStyle name="Normal 9 4 2 4 2 2" xfId="35801" xr:uid="{00000000-0005-0000-0000-0000027E0000}"/>
    <cellStyle name="Normal 9 4 2 4 3" xfId="27754" xr:uid="{00000000-0005-0000-0000-0000037E0000}"/>
    <cellStyle name="Normal 9 4 2 5" xfId="15480" xr:uid="{00000000-0005-0000-0000-0000047E0000}"/>
    <cellStyle name="Normal 9 4 2 5 2" xfId="32034" xr:uid="{00000000-0005-0000-0000-0000057E0000}"/>
    <cellStyle name="Normal 9 4 2 6" xfId="23991" xr:uid="{00000000-0005-0000-0000-0000067E0000}"/>
    <cellStyle name="Normal 9 4 3" xfId="6212" xr:uid="{00000000-0005-0000-0000-0000077E0000}"/>
    <cellStyle name="Normal 9 4 3 2" xfId="6213" xr:uid="{00000000-0005-0000-0000-0000087E0000}"/>
    <cellStyle name="Normal 9 4 3 2 2" xfId="10054" xr:uid="{00000000-0005-0000-0000-0000097E0000}"/>
    <cellStyle name="Normal 9 4 3 2 2 2" xfId="19228" xr:uid="{00000000-0005-0000-0000-00000A7E0000}"/>
    <cellStyle name="Normal 9 4 3 2 2 2 2" xfId="35802" xr:uid="{00000000-0005-0000-0000-00000B7E0000}"/>
    <cellStyle name="Normal 9 4 3 2 2 3" xfId="27755" xr:uid="{00000000-0005-0000-0000-00000C7E0000}"/>
    <cellStyle name="Normal 9 4 3 2 3" xfId="15485" xr:uid="{00000000-0005-0000-0000-00000D7E0000}"/>
    <cellStyle name="Normal 9 4 3 2 3 2" xfId="32039" xr:uid="{00000000-0005-0000-0000-00000E7E0000}"/>
    <cellStyle name="Normal 9 4 3 2 4" xfId="23996" xr:uid="{00000000-0005-0000-0000-00000F7E0000}"/>
    <cellStyle name="Normal 9 4 3 3" xfId="10055" xr:uid="{00000000-0005-0000-0000-0000107E0000}"/>
    <cellStyle name="Normal 9 4 3 3 2" xfId="19229" xr:uid="{00000000-0005-0000-0000-0000117E0000}"/>
    <cellStyle name="Normal 9 4 3 3 2 2" xfId="35803" xr:uid="{00000000-0005-0000-0000-0000127E0000}"/>
    <cellStyle name="Normal 9 4 3 3 3" xfId="27756" xr:uid="{00000000-0005-0000-0000-0000137E0000}"/>
    <cellStyle name="Normal 9 4 3 4" xfId="15484" xr:uid="{00000000-0005-0000-0000-0000147E0000}"/>
    <cellStyle name="Normal 9 4 3 4 2" xfId="32038" xr:uid="{00000000-0005-0000-0000-0000157E0000}"/>
    <cellStyle name="Normal 9 4 3 5" xfId="23995" xr:uid="{00000000-0005-0000-0000-0000167E0000}"/>
    <cellStyle name="Normal 9 4 4" xfId="6214" xr:uid="{00000000-0005-0000-0000-0000177E0000}"/>
    <cellStyle name="Normal 9 4 4 2" xfId="10056" xr:uid="{00000000-0005-0000-0000-0000187E0000}"/>
    <cellStyle name="Normal 9 4 4 2 2" xfId="19230" xr:uid="{00000000-0005-0000-0000-0000197E0000}"/>
    <cellStyle name="Normal 9 4 4 2 2 2" xfId="35804" xr:uid="{00000000-0005-0000-0000-00001A7E0000}"/>
    <cellStyle name="Normal 9 4 4 2 3" xfId="27757" xr:uid="{00000000-0005-0000-0000-00001B7E0000}"/>
    <cellStyle name="Normal 9 4 4 3" xfId="15486" xr:uid="{00000000-0005-0000-0000-00001C7E0000}"/>
    <cellStyle name="Normal 9 4 4 3 2" xfId="32040" xr:uid="{00000000-0005-0000-0000-00001D7E0000}"/>
    <cellStyle name="Normal 9 4 4 4" xfId="23997" xr:uid="{00000000-0005-0000-0000-00001E7E0000}"/>
    <cellStyle name="Normal 9 4 5" xfId="10057" xr:uid="{00000000-0005-0000-0000-00001F7E0000}"/>
    <cellStyle name="Normal 9 4 5 2" xfId="19231" xr:uid="{00000000-0005-0000-0000-0000207E0000}"/>
    <cellStyle name="Normal 9 4 5 2 2" xfId="35805" xr:uid="{00000000-0005-0000-0000-0000217E0000}"/>
    <cellStyle name="Normal 9 4 5 3" xfId="27758" xr:uid="{00000000-0005-0000-0000-0000227E0000}"/>
    <cellStyle name="Normal 9 4 6" xfId="15479" xr:uid="{00000000-0005-0000-0000-0000237E0000}"/>
    <cellStyle name="Normal 9 4 6 2" xfId="32033" xr:uid="{00000000-0005-0000-0000-0000247E0000}"/>
    <cellStyle name="Normal 9 4 7" xfId="23990" xr:uid="{00000000-0005-0000-0000-0000257E0000}"/>
    <cellStyle name="Normal 9 5" xfId="1724" xr:uid="{00000000-0005-0000-0000-0000267E0000}"/>
    <cellStyle name="Normal 9 5 2" xfId="6216" xr:uid="{00000000-0005-0000-0000-0000277E0000}"/>
    <cellStyle name="Normal 9 5 2 2" xfId="6217" xr:uid="{00000000-0005-0000-0000-0000287E0000}"/>
    <cellStyle name="Normal 9 5 2 2 2" xfId="6218" xr:uid="{00000000-0005-0000-0000-0000297E0000}"/>
    <cellStyle name="Normal 9 5 2 2 2 2" xfId="10058" xr:uid="{00000000-0005-0000-0000-00002A7E0000}"/>
    <cellStyle name="Normal 9 5 2 2 2 2 2" xfId="19232" xr:uid="{00000000-0005-0000-0000-00002B7E0000}"/>
    <cellStyle name="Normal 9 5 2 2 2 2 2 2" xfId="35806" xr:uid="{00000000-0005-0000-0000-00002C7E0000}"/>
    <cellStyle name="Normal 9 5 2 2 2 2 3" xfId="27759" xr:uid="{00000000-0005-0000-0000-00002D7E0000}"/>
    <cellStyle name="Normal 9 5 2 2 2 3" xfId="15489" xr:uid="{00000000-0005-0000-0000-00002E7E0000}"/>
    <cellStyle name="Normal 9 5 2 2 2 3 2" xfId="32044" xr:uid="{00000000-0005-0000-0000-00002F7E0000}"/>
    <cellStyle name="Normal 9 5 2 2 2 4" xfId="24001" xr:uid="{00000000-0005-0000-0000-0000307E0000}"/>
    <cellStyle name="Normal 9 5 2 2 3" xfId="10059" xr:uid="{00000000-0005-0000-0000-0000317E0000}"/>
    <cellStyle name="Normal 9 5 2 2 3 2" xfId="19233" xr:uid="{00000000-0005-0000-0000-0000327E0000}"/>
    <cellStyle name="Normal 9 5 2 2 3 2 2" xfId="35807" xr:uid="{00000000-0005-0000-0000-0000337E0000}"/>
    <cellStyle name="Normal 9 5 2 2 3 3" xfId="27760" xr:uid="{00000000-0005-0000-0000-0000347E0000}"/>
    <cellStyle name="Normal 9 5 2 2 4" xfId="15488" xr:uid="{00000000-0005-0000-0000-0000357E0000}"/>
    <cellStyle name="Normal 9 5 2 2 4 2" xfId="32043" xr:uid="{00000000-0005-0000-0000-0000367E0000}"/>
    <cellStyle name="Normal 9 5 2 2 5" xfId="24000" xr:uid="{00000000-0005-0000-0000-0000377E0000}"/>
    <cellStyle name="Normal 9 5 2 3" xfId="6219" xr:uid="{00000000-0005-0000-0000-0000387E0000}"/>
    <cellStyle name="Normal 9 5 2 3 2" xfId="10060" xr:uid="{00000000-0005-0000-0000-0000397E0000}"/>
    <cellStyle name="Normal 9 5 2 3 2 2" xfId="19234" xr:uid="{00000000-0005-0000-0000-00003A7E0000}"/>
    <cellStyle name="Normal 9 5 2 3 2 2 2" xfId="35808" xr:uid="{00000000-0005-0000-0000-00003B7E0000}"/>
    <cellStyle name="Normal 9 5 2 3 2 3" xfId="27761" xr:uid="{00000000-0005-0000-0000-00003C7E0000}"/>
    <cellStyle name="Normal 9 5 2 3 3" xfId="15490" xr:uid="{00000000-0005-0000-0000-00003D7E0000}"/>
    <cellStyle name="Normal 9 5 2 3 3 2" xfId="32045" xr:uid="{00000000-0005-0000-0000-00003E7E0000}"/>
    <cellStyle name="Normal 9 5 2 3 4" xfId="24002" xr:uid="{00000000-0005-0000-0000-00003F7E0000}"/>
    <cellStyle name="Normal 9 5 2 4" xfId="10061" xr:uid="{00000000-0005-0000-0000-0000407E0000}"/>
    <cellStyle name="Normal 9 5 2 4 2" xfId="19235" xr:uid="{00000000-0005-0000-0000-0000417E0000}"/>
    <cellStyle name="Normal 9 5 2 4 2 2" xfId="35809" xr:uid="{00000000-0005-0000-0000-0000427E0000}"/>
    <cellStyle name="Normal 9 5 2 4 3" xfId="27762" xr:uid="{00000000-0005-0000-0000-0000437E0000}"/>
    <cellStyle name="Normal 9 5 2 5" xfId="15487" xr:uid="{00000000-0005-0000-0000-0000447E0000}"/>
    <cellStyle name="Normal 9 5 2 5 2" xfId="32042" xr:uid="{00000000-0005-0000-0000-0000457E0000}"/>
    <cellStyle name="Normal 9 5 2 6" xfId="23999" xr:uid="{00000000-0005-0000-0000-0000467E0000}"/>
    <cellStyle name="Normal 9 5 3" xfId="6220" xr:uid="{00000000-0005-0000-0000-0000477E0000}"/>
    <cellStyle name="Normal 9 5 3 2" xfId="6221" xr:uid="{00000000-0005-0000-0000-0000487E0000}"/>
    <cellStyle name="Normal 9 5 3 2 2" xfId="10062" xr:uid="{00000000-0005-0000-0000-0000497E0000}"/>
    <cellStyle name="Normal 9 5 3 2 2 2" xfId="19236" xr:uid="{00000000-0005-0000-0000-00004A7E0000}"/>
    <cellStyle name="Normal 9 5 3 2 2 2 2" xfId="35810" xr:uid="{00000000-0005-0000-0000-00004B7E0000}"/>
    <cellStyle name="Normal 9 5 3 2 2 3" xfId="27763" xr:uid="{00000000-0005-0000-0000-00004C7E0000}"/>
    <cellStyle name="Normal 9 5 3 2 3" xfId="15492" xr:uid="{00000000-0005-0000-0000-00004D7E0000}"/>
    <cellStyle name="Normal 9 5 3 2 3 2" xfId="32047" xr:uid="{00000000-0005-0000-0000-00004E7E0000}"/>
    <cellStyle name="Normal 9 5 3 2 4" xfId="24004" xr:uid="{00000000-0005-0000-0000-00004F7E0000}"/>
    <cellStyle name="Normal 9 5 3 3" xfId="10063" xr:uid="{00000000-0005-0000-0000-0000507E0000}"/>
    <cellStyle name="Normal 9 5 3 3 2" xfId="19237" xr:uid="{00000000-0005-0000-0000-0000517E0000}"/>
    <cellStyle name="Normal 9 5 3 3 2 2" xfId="35811" xr:uid="{00000000-0005-0000-0000-0000527E0000}"/>
    <cellStyle name="Normal 9 5 3 3 3" xfId="27764" xr:uid="{00000000-0005-0000-0000-0000537E0000}"/>
    <cellStyle name="Normal 9 5 3 4" xfId="15491" xr:uid="{00000000-0005-0000-0000-0000547E0000}"/>
    <cellStyle name="Normal 9 5 3 4 2" xfId="32046" xr:uid="{00000000-0005-0000-0000-0000557E0000}"/>
    <cellStyle name="Normal 9 5 3 5" xfId="24003" xr:uid="{00000000-0005-0000-0000-0000567E0000}"/>
    <cellStyle name="Normal 9 5 4" xfId="6222" xr:uid="{00000000-0005-0000-0000-0000577E0000}"/>
    <cellStyle name="Normal 9 5 4 2" xfId="10064" xr:uid="{00000000-0005-0000-0000-0000587E0000}"/>
    <cellStyle name="Normal 9 5 4 2 2" xfId="19238" xr:uid="{00000000-0005-0000-0000-0000597E0000}"/>
    <cellStyle name="Normal 9 5 4 2 2 2" xfId="35812" xr:uid="{00000000-0005-0000-0000-00005A7E0000}"/>
    <cellStyle name="Normal 9 5 4 2 3" xfId="27765" xr:uid="{00000000-0005-0000-0000-00005B7E0000}"/>
    <cellStyle name="Normal 9 5 4 3" xfId="15493" xr:uid="{00000000-0005-0000-0000-00005C7E0000}"/>
    <cellStyle name="Normal 9 5 4 3 2" xfId="32048" xr:uid="{00000000-0005-0000-0000-00005D7E0000}"/>
    <cellStyle name="Normal 9 5 4 4" xfId="24005" xr:uid="{00000000-0005-0000-0000-00005E7E0000}"/>
    <cellStyle name="Normal 9 5 5" xfId="10065" xr:uid="{00000000-0005-0000-0000-00005F7E0000}"/>
    <cellStyle name="Normal 9 5 5 2" xfId="19239" xr:uid="{00000000-0005-0000-0000-0000607E0000}"/>
    <cellStyle name="Normal 9 5 5 2 2" xfId="35813" xr:uid="{00000000-0005-0000-0000-0000617E0000}"/>
    <cellStyle name="Normal 9 5 5 3" xfId="27766" xr:uid="{00000000-0005-0000-0000-0000627E0000}"/>
    <cellStyle name="Normal 9 5 6" xfId="6215" xr:uid="{00000000-0005-0000-0000-0000637E0000}"/>
    <cellStyle name="Normal 9 5 6 2" xfId="32041" xr:uid="{00000000-0005-0000-0000-0000647E0000}"/>
    <cellStyle name="Normal 9 5 7" xfId="23998" xr:uid="{00000000-0005-0000-0000-0000657E0000}"/>
    <cellStyle name="Normal 9 6" xfId="1680" xr:uid="{00000000-0005-0000-0000-0000667E0000}"/>
    <cellStyle name="Normal 9 6 2" xfId="6224" xr:uid="{00000000-0005-0000-0000-0000677E0000}"/>
    <cellStyle name="Normal 9 6 2 2" xfId="6225" xr:uid="{00000000-0005-0000-0000-0000687E0000}"/>
    <cellStyle name="Normal 9 6 2 2 2" xfId="10066" xr:uid="{00000000-0005-0000-0000-0000697E0000}"/>
    <cellStyle name="Normal 9 6 2 2 2 2" xfId="19240" xr:uid="{00000000-0005-0000-0000-00006A7E0000}"/>
    <cellStyle name="Normal 9 6 2 2 2 2 2" xfId="35814" xr:uid="{00000000-0005-0000-0000-00006B7E0000}"/>
    <cellStyle name="Normal 9 6 2 2 2 3" xfId="27767" xr:uid="{00000000-0005-0000-0000-00006C7E0000}"/>
    <cellStyle name="Normal 9 6 2 2 3" xfId="15495" xr:uid="{00000000-0005-0000-0000-00006D7E0000}"/>
    <cellStyle name="Normal 9 6 2 2 3 2" xfId="32051" xr:uid="{00000000-0005-0000-0000-00006E7E0000}"/>
    <cellStyle name="Normal 9 6 2 2 4" xfId="24008" xr:uid="{00000000-0005-0000-0000-00006F7E0000}"/>
    <cellStyle name="Normal 9 6 2 3" xfId="10067" xr:uid="{00000000-0005-0000-0000-0000707E0000}"/>
    <cellStyle name="Normal 9 6 2 3 2" xfId="19241" xr:uid="{00000000-0005-0000-0000-0000717E0000}"/>
    <cellStyle name="Normal 9 6 2 3 2 2" xfId="35815" xr:uid="{00000000-0005-0000-0000-0000727E0000}"/>
    <cellStyle name="Normal 9 6 2 3 3" xfId="27768" xr:uid="{00000000-0005-0000-0000-0000737E0000}"/>
    <cellStyle name="Normal 9 6 2 4" xfId="15494" xr:uid="{00000000-0005-0000-0000-0000747E0000}"/>
    <cellStyle name="Normal 9 6 2 4 2" xfId="32050" xr:uid="{00000000-0005-0000-0000-0000757E0000}"/>
    <cellStyle name="Normal 9 6 2 5" xfId="24007" xr:uid="{00000000-0005-0000-0000-0000767E0000}"/>
    <cellStyle name="Normal 9 6 3" xfId="6226" xr:uid="{00000000-0005-0000-0000-0000777E0000}"/>
    <cellStyle name="Normal 9 6 3 2" xfId="10068" xr:uid="{00000000-0005-0000-0000-0000787E0000}"/>
    <cellStyle name="Normal 9 6 3 2 2" xfId="19242" xr:uid="{00000000-0005-0000-0000-0000797E0000}"/>
    <cellStyle name="Normal 9 6 3 2 2 2" xfId="35816" xr:uid="{00000000-0005-0000-0000-00007A7E0000}"/>
    <cellStyle name="Normal 9 6 3 2 3" xfId="27769" xr:uid="{00000000-0005-0000-0000-00007B7E0000}"/>
    <cellStyle name="Normal 9 6 3 3" xfId="15496" xr:uid="{00000000-0005-0000-0000-00007C7E0000}"/>
    <cellStyle name="Normal 9 6 3 3 2" xfId="32052" xr:uid="{00000000-0005-0000-0000-00007D7E0000}"/>
    <cellStyle name="Normal 9 6 3 4" xfId="24009" xr:uid="{00000000-0005-0000-0000-00007E7E0000}"/>
    <cellStyle name="Normal 9 6 4" xfId="10069" xr:uid="{00000000-0005-0000-0000-00007F7E0000}"/>
    <cellStyle name="Normal 9 6 4 2" xfId="19243" xr:uid="{00000000-0005-0000-0000-0000807E0000}"/>
    <cellStyle name="Normal 9 6 4 2 2" xfId="35817" xr:uid="{00000000-0005-0000-0000-0000817E0000}"/>
    <cellStyle name="Normal 9 6 4 3" xfId="27770" xr:uid="{00000000-0005-0000-0000-0000827E0000}"/>
    <cellStyle name="Normal 9 6 5" xfId="6223" xr:uid="{00000000-0005-0000-0000-0000837E0000}"/>
    <cellStyle name="Normal 9 6 5 2" xfId="32049" xr:uid="{00000000-0005-0000-0000-0000847E0000}"/>
    <cellStyle name="Normal 9 6 6" xfId="24006" xr:uid="{00000000-0005-0000-0000-0000857E0000}"/>
    <cellStyle name="Normal 9 7" xfId="6227" xr:uid="{00000000-0005-0000-0000-0000867E0000}"/>
    <cellStyle name="Normal 9 7 2" xfId="6228" xr:uid="{00000000-0005-0000-0000-0000877E0000}"/>
    <cellStyle name="Normal 9 7 2 2" xfId="10070" xr:uid="{00000000-0005-0000-0000-0000887E0000}"/>
    <cellStyle name="Normal 9 7 2 2 2" xfId="19244" xr:uid="{00000000-0005-0000-0000-0000897E0000}"/>
    <cellStyle name="Normal 9 7 2 2 2 2" xfId="35818" xr:uid="{00000000-0005-0000-0000-00008A7E0000}"/>
    <cellStyle name="Normal 9 7 2 2 3" xfId="27771" xr:uid="{00000000-0005-0000-0000-00008B7E0000}"/>
    <cellStyle name="Normal 9 7 2 3" xfId="15498" xr:uid="{00000000-0005-0000-0000-00008C7E0000}"/>
    <cellStyle name="Normal 9 7 2 3 2" xfId="32054" xr:uid="{00000000-0005-0000-0000-00008D7E0000}"/>
    <cellStyle name="Normal 9 7 2 4" xfId="24011" xr:uid="{00000000-0005-0000-0000-00008E7E0000}"/>
    <cellStyle name="Normal 9 7 3" xfId="10071" xr:uid="{00000000-0005-0000-0000-00008F7E0000}"/>
    <cellStyle name="Normal 9 7 3 2" xfId="19245" xr:uid="{00000000-0005-0000-0000-0000907E0000}"/>
    <cellStyle name="Normal 9 7 3 2 2" xfId="35819" xr:uid="{00000000-0005-0000-0000-0000917E0000}"/>
    <cellStyle name="Normal 9 7 3 3" xfId="27772" xr:uid="{00000000-0005-0000-0000-0000927E0000}"/>
    <cellStyle name="Normal 9 7 4" xfId="15497" xr:uid="{00000000-0005-0000-0000-0000937E0000}"/>
    <cellStyle name="Normal 9 7 4 2" xfId="32053" xr:uid="{00000000-0005-0000-0000-0000947E0000}"/>
    <cellStyle name="Normal 9 7 5" xfId="24010" xr:uid="{00000000-0005-0000-0000-0000957E0000}"/>
    <cellStyle name="Normal 9 8" xfId="6229" xr:uid="{00000000-0005-0000-0000-0000967E0000}"/>
    <cellStyle name="Normal 9 8 2" xfId="10072" xr:uid="{00000000-0005-0000-0000-0000977E0000}"/>
    <cellStyle name="Normal 9 8 2 2" xfId="19246" xr:uid="{00000000-0005-0000-0000-0000987E0000}"/>
    <cellStyle name="Normal 9 8 2 2 2" xfId="35820" xr:uid="{00000000-0005-0000-0000-0000997E0000}"/>
    <cellStyle name="Normal 9 8 2 3" xfId="27773" xr:uid="{00000000-0005-0000-0000-00009A7E0000}"/>
    <cellStyle name="Normal 9 8 3" xfId="15499" xr:uid="{00000000-0005-0000-0000-00009B7E0000}"/>
    <cellStyle name="Normal 9 8 3 2" xfId="32055" xr:uid="{00000000-0005-0000-0000-00009C7E0000}"/>
    <cellStyle name="Normal 9 8 4" xfId="24012" xr:uid="{00000000-0005-0000-0000-00009D7E0000}"/>
    <cellStyle name="Normal 9 9" xfId="10073" xr:uid="{00000000-0005-0000-0000-00009E7E0000}"/>
    <cellStyle name="Normal 9 9 2" xfId="19247" xr:uid="{00000000-0005-0000-0000-00009F7E0000}"/>
    <cellStyle name="Normal 9 9 2 2" xfId="35821" xr:uid="{00000000-0005-0000-0000-0000A07E0000}"/>
    <cellStyle name="Normal 9 9 3" xfId="27774" xr:uid="{00000000-0005-0000-0000-0000A17E0000}"/>
    <cellStyle name="Normal 90" xfId="6230" xr:uid="{00000000-0005-0000-0000-0000A27E0000}"/>
    <cellStyle name="Normal 90 10" xfId="15500" xr:uid="{00000000-0005-0000-0000-0000A37E0000}"/>
    <cellStyle name="Normal 90 10 2" xfId="32056" xr:uid="{00000000-0005-0000-0000-0000A47E0000}"/>
    <cellStyle name="Normal 90 11" xfId="24013" xr:uid="{00000000-0005-0000-0000-0000A57E0000}"/>
    <cellStyle name="Normal 90 2" xfId="6231" xr:uid="{00000000-0005-0000-0000-0000A67E0000}"/>
    <cellStyle name="Normal 90 2 2" xfId="6232" xr:uid="{00000000-0005-0000-0000-0000A77E0000}"/>
    <cellStyle name="Normal 90 2 3" xfId="15501" xr:uid="{00000000-0005-0000-0000-0000A87E0000}"/>
    <cellStyle name="Normal 90 2 3 2" xfId="32057" xr:uid="{00000000-0005-0000-0000-0000A97E0000}"/>
    <cellStyle name="Normal 90 2 4" xfId="24014" xr:uid="{00000000-0005-0000-0000-0000AA7E0000}"/>
    <cellStyle name="Normal 90 3" xfId="6233" xr:uid="{00000000-0005-0000-0000-0000AB7E0000}"/>
    <cellStyle name="Normal 90 3 2" xfId="6234" xr:uid="{00000000-0005-0000-0000-0000AC7E0000}"/>
    <cellStyle name="Normal 90 3 2 2" xfId="6235" xr:uid="{00000000-0005-0000-0000-0000AD7E0000}"/>
    <cellStyle name="Normal 90 3 2 2 2" xfId="6236" xr:uid="{00000000-0005-0000-0000-0000AE7E0000}"/>
    <cellStyle name="Normal 90 3 2 2 2 2" xfId="10074" xr:uid="{00000000-0005-0000-0000-0000AF7E0000}"/>
    <cellStyle name="Normal 90 3 2 2 2 2 2" xfId="19248" xr:uid="{00000000-0005-0000-0000-0000B07E0000}"/>
    <cellStyle name="Normal 90 3 2 2 2 2 2 2" xfId="35822" xr:uid="{00000000-0005-0000-0000-0000B17E0000}"/>
    <cellStyle name="Normal 90 3 2 2 2 2 3" xfId="27775" xr:uid="{00000000-0005-0000-0000-0000B27E0000}"/>
    <cellStyle name="Normal 90 3 2 2 2 3" xfId="15504" xr:uid="{00000000-0005-0000-0000-0000B37E0000}"/>
    <cellStyle name="Normal 90 3 2 2 2 3 2" xfId="32060" xr:uid="{00000000-0005-0000-0000-0000B47E0000}"/>
    <cellStyle name="Normal 90 3 2 2 2 4" xfId="24017" xr:uid="{00000000-0005-0000-0000-0000B57E0000}"/>
    <cellStyle name="Normal 90 3 2 2 3" xfId="10075" xr:uid="{00000000-0005-0000-0000-0000B67E0000}"/>
    <cellStyle name="Normal 90 3 2 2 3 2" xfId="19249" xr:uid="{00000000-0005-0000-0000-0000B77E0000}"/>
    <cellStyle name="Normal 90 3 2 2 3 2 2" xfId="35823" xr:uid="{00000000-0005-0000-0000-0000B87E0000}"/>
    <cellStyle name="Normal 90 3 2 2 3 3" xfId="27776" xr:uid="{00000000-0005-0000-0000-0000B97E0000}"/>
    <cellStyle name="Normal 90 3 2 2 4" xfId="15503" xr:uid="{00000000-0005-0000-0000-0000BA7E0000}"/>
    <cellStyle name="Normal 90 3 2 2 4 2" xfId="32059" xr:uid="{00000000-0005-0000-0000-0000BB7E0000}"/>
    <cellStyle name="Normal 90 3 2 2 5" xfId="24016" xr:uid="{00000000-0005-0000-0000-0000BC7E0000}"/>
    <cellStyle name="Normal 90 3 2 3" xfId="6237" xr:uid="{00000000-0005-0000-0000-0000BD7E0000}"/>
    <cellStyle name="Normal 90 3 2 3 2" xfId="10076" xr:uid="{00000000-0005-0000-0000-0000BE7E0000}"/>
    <cellStyle name="Normal 90 3 2 3 2 2" xfId="19250" xr:uid="{00000000-0005-0000-0000-0000BF7E0000}"/>
    <cellStyle name="Normal 90 3 2 3 2 2 2" xfId="35824" xr:uid="{00000000-0005-0000-0000-0000C07E0000}"/>
    <cellStyle name="Normal 90 3 2 3 2 3" xfId="27777" xr:uid="{00000000-0005-0000-0000-0000C17E0000}"/>
    <cellStyle name="Normal 90 3 2 3 3" xfId="15505" xr:uid="{00000000-0005-0000-0000-0000C27E0000}"/>
    <cellStyle name="Normal 90 3 2 3 3 2" xfId="32061" xr:uid="{00000000-0005-0000-0000-0000C37E0000}"/>
    <cellStyle name="Normal 90 3 2 3 4" xfId="24018" xr:uid="{00000000-0005-0000-0000-0000C47E0000}"/>
    <cellStyle name="Normal 90 3 2 4" xfId="10077" xr:uid="{00000000-0005-0000-0000-0000C57E0000}"/>
    <cellStyle name="Normal 90 3 2 4 2" xfId="19251" xr:uid="{00000000-0005-0000-0000-0000C67E0000}"/>
    <cellStyle name="Normal 90 3 2 4 2 2" xfId="35825" xr:uid="{00000000-0005-0000-0000-0000C77E0000}"/>
    <cellStyle name="Normal 90 3 2 4 3" xfId="27778" xr:uid="{00000000-0005-0000-0000-0000C87E0000}"/>
    <cellStyle name="Normal 90 3 2 5" xfId="15502" xr:uid="{00000000-0005-0000-0000-0000C97E0000}"/>
    <cellStyle name="Normal 90 3 2 5 2" xfId="32058" xr:uid="{00000000-0005-0000-0000-0000CA7E0000}"/>
    <cellStyle name="Normal 90 3 2 6" xfId="24015" xr:uid="{00000000-0005-0000-0000-0000CB7E0000}"/>
    <cellStyle name="Normal 90 3 3" xfId="6238" xr:uid="{00000000-0005-0000-0000-0000CC7E0000}"/>
    <cellStyle name="Normal 90 3 3 2" xfId="6239" xr:uid="{00000000-0005-0000-0000-0000CD7E0000}"/>
    <cellStyle name="Normal 90 3 3 2 2" xfId="10078" xr:uid="{00000000-0005-0000-0000-0000CE7E0000}"/>
    <cellStyle name="Normal 90 3 3 2 2 2" xfId="19252" xr:uid="{00000000-0005-0000-0000-0000CF7E0000}"/>
    <cellStyle name="Normal 90 3 3 2 2 2 2" xfId="35826" xr:uid="{00000000-0005-0000-0000-0000D07E0000}"/>
    <cellStyle name="Normal 90 3 3 2 2 3" xfId="27779" xr:uid="{00000000-0005-0000-0000-0000D17E0000}"/>
    <cellStyle name="Normal 90 3 3 2 3" xfId="15507" xr:uid="{00000000-0005-0000-0000-0000D27E0000}"/>
    <cellStyle name="Normal 90 3 3 2 3 2" xfId="32063" xr:uid="{00000000-0005-0000-0000-0000D37E0000}"/>
    <cellStyle name="Normal 90 3 3 2 4" xfId="24020" xr:uid="{00000000-0005-0000-0000-0000D47E0000}"/>
    <cellStyle name="Normal 90 3 3 3" xfId="10079" xr:uid="{00000000-0005-0000-0000-0000D57E0000}"/>
    <cellStyle name="Normal 90 3 3 3 2" xfId="19253" xr:uid="{00000000-0005-0000-0000-0000D67E0000}"/>
    <cellStyle name="Normal 90 3 3 3 2 2" xfId="35827" xr:uid="{00000000-0005-0000-0000-0000D77E0000}"/>
    <cellStyle name="Normal 90 3 3 3 3" xfId="27780" xr:uid="{00000000-0005-0000-0000-0000D87E0000}"/>
    <cellStyle name="Normal 90 3 3 4" xfId="15506" xr:uid="{00000000-0005-0000-0000-0000D97E0000}"/>
    <cellStyle name="Normal 90 3 3 4 2" xfId="32062" xr:uid="{00000000-0005-0000-0000-0000DA7E0000}"/>
    <cellStyle name="Normal 90 3 3 5" xfId="24019" xr:uid="{00000000-0005-0000-0000-0000DB7E0000}"/>
    <cellStyle name="Normal 90 3 4" xfId="6240" xr:uid="{00000000-0005-0000-0000-0000DC7E0000}"/>
    <cellStyle name="Normal 90 3 4 2" xfId="10080" xr:uid="{00000000-0005-0000-0000-0000DD7E0000}"/>
    <cellStyle name="Normal 90 3 4 2 2" xfId="19254" xr:uid="{00000000-0005-0000-0000-0000DE7E0000}"/>
    <cellStyle name="Normal 90 3 4 2 2 2" xfId="35828" xr:uid="{00000000-0005-0000-0000-0000DF7E0000}"/>
    <cellStyle name="Normal 90 3 4 2 3" xfId="27781" xr:uid="{00000000-0005-0000-0000-0000E07E0000}"/>
    <cellStyle name="Normal 90 3 4 3" xfId="15508" xr:uid="{00000000-0005-0000-0000-0000E17E0000}"/>
    <cellStyle name="Normal 90 3 4 3 2" xfId="32064" xr:uid="{00000000-0005-0000-0000-0000E27E0000}"/>
    <cellStyle name="Normal 90 3 4 4" xfId="24021" xr:uid="{00000000-0005-0000-0000-0000E37E0000}"/>
    <cellStyle name="Normal 90 3 5" xfId="6241" xr:uid="{00000000-0005-0000-0000-0000E47E0000}"/>
    <cellStyle name="Normal 90 3 5 2" xfId="15509" xr:uid="{00000000-0005-0000-0000-0000E57E0000}"/>
    <cellStyle name="Normal 90 3 5 2 2" xfId="32065" xr:uid="{00000000-0005-0000-0000-0000E67E0000}"/>
    <cellStyle name="Normal 90 3 5 3" xfId="24022" xr:uid="{00000000-0005-0000-0000-0000E77E0000}"/>
    <cellStyle name="Normal 90 4" xfId="6242" xr:uid="{00000000-0005-0000-0000-0000E87E0000}"/>
    <cellStyle name="Normal 90 4 2" xfId="6243" xr:uid="{00000000-0005-0000-0000-0000E97E0000}"/>
    <cellStyle name="Normal 90 4 2 2" xfId="6244" xr:uid="{00000000-0005-0000-0000-0000EA7E0000}"/>
    <cellStyle name="Normal 90 4 2 2 2" xfId="6245" xr:uid="{00000000-0005-0000-0000-0000EB7E0000}"/>
    <cellStyle name="Normal 90 4 2 2 2 2" xfId="10081" xr:uid="{00000000-0005-0000-0000-0000EC7E0000}"/>
    <cellStyle name="Normal 90 4 2 2 2 2 2" xfId="19255" xr:uid="{00000000-0005-0000-0000-0000ED7E0000}"/>
    <cellStyle name="Normal 90 4 2 2 2 2 2 2" xfId="35829" xr:uid="{00000000-0005-0000-0000-0000EE7E0000}"/>
    <cellStyle name="Normal 90 4 2 2 2 2 3" xfId="27782" xr:uid="{00000000-0005-0000-0000-0000EF7E0000}"/>
    <cellStyle name="Normal 90 4 2 2 2 3" xfId="15513" xr:uid="{00000000-0005-0000-0000-0000F07E0000}"/>
    <cellStyle name="Normal 90 4 2 2 2 3 2" xfId="32069" xr:uid="{00000000-0005-0000-0000-0000F17E0000}"/>
    <cellStyle name="Normal 90 4 2 2 2 4" xfId="24026" xr:uid="{00000000-0005-0000-0000-0000F27E0000}"/>
    <cellStyle name="Normal 90 4 2 2 3" xfId="10082" xr:uid="{00000000-0005-0000-0000-0000F37E0000}"/>
    <cellStyle name="Normal 90 4 2 2 3 2" xfId="19256" xr:uid="{00000000-0005-0000-0000-0000F47E0000}"/>
    <cellStyle name="Normal 90 4 2 2 3 2 2" xfId="35830" xr:uid="{00000000-0005-0000-0000-0000F57E0000}"/>
    <cellStyle name="Normal 90 4 2 2 3 3" xfId="27783" xr:uid="{00000000-0005-0000-0000-0000F67E0000}"/>
    <cellStyle name="Normal 90 4 2 2 4" xfId="15512" xr:uid="{00000000-0005-0000-0000-0000F77E0000}"/>
    <cellStyle name="Normal 90 4 2 2 4 2" xfId="32068" xr:uid="{00000000-0005-0000-0000-0000F87E0000}"/>
    <cellStyle name="Normal 90 4 2 2 5" xfId="24025" xr:uid="{00000000-0005-0000-0000-0000F97E0000}"/>
    <cellStyle name="Normal 90 4 2 3" xfId="6246" xr:uid="{00000000-0005-0000-0000-0000FA7E0000}"/>
    <cellStyle name="Normal 90 4 2 3 2" xfId="10083" xr:uid="{00000000-0005-0000-0000-0000FB7E0000}"/>
    <cellStyle name="Normal 90 4 2 3 2 2" xfId="19257" xr:uid="{00000000-0005-0000-0000-0000FC7E0000}"/>
    <cellStyle name="Normal 90 4 2 3 2 2 2" xfId="35831" xr:uid="{00000000-0005-0000-0000-0000FD7E0000}"/>
    <cellStyle name="Normal 90 4 2 3 2 3" xfId="27784" xr:uid="{00000000-0005-0000-0000-0000FE7E0000}"/>
    <cellStyle name="Normal 90 4 2 3 3" xfId="15514" xr:uid="{00000000-0005-0000-0000-0000FF7E0000}"/>
    <cellStyle name="Normal 90 4 2 3 3 2" xfId="32070" xr:uid="{00000000-0005-0000-0000-0000007F0000}"/>
    <cellStyle name="Normal 90 4 2 3 4" xfId="24027" xr:uid="{00000000-0005-0000-0000-0000017F0000}"/>
    <cellStyle name="Normal 90 4 2 4" xfId="10084" xr:uid="{00000000-0005-0000-0000-0000027F0000}"/>
    <cellStyle name="Normal 90 4 2 4 2" xfId="19258" xr:uid="{00000000-0005-0000-0000-0000037F0000}"/>
    <cellStyle name="Normal 90 4 2 4 2 2" xfId="35832" xr:uid="{00000000-0005-0000-0000-0000047F0000}"/>
    <cellStyle name="Normal 90 4 2 4 3" xfId="27785" xr:uid="{00000000-0005-0000-0000-0000057F0000}"/>
    <cellStyle name="Normal 90 4 2 5" xfId="15511" xr:uid="{00000000-0005-0000-0000-0000067F0000}"/>
    <cellStyle name="Normal 90 4 2 5 2" xfId="32067" xr:uid="{00000000-0005-0000-0000-0000077F0000}"/>
    <cellStyle name="Normal 90 4 2 6" xfId="24024" xr:uid="{00000000-0005-0000-0000-0000087F0000}"/>
    <cellStyle name="Normal 90 4 3" xfId="6247" xr:uid="{00000000-0005-0000-0000-0000097F0000}"/>
    <cellStyle name="Normal 90 4 3 2" xfId="6248" xr:uid="{00000000-0005-0000-0000-00000A7F0000}"/>
    <cellStyle name="Normal 90 4 3 2 2" xfId="10085" xr:uid="{00000000-0005-0000-0000-00000B7F0000}"/>
    <cellStyle name="Normal 90 4 3 2 2 2" xfId="19259" xr:uid="{00000000-0005-0000-0000-00000C7F0000}"/>
    <cellStyle name="Normal 90 4 3 2 2 2 2" xfId="35833" xr:uid="{00000000-0005-0000-0000-00000D7F0000}"/>
    <cellStyle name="Normal 90 4 3 2 2 3" xfId="27786" xr:uid="{00000000-0005-0000-0000-00000E7F0000}"/>
    <cellStyle name="Normal 90 4 3 2 3" xfId="15516" xr:uid="{00000000-0005-0000-0000-00000F7F0000}"/>
    <cellStyle name="Normal 90 4 3 2 3 2" xfId="32072" xr:uid="{00000000-0005-0000-0000-0000107F0000}"/>
    <cellStyle name="Normal 90 4 3 2 4" xfId="24029" xr:uid="{00000000-0005-0000-0000-0000117F0000}"/>
    <cellStyle name="Normal 90 4 3 3" xfId="10086" xr:uid="{00000000-0005-0000-0000-0000127F0000}"/>
    <cellStyle name="Normal 90 4 3 3 2" xfId="19260" xr:uid="{00000000-0005-0000-0000-0000137F0000}"/>
    <cellStyle name="Normal 90 4 3 3 2 2" xfId="35834" xr:uid="{00000000-0005-0000-0000-0000147F0000}"/>
    <cellStyle name="Normal 90 4 3 3 3" xfId="27787" xr:uid="{00000000-0005-0000-0000-0000157F0000}"/>
    <cellStyle name="Normal 90 4 3 4" xfId="15515" xr:uid="{00000000-0005-0000-0000-0000167F0000}"/>
    <cellStyle name="Normal 90 4 3 4 2" xfId="32071" xr:uid="{00000000-0005-0000-0000-0000177F0000}"/>
    <cellStyle name="Normal 90 4 3 5" xfId="24028" xr:uid="{00000000-0005-0000-0000-0000187F0000}"/>
    <cellStyle name="Normal 90 4 4" xfId="6249" xr:uid="{00000000-0005-0000-0000-0000197F0000}"/>
    <cellStyle name="Normal 90 4 4 2" xfId="10087" xr:uid="{00000000-0005-0000-0000-00001A7F0000}"/>
    <cellStyle name="Normal 90 4 4 2 2" xfId="19261" xr:uid="{00000000-0005-0000-0000-00001B7F0000}"/>
    <cellStyle name="Normal 90 4 4 2 2 2" xfId="35835" xr:uid="{00000000-0005-0000-0000-00001C7F0000}"/>
    <cellStyle name="Normal 90 4 4 2 3" xfId="27788" xr:uid="{00000000-0005-0000-0000-00001D7F0000}"/>
    <cellStyle name="Normal 90 4 4 3" xfId="15517" xr:uid="{00000000-0005-0000-0000-00001E7F0000}"/>
    <cellStyle name="Normal 90 4 4 3 2" xfId="32073" xr:uid="{00000000-0005-0000-0000-00001F7F0000}"/>
    <cellStyle name="Normal 90 4 4 4" xfId="24030" xr:uid="{00000000-0005-0000-0000-0000207F0000}"/>
    <cellStyle name="Normal 90 4 5" xfId="10088" xr:uid="{00000000-0005-0000-0000-0000217F0000}"/>
    <cellStyle name="Normal 90 4 5 2" xfId="19262" xr:uid="{00000000-0005-0000-0000-0000227F0000}"/>
    <cellStyle name="Normal 90 4 5 2 2" xfId="35836" xr:uid="{00000000-0005-0000-0000-0000237F0000}"/>
    <cellStyle name="Normal 90 4 5 3" xfId="27789" xr:uid="{00000000-0005-0000-0000-0000247F0000}"/>
    <cellStyle name="Normal 90 4 6" xfId="15510" xr:uid="{00000000-0005-0000-0000-0000257F0000}"/>
    <cellStyle name="Normal 90 4 6 2" xfId="32066" xr:uid="{00000000-0005-0000-0000-0000267F0000}"/>
    <cellStyle name="Normal 90 4 7" xfId="24023" xr:uid="{00000000-0005-0000-0000-0000277F0000}"/>
    <cellStyle name="Normal 90 5" xfId="6250" xr:uid="{00000000-0005-0000-0000-0000287F0000}"/>
    <cellStyle name="Normal 90 5 2" xfId="6251" xr:uid="{00000000-0005-0000-0000-0000297F0000}"/>
    <cellStyle name="Normal 90 5 2 2" xfId="6252" xr:uid="{00000000-0005-0000-0000-00002A7F0000}"/>
    <cellStyle name="Normal 90 5 2 2 2" xfId="6253" xr:uid="{00000000-0005-0000-0000-00002B7F0000}"/>
    <cellStyle name="Normal 90 5 2 2 2 2" xfId="10089" xr:uid="{00000000-0005-0000-0000-00002C7F0000}"/>
    <cellStyle name="Normal 90 5 2 2 2 2 2" xfId="19263" xr:uid="{00000000-0005-0000-0000-00002D7F0000}"/>
    <cellStyle name="Normal 90 5 2 2 2 2 2 2" xfId="35837" xr:uid="{00000000-0005-0000-0000-00002E7F0000}"/>
    <cellStyle name="Normal 90 5 2 2 2 2 3" xfId="27790" xr:uid="{00000000-0005-0000-0000-00002F7F0000}"/>
    <cellStyle name="Normal 90 5 2 2 2 3" xfId="15521" xr:uid="{00000000-0005-0000-0000-0000307F0000}"/>
    <cellStyle name="Normal 90 5 2 2 2 3 2" xfId="32077" xr:uid="{00000000-0005-0000-0000-0000317F0000}"/>
    <cellStyle name="Normal 90 5 2 2 2 4" xfId="24034" xr:uid="{00000000-0005-0000-0000-0000327F0000}"/>
    <cellStyle name="Normal 90 5 2 2 3" xfId="10090" xr:uid="{00000000-0005-0000-0000-0000337F0000}"/>
    <cellStyle name="Normal 90 5 2 2 3 2" xfId="19264" xr:uid="{00000000-0005-0000-0000-0000347F0000}"/>
    <cellStyle name="Normal 90 5 2 2 3 2 2" xfId="35838" xr:uid="{00000000-0005-0000-0000-0000357F0000}"/>
    <cellStyle name="Normal 90 5 2 2 3 3" xfId="27791" xr:uid="{00000000-0005-0000-0000-0000367F0000}"/>
    <cellStyle name="Normal 90 5 2 2 4" xfId="15520" xr:uid="{00000000-0005-0000-0000-0000377F0000}"/>
    <cellStyle name="Normal 90 5 2 2 4 2" xfId="32076" xr:uid="{00000000-0005-0000-0000-0000387F0000}"/>
    <cellStyle name="Normal 90 5 2 2 5" xfId="24033" xr:uid="{00000000-0005-0000-0000-0000397F0000}"/>
    <cellStyle name="Normal 90 5 2 3" xfId="6254" xr:uid="{00000000-0005-0000-0000-00003A7F0000}"/>
    <cellStyle name="Normal 90 5 2 3 2" xfId="10091" xr:uid="{00000000-0005-0000-0000-00003B7F0000}"/>
    <cellStyle name="Normal 90 5 2 3 2 2" xfId="19265" xr:uid="{00000000-0005-0000-0000-00003C7F0000}"/>
    <cellStyle name="Normal 90 5 2 3 2 2 2" xfId="35839" xr:uid="{00000000-0005-0000-0000-00003D7F0000}"/>
    <cellStyle name="Normal 90 5 2 3 2 3" xfId="27792" xr:uid="{00000000-0005-0000-0000-00003E7F0000}"/>
    <cellStyle name="Normal 90 5 2 3 3" xfId="15522" xr:uid="{00000000-0005-0000-0000-00003F7F0000}"/>
    <cellStyle name="Normal 90 5 2 3 3 2" xfId="32078" xr:uid="{00000000-0005-0000-0000-0000407F0000}"/>
    <cellStyle name="Normal 90 5 2 3 4" xfId="24035" xr:uid="{00000000-0005-0000-0000-0000417F0000}"/>
    <cellStyle name="Normal 90 5 2 4" xfId="10092" xr:uid="{00000000-0005-0000-0000-0000427F0000}"/>
    <cellStyle name="Normal 90 5 2 4 2" xfId="19266" xr:uid="{00000000-0005-0000-0000-0000437F0000}"/>
    <cellStyle name="Normal 90 5 2 4 2 2" xfId="35840" xr:uid="{00000000-0005-0000-0000-0000447F0000}"/>
    <cellStyle name="Normal 90 5 2 4 3" xfId="27793" xr:uid="{00000000-0005-0000-0000-0000457F0000}"/>
    <cellStyle name="Normal 90 5 2 5" xfId="15519" xr:uid="{00000000-0005-0000-0000-0000467F0000}"/>
    <cellStyle name="Normal 90 5 2 5 2" xfId="32075" xr:uid="{00000000-0005-0000-0000-0000477F0000}"/>
    <cellStyle name="Normal 90 5 2 6" xfId="24032" xr:uid="{00000000-0005-0000-0000-0000487F0000}"/>
    <cellStyle name="Normal 90 5 3" xfId="6255" xr:uid="{00000000-0005-0000-0000-0000497F0000}"/>
    <cellStyle name="Normal 90 5 3 2" xfId="6256" xr:uid="{00000000-0005-0000-0000-00004A7F0000}"/>
    <cellStyle name="Normal 90 5 3 2 2" xfId="10093" xr:uid="{00000000-0005-0000-0000-00004B7F0000}"/>
    <cellStyle name="Normal 90 5 3 2 2 2" xfId="19267" xr:uid="{00000000-0005-0000-0000-00004C7F0000}"/>
    <cellStyle name="Normal 90 5 3 2 2 2 2" xfId="35841" xr:uid="{00000000-0005-0000-0000-00004D7F0000}"/>
    <cellStyle name="Normal 90 5 3 2 2 3" xfId="27794" xr:uid="{00000000-0005-0000-0000-00004E7F0000}"/>
    <cellStyle name="Normal 90 5 3 2 3" xfId="15524" xr:uid="{00000000-0005-0000-0000-00004F7F0000}"/>
    <cellStyle name="Normal 90 5 3 2 3 2" xfId="32080" xr:uid="{00000000-0005-0000-0000-0000507F0000}"/>
    <cellStyle name="Normal 90 5 3 2 4" xfId="24037" xr:uid="{00000000-0005-0000-0000-0000517F0000}"/>
    <cellStyle name="Normal 90 5 3 3" xfId="10094" xr:uid="{00000000-0005-0000-0000-0000527F0000}"/>
    <cellStyle name="Normal 90 5 3 3 2" xfId="19268" xr:uid="{00000000-0005-0000-0000-0000537F0000}"/>
    <cellStyle name="Normal 90 5 3 3 2 2" xfId="35842" xr:uid="{00000000-0005-0000-0000-0000547F0000}"/>
    <cellStyle name="Normal 90 5 3 3 3" xfId="27795" xr:uid="{00000000-0005-0000-0000-0000557F0000}"/>
    <cellStyle name="Normal 90 5 3 4" xfId="15523" xr:uid="{00000000-0005-0000-0000-0000567F0000}"/>
    <cellStyle name="Normal 90 5 3 4 2" xfId="32079" xr:uid="{00000000-0005-0000-0000-0000577F0000}"/>
    <cellStyle name="Normal 90 5 3 5" xfId="24036" xr:uid="{00000000-0005-0000-0000-0000587F0000}"/>
    <cellStyle name="Normal 90 5 4" xfId="6257" xr:uid="{00000000-0005-0000-0000-0000597F0000}"/>
    <cellStyle name="Normal 90 5 4 2" xfId="10095" xr:uid="{00000000-0005-0000-0000-00005A7F0000}"/>
    <cellStyle name="Normal 90 5 4 2 2" xfId="19269" xr:uid="{00000000-0005-0000-0000-00005B7F0000}"/>
    <cellStyle name="Normal 90 5 4 2 2 2" xfId="35843" xr:uid="{00000000-0005-0000-0000-00005C7F0000}"/>
    <cellStyle name="Normal 90 5 4 2 3" xfId="27796" xr:uid="{00000000-0005-0000-0000-00005D7F0000}"/>
    <cellStyle name="Normal 90 5 4 3" xfId="15525" xr:uid="{00000000-0005-0000-0000-00005E7F0000}"/>
    <cellStyle name="Normal 90 5 4 3 2" xfId="32081" xr:uid="{00000000-0005-0000-0000-00005F7F0000}"/>
    <cellStyle name="Normal 90 5 4 4" xfId="24038" xr:uid="{00000000-0005-0000-0000-0000607F0000}"/>
    <cellStyle name="Normal 90 5 5" xfId="10096" xr:uid="{00000000-0005-0000-0000-0000617F0000}"/>
    <cellStyle name="Normal 90 5 5 2" xfId="19270" xr:uid="{00000000-0005-0000-0000-0000627F0000}"/>
    <cellStyle name="Normal 90 5 5 2 2" xfId="35844" xr:uid="{00000000-0005-0000-0000-0000637F0000}"/>
    <cellStyle name="Normal 90 5 5 3" xfId="27797" xr:uid="{00000000-0005-0000-0000-0000647F0000}"/>
    <cellStyle name="Normal 90 5 6" xfId="15518" xr:uid="{00000000-0005-0000-0000-0000657F0000}"/>
    <cellStyle name="Normal 90 5 6 2" xfId="32074" xr:uid="{00000000-0005-0000-0000-0000667F0000}"/>
    <cellStyle name="Normal 90 5 7" xfId="24031" xr:uid="{00000000-0005-0000-0000-0000677F0000}"/>
    <cellStyle name="Normal 90 6" xfId="6258" xr:uid="{00000000-0005-0000-0000-0000687F0000}"/>
    <cellStyle name="Normal 90 6 2" xfId="6259" xr:uid="{00000000-0005-0000-0000-0000697F0000}"/>
    <cellStyle name="Normal 90 6 2 2" xfId="6260" xr:uid="{00000000-0005-0000-0000-00006A7F0000}"/>
    <cellStyle name="Normal 90 6 2 2 2" xfId="10097" xr:uid="{00000000-0005-0000-0000-00006B7F0000}"/>
    <cellStyle name="Normal 90 6 2 2 2 2" xfId="19271" xr:uid="{00000000-0005-0000-0000-00006C7F0000}"/>
    <cellStyle name="Normal 90 6 2 2 2 2 2" xfId="35845" xr:uid="{00000000-0005-0000-0000-00006D7F0000}"/>
    <cellStyle name="Normal 90 6 2 2 2 3" xfId="27798" xr:uid="{00000000-0005-0000-0000-00006E7F0000}"/>
    <cellStyle name="Normal 90 6 2 2 3" xfId="15528" xr:uid="{00000000-0005-0000-0000-00006F7F0000}"/>
    <cellStyle name="Normal 90 6 2 2 3 2" xfId="32084" xr:uid="{00000000-0005-0000-0000-0000707F0000}"/>
    <cellStyle name="Normal 90 6 2 2 4" xfId="24041" xr:uid="{00000000-0005-0000-0000-0000717F0000}"/>
    <cellStyle name="Normal 90 6 2 3" xfId="10098" xr:uid="{00000000-0005-0000-0000-0000727F0000}"/>
    <cellStyle name="Normal 90 6 2 3 2" xfId="19272" xr:uid="{00000000-0005-0000-0000-0000737F0000}"/>
    <cellStyle name="Normal 90 6 2 3 2 2" xfId="35846" xr:uid="{00000000-0005-0000-0000-0000747F0000}"/>
    <cellStyle name="Normal 90 6 2 3 3" xfId="27799" xr:uid="{00000000-0005-0000-0000-0000757F0000}"/>
    <cellStyle name="Normal 90 6 2 4" xfId="15527" xr:uid="{00000000-0005-0000-0000-0000767F0000}"/>
    <cellStyle name="Normal 90 6 2 4 2" xfId="32083" xr:uid="{00000000-0005-0000-0000-0000777F0000}"/>
    <cellStyle name="Normal 90 6 2 5" xfId="24040" xr:uid="{00000000-0005-0000-0000-0000787F0000}"/>
    <cellStyle name="Normal 90 6 3" xfId="6261" xr:uid="{00000000-0005-0000-0000-0000797F0000}"/>
    <cellStyle name="Normal 90 6 3 2" xfId="10099" xr:uid="{00000000-0005-0000-0000-00007A7F0000}"/>
    <cellStyle name="Normal 90 6 3 2 2" xfId="19273" xr:uid="{00000000-0005-0000-0000-00007B7F0000}"/>
    <cellStyle name="Normal 90 6 3 2 2 2" xfId="35847" xr:uid="{00000000-0005-0000-0000-00007C7F0000}"/>
    <cellStyle name="Normal 90 6 3 2 3" xfId="27800" xr:uid="{00000000-0005-0000-0000-00007D7F0000}"/>
    <cellStyle name="Normal 90 6 3 3" xfId="15529" xr:uid="{00000000-0005-0000-0000-00007E7F0000}"/>
    <cellStyle name="Normal 90 6 3 3 2" xfId="32085" xr:uid="{00000000-0005-0000-0000-00007F7F0000}"/>
    <cellStyle name="Normal 90 6 3 4" xfId="24042" xr:uid="{00000000-0005-0000-0000-0000807F0000}"/>
    <cellStyle name="Normal 90 6 4" xfId="10100" xr:uid="{00000000-0005-0000-0000-0000817F0000}"/>
    <cellStyle name="Normal 90 6 4 2" xfId="19274" xr:uid="{00000000-0005-0000-0000-0000827F0000}"/>
    <cellStyle name="Normal 90 6 4 2 2" xfId="35848" xr:uid="{00000000-0005-0000-0000-0000837F0000}"/>
    <cellStyle name="Normal 90 6 4 3" xfId="27801" xr:uid="{00000000-0005-0000-0000-0000847F0000}"/>
    <cellStyle name="Normal 90 6 5" xfId="15526" xr:uid="{00000000-0005-0000-0000-0000857F0000}"/>
    <cellStyle name="Normal 90 6 5 2" xfId="32082" xr:uid="{00000000-0005-0000-0000-0000867F0000}"/>
    <cellStyle name="Normal 90 6 6" xfId="24039" xr:uid="{00000000-0005-0000-0000-0000877F0000}"/>
    <cellStyle name="Normal 90 7" xfId="6262" xr:uid="{00000000-0005-0000-0000-0000887F0000}"/>
    <cellStyle name="Normal 90 7 2" xfId="6263" xr:uid="{00000000-0005-0000-0000-0000897F0000}"/>
    <cellStyle name="Normal 90 7 2 2" xfId="10101" xr:uid="{00000000-0005-0000-0000-00008A7F0000}"/>
    <cellStyle name="Normal 90 7 2 2 2" xfId="19275" xr:uid="{00000000-0005-0000-0000-00008B7F0000}"/>
    <cellStyle name="Normal 90 7 2 2 2 2" xfId="35849" xr:uid="{00000000-0005-0000-0000-00008C7F0000}"/>
    <cellStyle name="Normal 90 7 2 2 3" xfId="27802" xr:uid="{00000000-0005-0000-0000-00008D7F0000}"/>
    <cellStyle name="Normal 90 7 2 3" xfId="15531" xr:uid="{00000000-0005-0000-0000-00008E7F0000}"/>
    <cellStyle name="Normal 90 7 2 3 2" xfId="32087" xr:uid="{00000000-0005-0000-0000-00008F7F0000}"/>
    <cellStyle name="Normal 90 7 2 4" xfId="24044" xr:uid="{00000000-0005-0000-0000-0000907F0000}"/>
    <cellStyle name="Normal 90 7 3" xfId="10102" xr:uid="{00000000-0005-0000-0000-0000917F0000}"/>
    <cellStyle name="Normal 90 7 3 2" xfId="19276" xr:uid="{00000000-0005-0000-0000-0000927F0000}"/>
    <cellStyle name="Normal 90 7 3 2 2" xfId="35850" xr:uid="{00000000-0005-0000-0000-0000937F0000}"/>
    <cellStyle name="Normal 90 7 3 3" xfId="27803" xr:uid="{00000000-0005-0000-0000-0000947F0000}"/>
    <cellStyle name="Normal 90 7 4" xfId="15530" xr:uid="{00000000-0005-0000-0000-0000957F0000}"/>
    <cellStyle name="Normal 90 7 4 2" xfId="32086" xr:uid="{00000000-0005-0000-0000-0000967F0000}"/>
    <cellStyle name="Normal 90 7 5" xfId="24043" xr:uid="{00000000-0005-0000-0000-0000977F0000}"/>
    <cellStyle name="Normal 90 8" xfId="6264" xr:uid="{00000000-0005-0000-0000-0000987F0000}"/>
    <cellStyle name="Normal 90 8 2" xfId="10103" xr:uid="{00000000-0005-0000-0000-0000997F0000}"/>
    <cellStyle name="Normal 90 8 2 2" xfId="19277" xr:uid="{00000000-0005-0000-0000-00009A7F0000}"/>
    <cellStyle name="Normal 90 8 2 2 2" xfId="35851" xr:uid="{00000000-0005-0000-0000-00009B7F0000}"/>
    <cellStyle name="Normal 90 8 2 3" xfId="27804" xr:uid="{00000000-0005-0000-0000-00009C7F0000}"/>
    <cellStyle name="Normal 90 8 3" xfId="15532" xr:uid="{00000000-0005-0000-0000-00009D7F0000}"/>
    <cellStyle name="Normal 90 8 3 2" xfId="32088" xr:uid="{00000000-0005-0000-0000-00009E7F0000}"/>
    <cellStyle name="Normal 90 8 4" xfId="24045" xr:uid="{00000000-0005-0000-0000-00009F7F0000}"/>
    <cellStyle name="Normal 90 9" xfId="10104" xr:uid="{00000000-0005-0000-0000-0000A07F0000}"/>
    <cellStyle name="Normal 90 9 2" xfId="19278" xr:uid="{00000000-0005-0000-0000-0000A17F0000}"/>
    <cellStyle name="Normal 90 9 2 2" xfId="35852" xr:uid="{00000000-0005-0000-0000-0000A27F0000}"/>
    <cellStyle name="Normal 90 9 3" xfId="27805" xr:uid="{00000000-0005-0000-0000-0000A37F0000}"/>
    <cellStyle name="Normal 91" xfId="6265" xr:uid="{00000000-0005-0000-0000-0000A47F0000}"/>
    <cellStyle name="Normal 91 10" xfId="15533" xr:uid="{00000000-0005-0000-0000-0000A57F0000}"/>
    <cellStyle name="Normal 91 10 2" xfId="32089" xr:uid="{00000000-0005-0000-0000-0000A67F0000}"/>
    <cellStyle name="Normal 91 11" xfId="24046" xr:uid="{00000000-0005-0000-0000-0000A77F0000}"/>
    <cellStyle name="Normal 91 2" xfId="6266" xr:uid="{00000000-0005-0000-0000-0000A87F0000}"/>
    <cellStyle name="Normal 91 2 2" xfId="6267" xr:uid="{00000000-0005-0000-0000-0000A97F0000}"/>
    <cellStyle name="Normal 91 2 3" xfId="15534" xr:uid="{00000000-0005-0000-0000-0000AA7F0000}"/>
    <cellStyle name="Normal 91 2 3 2" xfId="32090" xr:uid="{00000000-0005-0000-0000-0000AB7F0000}"/>
    <cellStyle name="Normal 91 2 4" xfId="24047" xr:uid="{00000000-0005-0000-0000-0000AC7F0000}"/>
    <cellStyle name="Normal 91 3" xfId="6268" xr:uid="{00000000-0005-0000-0000-0000AD7F0000}"/>
    <cellStyle name="Normal 91 3 2" xfId="6269" xr:uid="{00000000-0005-0000-0000-0000AE7F0000}"/>
    <cellStyle name="Normal 91 3 2 2" xfId="6270" xr:uid="{00000000-0005-0000-0000-0000AF7F0000}"/>
    <cellStyle name="Normal 91 3 2 2 2" xfId="6271" xr:uid="{00000000-0005-0000-0000-0000B07F0000}"/>
    <cellStyle name="Normal 91 3 2 2 2 2" xfId="10105" xr:uid="{00000000-0005-0000-0000-0000B17F0000}"/>
    <cellStyle name="Normal 91 3 2 2 2 2 2" xfId="19279" xr:uid="{00000000-0005-0000-0000-0000B27F0000}"/>
    <cellStyle name="Normal 91 3 2 2 2 2 2 2" xfId="35853" xr:uid="{00000000-0005-0000-0000-0000B37F0000}"/>
    <cellStyle name="Normal 91 3 2 2 2 2 3" xfId="27806" xr:uid="{00000000-0005-0000-0000-0000B47F0000}"/>
    <cellStyle name="Normal 91 3 2 2 2 3" xfId="15537" xr:uid="{00000000-0005-0000-0000-0000B57F0000}"/>
    <cellStyle name="Normal 91 3 2 2 2 3 2" xfId="32093" xr:uid="{00000000-0005-0000-0000-0000B67F0000}"/>
    <cellStyle name="Normal 91 3 2 2 2 4" xfId="24050" xr:uid="{00000000-0005-0000-0000-0000B77F0000}"/>
    <cellStyle name="Normal 91 3 2 2 3" xfId="10106" xr:uid="{00000000-0005-0000-0000-0000B87F0000}"/>
    <cellStyle name="Normal 91 3 2 2 3 2" xfId="19280" xr:uid="{00000000-0005-0000-0000-0000B97F0000}"/>
    <cellStyle name="Normal 91 3 2 2 3 2 2" xfId="35854" xr:uid="{00000000-0005-0000-0000-0000BA7F0000}"/>
    <cellStyle name="Normal 91 3 2 2 3 3" xfId="27807" xr:uid="{00000000-0005-0000-0000-0000BB7F0000}"/>
    <cellStyle name="Normal 91 3 2 2 4" xfId="15536" xr:uid="{00000000-0005-0000-0000-0000BC7F0000}"/>
    <cellStyle name="Normal 91 3 2 2 4 2" xfId="32092" xr:uid="{00000000-0005-0000-0000-0000BD7F0000}"/>
    <cellStyle name="Normal 91 3 2 2 5" xfId="24049" xr:uid="{00000000-0005-0000-0000-0000BE7F0000}"/>
    <cellStyle name="Normal 91 3 2 3" xfId="6272" xr:uid="{00000000-0005-0000-0000-0000BF7F0000}"/>
    <cellStyle name="Normal 91 3 2 3 2" xfId="10107" xr:uid="{00000000-0005-0000-0000-0000C07F0000}"/>
    <cellStyle name="Normal 91 3 2 3 2 2" xfId="19281" xr:uid="{00000000-0005-0000-0000-0000C17F0000}"/>
    <cellStyle name="Normal 91 3 2 3 2 2 2" xfId="35855" xr:uid="{00000000-0005-0000-0000-0000C27F0000}"/>
    <cellStyle name="Normal 91 3 2 3 2 3" xfId="27808" xr:uid="{00000000-0005-0000-0000-0000C37F0000}"/>
    <cellStyle name="Normal 91 3 2 3 3" xfId="15538" xr:uid="{00000000-0005-0000-0000-0000C47F0000}"/>
    <cellStyle name="Normal 91 3 2 3 3 2" xfId="32094" xr:uid="{00000000-0005-0000-0000-0000C57F0000}"/>
    <cellStyle name="Normal 91 3 2 3 4" xfId="24051" xr:uid="{00000000-0005-0000-0000-0000C67F0000}"/>
    <cellStyle name="Normal 91 3 2 4" xfId="10108" xr:uid="{00000000-0005-0000-0000-0000C77F0000}"/>
    <cellStyle name="Normal 91 3 2 4 2" xfId="19282" xr:uid="{00000000-0005-0000-0000-0000C87F0000}"/>
    <cellStyle name="Normal 91 3 2 4 2 2" xfId="35856" xr:uid="{00000000-0005-0000-0000-0000C97F0000}"/>
    <cellStyle name="Normal 91 3 2 4 3" xfId="27809" xr:uid="{00000000-0005-0000-0000-0000CA7F0000}"/>
    <cellStyle name="Normal 91 3 2 5" xfId="15535" xr:uid="{00000000-0005-0000-0000-0000CB7F0000}"/>
    <cellStyle name="Normal 91 3 2 5 2" xfId="32091" xr:uid="{00000000-0005-0000-0000-0000CC7F0000}"/>
    <cellStyle name="Normal 91 3 2 6" xfId="24048" xr:uid="{00000000-0005-0000-0000-0000CD7F0000}"/>
    <cellStyle name="Normal 91 3 3" xfId="6273" xr:uid="{00000000-0005-0000-0000-0000CE7F0000}"/>
    <cellStyle name="Normal 91 3 3 2" xfId="6274" xr:uid="{00000000-0005-0000-0000-0000CF7F0000}"/>
    <cellStyle name="Normal 91 3 3 2 2" xfId="10109" xr:uid="{00000000-0005-0000-0000-0000D07F0000}"/>
    <cellStyle name="Normal 91 3 3 2 2 2" xfId="19283" xr:uid="{00000000-0005-0000-0000-0000D17F0000}"/>
    <cellStyle name="Normal 91 3 3 2 2 2 2" xfId="35857" xr:uid="{00000000-0005-0000-0000-0000D27F0000}"/>
    <cellStyle name="Normal 91 3 3 2 2 3" xfId="27810" xr:uid="{00000000-0005-0000-0000-0000D37F0000}"/>
    <cellStyle name="Normal 91 3 3 2 3" xfId="15540" xr:uid="{00000000-0005-0000-0000-0000D47F0000}"/>
    <cellStyle name="Normal 91 3 3 2 3 2" xfId="32096" xr:uid="{00000000-0005-0000-0000-0000D57F0000}"/>
    <cellStyle name="Normal 91 3 3 2 4" xfId="24053" xr:uid="{00000000-0005-0000-0000-0000D67F0000}"/>
    <cellStyle name="Normal 91 3 3 3" xfId="10110" xr:uid="{00000000-0005-0000-0000-0000D77F0000}"/>
    <cellStyle name="Normal 91 3 3 3 2" xfId="19284" xr:uid="{00000000-0005-0000-0000-0000D87F0000}"/>
    <cellStyle name="Normal 91 3 3 3 2 2" xfId="35858" xr:uid="{00000000-0005-0000-0000-0000D97F0000}"/>
    <cellStyle name="Normal 91 3 3 3 3" xfId="27811" xr:uid="{00000000-0005-0000-0000-0000DA7F0000}"/>
    <cellStyle name="Normal 91 3 3 4" xfId="15539" xr:uid="{00000000-0005-0000-0000-0000DB7F0000}"/>
    <cellStyle name="Normal 91 3 3 4 2" xfId="32095" xr:uid="{00000000-0005-0000-0000-0000DC7F0000}"/>
    <cellStyle name="Normal 91 3 3 5" xfId="24052" xr:uid="{00000000-0005-0000-0000-0000DD7F0000}"/>
    <cellStyle name="Normal 91 3 4" xfId="6275" xr:uid="{00000000-0005-0000-0000-0000DE7F0000}"/>
    <cellStyle name="Normal 91 3 4 2" xfId="10111" xr:uid="{00000000-0005-0000-0000-0000DF7F0000}"/>
    <cellStyle name="Normal 91 3 4 2 2" xfId="19285" xr:uid="{00000000-0005-0000-0000-0000E07F0000}"/>
    <cellStyle name="Normal 91 3 4 2 2 2" xfId="35859" xr:uid="{00000000-0005-0000-0000-0000E17F0000}"/>
    <cellStyle name="Normal 91 3 4 2 3" xfId="27812" xr:uid="{00000000-0005-0000-0000-0000E27F0000}"/>
    <cellStyle name="Normal 91 3 4 3" xfId="15541" xr:uid="{00000000-0005-0000-0000-0000E37F0000}"/>
    <cellStyle name="Normal 91 3 4 3 2" xfId="32097" xr:uid="{00000000-0005-0000-0000-0000E47F0000}"/>
    <cellStyle name="Normal 91 3 4 4" xfId="24054" xr:uid="{00000000-0005-0000-0000-0000E57F0000}"/>
    <cellStyle name="Normal 91 3 5" xfId="6276" xr:uid="{00000000-0005-0000-0000-0000E67F0000}"/>
    <cellStyle name="Normal 91 3 5 2" xfId="15542" xr:uid="{00000000-0005-0000-0000-0000E77F0000}"/>
    <cellStyle name="Normal 91 3 5 2 2" xfId="32098" xr:uid="{00000000-0005-0000-0000-0000E87F0000}"/>
    <cellStyle name="Normal 91 3 5 3" xfId="24055" xr:uid="{00000000-0005-0000-0000-0000E97F0000}"/>
    <cellStyle name="Normal 91 4" xfId="6277" xr:uid="{00000000-0005-0000-0000-0000EA7F0000}"/>
    <cellStyle name="Normal 91 4 2" xfId="6278" xr:uid="{00000000-0005-0000-0000-0000EB7F0000}"/>
    <cellStyle name="Normal 91 4 2 2" xfId="6279" xr:uid="{00000000-0005-0000-0000-0000EC7F0000}"/>
    <cellStyle name="Normal 91 4 2 2 2" xfId="6280" xr:uid="{00000000-0005-0000-0000-0000ED7F0000}"/>
    <cellStyle name="Normal 91 4 2 2 2 2" xfId="10112" xr:uid="{00000000-0005-0000-0000-0000EE7F0000}"/>
    <cellStyle name="Normal 91 4 2 2 2 2 2" xfId="19286" xr:uid="{00000000-0005-0000-0000-0000EF7F0000}"/>
    <cellStyle name="Normal 91 4 2 2 2 2 2 2" xfId="35860" xr:uid="{00000000-0005-0000-0000-0000F07F0000}"/>
    <cellStyle name="Normal 91 4 2 2 2 2 3" xfId="27813" xr:uid="{00000000-0005-0000-0000-0000F17F0000}"/>
    <cellStyle name="Normal 91 4 2 2 2 3" xfId="15546" xr:uid="{00000000-0005-0000-0000-0000F27F0000}"/>
    <cellStyle name="Normal 91 4 2 2 2 3 2" xfId="32102" xr:uid="{00000000-0005-0000-0000-0000F37F0000}"/>
    <cellStyle name="Normal 91 4 2 2 2 4" xfId="24059" xr:uid="{00000000-0005-0000-0000-0000F47F0000}"/>
    <cellStyle name="Normal 91 4 2 2 3" xfId="10113" xr:uid="{00000000-0005-0000-0000-0000F57F0000}"/>
    <cellStyle name="Normal 91 4 2 2 3 2" xfId="19287" xr:uid="{00000000-0005-0000-0000-0000F67F0000}"/>
    <cellStyle name="Normal 91 4 2 2 3 2 2" xfId="35861" xr:uid="{00000000-0005-0000-0000-0000F77F0000}"/>
    <cellStyle name="Normal 91 4 2 2 3 3" xfId="27814" xr:uid="{00000000-0005-0000-0000-0000F87F0000}"/>
    <cellStyle name="Normal 91 4 2 2 4" xfId="15545" xr:uid="{00000000-0005-0000-0000-0000F97F0000}"/>
    <cellStyle name="Normal 91 4 2 2 4 2" xfId="32101" xr:uid="{00000000-0005-0000-0000-0000FA7F0000}"/>
    <cellStyle name="Normal 91 4 2 2 5" xfId="24058" xr:uid="{00000000-0005-0000-0000-0000FB7F0000}"/>
    <cellStyle name="Normal 91 4 2 3" xfId="6281" xr:uid="{00000000-0005-0000-0000-0000FC7F0000}"/>
    <cellStyle name="Normal 91 4 2 3 2" xfId="10114" xr:uid="{00000000-0005-0000-0000-0000FD7F0000}"/>
    <cellStyle name="Normal 91 4 2 3 2 2" xfId="19288" xr:uid="{00000000-0005-0000-0000-0000FE7F0000}"/>
    <cellStyle name="Normal 91 4 2 3 2 2 2" xfId="35862" xr:uid="{00000000-0005-0000-0000-0000FF7F0000}"/>
    <cellStyle name="Normal 91 4 2 3 2 3" xfId="27815" xr:uid="{00000000-0005-0000-0000-000000800000}"/>
    <cellStyle name="Normal 91 4 2 3 3" xfId="15547" xr:uid="{00000000-0005-0000-0000-000001800000}"/>
    <cellStyle name="Normal 91 4 2 3 3 2" xfId="32103" xr:uid="{00000000-0005-0000-0000-000002800000}"/>
    <cellStyle name="Normal 91 4 2 3 4" xfId="24060" xr:uid="{00000000-0005-0000-0000-000003800000}"/>
    <cellStyle name="Normal 91 4 2 4" xfId="10115" xr:uid="{00000000-0005-0000-0000-000004800000}"/>
    <cellStyle name="Normal 91 4 2 4 2" xfId="19289" xr:uid="{00000000-0005-0000-0000-000005800000}"/>
    <cellStyle name="Normal 91 4 2 4 2 2" xfId="35863" xr:uid="{00000000-0005-0000-0000-000006800000}"/>
    <cellStyle name="Normal 91 4 2 4 3" xfId="27816" xr:uid="{00000000-0005-0000-0000-000007800000}"/>
    <cellStyle name="Normal 91 4 2 5" xfId="15544" xr:uid="{00000000-0005-0000-0000-000008800000}"/>
    <cellStyle name="Normal 91 4 2 5 2" xfId="32100" xr:uid="{00000000-0005-0000-0000-000009800000}"/>
    <cellStyle name="Normal 91 4 2 6" xfId="24057" xr:uid="{00000000-0005-0000-0000-00000A800000}"/>
    <cellStyle name="Normal 91 4 3" xfId="6282" xr:uid="{00000000-0005-0000-0000-00000B800000}"/>
    <cellStyle name="Normal 91 4 3 2" xfId="6283" xr:uid="{00000000-0005-0000-0000-00000C800000}"/>
    <cellStyle name="Normal 91 4 3 2 2" xfId="10116" xr:uid="{00000000-0005-0000-0000-00000D800000}"/>
    <cellStyle name="Normal 91 4 3 2 2 2" xfId="19290" xr:uid="{00000000-0005-0000-0000-00000E800000}"/>
    <cellStyle name="Normal 91 4 3 2 2 2 2" xfId="35864" xr:uid="{00000000-0005-0000-0000-00000F800000}"/>
    <cellStyle name="Normal 91 4 3 2 2 3" xfId="27817" xr:uid="{00000000-0005-0000-0000-000010800000}"/>
    <cellStyle name="Normal 91 4 3 2 3" xfId="15549" xr:uid="{00000000-0005-0000-0000-000011800000}"/>
    <cellStyle name="Normal 91 4 3 2 3 2" xfId="32105" xr:uid="{00000000-0005-0000-0000-000012800000}"/>
    <cellStyle name="Normal 91 4 3 2 4" xfId="24062" xr:uid="{00000000-0005-0000-0000-000013800000}"/>
    <cellStyle name="Normal 91 4 3 3" xfId="10117" xr:uid="{00000000-0005-0000-0000-000014800000}"/>
    <cellStyle name="Normal 91 4 3 3 2" xfId="19291" xr:uid="{00000000-0005-0000-0000-000015800000}"/>
    <cellStyle name="Normal 91 4 3 3 2 2" xfId="35865" xr:uid="{00000000-0005-0000-0000-000016800000}"/>
    <cellStyle name="Normal 91 4 3 3 3" xfId="27818" xr:uid="{00000000-0005-0000-0000-000017800000}"/>
    <cellStyle name="Normal 91 4 3 4" xfId="15548" xr:uid="{00000000-0005-0000-0000-000018800000}"/>
    <cellStyle name="Normal 91 4 3 4 2" xfId="32104" xr:uid="{00000000-0005-0000-0000-000019800000}"/>
    <cellStyle name="Normal 91 4 3 5" xfId="24061" xr:uid="{00000000-0005-0000-0000-00001A800000}"/>
    <cellStyle name="Normal 91 4 4" xfId="6284" xr:uid="{00000000-0005-0000-0000-00001B800000}"/>
    <cellStyle name="Normal 91 4 4 2" xfId="10118" xr:uid="{00000000-0005-0000-0000-00001C800000}"/>
    <cellStyle name="Normal 91 4 4 2 2" xfId="19292" xr:uid="{00000000-0005-0000-0000-00001D800000}"/>
    <cellStyle name="Normal 91 4 4 2 2 2" xfId="35866" xr:uid="{00000000-0005-0000-0000-00001E800000}"/>
    <cellStyle name="Normal 91 4 4 2 3" xfId="27819" xr:uid="{00000000-0005-0000-0000-00001F800000}"/>
    <cellStyle name="Normal 91 4 4 3" xfId="15550" xr:uid="{00000000-0005-0000-0000-000020800000}"/>
    <cellStyle name="Normal 91 4 4 3 2" xfId="32106" xr:uid="{00000000-0005-0000-0000-000021800000}"/>
    <cellStyle name="Normal 91 4 4 4" xfId="24063" xr:uid="{00000000-0005-0000-0000-000022800000}"/>
    <cellStyle name="Normal 91 4 5" xfId="10119" xr:uid="{00000000-0005-0000-0000-000023800000}"/>
    <cellStyle name="Normal 91 4 5 2" xfId="19293" xr:uid="{00000000-0005-0000-0000-000024800000}"/>
    <cellStyle name="Normal 91 4 5 2 2" xfId="35867" xr:uid="{00000000-0005-0000-0000-000025800000}"/>
    <cellStyle name="Normal 91 4 5 3" xfId="27820" xr:uid="{00000000-0005-0000-0000-000026800000}"/>
    <cellStyle name="Normal 91 4 6" xfId="15543" xr:uid="{00000000-0005-0000-0000-000027800000}"/>
    <cellStyle name="Normal 91 4 6 2" xfId="32099" xr:uid="{00000000-0005-0000-0000-000028800000}"/>
    <cellStyle name="Normal 91 4 7" xfId="24056" xr:uid="{00000000-0005-0000-0000-000029800000}"/>
    <cellStyle name="Normal 91 5" xfId="6285" xr:uid="{00000000-0005-0000-0000-00002A800000}"/>
    <cellStyle name="Normal 91 5 2" xfId="6286" xr:uid="{00000000-0005-0000-0000-00002B800000}"/>
    <cellStyle name="Normal 91 5 2 2" xfId="6287" xr:uid="{00000000-0005-0000-0000-00002C800000}"/>
    <cellStyle name="Normal 91 5 2 2 2" xfId="6288" xr:uid="{00000000-0005-0000-0000-00002D800000}"/>
    <cellStyle name="Normal 91 5 2 2 2 2" xfId="10120" xr:uid="{00000000-0005-0000-0000-00002E800000}"/>
    <cellStyle name="Normal 91 5 2 2 2 2 2" xfId="19294" xr:uid="{00000000-0005-0000-0000-00002F800000}"/>
    <cellStyle name="Normal 91 5 2 2 2 2 2 2" xfId="35868" xr:uid="{00000000-0005-0000-0000-000030800000}"/>
    <cellStyle name="Normal 91 5 2 2 2 2 3" xfId="27821" xr:uid="{00000000-0005-0000-0000-000031800000}"/>
    <cellStyle name="Normal 91 5 2 2 2 3" xfId="15554" xr:uid="{00000000-0005-0000-0000-000032800000}"/>
    <cellStyle name="Normal 91 5 2 2 2 3 2" xfId="32110" xr:uid="{00000000-0005-0000-0000-000033800000}"/>
    <cellStyle name="Normal 91 5 2 2 2 4" xfId="24067" xr:uid="{00000000-0005-0000-0000-000034800000}"/>
    <cellStyle name="Normal 91 5 2 2 3" xfId="10121" xr:uid="{00000000-0005-0000-0000-000035800000}"/>
    <cellStyle name="Normal 91 5 2 2 3 2" xfId="19295" xr:uid="{00000000-0005-0000-0000-000036800000}"/>
    <cellStyle name="Normal 91 5 2 2 3 2 2" xfId="35869" xr:uid="{00000000-0005-0000-0000-000037800000}"/>
    <cellStyle name="Normal 91 5 2 2 3 3" xfId="27822" xr:uid="{00000000-0005-0000-0000-000038800000}"/>
    <cellStyle name="Normal 91 5 2 2 4" xfId="15553" xr:uid="{00000000-0005-0000-0000-000039800000}"/>
    <cellStyle name="Normal 91 5 2 2 4 2" xfId="32109" xr:uid="{00000000-0005-0000-0000-00003A800000}"/>
    <cellStyle name="Normal 91 5 2 2 5" xfId="24066" xr:uid="{00000000-0005-0000-0000-00003B800000}"/>
    <cellStyle name="Normal 91 5 2 3" xfId="6289" xr:uid="{00000000-0005-0000-0000-00003C800000}"/>
    <cellStyle name="Normal 91 5 2 3 2" xfId="10122" xr:uid="{00000000-0005-0000-0000-00003D800000}"/>
    <cellStyle name="Normal 91 5 2 3 2 2" xfId="19296" xr:uid="{00000000-0005-0000-0000-00003E800000}"/>
    <cellStyle name="Normal 91 5 2 3 2 2 2" xfId="35870" xr:uid="{00000000-0005-0000-0000-00003F800000}"/>
    <cellStyle name="Normal 91 5 2 3 2 3" xfId="27823" xr:uid="{00000000-0005-0000-0000-000040800000}"/>
    <cellStyle name="Normal 91 5 2 3 3" xfId="15555" xr:uid="{00000000-0005-0000-0000-000041800000}"/>
    <cellStyle name="Normal 91 5 2 3 3 2" xfId="32111" xr:uid="{00000000-0005-0000-0000-000042800000}"/>
    <cellStyle name="Normal 91 5 2 3 4" xfId="24068" xr:uid="{00000000-0005-0000-0000-000043800000}"/>
    <cellStyle name="Normal 91 5 2 4" xfId="10123" xr:uid="{00000000-0005-0000-0000-000044800000}"/>
    <cellStyle name="Normal 91 5 2 4 2" xfId="19297" xr:uid="{00000000-0005-0000-0000-000045800000}"/>
    <cellStyle name="Normal 91 5 2 4 2 2" xfId="35871" xr:uid="{00000000-0005-0000-0000-000046800000}"/>
    <cellStyle name="Normal 91 5 2 4 3" xfId="27824" xr:uid="{00000000-0005-0000-0000-000047800000}"/>
    <cellStyle name="Normal 91 5 2 5" xfId="15552" xr:uid="{00000000-0005-0000-0000-000048800000}"/>
    <cellStyle name="Normal 91 5 2 5 2" xfId="32108" xr:uid="{00000000-0005-0000-0000-000049800000}"/>
    <cellStyle name="Normal 91 5 2 6" xfId="24065" xr:uid="{00000000-0005-0000-0000-00004A800000}"/>
    <cellStyle name="Normal 91 5 3" xfId="6290" xr:uid="{00000000-0005-0000-0000-00004B800000}"/>
    <cellStyle name="Normal 91 5 3 2" xfId="6291" xr:uid="{00000000-0005-0000-0000-00004C800000}"/>
    <cellStyle name="Normal 91 5 3 2 2" xfId="10124" xr:uid="{00000000-0005-0000-0000-00004D800000}"/>
    <cellStyle name="Normal 91 5 3 2 2 2" xfId="19298" xr:uid="{00000000-0005-0000-0000-00004E800000}"/>
    <cellStyle name="Normal 91 5 3 2 2 2 2" xfId="35872" xr:uid="{00000000-0005-0000-0000-00004F800000}"/>
    <cellStyle name="Normal 91 5 3 2 2 3" xfId="27825" xr:uid="{00000000-0005-0000-0000-000050800000}"/>
    <cellStyle name="Normal 91 5 3 2 3" xfId="15557" xr:uid="{00000000-0005-0000-0000-000051800000}"/>
    <cellStyle name="Normal 91 5 3 2 3 2" xfId="32113" xr:uid="{00000000-0005-0000-0000-000052800000}"/>
    <cellStyle name="Normal 91 5 3 2 4" xfId="24070" xr:uid="{00000000-0005-0000-0000-000053800000}"/>
    <cellStyle name="Normal 91 5 3 3" xfId="10125" xr:uid="{00000000-0005-0000-0000-000054800000}"/>
    <cellStyle name="Normal 91 5 3 3 2" xfId="19299" xr:uid="{00000000-0005-0000-0000-000055800000}"/>
    <cellStyle name="Normal 91 5 3 3 2 2" xfId="35873" xr:uid="{00000000-0005-0000-0000-000056800000}"/>
    <cellStyle name="Normal 91 5 3 3 3" xfId="27826" xr:uid="{00000000-0005-0000-0000-000057800000}"/>
    <cellStyle name="Normal 91 5 3 4" xfId="15556" xr:uid="{00000000-0005-0000-0000-000058800000}"/>
    <cellStyle name="Normal 91 5 3 4 2" xfId="32112" xr:uid="{00000000-0005-0000-0000-000059800000}"/>
    <cellStyle name="Normal 91 5 3 5" xfId="24069" xr:uid="{00000000-0005-0000-0000-00005A800000}"/>
    <cellStyle name="Normal 91 5 4" xfId="6292" xr:uid="{00000000-0005-0000-0000-00005B800000}"/>
    <cellStyle name="Normal 91 5 4 2" xfId="10126" xr:uid="{00000000-0005-0000-0000-00005C800000}"/>
    <cellStyle name="Normal 91 5 4 2 2" xfId="19300" xr:uid="{00000000-0005-0000-0000-00005D800000}"/>
    <cellStyle name="Normal 91 5 4 2 2 2" xfId="35874" xr:uid="{00000000-0005-0000-0000-00005E800000}"/>
    <cellStyle name="Normal 91 5 4 2 3" xfId="27827" xr:uid="{00000000-0005-0000-0000-00005F800000}"/>
    <cellStyle name="Normal 91 5 4 3" xfId="15558" xr:uid="{00000000-0005-0000-0000-000060800000}"/>
    <cellStyle name="Normal 91 5 4 3 2" xfId="32114" xr:uid="{00000000-0005-0000-0000-000061800000}"/>
    <cellStyle name="Normal 91 5 4 4" xfId="24071" xr:uid="{00000000-0005-0000-0000-000062800000}"/>
    <cellStyle name="Normal 91 5 5" xfId="10127" xr:uid="{00000000-0005-0000-0000-000063800000}"/>
    <cellStyle name="Normal 91 5 5 2" xfId="19301" xr:uid="{00000000-0005-0000-0000-000064800000}"/>
    <cellStyle name="Normal 91 5 5 2 2" xfId="35875" xr:uid="{00000000-0005-0000-0000-000065800000}"/>
    <cellStyle name="Normal 91 5 5 3" xfId="27828" xr:uid="{00000000-0005-0000-0000-000066800000}"/>
    <cellStyle name="Normal 91 5 6" xfId="15551" xr:uid="{00000000-0005-0000-0000-000067800000}"/>
    <cellStyle name="Normal 91 5 6 2" xfId="32107" xr:uid="{00000000-0005-0000-0000-000068800000}"/>
    <cellStyle name="Normal 91 5 7" xfId="24064" xr:uid="{00000000-0005-0000-0000-000069800000}"/>
    <cellStyle name="Normal 91 6" xfId="6293" xr:uid="{00000000-0005-0000-0000-00006A800000}"/>
    <cellStyle name="Normal 91 6 2" xfId="6294" xr:uid="{00000000-0005-0000-0000-00006B800000}"/>
    <cellStyle name="Normal 91 6 2 2" xfId="6295" xr:uid="{00000000-0005-0000-0000-00006C800000}"/>
    <cellStyle name="Normal 91 6 2 2 2" xfId="10128" xr:uid="{00000000-0005-0000-0000-00006D800000}"/>
    <cellStyle name="Normal 91 6 2 2 2 2" xfId="19302" xr:uid="{00000000-0005-0000-0000-00006E800000}"/>
    <cellStyle name="Normal 91 6 2 2 2 2 2" xfId="35876" xr:uid="{00000000-0005-0000-0000-00006F800000}"/>
    <cellStyle name="Normal 91 6 2 2 2 3" xfId="27829" xr:uid="{00000000-0005-0000-0000-000070800000}"/>
    <cellStyle name="Normal 91 6 2 2 3" xfId="15561" xr:uid="{00000000-0005-0000-0000-000071800000}"/>
    <cellStyle name="Normal 91 6 2 2 3 2" xfId="32117" xr:uid="{00000000-0005-0000-0000-000072800000}"/>
    <cellStyle name="Normal 91 6 2 2 4" xfId="24074" xr:uid="{00000000-0005-0000-0000-000073800000}"/>
    <cellStyle name="Normal 91 6 2 3" xfId="10129" xr:uid="{00000000-0005-0000-0000-000074800000}"/>
    <cellStyle name="Normal 91 6 2 3 2" xfId="19303" xr:uid="{00000000-0005-0000-0000-000075800000}"/>
    <cellStyle name="Normal 91 6 2 3 2 2" xfId="35877" xr:uid="{00000000-0005-0000-0000-000076800000}"/>
    <cellStyle name="Normal 91 6 2 3 3" xfId="27830" xr:uid="{00000000-0005-0000-0000-000077800000}"/>
    <cellStyle name="Normal 91 6 2 4" xfId="15560" xr:uid="{00000000-0005-0000-0000-000078800000}"/>
    <cellStyle name="Normal 91 6 2 4 2" xfId="32116" xr:uid="{00000000-0005-0000-0000-000079800000}"/>
    <cellStyle name="Normal 91 6 2 5" xfId="24073" xr:uid="{00000000-0005-0000-0000-00007A800000}"/>
    <cellStyle name="Normal 91 6 3" xfId="6296" xr:uid="{00000000-0005-0000-0000-00007B800000}"/>
    <cellStyle name="Normal 91 6 3 2" xfId="10130" xr:uid="{00000000-0005-0000-0000-00007C800000}"/>
    <cellStyle name="Normal 91 6 3 2 2" xfId="19304" xr:uid="{00000000-0005-0000-0000-00007D800000}"/>
    <cellStyle name="Normal 91 6 3 2 2 2" xfId="35878" xr:uid="{00000000-0005-0000-0000-00007E800000}"/>
    <cellStyle name="Normal 91 6 3 2 3" xfId="27831" xr:uid="{00000000-0005-0000-0000-00007F800000}"/>
    <cellStyle name="Normal 91 6 3 3" xfId="15562" xr:uid="{00000000-0005-0000-0000-000080800000}"/>
    <cellStyle name="Normal 91 6 3 3 2" xfId="32118" xr:uid="{00000000-0005-0000-0000-000081800000}"/>
    <cellStyle name="Normal 91 6 3 4" xfId="24075" xr:uid="{00000000-0005-0000-0000-000082800000}"/>
    <cellStyle name="Normal 91 6 4" xfId="10131" xr:uid="{00000000-0005-0000-0000-000083800000}"/>
    <cellStyle name="Normal 91 6 4 2" xfId="19305" xr:uid="{00000000-0005-0000-0000-000084800000}"/>
    <cellStyle name="Normal 91 6 4 2 2" xfId="35879" xr:uid="{00000000-0005-0000-0000-000085800000}"/>
    <cellStyle name="Normal 91 6 4 3" xfId="27832" xr:uid="{00000000-0005-0000-0000-000086800000}"/>
    <cellStyle name="Normal 91 6 5" xfId="15559" xr:uid="{00000000-0005-0000-0000-000087800000}"/>
    <cellStyle name="Normal 91 6 5 2" xfId="32115" xr:uid="{00000000-0005-0000-0000-000088800000}"/>
    <cellStyle name="Normal 91 6 6" xfId="24072" xr:uid="{00000000-0005-0000-0000-000089800000}"/>
    <cellStyle name="Normal 91 7" xfId="6297" xr:uid="{00000000-0005-0000-0000-00008A800000}"/>
    <cellStyle name="Normal 91 7 2" xfId="6298" xr:uid="{00000000-0005-0000-0000-00008B800000}"/>
    <cellStyle name="Normal 91 7 2 2" xfId="10132" xr:uid="{00000000-0005-0000-0000-00008C800000}"/>
    <cellStyle name="Normal 91 7 2 2 2" xfId="19306" xr:uid="{00000000-0005-0000-0000-00008D800000}"/>
    <cellStyle name="Normal 91 7 2 2 2 2" xfId="35880" xr:uid="{00000000-0005-0000-0000-00008E800000}"/>
    <cellStyle name="Normal 91 7 2 2 3" xfId="27833" xr:uid="{00000000-0005-0000-0000-00008F800000}"/>
    <cellStyle name="Normal 91 7 2 3" xfId="15564" xr:uid="{00000000-0005-0000-0000-000090800000}"/>
    <cellStyle name="Normal 91 7 2 3 2" xfId="32120" xr:uid="{00000000-0005-0000-0000-000091800000}"/>
    <cellStyle name="Normal 91 7 2 4" xfId="24077" xr:uid="{00000000-0005-0000-0000-000092800000}"/>
    <cellStyle name="Normal 91 7 3" xfId="10133" xr:uid="{00000000-0005-0000-0000-000093800000}"/>
    <cellStyle name="Normal 91 7 3 2" xfId="19307" xr:uid="{00000000-0005-0000-0000-000094800000}"/>
    <cellStyle name="Normal 91 7 3 2 2" xfId="35881" xr:uid="{00000000-0005-0000-0000-000095800000}"/>
    <cellStyle name="Normal 91 7 3 3" xfId="27834" xr:uid="{00000000-0005-0000-0000-000096800000}"/>
    <cellStyle name="Normal 91 7 4" xfId="15563" xr:uid="{00000000-0005-0000-0000-000097800000}"/>
    <cellStyle name="Normal 91 7 4 2" xfId="32119" xr:uid="{00000000-0005-0000-0000-000098800000}"/>
    <cellStyle name="Normal 91 7 5" xfId="24076" xr:uid="{00000000-0005-0000-0000-000099800000}"/>
    <cellStyle name="Normal 91 8" xfId="6299" xr:uid="{00000000-0005-0000-0000-00009A800000}"/>
    <cellStyle name="Normal 91 8 2" xfId="10134" xr:uid="{00000000-0005-0000-0000-00009B800000}"/>
    <cellStyle name="Normal 91 8 2 2" xfId="19308" xr:uid="{00000000-0005-0000-0000-00009C800000}"/>
    <cellStyle name="Normal 91 8 2 2 2" xfId="35882" xr:uid="{00000000-0005-0000-0000-00009D800000}"/>
    <cellStyle name="Normal 91 8 2 3" xfId="27835" xr:uid="{00000000-0005-0000-0000-00009E800000}"/>
    <cellStyle name="Normal 91 8 3" xfId="15565" xr:uid="{00000000-0005-0000-0000-00009F800000}"/>
    <cellStyle name="Normal 91 8 3 2" xfId="32121" xr:uid="{00000000-0005-0000-0000-0000A0800000}"/>
    <cellStyle name="Normal 91 8 4" xfId="24078" xr:uid="{00000000-0005-0000-0000-0000A1800000}"/>
    <cellStyle name="Normal 91 9" xfId="10135" xr:uid="{00000000-0005-0000-0000-0000A2800000}"/>
    <cellStyle name="Normal 91 9 2" xfId="19309" xr:uid="{00000000-0005-0000-0000-0000A3800000}"/>
    <cellStyle name="Normal 91 9 2 2" xfId="35883" xr:uid="{00000000-0005-0000-0000-0000A4800000}"/>
    <cellStyle name="Normal 91 9 3" xfId="27836" xr:uid="{00000000-0005-0000-0000-0000A5800000}"/>
    <cellStyle name="Normal 92" xfId="6300" xr:uid="{00000000-0005-0000-0000-0000A6800000}"/>
    <cellStyle name="Normal 92 10" xfId="15566" xr:uid="{00000000-0005-0000-0000-0000A7800000}"/>
    <cellStyle name="Normal 92 10 2" xfId="32122" xr:uid="{00000000-0005-0000-0000-0000A8800000}"/>
    <cellStyle name="Normal 92 11" xfId="24079" xr:uid="{00000000-0005-0000-0000-0000A9800000}"/>
    <cellStyle name="Normal 92 2" xfId="6301" xr:uid="{00000000-0005-0000-0000-0000AA800000}"/>
    <cellStyle name="Normal 92 2 2" xfId="6302" xr:uid="{00000000-0005-0000-0000-0000AB800000}"/>
    <cellStyle name="Normal 92 2 3" xfId="15567" xr:uid="{00000000-0005-0000-0000-0000AC800000}"/>
    <cellStyle name="Normal 92 2 3 2" xfId="32123" xr:uid="{00000000-0005-0000-0000-0000AD800000}"/>
    <cellStyle name="Normal 92 2 4" xfId="24080" xr:uid="{00000000-0005-0000-0000-0000AE800000}"/>
    <cellStyle name="Normal 92 3" xfId="6303" xr:uid="{00000000-0005-0000-0000-0000AF800000}"/>
    <cellStyle name="Normal 92 3 2" xfId="6304" xr:uid="{00000000-0005-0000-0000-0000B0800000}"/>
    <cellStyle name="Normal 92 3 2 2" xfId="6305" xr:uid="{00000000-0005-0000-0000-0000B1800000}"/>
    <cellStyle name="Normal 92 3 2 2 2" xfId="6306" xr:uid="{00000000-0005-0000-0000-0000B2800000}"/>
    <cellStyle name="Normal 92 3 2 2 2 2" xfId="10136" xr:uid="{00000000-0005-0000-0000-0000B3800000}"/>
    <cellStyle name="Normal 92 3 2 2 2 2 2" xfId="19310" xr:uid="{00000000-0005-0000-0000-0000B4800000}"/>
    <cellStyle name="Normal 92 3 2 2 2 2 2 2" xfId="35884" xr:uid="{00000000-0005-0000-0000-0000B5800000}"/>
    <cellStyle name="Normal 92 3 2 2 2 2 3" xfId="27837" xr:uid="{00000000-0005-0000-0000-0000B6800000}"/>
    <cellStyle name="Normal 92 3 2 2 2 3" xfId="15570" xr:uid="{00000000-0005-0000-0000-0000B7800000}"/>
    <cellStyle name="Normal 92 3 2 2 2 3 2" xfId="32126" xr:uid="{00000000-0005-0000-0000-0000B8800000}"/>
    <cellStyle name="Normal 92 3 2 2 2 4" xfId="24083" xr:uid="{00000000-0005-0000-0000-0000B9800000}"/>
    <cellStyle name="Normal 92 3 2 2 3" xfId="10137" xr:uid="{00000000-0005-0000-0000-0000BA800000}"/>
    <cellStyle name="Normal 92 3 2 2 3 2" xfId="19311" xr:uid="{00000000-0005-0000-0000-0000BB800000}"/>
    <cellStyle name="Normal 92 3 2 2 3 2 2" xfId="35885" xr:uid="{00000000-0005-0000-0000-0000BC800000}"/>
    <cellStyle name="Normal 92 3 2 2 3 3" xfId="27838" xr:uid="{00000000-0005-0000-0000-0000BD800000}"/>
    <cellStyle name="Normal 92 3 2 2 4" xfId="15569" xr:uid="{00000000-0005-0000-0000-0000BE800000}"/>
    <cellStyle name="Normal 92 3 2 2 4 2" xfId="32125" xr:uid="{00000000-0005-0000-0000-0000BF800000}"/>
    <cellStyle name="Normal 92 3 2 2 5" xfId="24082" xr:uid="{00000000-0005-0000-0000-0000C0800000}"/>
    <cellStyle name="Normal 92 3 2 3" xfId="6307" xr:uid="{00000000-0005-0000-0000-0000C1800000}"/>
    <cellStyle name="Normal 92 3 2 3 2" xfId="10138" xr:uid="{00000000-0005-0000-0000-0000C2800000}"/>
    <cellStyle name="Normal 92 3 2 3 2 2" xfId="19312" xr:uid="{00000000-0005-0000-0000-0000C3800000}"/>
    <cellStyle name="Normal 92 3 2 3 2 2 2" xfId="35886" xr:uid="{00000000-0005-0000-0000-0000C4800000}"/>
    <cellStyle name="Normal 92 3 2 3 2 3" xfId="27839" xr:uid="{00000000-0005-0000-0000-0000C5800000}"/>
    <cellStyle name="Normal 92 3 2 3 3" xfId="15571" xr:uid="{00000000-0005-0000-0000-0000C6800000}"/>
    <cellStyle name="Normal 92 3 2 3 3 2" xfId="32127" xr:uid="{00000000-0005-0000-0000-0000C7800000}"/>
    <cellStyle name="Normal 92 3 2 3 4" xfId="24084" xr:uid="{00000000-0005-0000-0000-0000C8800000}"/>
    <cellStyle name="Normal 92 3 2 4" xfId="10139" xr:uid="{00000000-0005-0000-0000-0000C9800000}"/>
    <cellStyle name="Normal 92 3 2 4 2" xfId="19313" xr:uid="{00000000-0005-0000-0000-0000CA800000}"/>
    <cellStyle name="Normal 92 3 2 4 2 2" xfId="35887" xr:uid="{00000000-0005-0000-0000-0000CB800000}"/>
    <cellStyle name="Normal 92 3 2 4 3" xfId="27840" xr:uid="{00000000-0005-0000-0000-0000CC800000}"/>
    <cellStyle name="Normal 92 3 2 5" xfId="15568" xr:uid="{00000000-0005-0000-0000-0000CD800000}"/>
    <cellStyle name="Normal 92 3 2 5 2" xfId="32124" xr:uid="{00000000-0005-0000-0000-0000CE800000}"/>
    <cellStyle name="Normal 92 3 2 6" xfId="24081" xr:uid="{00000000-0005-0000-0000-0000CF800000}"/>
    <cellStyle name="Normal 92 3 3" xfId="6308" xr:uid="{00000000-0005-0000-0000-0000D0800000}"/>
    <cellStyle name="Normal 92 3 3 2" xfId="6309" xr:uid="{00000000-0005-0000-0000-0000D1800000}"/>
    <cellStyle name="Normal 92 3 3 2 2" xfId="10140" xr:uid="{00000000-0005-0000-0000-0000D2800000}"/>
    <cellStyle name="Normal 92 3 3 2 2 2" xfId="19314" xr:uid="{00000000-0005-0000-0000-0000D3800000}"/>
    <cellStyle name="Normal 92 3 3 2 2 2 2" xfId="35888" xr:uid="{00000000-0005-0000-0000-0000D4800000}"/>
    <cellStyle name="Normal 92 3 3 2 2 3" xfId="27841" xr:uid="{00000000-0005-0000-0000-0000D5800000}"/>
    <cellStyle name="Normal 92 3 3 2 3" xfId="15573" xr:uid="{00000000-0005-0000-0000-0000D6800000}"/>
    <cellStyle name="Normal 92 3 3 2 3 2" xfId="32129" xr:uid="{00000000-0005-0000-0000-0000D7800000}"/>
    <cellStyle name="Normal 92 3 3 2 4" xfId="24086" xr:uid="{00000000-0005-0000-0000-0000D8800000}"/>
    <cellStyle name="Normal 92 3 3 3" xfId="10141" xr:uid="{00000000-0005-0000-0000-0000D9800000}"/>
    <cellStyle name="Normal 92 3 3 3 2" xfId="19315" xr:uid="{00000000-0005-0000-0000-0000DA800000}"/>
    <cellStyle name="Normal 92 3 3 3 2 2" xfId="35889" xr:uid="{00000000-0005-0000-0000-0000DB800000}"/>
    <cellStyle name="Normal 92 3 3 3 3" xfId="27842" xr:uid="{00000000-0005-0000-0000-0000DC800000}"/>
    <cellStyle name="Normal 92 3 3 4" xfId="15572" xr:uid="{00000000-0005-0000-0000-0000DD800000}"/>
    <cellStyle name="Normal 92 3 3 4 2" xfId="32128" xr:uid="{00000000-0005-0000-0000-0000DE800000}"/>
    <cellStyle name="Normal 92 3 3 5" xfId="24085" xr:uid="{00000000-0005-0000-0000-0000DF800000}"/>
    <cellStyle name="Normal 92 3 4" xfId="6310" xr:uid="{00000000-0005-0000-0000-0000E0800000}"/>
    <cellStyle name="Normal 92 3 4 2" xfId="10142" xr:uid="{00000000-0005-0000-0000-0000E1800000}"/>
    <cellStyle name="Normal 92 3 4 2 2" xfId="19316" xr:uid="{00000000-0005-0000-0000-0000E2800000}"/>
    <cellStyle name="Normal 92 3 4 2 2 2" xfId="35890" xr:uid="{00000000-0005-0000-0000-0000E3800000}"/>
    <cellStyle name="Normal 92 3 4 2 3" xfId="27843" xr:uid="{00000000-0005-0000-0000-0000E4800000}"/>
    <cellStyle name="Normal 92 3 4 3" xfId="15574" xr:uid="{00000000-0005-0000-0000-0000E5800000}"/>
    <cellStyle name="Normal 92 3 4 3 2" xfId="32130" xr:uid="{00000000-0005-0000-0000-0000E6800000}"/>
    <cellStyle name="Normal 92 3 4 4" xfId="24087" xr:uid="{00000000-0005-0000-0000-0000E7800000}"/>
    <cellStyle name="Normal 92 3 5" xfId="6311" xr:uid="{00000000-0005-0000-0000-0000E8800000}"/>
    <cellStyle name="Normal 92 3 5 2" xfId="15575" xr:uid="{00000000-0005-0000-0000-0000E9800000}"/>
    <cellStyle name="Normal 92 3 5 2 2" xfId="32131" xr:uid="{00000000-0005-0000-0000-0000EA800000}"/>
    <cellStyle name="Normal 92 3 5 3" xfId="24088" xr:uid="{00000000-0005-0000-0000-0000EB800000}"/>
    <cellStyle name="Normal 92 4" xfId="6312" xr:uid="{00000000-0005-0000-0000-0000EC800000}"/>
    <cellStyle name="Normal 92 4 2" xfId="6313" xr:uid="{00000000-0005-0000-0000-0000ED800000}"/>
    <cellStyle name="Normal 92 4 2 2" xfId="6314" xr:uid="{00000000-0005-0000-0000-0000EE800000}"/>
    <cellStyle name="Normal 92 4 2 2 2" xfId="6315" xr:uid="{00000000-0005-0000-0000-0000EF800000}"/>
    <cellStyle name="Normal 92 4 2 2 2 2" xfId="10143" xr:uid="{00000000-0005-0000-0000-0000F0800000}"/>
    <cellStyle name="Normal 92 4 2 2 2 2 2" xfId="19317" xr:uid="{00000000-0005-0000-0000-0000F1800000}"/>
    <cellStyle name="Normal 92 4 2 2 2 2 2 2" xfId="35891" xr:uid="{00000000-0005-0000-0000-0000F2800000}"/>
    <cellStyle name="Normal 92 4 2 2 2 2 3" xfId="27844" xr:uid="{00000000-0005-0000-0000-0000F3800000}"/>
    <cellStyle name="Normal 92 4 2 2 2 3" xfId="15579" xr:uid="{00000000-0005-0000-0000-0000F4800000}"/>
    <cellStyle name="Normal 92 4 2 2 2 3 2" xfId="32135" xr:uid="{00000000-0005-0000-0000-0000F5800000}"/>
    <cellStyle name="Normal 92 4 2 2 2 4" xfId="24092" xr:uid="{00000000-0005-0000-0000-0000F6800000}"/>
    <cellStyle name="Normal 92 4 2 2 3" xfId="10144" xr:uid="{00000000-0005-0000-0000-0000F7800000}"/>
    <cellStyle name="Normal 92 4 2 2 3 2" xfId="19318" xr:uid="{00000000-0005-0000-0000-0000F8800000}"/>
    <cellStyle name="Normal 92 4 2 2 3 2 2" xfId="35892" xr:uid="{00000000-0005-0000-0000-0000F9800000}"/>
    <cellStyle name="Normal 92 4 2 2 3 3" xfId="27845" xr:uid="{00000000-0005-0000-0000-0000FA800000}"/>
    <cellStyle name="Normal 92 4 2 2 4" xfId="15578" xr:uid="{00000000-0005-0000-0000-0000FB800000}"/>
    <cellStyle name="Normal 92 4 2 2 4 2" xfId="32134" xr:uid="{00000000-0005-0000-0000-0000FC800000}"/>
    <cellStyle name="Normal 92 4 2 2 5" xfId="24091" xr:uid="{00000000-0005-0000-0000-0000FD800000}"/>
    <cellStyle name="Normal 92 4 2 3" xfId="6316" xr:uid="{00000000-0005-0000-0000-0000FE800000}"/>
    <cellStyle name="Normal 92 4 2 3 2" xfId="10145" xr:uid="{00000000-0005-0000-0000-0000FF800000}"/>
    <cellStyle name="Normal 92 4 2 3 2 2" xfId="19319" xr:uid="{00000000-0005-0000-0000-000000810000}"/>
    <cellStyle name="Normal 92 4 2 3 2 2 2" xfId="35893" xr:uid="{00000000-0005-0000-0000-000001810000}"/>
    <cellStyle name="Normal 92 4 2 3 2 3" xfId="27846" xr:uid="{00000000-0005-0000-0000-000002810000}"/>
    <cellStyle name="Normal 92 4 2 3 3" xfId="15580" xr:uid="{00000000-0005-0000-0000-000003810000}"/>
    <cellStyle name="Normal 92 4 2 3 3 2" xfId="32136" xr:uid="{00000000-0005-0000-0000-000004810000}"/>
    <cellStyle name="Normal 92 4 2 3 4" xfId="24093" xr:uid="{00000000-0005-0000-0000-000005810000}"/>
    <cellStyle name="Normal 92 4 2 4" xfId="10146" xr:uid="{00000000-0005-0000-0000-000006810000}"/>
    <cellStyle name="Normal 92 4 2 4 2" xfId="19320" xr:uid="{00000000-0005-0000-0000-000007810000}"/>
    <cellStyle name="Normal 92 4 2 4 2 2" xfId="35894" xr:uid="{00000000-0005-0000-0000-000008810000}"/>
    <cellStyle name="Normal 92 4 2 4 3" xfId="27847" xr:uid="{00000000-0005-0000-0000-000009810000}"/>
    <cellStyle name="Normal 92 4 2 5" xfId="15577" xr:uid="{00000000-0005-0000-0000-00000A810000}"/>
    <cellStyle name="Normal 92 4 2 5 2" xfId="32133" xr:uid="{00000000-0005-0000-0000-00000B810000}"/>
    <cellStyle name="Normal 92 4 2 6" xfId="24090" xr:uid="{00000000-0005-0000-0000-00000C810000}"/>
    <cellStyle name="Normal 92 4 3" xfId="6317" xr:uid="{00000000-0005-0000-0000-00000D810000}"/>
    <cellStyle name="Normal 92 4 3 2" xfId="6318" xr:uid="{00000000-0005-0000-0000-00000E810000}"/>
    <cellStyle name="Normal 92 4 3 2 2" xfId="10147" xr:uid="{00000000-0005-0000-0000-00000F810000}"/>
    <cellStyle name="Normal 92 4 3 2 2 2" xfId="19321" xr:uid="{00000000-0005-0000-0000-000010810000}"/>
    <cellStyle name="Normal 92 4 3 2 2 2 2" xfId="35895" xr:uid="{00000000-0005-0000-0000-000011810000}"/>
    <cellStyle name="Normal 92 4 3 2 2 3" xfId="27848" xr:uid="{00000000-0005-0000-0000-000012810000}"/>
    <cellStyle name="Normal 92 4 3 2 3" xfId="15582" xr:uid="{00000000-0005-0000-0000-000013810000}"/>
    <cellStyle name="Normal 92 4 3 2 3 2" xfId="32138" xr:uid="{00000000-0005-0000-0000-000014810000}"/>
    <cellStyle name="Normal 92 4 3 2 4" xfId="24095" xr:uid="{00000000-0005-0000-0000-000015810000}"/>
    <cellStyle name="Normal 92 4 3 3" xfId="10148" xr:uid="{00000000-0005-0000-0000-000016810000}"/>
    <cellStyle name="Normal 92 4 3 3 2" xfId="19322" xr:uid="{00000000-0005-0000-0000-000017810000}"/>
    <cellStyle name="Normal 92 4 3 3 2 2" xfId="35896" xr:uid="{00000000-0005-0000-0000-000018810000}"/>
    <cellStyle name="Normal 92 4 3 3 3" xfId="27849" xr:uid="{00000000-0005-0000-0000-000019810000}"/>
    <cellStyle name="Normal 92 4 3 4" xfId="15581" xr:uid="{00000000-0005-0000-0000-00001A810000}"/>
    <cellStyle name="Normal 92 4 3 4 2" xfId="32137" xr:uid="{00000000-0005-0000-0000-00001B810000}"/>
    <cellStyle name="Normal 92 4 3 5" xfId="24094" xr:uid="{00000000-0005-0000-0000-00001C810000}"/>
    <cellStyle name="Normal 92 4 4" xfId="6319" xr:uid="{00000000-0005-0000-0000-00001D810000}"/>
    <cellStyle name="Normal 92 4 4 2" xfId="10149" xr:uid="{00000000-0005-0000-0000-00001E810000}"/>
    <cellStyle name="Normal 92 4 4 2 2" xfId="19323" xr:uid="{00000000-0005-0000-0000-00001F810000}"/>
    <cellStyle name="Normal 92 4 4 2 2 2" xfId="35897" xr:uid="{00000000-0005-0000-0000-000020810000}"/>
    <cellStyle name="Normal 92 4 4 2 3" xfId="27850" xr:uid="{00000000-0005-0000-0000-000021810000}"/>
    <cellStyle name="Normal 92 4 4 3" xfId="15583" xr:uid="{00000000-0005-0000-0000-000022810000}"/>
    <cellStyle name="Normal 92 4 4 3 2" xfId="32139" xr:uid="{00000000-0005-0000-0000-000023810000}"/>
    <cellStyle name="Normal 92 4 4 4" xfId="24096" xr:uid="{00000000-0005-0000-0000-000024810000}"/>
    <cellStyle name="Normal 92 4 5" xfId="10150" xr:uid="{00000000-0005-0000-0000-000025810000}"/>
    <cellStyle name="Normal 92 4 5 2" xfId="19324" xr:uid="{00000000-0005-0000-0000-000026810000}"/>
    <cellStyle name="Normal 92 4 5 2 2" xfId="35898" xr:uid="{00000000-0005-0000-0000-000027810000}"/>
    <cellStyle name="Normal 92 4 5 3" xfId="27851" xr:uid="{00000000-0005-0000-0000-000028810000}"/>
    <cellStyle name="Normal 92 4 6" xfId="15576" xr:uid="{00000000-0005-0000-0000-000029810000}"/>
    <cellStyle name="Normal 92 4 6 2" xfId="32132" xr:uid="{00000000-0005-0000-0000-00002A810000}"/>
    <cellStyle name="Normal 92 4 7" xfId="24089" xr:uid="{00000000-0005-0000-0000-00002B810000}"/>
    <cellStyle name="Normal 92 5" xfId="6320" xr:uid="{00000000-0005-0000-0000-00002C810000}"/>
    <cellStyle name="Normal 92 5 2" xfId="6321" xr:uid="{00000000-0005-0000-0000-00002D810000}"/>
    <cellStyle name="Normal 92 5 2 2" xfId="6322" xr:uid="{00000000-0005-0000-0000-00002E810000}"/>
    <cellStyle name="Normal 92 5 2 2 2" xfId="6323" xr:uid="{00000000-0005-0000-0000-00002F810000}"/>
    <cellStyle name="Normal 92 5 2 2 2 2" xfId="10151" xr:uid="{00000000-0005-0000-0000-000030810000}"/>
    <cellStyle name="Normal 92 5 2 2 2 2 2" xfId="19325" xr:uid="{00000000-0005-0000-0000-000031810000}"/>
    <cellStyle name="Normal 92 5 2 2 2 2 2 2" xfId="35899" xr:uid="{00000000-0005-0000-0000-000032810000}"/>
    <cellStyle name="Normal 92 5 2 2 2 2 3" xfId="27852" xr:uid="{00000000-0005-0000-0000-000033810000}"/>
    <cellStyle name="Normal 92 5 2 2 2 3" xfId="15587" xr:uid="{00000000-0005-0000-0000-000034810000}"/>
    <cellStyle name="Normal 92 5 2 2 2 3 2" xfId="32143" xr:uid="{00000000-0005-0000-0000-000035810000}"/>
    <cellStyle name="Normal 92 5 2 2 2 4" xfId="24100" xr:uid="{00000000-0005-0000-0000-000036810000}"/>
    <cellStyle name="Normal 92 5 2 2 3" xfId="10152" xr:uid="{00000000-0005-0000-0000-000037810000}"/>
    <cellStyle name="Normal 92 5 2 2 3 2" xfId="19326" xr:uid="{00000000-0005-0000-0000-000038810000}"/>
    <cellStyle name="Normal 92 5 2 2 3 2 2" xfId="35900" xr:uid="{00000000-0005-0000-0000-000039810000}"/>
    <cellStyle name="Normal 92 5 2 2 3 3" xfId="27853" xr:uid="{00000000-0005-0000-0000-00003A810000}"/>
    <cellStyle name="Normal 92 5 2 2 4" xfId="15586" xr:uid="{00000000-0005-0000-0000-00003B810000}"/>
    <cellStyle name="Normal 92 5 2 2 4 2" xfId="32142" xr:uid="{00000000-0005-0000-0000-00003C810000}"/>
    <cellStyle name="Normal 92 5 2 2 5" xfId="24099" xr:uid="{00000000-0005-0000-0000-00003D810000}"/>
    <cellStyle name="Normal 92 5 2 3" xfId="6324" xr:uid="{00000000-0005-0000-0000-00003E810000}"/>
    <cellStyle name="Normal 92 5 2 3 2" xfId="10153" xr:uid="{00000000-0005-0000-0000-00003F810000}"/>
    <cellStyle name="Normal 92 5 2 3 2 2" xfId="19327" xr:uid="{00000000-0005-0000-0000-000040810000}"/>
    <cellStyle name="Normal 92 5 2 3 2 2 2" xfId="35901" xr:uid="{00000000-0005-0000-0000-000041810000}"/>
    <cellStyle name="Normal 92 5 2 3 2 3" xfId="27854" xr:uid="{00000000-0005-0000-0000-000042810000}"/>
    <cellStyle name="Normal 92 5 2 3 3" xfId="15588" xr:uid="{00000000-0005-0000-0000-000043810000}"/>
    <cellStyle name="Normal 92 5 2 3 3 2" xfId="32144" xr:uid="{00000000-0005-0000-0000-000044810000}"/>
    <cellStyle name="Normal 92 5 2 3 4" xfId="24101" xr:uid="{00000000-0005-0000-0000-000045810000}"/>
    <cellStyle name="Normal 92 5 2 4" xfId="10154" xr:uid="{00000000-0005-0000-0000-000046810000}"/>
    <cellStyle name="Normal 92 5 2 4 2" xfId="19328" xr:uid="{00000000-0005-0000-0000-000047810000}"/>
    <cellStyle name="Normal 92 5 2 4 2 2" xfId="35902" xr:uid="{00000000-0005-0000-0000-000048810000}"/>
    <cellStyle name="Normal 92 5 2 4 3" xfId="27855" xr:uid="{00000000-0005-0000-0000-000049810000}"/>
    <cellStyle name="Normal 92 5 2 5" xfId="15585" xr:uid="{00000000-0005-0000-0000-00004A810000}"/>
    <cellStyle name="Normal 92 5 2 5 2" xfId="32141" xr:uid="{00000000-0005-0000-0000-00004B810000}"/>
    <cellStyle name="Normal 92 5 2 6" xfId="24098" xr:uid="{00000000-0005-0000-0000-00004C810000}"/>
    <cellStyle name="Normal 92 5 3" xfId="6325" xr:uid="{00000000-0005-0000-0000-00004D810000}"/>
    <cellStyle name="Normal 92 5 3 2" xfId="6326" xr:uid="{00000000-0005-0000-0000-00004E810000}"/>
    <cellStyle name="Normal 92 5 3 2 2" xfId="10155" xr:uid="{00000000-0005-0000-0000-00004F810000}"/>
    <cellStyle name="Normal 92 5 3 2 2 2" xfId="19329" xr:uid="{00000000-0005-0000-0000-000050810000}"/>
    <cellStyle name="Normal 92 5 3 2 2 2 2" xfId="35903" xr:uid="{00000000-0005-0000-0000-000051810000}"/>
    <cellStyle name="Normal 92 5 3 2 2 3" xfId="27856" xr:uid="{00000000-0005-0000-0000-000052810000}"/>
    <cellStyle name="Normal 92 5 3 2 3" xfId="15590" xr:uid="{00000000-0005-0000-0000-000053810000}"/>
    <cellStyle name="Normal 92 5 3 2 3 2" xfId="32146" xr:uid="{00000000-0005-0000-0000-000054810000}"/>
    <cellStyle name="Normal 92 5 3 2 4" xfId="24103" xr:uid="{00000000-0005-0000-0000-000055810000}"/>
    <cellStyle name="Normal 92 5 3 3" xfId="10156" xr:uid="{00000000-0005-0000-0000-000056810000}"/>
    <cellStyle name="Normal 92 5 3 3 2" xfId="19330" xr:uid="{00000000-0005-0000-0000-000057810000}"/>
    <cellStyle name="Normal 92 5 3 3 2 2" xfId="35904" xr:uid="{00000000-0005-0000-0000-000058810000}"/>
    <cellStyle name="Normal 92 5 3 3 3" xfId="27857" xr:uid="{00000000-0005-0000-0000-000059810000}"/>
    <cellStyle name="Normal 92 5 3 4" xfId="15589" xr:uid="{00000000-0005-0000-0000-00005A810000}"/>
    <cellStyle name="Normal 92 5 3 4 2" xfId="32145" xr:uid="{00000000-0005-0000-0000-00005B810000}"/>
    <cellStyle name="Normal 92 5 3 5" xfId="24102" xr:uid="{00000000-0005-0000-0000-00005C810000}"/>
    <cellStyle name="Normal 92 5 4" xfId="6327" xr:uid="{00000000-0005-0000-0000-00005D810000}"/>
    <cellStyle name="Normal 92 5 4 2" xfId="10157" xr:uid="{00000000-0005-0000-0000-00005E810000}"/>
    <cellStyle name="Normal 92 5 4 2 2" xfId="19331" xr:uid="{00000000-0005-0000-0000-00005F810000}"/>
    <cellStyle name="Normal 92 5 4 2 2 2" xfId="35905" xr:uid="{00000000-0005-0000-0000-000060810000}"/>
    <cellStyle name="Normal 92 5 4 2 3" xfId="27858" xr:uid="{00000000-0005-0000-0000-000061810000}"/>
    <cellStyle name="Normal 92 5 4 3" xfId="15591" xr:uid="{00000000-0005-0000-0000-000062810000}"/>
    <cellStyle name="Normal 92 5 4 3 2" xfId="32147" xr:uid="{00000000-0005-0000-0000-000063810000}"/>
    <cellStyle name="Normal 92 5 4 4" xfId="24104" xr:uid="{00000000-0005-0000-0000-000064810000}"/>
    <cellStyle name="Normal 92 5 5" xfId="10158" xr:uid="{00000000-0005-0000-0000-000065810000}"/>
    <cellStyle name="Normal 92 5 5 2" xfId="19332" xr:uid="{00000000-0005-0000-0000-000066810000}"/>
    <cellStyle name="Normal 92 5 5 2 2" xfId="35906" xr:uid="{00000000-0005-0000-0000-000067810000}"/>
    <cellStyle name="Normal 92 5 5 3" xfId="27859" xr:uid="{00000000-0005-0000-0000-000068810000}"/>
    <cellStyle name="Normal 92 5 6" xfId="15584" xr:uid="{00000000-0005-0000-0000-000069810000}"/>
    <cellStyle name="Normal 92 5 6 2" xfId="32140" xr:uid="{00000000-0005-0000-0000-00006A810000}"/>
    <cellStyle name="Normal 92 5 7" xfId="24097" xr:uid="{00000000-0005-0000-0000-00006B810000}"/>
    <cellStyle name="Normal 92 6" xfId="6328" xr:uid="{00000000-0005-0000-0000-00006C810000}"/>
    <cellStyle name="Normal 92 6 2" xfId="6329" xr:uid="{00000000-0005-0000-0000-00006D810000}"/>
    <cellStyle name="Normal 92 6 2 2" xfId="6330" xr:uid="{00000000-0005-0000-0000-00006E810000}"/>
    <cellStyle name="Normal 92 6 2 2 2" xfId="10159" xr:uid="{00000000-0005-0000-0000-00006F810000}"/>
    <cellStyle name="Normal 92 6 2 2 2 2" xfId="19333" xr:uid="{00000000-0005-0000-0000-000070810000}"/>
    <cellStyle name="Normal 92 6 2 2 2 2 2" xfId="35907" xr:uid="{00000000-0005-0000-0000-000071810000}"/>
    <cellStyle name="Normal 92 6 2 2 2 3" xfId="27860" xr:uid="{00000000-0005-0000-0000-000072810000}"/>
    <cellStyle name="Normal 92 6 2 2 3" xfId="15594" xr:uid="{00000000-0005-0000-0000-000073810000}"/>
    <cellStyle name="Normal 92 6 2 2 3 2" xfId="32150" xr:uid="{00000000-0005-0000-0000-000074810000}"/>
    <cellStyle name="Normal 92 6 2 2 4" xfId="24107" xr:uid="{00000000-0005-0000-0000-000075810000}"/>
    <cellStyle name="Normal 92 6 2 3" xfId="10160" xr:uid="{00000000-0005-0000-0000-000076810000}"/>
    <cellStyle name="Normal 92 6 2 3 2" xfId="19334" xr:uid="{00000000-0005-0000-0000-000077810000}"/>
    <cellStyle name="Normal 92 6 2 3 2 2" xfId="35908" xr:uid="{00000000-0005-0000-0000-000078810000}"/>
    <cellStyle name="Normal 92 6 2 3 3" xfId="27861" xr:uid="{00000000-0005-0000-0000-000079810000}"/>
    <cellStyle name="Normal 92 6 2 4" xfId="15593" xr:uid="{00000000-0005-0000-0000-00007A810000}"/>
    <cellStyle name="Normal 92 6 2 4 2" xfId="32149" xr:uid="{00000000-0005-0000-0000-00007B810000}"/>
    <cellStyle name="Normal 92 6 2 5" xfId="24106" xr:uid="{00000000-0005-0000-0000-00007C810000}"/>
    <cellStyle name="Normal 92 6 3" xfId="6331" xr:uid="{00000000-0005-0000-0000-00007D810000}"/>
    <cellStyle name="Normal 92 6 3 2" xfId="10161" xr:uid="{00000000-0005-0000-0000-00007E810000}"/>
    <cellStyle name="Normal 92 6 3 2 2" xfId="19335" xr:uid="{00000000-0005-0000-0000-00007F810000}"/>
    <cellStyle name="Normal 92 6 3 2 2 2" xfId="35909" xr:uid="{00000000-0005-0000-0000-000080810000}"/>
    <cellStyle name="Normal 92 6 3 2 3" xfId="27862" xr:uid="{00000000-0005-0000-0000-000081810000}"/>
    <cellStyle name="Normal 92 6 3 3" xfId="15595" xr:uid="{00000000-0005-0000-0000-000082810000}"/>
    <cellStyle name="Normal 92 6 3 3 2" xfId="32151" xr:uid="{00000000-0005-0000-0000-000083810000}"/>
    <cellStyle name="Normal 92 6 3 4" xfId="24108" xr:uid="{00000000-0005-0000-0000-000084810000}"/>
    <cellStyle name="Normal 92 6 4" xfId="10162" xr:uid="{00000000-0005-0000-0000-000085810000}"/>
    <cellStyle name="Normal 92 6 4 2" xfId="19336" xr:uid="{00000000-0005-0000-0000-000086810000}"/>
    <cellStyle name="Normal 92 6 4 2 2" xfId="35910" xr:uid="{00000000-0005-0000-0000-000087810000}"/>
    <cellStyle name="Normal 92 6 4 3" xfId="27863" xr:uid="{00000000-0005-0000-0000-000088810000}"/>
    <cellStyle name="Normal 92 6 5" xfId="15592" xr:uid="{00000000-0005-0000-0000-000089810000}"/>
    <cellStyle name="Normal 92 6 5 2" xfId="32148" xr:uid="{00000000-0005-0000-0000-00008A810000}"/>
    <cellStyle name="Normal 92 6 6" xfId="24105" xr:uid="{00000000-0005-0000-0000-00008B810000}"/>
    <cellStyle name="Normal 92 7" xfId="6332" xr:uid="{00000000-0005-0000-0000-00008C810000}"/>
    <cellStyle name="Normal 92 7 2" xfId="6333" xr:uid="{00000000-0005-0000-0000-00008D810000}"/>
    <cellStyle name="Normal 92 7 2 2" xfId="10163" xr:uid="{00000000-0005-0000-0000-00008E810000}"/>
    <cellStyle name="Normal 92 7 2 2 2" xfId="19337" xr:uid="{00000000-0005-0000-0000-00008F810000}"/>
    <cellStyle name="Normal 92 7 2 2 2 2" xfId="35911" xr:uid="{00000000-0005-0000-0000-000090810000}"/>
    <cellStyle name="Normal 92 7 2 2 3" xfId="27864" xr:uid="{00000000-0005-0000-0000-000091810000}"/>
    <cellStyle name="Normal 92 7 2 3" xfId="15597" xr:uid="{00000000-0005-0000-0000-000092810000}"/>
    <cellStyle name="Normal 92 7 2 3 2" xfId="32153" xr:uid="{00000000-0005-0000-0000-000093810000}"/>
    <cellStyle name="Normal 92 7 2 4" xfId="24110" xr:uid="{00000000-0005-0000-0000-000094810000}"/>
    <cellStyle name="Normal 92 7 3" xfId="10164" xr:uid="{00000000-0005-0000-0000-000095810000}"/>
    <cellStyle name="Normal 92 7 3 2" xfId="19338" xr:uid="{00000000-0005-0000-0000-000096810000}"/>
    <cellStyle name="Normal 92 7 3 2 2" xfId="35912" xr:uid="{00000000-0005-0000-0000-000097810000}"/>
    <cellStyle name="Normal 92 7 3 3" xfId="27865" xr:uid="{00000000-0005-0000-0000-000098810000}"/>
    <cellStyle name="Normal 92 7 4" xfId="15596" xr:uid="{00000000-0005-0000-0000-000099810000}"/>
    <cellStyle name="Normal 92 7 4 2" xfId="32152" xr:uid="{00000000-0005-0000-0000-00009A810000}"/>
    <cellStyle name="Normal 92 7 5" xfId="24109" xr:uid="{00000000-0005-0000-0000-00009B810000}"/>
    <cellStyle name="Normal 92 8" xfId="6334" xr:uid="{00000000-0005-0000-0000-00009C810000}"/>
    <cellStyle name="Normal 92 8 2" xfId="10165" xr:uid="{00000000-0005-0000-0000-00009D810000}"/>
    <cellStyle name="Normal 92 8 2 2" xfId="19339" xr:uid="{00000000-0005-0000-0000-00009E810000}"/>
    <cellStyle name="Normal 92 8 2 2 2" xfId="35913" xr:uid="{00000000-0005-0000-0000-00009F810000}"/>
    <cellStyle name="Normal 92 8 2 3" xfId="27866" xr:uid="{00000000-0005-0000-0000-0000A0810000}"/>
    <cellStyle name="Normal 92 8 3" xfId="15598" xr:uid="{00000000-0005-0000-0000-0000A1810000}"/>
    <cellStyle name="Normal 92 8 3 2" xfId="32154" xr:uid="{00000000-0005-0000-0000-0000A2810000}"/>
    <cellStyle name="Normal 92 8 4" xfId="24111" xr:uid="{00000000-0005-0000-0000-0000A3810000}"/>
    <cellStyle name="Normal 92 9" xfId="10166" xr:uid="{00000000-0005-0000-0000-0000A4810000}"/>
    <cellStyle name="Normal 92 9 2" xfId="19340" xr:uid="{00000000-0005-0000-0000-0000A5810000}"/>
    <cellStyle name="Normal 92 9 2 2" xfId="35914" xr:uid="{00000000-0005-0000-0000-0000A6810000}"/>
    <cellStyle name="Normal 92 9 3" xfId="27867" xr:uid="{00000000-0005-0000-0000-0000A7810000}"/>
    <cellStyle name="Normal 93" xfId="6335" xr:uid="{00000000-0005-0000-0000-0000A8810000}"/>
    <cellStyle name="Normal 93 10" xfId="15599" xr:uid="{00000000-0005-0000-0000-0000A9810000}"/>
    <cellStyle name="Normal 93 10 2" xfId="32155" xr:uid="{00000000-0005-0000-0000-0000AA810000}"/>
    <cellStyle name="Normal 93 11" xfId="24112" xr:uid="{00000000-0005-0000-0000-0000AB810000}"/>
    <cellStyle name="Normal 93 2" xfId="6336" xr:uid="{00000000-0005-0000-0000-0000AC810000}"/>
    <cellStyle name="Normal 93 2 2" xfId="6337" xr:uid="{00000000-0005-0000-0000-0000AD810000}"/>
    <cellStyle name="Normal 93 2 3" xfId="15600" xr:uid="{00000000-0005-0000-0000-0000AE810000}"/>
    <cellStyle name="Normal 93 2 3 2" xfId="32156" xr:uid="{00000000-0005-0000-0000-0000AF810000}"/>
    <cellStyle name="Normal 93 2 4" xfId="24113" xr:uid="{00000000-0005-0000-0000-0000B0810000}"/>
    <cellStyle name="Normal 93 3" xfId="6338" xr:uid="{00000000-0005-0000-0000-0000B1810000}"/>
    <cellStyle name="Normal 93 3 2" xfId="6339" xr:uid="{00000000-0005-0000-0000-0000B2810000}"/>
    <cellStyle name="Normal 93 3 2 2" xfId="6340" xr:uid="{00000000-0005-0000-0000-0000B3810000}"/>
    <cellStyle name="Normal 93 3 2 2 2" xfId="6341" xr:uid="{00000000-0005-0000-0000-0000B4810000}"/>
    <cellStyle name="Normal 93 3 2 2 2 2" xfId="10167" xr:uid="{00000000-0005-0000-0000-0000B5810000}"/>
    <cellStyle name="Normal 93 3 2 2 2 2 2" xfId="19341" xr:uid="{00000000-0005-0000-0000-0000B6810000}"/>
    <cellStyle name="Normal 93 3 2 2 2 2 2 2" xfId="35915" xr:uid="{00000000-0005-0000-0000-0000B7810000}"/>
    <cellStyle name="Normal 93 3 2 2 2 2 3" xfId="27868" xr:uid="{00000000-0005-0000-0000-0000B8810000}"/>
    <cellStyle name="Normal 93 3 2 2 2 3" xfId="15603" xr:uid="{00000000-0005-0000-0000-0000B9810000}"/>
    <cellStyle name="Normal 93 3 2 2 2 3 2" xfId="32159" xr:uid="{00000000-0005-0000-0000-0000BA810000}"/>
    <cellStyle name="Normal 93 3 2 2 2 4" xfId="24116" xr:uid="{00000000-0005-0000-0000-0000BB810000}"/>
    <cellStyle name="Normal 93 3 2 2 3" xfId="10168" xr:uid="{00000000-0005-0000-0000-0000BC810000}"/>
    <cellStyle name="Normal 93 3 2 2 3 2" xfId="19342" xr:uid="{00000000-0005-0000-0000-0000BD810000}"/>
    <cellStyle name="Normal 93 3 2 2 3 2 2" xfId="35916" xr:uid="{00000000-0005-0000-0000-0000BE810000}"/>
    <cellStyle name="Normal 93 3 2 2 3 3" xfId="27869" xr:uid="{00000000-0005-0000-0000-0000BF810000}"/>
    <cellStyle name="Normal 93 3 2 2 4" xfId="15602" xr:uid="{00000000-0005-0000-0000-0000C0810000}"/>
    <cellStyle name="Normal 93 3 2 2 4 2" xfId="32158" xr:uid="{00000000-0005-0000-0000-0000C1810000}"/>
    <cellStyle name="Normal 93 3 2 2 5" xfId="24115" xr:uid="{00000000-0005-0000-0000-0000C2810000}"/>
    <cellStyle name="Normal 93 3 2 3" xfId="6342" xr:uid="{00000000-0005-0000-0000-0000C3810000}"/>
    <cellStyle name="Normal 93 3 2 3 2" xfId="10169" xr:uid="{00000000-0005-0000-0000-0000C4810000}"/>
    <cellStyle name="Normal 93 3 2 3 2 2" xfId="19343" xr:uid="{00000000-0005-0000-0000-0000C5810000}"/>
    <cellStyle name="Normal 93 3 2 3 2 2 2" xfId="35917" xr:uid="{00000000-0005-0000-0000-0000C6810000}"/>
    <cellStyle name="Normal 93 3 2 3 2 3" xfId="27870" xr:uid="{00000000-0005-0000-0000-0000C7810000}"/>
    <cellStyle name="Normal 93 3 2 3 3" xfId="15604" xr:uid="{00000000-0005-0000-0000-0000C8810000}"/>
    <cellStyle name="Normal 93 3 2 3 3 2" xfId="32160" xr:uid="{00000000-0005-0000-0000-0000C9810000}"/>
    <cellStyle name="Normal 93 3 2 3 4" xfId="24117" xr:uid="{00000000-0005-0000-0000-0000CA810000}"/>
    <cellStyle name="Normal 93 3 2 4" xfId="10170" xr:uid="{00000000-0005-0000-0000-0000CB810000}"/>
    <cellStyle name="Normal 93 3 2 4 2" xfId="19344" xr:uid="{00000000-0005-0000-0000-0000CC810000}"/>
    <cellStyle name="Normal 93 3 2 4 2 2" xfId="35918" xr:uid="{00000000-0005-0000-0000-0000CD810000}"/>
    <cellStyle name="Normal 93 3 2 4 3" xfId="27871" xr:uid="{00000000-0005-0000-0000-0000CE810000}"/>
    <cellStyle name="Normal 93 3 2 5" xfId="15601" xr:uid="{00000000-0005-0000-0000-0000CF810000}"/>
    <cellStyle name="Normal 93 3 2 5 2" xfId="32157" xr:uid="{00000000-0005-0000-0000-0000D0810000}"/>
    <cellStyle name="Normal 93 3 2 6" xfId="24114" xr:uid="{00000000-0005-0000-0000-0000D1810000}"/>
    <cellStyle name="Normal 93 3 3" xfId="6343" xr:uid="{00000000-0005-0000-0000-0000D2810000}"/>
    <cellStyle name="Normal 93 3 3 2" xfId="6344" xr:uid="{00000000-0005-0000-0000-0000D3810000}"/>
    <cellStyle name="Normal 93 3 3 2 2" xfId="10171" xr:uid="{00000000-0005-0000-0000-0000D4810000}"/>
    <cellStyle name="Normal 93 3 3 2 2 2" xfId="19345" xr:uid="{00000000-0005-0000-0000-0000D5810000}"/>
    <cellStyle name="Normal 93 3 3 2 2 2 2" xfId="35919" xr:uid="{00000000-0005-0000-0000-0000D6810000}"/>
    <cellStyle name="Normal 93 3 3 2 2 3" xfId="27872" xr:uid="{00000000-0005-0000-0000-0000D7810000}"/>
    <cellStyle name="Normal 93 3 3 2 3" xfId="15606" xr:uid="{00000000-0005-0000-0000-0000D8810000}"/>
    <cellStyle name="Normal 93 3 3 2 3 2" xfId="32162" xr:uid="{00000000-0005-0000-0000-0000D9810000}"/>
    <cellStyle name="Normal 93 3 3 2 4" xfId="24119" xr:uid="{00000000-0005-0000-0000-0000DA810000}"/>
    <cellStyle name="Normal 93 3 3 3" xfId="10172" xr:uid="{00000000-0005-0000-0000-0000DB810000}"/>
    <cellStyle name="Normal 93 3 3 3 2" xfId="19346" xr:uid="{00000000-0005-0000-0000-0000DC810000}"/>
    <cellStyle name="Normal 93 3 3 3 2 2" xfId="35920" xr:uid="{00000000-0005-0000-0000-0000DD810000}"/>
    <cellStyle name="Normal 93 3 3 3 3" xfId="27873" xr:uid="{00000000-0005-0000-0000-0000DE810000}"/>
    <cellStyle name="Normal 93 3 3 4" xfId="15605" xr:uid="{00000000-0005-0000-0000-0000DF810000}"/>
    <cellStyle name="Normal 93 3 3 4 2" xfId="32161" xr:uid="{00000000-0005-0000-0000-0000E0810000}"/>
    <cellStyle name="Normal 93 3 3 5" xfId="24118" xr:uid="{00000000-0005-0000-0000-0000E1810000}"/>
    <cellStyle name="Normal 93 3 4" xfId="6345" xr:uid="{00000000-0005-0000-0000-0000E2810000}"/>
    <cellStyle name="Normal 93 3 4 2" xfId="10173" xr:uid="{00000000-0005-0000-0000-0000E3810000}"/>
    <cellStyle name="Normal 93 3 4 2 2" xfId="19347" xr:uid="{00000000-0005-0000-0000-0000E4810000}"/>
    <cellStyle name="Normal 93 3 4 2 2 2" xfId="35921" xr:uid="{00000000-0005-0000-0000-0000E5810000}"/>
    <cellStyle name="Normal 93 3 4 2 3" xfId="27874" xr:uid="{00000000-0005-0000-0000-0000E6810000}"/>
    <cellStyle name="Normal 93 3 4 3" xfId="15607" xr:uid="{00000000-0005-0000-0000-0000E7810000}"/>
    <cellStyle name="Normal 93 3 4 3 2" xfId="32163" xr:uid="{00000000-0005-0000-0000-0000E8810000}"/>
    <cellStyle name="Normal 93 3 4 4" xfId="24120" xr:uid="{00000000-0005-0000-0000-0000E9810000}"/>
    <cellStyle name="Normal 93 3 5" xfId="6346" xr:uid="{00000000-0005-0000-0000-0000EA810000}"/>
    <cellStyle name="Normal 93 3 5 2" xfId="15608" xr:uid="{00000000-0005-0000-0000-0000EB810000}"/>
    <cellStyle name="Normal 93 3 5 2 2" xfId="32164" xr:uid="{00000000-0005-0000-0000-0000EC810000}"/>
    <cellStyle name="Normal 93 3 5 3" xfId="24121" xr:uid="{00000000-0005-0000-0000-0000ED810000}"/>
    <cellStyle name="Normal 93 4" xfId="6347" xr:uid="{00000000-0005-0000-0000-0000EE810000}"/>
    <cellStyle name="Normal 93 4 2" xfId="6348" xr:uid="{00000000-0005-0000-0000-0000EF810000}"/>
    <cellStyle name="Normal 93 4 2 2" xfId="6349" xr:uid="{00000000-0005-0000-0000-0000F0810000}"/>
    <cellStyle name="Normal 93 4 2 2 2" xfId="6350" xr:uid="{00000000-0005-0000-0000-0000F1810000}"/>
    <cellStyle name="Normal 93 4 2 2 2 2" xfId="10174" xr:uid="{00000000-0005-0000-0000-0000F2810000}"/>
    <cellStyle name="Normal 93 4 2 2 2 2 2" xfId="19348" xr:uid="{00000000-0005-0000-0000-0000F3810000}"/>
    <cellStyle name="Normal 93 4 2 2 2 2 2 2" xfId="35922" xr:uid="{00000000-0005-0000-0000-0000F4810000}"/>
    <cellStyle name="Normal 93 4 2 2 2 2 3" xfId="27875" xr:uid="{00000000-0005-0000-0000-0000F5810000}"/>
    <cellStyle name="Normal 93 4 2 2 2 3" xfId="15612" xr:uid="{00000000-0005-0000-0000-0000F6810000}"/>
    <cellStyle name="Normal 93 4 2 2 2 3 2" xfId="32168" xr:uid="{00000000-0005-0000-0000-0000F7810000}"/>
    <cellStyle name="Normal 93 4 2 2 2 4" xfId="24125" xr:uid="{00000000-0005-0000-0000-0000F8810000}"/>
    <cellStyle name="Normal 93 4 2 2 3" xfId="10175" xr:uid="{00000000-0005-0000-0000-0000F9810000}"/>
    <cellStyle name="Normal 93 4 2 2 3 2" xfId="19349" xr:uid="{00000000-0005-0000-0000-0000FA810000}"/>
    <cellStyle name="Normal 93 4 2 2 3 2 2" xfId="35923" xr:uid="{00000000-0005-0000-0000-0000FB810000}"/>
    <cellStyle name="Normal 93 4 2 2 3 3" xfId="27876" xr:uid="{00000000-0005-0000-0000-0000FC810000}"/>
    <cellStyle name="Normal 93 4 2 2 4" xfId="15611" xr:uid="{00000000-0005-0000-0000-0000FD810000}"/>
    <cellStyle name="Normal 93 4 2 2 4 2" xfId="32167" xr:uid="{00000000-0005-0000-0000-0000FE810000}"/>
    <cellStyle name="Normal 93 4 2 2 5" xfId="24124" xr:uid="{00000000-0005-0000-0000-0000FF810000}"/>
    <cellStyle name="Normal 93 4 2 3" xfId="6351" xr:uid="{00000000-0005-0000-0000-000000820000}"/>
    <cellStyle name="Normal 93 4 2 3 2" xfId="10176" xr:uid="{00000000-0005-0000-0000-000001820000}"/>
    <cellStyle name="Normal 93 4 2 3 2 2" xfId="19350" xr:uid="{00000000-0005-0000-0000-000002820000}"/>
    <cellStyle name="Normal 93 4 2 3 2 2 2" xfId="35924" xr:uid="{00000000-0005-0000-0000-000003820000}"/>
    <cellStyle name="Normal 93 4 2 3 2 3" xfId="27877" xr:uid="{00000000-0005-0000-0000-000004820000}"/>
    <cellStyle name="Normal 93 4 2 3 3" xfId="15613" xr:uid="{00000000-0005-0000-0000-000005820000}"/>
    <cellStyle name="Normal 93 4 2 3 3 2" xfId="32169" xr:uid="{00000000-0005-0000-0000-000006820000}"/>
    <cellStyle name="Normal 93 4 2 3 4" xfId="24126" xr:uid="{00000000-0005-0000-0000-000007820000}"/>
    <cellStyle name="Normal 93 4 2 4" xfId="10177" xr:uid="{00000000-0005-0000-0000-000008820000}"/>
    <cellStyle name="Normal 93 4 2 4 2" xfId="19351" xr:uid="{00000000-0005-0000-0000-000009820000}"/>
    <cellStyle name="Normal 93 4 2 4 2 2" xfId="35925" xr:uid="{00000000-0005-0000-0000-00000A820000}"/>
    <cellStyle name="Normal 93 4 2 4 3" xfId="27878" xr:uid="{00000000-0005-0000-0000-00000B820000}"/>
    <cellStyle name="Normal 93 4 2 5" xfId="15610" xr:uid="{00000000-0005-0000-0000-00000C820000}"/>
    <cellStyle name="Normal 93 4 2 5 2" xfId="32166" xr:uid="{00000000-0005-0000-0000-00000D820000}"/>
    <cellStyle name="Normal 93 4 2 6" xfId="24123" xr:uid="{00000000-0005-0000-0000-00000E820000}"/>
    <cellStyle name="Normal 93 4 3" xfId="6352" xr:uid="{00000000-0005-0000-0000-00000F820000}"/>
    <cellStyle name="Normal 93 4 3 2" xfId="6353" xr:uid="{00000000-0005-0000-0000-000010820000}"/>
    <cellStyle name="Normal 93 4 3 2 2" xfId="10178" xr:uid="{00000000-0005-0000-0000-000011820000}"/>
    <cellStyle name="Normal 93 4 3 2 2 2" xfId="19352" xr:uid="{00000000-0005-0000-0000-000012820000}"/>
    <cellStyle name="Normal 93 4 3 2 2 2 2" xfId="35926" xr:uid="{00000000-0005-0000-0000-000013820000}"/>
    <cellStyle name="Normal 93 4 3 2 2 3" xfId="27879" xr:uid="{00000000-0005-0000-0000-000014820000}"/>
    <cellStyle name="Normal 93 4 3 2 3" xfId="15615" xr:uid="{00000000-0005-0000-0000-000015820000}"/>
    <cellStyle name="Normal 93 4 3 2 3 2" xfId="32171" xr:uid="{00000000-0005-0000-0000-000016820000}"/>
    <cellStyle name="Normal 93 4 3 2 4" xfId="24128" xr:uid="{00000000-0005-0000-0000-000017820000}"/>
    <cellStyle name="Normal 93 4 3 3" xfId="10179" xr:uid="{00000000-0005-0000-0000-000018820000}"/>
    <cellStyle name="Normal 93 4 3 3 2" xfId="19353" xr:uid="{00000000-0005-0000-0000-000019820000}"/>
    <cellStyle name="Normal 93 4 3 3 2 2" xfId="35927" xr:uid="{00000000-0005-0000-0000-00001A820000}"/>
    <cellStyle name="Normal 93 4 3 3 3" xfId="27880" xr:uid="{00000000-0005-0000-0000-00001B820000}"/>
    <cellStyle name="Normal 93 4 3 4" xfId="15614" xr:uid="{00000000-0005-0000-0000-00001C820000}"/>
    <cellStyle name="Normal 93 4 3 4 2" xfId="32170" xr:uid="{00000000-0005-0000-0000-00001D820000}"/>
    <cellStyle name="Normal 93 4 3 5" xfId="24127" xr:uid="{00000000-0005-0000-0000-00001E820000}"/>
    <cellStyle name="Normal 93 4 4" xfId="6354" xr:uid="{00000000-0005-0000-0000-00001F820000}"/>
    <cellStyle name="Normal 93 4 4 2" xfId="10180" xr:uid="{00000000-0005-0000-0000-000020820000}"/>
    <cellStyle name="Normal 93 4 4 2 2" xfId="19354" xr:uid="{00000000-0005-0000-0000-000021820000}"/>
    <cellStyle name="Normal 93 4 4 2 2 2" xfId="35928" xr:uid="{00000000-0005-0000-0000-000022820000}"/>
    <cellStyle name="Normal 93 4 4 2 3" xfId="27881" xr:uid="{00000000-0005-0000-0000-000023820000}"/>
    <cellStyle name="Normal 93 4 4 3" xfId="15616" xr:uid="{00000000-0005-0000-0000-000024820000}"/>
    <cellStyle name="Normal 93 4 4 3 2" xfId="32172" xr:uid="{00000000-0005-0000-0000-000025820000}"/>
    <cellStyle name="Normal 93 4 4 4" xfId="24129" xr:uid="{00000000-0005-0000-0000-000026820000}"/>
    <cellStyle name="Normal 93 4 5" xfId="10181" xr:uid="{00000000-0005-0000-0000-000027820000}"/>
    <cellStyle name="Normal 93 4 5 2" xfId="19355" xr:uid="{00000000-0005-0000-0000-000028820000}"/>
    <cellStyle name="Normal 93 4 5 2 2" xfId="35929" xr:uid="{00000000-0005-0000-0000-000029820000}"/>
    <cellStyle name="Normal 93 4 5 3" xfId="27882" xr:uid="{00000000-0005-0000-0000-00002A820000}"/>
    <cellStyle name="Normal 93 4 6" xfId="15609" xr:uid="{00000000-0005-0000-0000-00002B820000}"/>
    <cellStyle name="Normal 93 4 6 2" xfId="32165" xr:uid="{00000000-0005-0000-0000-00002C820000}"/>
    <cellStyle name="Normal 93 4 7" xfId="24122" xr:uid="{00000000-0005-0000-0000-00002D820000}"/>
    <cellStyle name="Normal 93 5" xfId="6355" xr:uid="{00000000-0005-0000-0000-00002E820000}"/>
    <cellStyle name="Normal 93 5 2" xfId="6356" xr:uid="{00000000-0005-0000-0000-00002F820000}"/>
    <cellStyle name="Normal 93 5 2 2" xfId="6357" xr:uid="{00000000-0005-0000-0000-000030820000}"/>
    <cellStyle name="Normal 93 5 2 2 2" xfId="6358" xr:uid="{00000000-0005-0000-0000-000031820000}"/>
    <cellStyle name="Normal 93 5 2 2 2 2" xfId="10182" xr:uid="{00000000-0005-0000-0000-000032820000}"/>
    <cellStyle name="Normal 93 5 2 2 2 2 2" xfId="19356" xr:uid="{00000000-0005-0000-0000-000033820000}"/>
    <cellStyle name="Normal 93 5 2 2 2 2 2 2" xfId="35930" xr:uid="{00000000-0005-0000-0000-000034820000}"/>
    <cellStyle name="Normal 93 5 2 2 2 2 3" xfId="27883" xr:uid="{00000000-0005-0000-0000-000035820000}"/>
    <cellStyle name="Normal 93 5 2 2 2 3" xfId="15620" xr:uid="{00000000-0005-0000-0000-000036820000}"/>
    <cellStyle name="Normal 93 5 2 2 2 3 2" xfId="32176" xr:uid="{00000000-0005-0000-0000-000037820000}"/>
    <cellStyle name="Normal 93 5 2 2 2 4" xfId="24133" xr:uid="{00000000-0005-0000-0000-000038820000}"/>
    <cellStyle name="Normal 93 5 2 2 3" xfId="10183" xr:uid="{00000000-0005-0000-0000-000039820000}"/>
    <cellStyle name="Normal 93 5 2 2 3 2" xfId="19357" xr:uid="{00000000-0005-0000-0000-00003A820000}"/>
    <cellStyle name="Normal 93 5 2 2 3 2 2" xfId="35931" xr:uid="{00000000-0005-0000-0000-00003B820000}"/>
    <cellStyle name="Normal 93 5 2 2 3 3" xfId="27884" xr:uid="{00000000-0005-0000-0000-00003C820000}"/>
    <cellStyle name="Normal 93 5 2 2 4" xfId="15619" xr:uid="{00000000-0005-0000-0000-00003D820000}"/>
    <cellStyle name="Normal 93 5 2 2 4 2" xfId="32175" xr:uid="{00000000-0005-0000-0000-00003E820000}"/>
    <cellStyle name="Normal 93 5 2 2 5" xfId="24132" xr:uid="{00000000-0005-0000-0000-00003F820000}"/>
    <cellStyle name="Normal 93 5 2 3" xfId="6359" xr:uid="{00000000-0005-0000-0000-000040820000}"/>
    <cellStyle name="Normal 93 5 2 3 2" xfId="10184" xr:uid="{00000000-0005-0000-0000-000041820000}"/>
    <cellStyle name="Normal 93 5 2 3 2 2" xfId="19358" xr:uid="{00000000-0005-0000-0000-000042820000}"/>
    <cellStyle name="Normal 93 5 2 3 2 2 2" xfId="35932" xr:uid="{00000000-0005-0000-0000-000043820000}"/>
    <cellStyle name="Normal 93 5 2 3 2 3" xfId="27885" xr:uid="{00000000-0005-0000-0000-000044820000}"/>
    <cellStyle name="Normal 93 5 2 3 3" xfId="15621" xr:uid="{00000000-0005-0000-0000-000045820000}"/>
    <cellStyle name="Normal 93 5 2 3 3 2" xfId="32177" xr:uid="{00000000-0005-0000-0000-000046820000}"/>
    <cellStyle name="Normal 93 5 2 3 4" xfId="24134" xr:uid="{00000000-0005-0000-0000-000047820000}"/>
    <cellStyle name="Normal 93 5 2 4" xfId="10185" xr:uid="{00000000-0005-0000-0000-000048820000}"/>
    <cellStyle name="Normal 93 5 2 4 2" xfId="19359" xr:uid="{00000000-0005-0000-0000-000049820000}"/>
    <cellStyle name="Normal 93 5 2 4 2 2" xfId="35933" xr:uid="{00000000-0005-0000-0000-00004A820000}"/>
    <cellStyle name="Normal 93 5 2 4 3" xfId="27886" xr:uid="{00000000-0005-0000-0000-00004B820000}"/>
    <cellStyle name="Normal 93 5 2 5" xfId="15618" xr:uid="{00000000-0005-0000-0000-00004C820000}"/>
    <cellStyle name="Normal 93 5 2 5 2" xfId="32174" xr:uid="{00000000-0005-0000-0000-00004D820000}"/>
    <cellStyle name="Normal 93 5 2 6" xfId="24131" xr:uid="{00000000-0005-0000-0000-00004E820000}"/>
    <cellStyle name="Normal 93 5 3" xfId="6360" xr:uid="{00000000-0005-0000-0000-00004F820000}"/>
    <cellStyle name="Normal 93 5 3 2" xfId="6361" xr:uid="{00000000-0005-0000-0000-000050820000}"/>
    <cellStyle name="Normal 93 5 3 2 2" xfId="10186" xr:uid="{00000000-0005-0000-0000-000051820000}"/>
    <cellStyle name="Normal 93 5 3 2 2 2" xfId="19360" xr:uid="{00000000-0005-0000-0000-000052820000}"/>
    <cellStyle name="Normal 93 5 3 2 2 2 2" xfId="35934" xr:uid="{00000000-0005-0000-0000-000053820000}"/>
    <cellStyle name="Normal 93 5 3 2 2 3" xfId="27887" xr:uid="{00000000-0005-0000-0000-000054820000}"/>
    <cellStyle name="Normal 93 5 3 2 3" xfId="15623" xr:uid="{00000000-0005-0000-0000-000055820000}"/>
    <cellStyle name="Normal 93 5 3 2 3 2" xfId="32179" xr:uid="{00000000-0005-0000-0000-000056820000}"/>
    <cellStyle name="Normal 93 5 3 2 4" xfId="24136" xr:uid="{00000000-0005-0000-0000-000057820000}"/>
    <cellStyle name="Normal 93 5 3 3" xfId="10187" xr:uid="{00000000-0005-0000-0000-000058820000}"/>
    <cellStyle name="Normal 93 5 3 3 2" xfId="19361" xr:uid="{00000000-0005-0000-0000-000059820000}"/>
    <cellStyle name="Normal 93 5 3 3 2 2" xfId="35935" xr:uid="{00000000-0005-0000-0000-00005A820000}"/>
    <cellStyle name="Normal 93 5 3 3 3" xfId="27888" xr:uid="{00000000-0005-0000-0000-00005B820000}"/>
    <cellStyle name="Normal 93 5 3 4" xfId="15622" xr:uid="{00000000-0005-0000-0000-00005C820000}"/>
    <cellStyle name="Normal 93 5 3 4 2" xfId="32178" xr:uid="{00000000-0005-0000-0000-00005D820000}"/>
    <cellStyle name="Normal 93 5 3 5" xfId="24135" xr:uid="{00000000-0005-0000-0000-00005E820000}"/>
    <cellStyle name="Normal 93 5 4" xfId="6362" xr:uid="{00000000-0005-0000-0000-00005F820000}"/>
    <cellStyle name="Normal 93 5 4 2" xfId="10188" xr:uid="{00000000-0005-0000-0000-000060820000}"/>
    <cellStyle name="Normal 93 5 4 2 2" xfId="19362" xr:uid="{00000000-0005-0000-0000-000061820000}"/>
    <cellStyle name="Normal 93 5 4 2 2 2" xfId="35936" xr:uid="{00000000-0005-0000-0000-000062820000}"/>
    <cellStyle name="Normal 93 5 4 2 3" xfId="27889" xr:uid="{00000000-0005-0000-0000-000063820000}"/>
    <cellStyle name="Normal 93 5 4 3" xfId="15624" xr:uid="{00000000-0005-0000-0000-000064820000}"/>
    <cellStyle name="Normal 93 5 4 3 2" xfId="32180" xr:uid="{00000000-0005-0000-0000-000065820000}"/>
    <cellStyle name="Normal 93 5 4 4" xfId="24137" xr:uid="{00000000-0005-0000-0000-000066820000}"/>
    <cellStyle name="Normal 93 5 5" xfId="10189" xr:uid="{00000000-0005-0000-0000-000067820000}"/>
    <cellStyle name="Normal 93 5 5 2" xfId="19363" xr:uid="{00000000-0005-0000-0000-000068820000}"/>
    <cellStyle name="Normal 93 5 5 2 2" xfId="35937" xr:uid="{00000000-0005-0000-0000-000069820000}"/>
    <cellStyle name="Normal 93 5 5 3" xfId="27890" xr:uid="{00000000-0005-0000-0000-00006A820000}"/>
    <cellStyle name="Normal 93 5 6" xfId="15617" xr:uid="{00000000-0005-0000-0000-00006B820000}"/>
    <cellStyle name="Normal 93 5 6 2" xfId="32173" xr:uid="{00000000-0005-0000-0000-00006C820000}"/>
    <cellStyle name="Normal 93 5 7" xfId="24130" xr:uid="{00000000-0005-0000-0000-00006D820000}"/>
    <cellStyle name="Normal 93 6" xfId="6363" xr:uid="{00000000-0005-0000-0000-00006E820000}"/>
    <cellStyle name="Normal 93 6 2" xfId="6364" xr:uid="{00000000-0005-0000-0000-00006F820000}"/>
    <cellStyle name="Normal 93 6 2 2" xfId="6365" xr:uid="{00000000-0005-0000-0000-000070820000}"/>
    <cellStyle name="Normal 93 6 2 2 2" xfId="10190" xr:uid="{00000000-0005-0000-0000-000071820000}"/>
    <cellStyle name="Normal 93 6 2 2 2 2" xfId="19364" xr:uid="{00000000-0005-0000-0000-000072820000}"/>
    <cellStyle name="Normal 93 6 2 2 2 2 2" xfId="35938" xr:uid="{00000000-0005-0000-0000-000073820000}"/>
    <cellStyle name="Normal 93 6 2 2 2 3" xfId="27891" xr:uid="{00000000-0005-0000-0000-000074820000}"/>
    <cellStyle name="Normal 93 6 2 2 3" xfId="15627" xr:uid="{00000000-0005-0000-0000-000075820000}"/>
    <cellStyle name="Normal 93 6 2 2 3 2" xfId="32183" xr:uid="{00000000-0005-0000-0000-000076820000}"/>
    <cellStyle name="Normal 93 6 2 2 4" xfId="24140" xr:uid="{00000000-0005-0000-0000-000077820000}"/>
    <cellStyle name="Normal 93 6 2 3" xfId="10191" xr:uid="{00000000-0005-0000-0000-000078820000}"/>
    <cellStyle name="Normal 93 6 2 3 2" xfId="19365" xr:uid="{00000000-0005-0000-0000-000079820000}"/>
    <cellStyle name="Normal 93 6 2 3 2 2" xfId="35939" xr:uid="{00000000-0005-0000-0000-00007A820000}"/>
    <cellStyle name="Normal 93 6 2 3 3" xfId="27892" xr:uid="{00000000-0005-0000-0000-00007B820000}"/>
    <cellStyle name="Normal 93 6 2 4" xfId="15626" xr:uid="{00000000-0005-0000-0000-00007C820000}"/>
    <cellStyle name="Normal 93 6 2 4 2" xfId="32182" xr:uid="{00000000-0005-0000-0000-00007D820000}"/>
    <cellStyle name="Normal 93 6 2 5" xfId="24139" xr:uid="{00000000-0005-0000-0000-00007E820000}"/>
    <cellStyle name="Normal 93 6 3" xfId="6366" xr:uid="{00000000-0005-0000-0000-00007F820000}"/>
    <cellStyle name="Normal 93 6 3 2" xfId="10192" xr:uid="{00000000-0005-0000-0000-000080820000}"/>
    <cellStyle name="Normal 93 6 3 2 2" xfId="19366" xr:uid="{00000000-0005-0000-0000-000081820000}"/>
    <cellStyle name="Normal 93 6 3 2 2 2" xfId="35940" xr:uid="{00000000-0005-0000-0000-000082820000}"/>
    <cellStyle name="Normal 93 6 3 2 3" xfId="27893" xr:uid="{00000000-0005-0000-0000-000083820000}"/>
    <cellStyle name="Normal 93 6 3 3" xfId="15628" xr:uid="{00000000-0005-0000-0000-000084820000}"/>
    <cellStyle name="Normal 93 6 3 3 2" xfId="32184" xr:uid="{00000000-0005-0000-0000-000085820000}"/>
    <cellStyle name="Normal 93 6 3 4" xfId="24141" xr:uid="{00000000-0005-0000-0000-000086820000}"/>
    <cellStyle name="Normal 93 6 4" xfId="10193" xr:uid="{00000000-0005-0000-0000-000087820000}"/>
    <cellStyle name="Normal 93 6 4 2" xfId="19367" xr:uid="{00000000-0005-0000-0000-000088820000}"/>
    <cellStyle name="Normal 93 6 4 2 2" xfId="35941" xr:uid="{00000000-0005-0000-0000-000089820000}"/>
    <cellStyle name="Normal 93 6 4 3" xfId="27894" xr:uid="{00000000-0005-0000-0000-00008A820000}"/>
    <cellStyle name="Normal 93 6 5" xfId="15625" xr:uid="{00000000-0005-0000-0000-00008B820000}"/>
    <cellStyle name="Normal 93 6 5 2" xfId="32181" xr:uid="{00000000-0005-0000-0000-00008C820000}"/>
    <cellStyle name="Normal 93 6 6" xfId="24138" xr:uid="{00000000-0005-0000-0000-00008D820000}"/>
    <cellStyle name="Normal 93 7" xfId="6367" xr:uid="{00000000-0005-0000-0000-00008E820000}"/>
    <cellStyle name="Normal 93 7 2" xfId="6368" xr:uid="{00000000-0005-0000-0000-00008F820000}"/>
    <cellStyle name="Normal 93 7 2 2" xfId="10194" xr:uid="{00000000-0005-0000-0000-000090820000}"/>
    <cellStyle name="Normal 93 7 2 2 2" xfId="19368" xr:uid="{00000000-0005-0000-0000-000091820000}"/>
    <cellStyle name="Normal 93 7 2 2 2 2" xfId="35942" xr:uid="{00000000-0005-0000-0000-000092820000}"/>
    <cellStyle name="Normal 93 7 2 2 3" xfId="27895" xr:uid="{00000000-0005-0000-0000-000093820000}"/>
    <cellStyle name="Normal 93 7 2 3" xfId="15630" xr:uid="{00000000-0005-0000-0000-000094820000}"/>
    <cellStyle name="Normal 93 7 2 3 2" xfId="32186" xr:uid="{00000000-0005-0000-0000-000095820000}"/>
    <cellStyle name="Normal 93 7 2 4" xfId="24143" xr:uid="{00000000-0005-0000-0000-000096820000}"/>
    <cellStyle name="Normal 93 7 3" xfId="10195" xr:uid="{00000000-0005-0000-0000-000097820000}"/>
    <cellStyle name="Normal 93 7 3 2" xfId="19369" xr:uid="{00000000-0005-0000-0000-000098820000}"/>
    <cellStyle name="Normal 93 7 3 2 2" xfId="35943" xr:uid="{00000000-0005-0000-0000-000099820000}"/>
    <cellStyle name="Normal 93 7 3 3" xfId="27896" xr:uid="{00000000-0005-0000-0000-00009A820000}"/>
    <cellStyle name="Normal 93 7 4" xfId="15629" xr:uid="{00000000-0005-0000-0000-00009B820000}"/>
    <cellStyle name="Normal 93 7 4 2" xfId="32185" xr:uid="{00000000-0005-0000-0000-00009C820000}"/>
    <cellStyle name="Normal 93 7 5" xfId="24142" xr:uid="{00000000-0005-0000-0000-00009D820000}"/>
    <cellStyle name="Normal 93 8" xfId="6369" xr:uid="{00000000-0005-0000-0000-00009E820000}"/>
    <cellStyle name="Normal 93 8 2" xfId="10196" xr:uid="{00000000-0005-0000-0000-00009F820000}"/>
    <cellStyle name="Normal 93 8 2 2" xfId="19370" xr:uid="{00000000-0005-0000-0000-0000A0820000}"/>
    <cellStyle name="Normal 93 8 2 2 2" xfId="35944" xr:uid="{00000000-0005-0000-0000-0000A1820000}"/>
    <cellStyle name="Normal 93 8 2 3" xfId="27897" xr:uid="{00000000-0005-0000-0000-0000A2820000}"/>
    <cellStyle name="Normal 93 8 3" xfId="15631" xr:uid="{00000000-0005-0000-0000-0000A3820000}"/>
    <cellStyle name="Normal 93 8 3 2" xfId="32187" xr:uid="{00000000-0005-0000-0000-0000A4820000}"/>
    <cellStyle name="Normal 93 8 4" xfId="24144" xr:uid="{00000000-0005-0000-0000-0000A5820000}"/>
    <cellStyle name="Normal 93 9" xfId="10197" xr:uid="{00000000-0005-0000-0000-0000A6820000}"/>
    <cellStyle name="Normal 93 9 2" xfId="19371" xr:uid="{00000000-0005-0000-0000-0000A7820000}"/>
    <cellStyle name="Normal 93 9 2 2" xfId="35945" xr:uid="{00000000-0005-0000-0000-0000A8820000}"/>
    <cellStyle name="Normal 93 9 3" xfId="27898" xr:uid="{00000000-0005-0000-0000-0000A9820000}"/>
    <cellStyle name="Normal 94" xfId="6370" xr:uid="{00000000-0005-0000-0000-0000AA820000}"/>
    <cellStyle name="Normal 94 10" xfId="15632" xr:uid="{00000000-0005-0000-0000-0000AB820000}"/>
    <cellStyle name="Normal 94 10 2" xfId="32188" xr:uid="{00000000-0005-0000-0000-0000AC820000}"/>
    <cellStyle name="Normal 94 11" xfId="24145" xr:uid="{00000000-0005-0000-0000-0000AD820000}"/>
    <cellStyle name="Normal 94 2" xfId="6371" xr:uid="{00000000-0005-0000-0000-0000AE820000}"/>
    <cellStyle name="Normal 94 2 2" xfId="6372" xr:uid="{00000000-0005-0000-0000-0000AF820000}"/>
    <cellStyle name="Normal 94 2 3" xfId="15633" xr:uid="{00000000-0005-0000-0000-0000B0820000}"/>
    <cellStyle name="Normal 94 2 3 2" xfId="32189" xr:uid="{00000000-0005-0000-0000-0000B1820000}"/>
    <cellStyle name="Normal 94 2 4" xfId="24146" xr:uid="{00000000-0005-0000-0000-0000B2820000}"/>
    <cellStyle name="Normal 94 3" xfId="6373" xr:uid="{00000000-0005-0000-0000-0000B3820000}"/>
    <cellStyle name="Normal 94 3 2" xfId="6374" xr:uid="{00000000-0005-0000-0000-0000B4820000}"/>
    <cellStyle name="Normal 94 3 2 2" xfId="6375" xr:uid="{00000000-0005-0000-0000-0000B5820000}"/>
    <cellStyle name="Normal 94 3 2 2 2" xfId="6376" xr:uid="{00000000-0005-0000-0000-0000B6820000}"/>
    <cellStyle name="Normal 94 3 2 2 2 2" xfId="10198" xr:uid="{00000000-0005-0000-0000-0000B7820000}"/>
    <cellStyle name="Normal 94 3 2 2 2 2 2" xfId="19372" xr:uid="{00000000-0005-0000-0000-0000B8820000}"/>
    <cellStyle name="Normal 94 3 2 2 2 2 2 2" xfId="35946" xr:uid="{00000000-0005-0000-0000-0000B9820000}"/>
    <cellStyle name="Normal 94 3 2 2 2 2 3" xfId="27899" xr:uid="{00000000-0005-0000-0000-0000BA820000}"/>
    <cellStyle name="Normal 94 3 2 2 2 3" xfId="15636" xr:uid="{00000000-0005-0000-0000-0000BB820000}"/>
    <cellStyle name="Normal 94 3 2 2 2 3 2" xfId="32192" xr:uid="{00000000-0005-0000-0000-0000BC820000}"/>
    <cellStyle name="Normal 94 3 2 2 2 4" xfId="24149" xr:uid="{00000000-0005-0000-0000-0000BD820000}"/>
    <cellStyle name="Normal 94 3 2 2 3" xfId="10199" xr:uid="{00000000-0005-0000-0000-0000BE820000}"/>
    <cellStyle name="Normal 94 3 2 2 3 2" xfId="19373" xr:uid="{00000000-0005-0000-0000-0000BF820000}"/>
    <cellStyle name="Normal 94 3 2 2 3 2 2" xfId="35947" xr:uid="{00000000-0005-0000-0000-0000C0820000}"/>
    <cellStyle name="Normal 94 3 2 2 3 3" xfId="27900" xr:uid="{00000000-0005-0000-0000-0000C1820000}"/>
    <cellStyle name="Normal 94 3 2 2 4" xfId="15635" xr:uid="{00000000-0005-0000-0000-0000C2820000}"/>
    <cellStyle name="Normal 94 3 2 2 4 2" xfId="32191" xr:uid="{00000000-0005-0000-0000-0000C3820000}"/>
    <cellStyle name="Normal 94 3 2 2 5" xfId="24148" xr:uid="{00000000-0005-0000-0000-0000C4820000}"/>
    <cellStyle name="Normal 94 3 2 3" xfId="6377" xr:uid="{00000000-0005-0000-0000-0000C5820000}"/>
    <cellStyle name="Normal 94 3 2 3 2" xfId="10200" xr:uid="{00000000-0005-0000-0000-0000C6820000}"/>
    <cellStyle name="Normal 94 3 2 3 2 2" xfId="19374" xr:uid="{00000000-0005-0000-0000-0000C7820000}"/>
    <cellStyle name="Normal 94 3 2 3 2 2 2" xfId="35948" xr:uid="{00000000-0005-0000-0000-0000C8820000}"/>
    <cellStyle name="Normal 94 3 2 3 2 3" xfId="27901" xr:uid="{00000000-0005-0000-0000-0000C9820000}"/>
    <cellStyle name="Normal 94 3 2 3 3" xfId="15637" xr:uid="{00000000-0005-0000-0000-0000CA820000}"/>
    <cellStyle name="Normal 94 3 2 3 3 2" xfId="32193" xr:uid="{00000000-0005-0000-0000-0000CB820000}"/>
    <cellStyle name="Normal 94 3 2 3 4" xfId="24150" xr:uid="{00000000-0005-0000-0000-0000CC820000}"/>
    <cellStyle name="Normal 94 3 2 4" xfId="10201" xr:uid="{00000000-0005-0000-0000-0000CD820000}"/>
    <cellStyle name="Normal 94 3 2 4 2" xfId="19375" xr:uid="{00000000-0005-0000-0000-0000CE820000}"/>
    <cellStyle name="Normal 94 3 2 4 2 2" xfId="35949" xr:uid="{00000000-0005-0000-0000-0000CF820000}"/>
    <cellStyle name="Normal 94 3 2 4 3" xfId="27902" xr:uid="{00000000-0005-0000-0000-0000D0820000}"/>
    <cellStyle name="Normal 94 3 2 5" xfId="15634" xr:uid="{00000000-0005-0000-0000-0000D1820000}"/>
    <cellStyle name="Normal 94 3 2 5 2" xfId="32190" xr:uid="{00000000-0005-0000-0000-0000D2820000}"/>
    <cellStyle name="Normal 94 3 2 6" xfId="24147" xr:uid="{00000000-0005-0000-0000-0000D3820000}"/>
    <cellStyle name="Normal 94 3 3" xfId="6378" xr:uid="{00000000-0005-0000-0000-0000D4820000}"/>
    <cellStyle name="Normal 94 3 3 2" xfId="6379" xr:uid="{00000000-0005-0000-0000-0000D5820000}"/>
    <cellStyle name="Normal 94 3 3 2 2" xfId="10202" xr:uid="{00000000-0005-0000-0000-0000D6820000}"/>
    <cellStyle name="Normal 94 3 3 2 2 2" xfId="19376" xr:uid="{00000000-0005-0000-0000-0000D7820000}"/>
    <cellStyle name="Normal 94 3 3 2 2 2 2" xfId="35950" xr:uid="{00000000-0005-0000-0000-0000D8820000}"/>
    <cellStyle name="Normal 94 3 3 2 2 3" xfId="27903" xr:uid="{00000000-0005-0000-0000-0000D9820000}"/>
    <cellStyle name="Normal 94 3 3 2 3" xfId="15639" xr:uid="{00000000-0005-0000-0000-0000DA820000}"/>
    <cellStyle name="Normal 94 3 3 2 3 2" xfId="32195" xr:uid="{00000000-0005-0000-0000-0000DB820000}"/>
    <cellStyle name="Normal 94 3 3 2 4" xfId="24152" xr:uid="{00000000-0005-0000-0000-0000DC820000}"/>
    <cellStyle name="Normal 94 3 3 3" xfId="10203" xr:uid="{00000000-0005-0000-0000-0000DD820000}"/>
    <cellStyle name="Normal 94 3 3 3 2" xfId="19377" xr:uid="{00000000-0005-0000-0000-0000DE820000}"/>
    <cellStyle name="Normal 94 3 3 3 2 2" xfId="35951" xr:uid="{00000000-0005-0000-0000-0000DF820000}"/>
    <cellStyle name="Normal 94 3 3 3 3" xfId="27904" xr:uid="{00000000-0005-0000-0000-0000E0820000}"/>
    <cellStyle name="Normal 94 3 3 4" xfId="15638" xr:uid="{00000000-0005-0000-0000-0000E1820000}"/>
    <cellStyle name="Normal 94 3 3 4 2" xfId="32194" xr:uid="{00000000-0005-0000-0000-0000E2820000}"/>
    <cellStyle name="Normal 94 3 3 5" xfId="24151" xr:uid="{00000000-0005-0000-0000-0000E3820000}"/>
    <cellStyle name="Normal 94 3 4" xfId="6380" xr:uid="{00000000-0005-0000-0000-0000E4820000}"/>
    <cellStyle name="Normal 94 3 4 2" xfId="10204" xr:uid="{00000000-0005-0000-0000-0000E5820000}"/>
    <cellStyle name="Normal 94 3 4 2 2" xfId="19378" xr:uid="{00000000-0005-0000-0000-0000E6820000}"/>
    <cellStyle name="Normal 94 3 4 2 2 2" xfId="35952" xr:uid="{00000000-0005-0000-0000-0000E7820000}"/>
    <cellStyle name="Normal 94 3 4 2 3" xfId="27905" xr:uid="{00000000-0005-0000-0000-0000E8820000}"/>
    <cellStyle name="Normal 94 3 4 3" xfId="15640" xr:uid="{00000000-0005-0000-0000-0000E9820000}"/>
    <cellStyle name="Normal 94 3 4 3 2" xfId="32196" xr:uid="{00000000-0005-0000-0000-0000EA820000}"/>
    <cellStyle name="Normal 94 3 4 4" xfId="24153" xr:uid="{00000000-0005-0000-0000-0000EB820000}"/>
    <cellStyle name="Normal 94 3 5" xfId="6381" xr:uid="{00000000-0005-0000-0000-0000EC820000}"/>
    <cellStyle name="Normal 94 3 5 2" xfId="15641" xr:uid="{00000000-0005-0000-0000-0000ED820000}"/>
    <cellStyle name="Normal 94 3 5 2 2" xfId="32197" xr:uid="{00000000-0005-0000-0000-0000EE820000}"/>
    <cellStyle name="Normal 94 3 5 3" xfId="24154" xr:uid="{00000000-0005-0000-0000-0000EF820000}"/>
    <cellStyle name="Normal 94 4" xfId="6382" xr:uid="{00000000-0005-0000-0000-0000F0820000}"/>
    <cellStyle name="Normal 94 4 2" xfId="6383" xr:uid="{00000000-0005-0000-0000-0000F1820000}"/>
    <cellStyle name="Normal 94 4 2 2" xfId="6384" xr:uid="{00000000-0005-0000-0000-0000F2820000}"/>
    <cellStyle name="Normal 94 4 2 2 2" xfId="6385" xr:uid="{00000000-0005-0000-0000-0000F3820000}"/>
    <cellStyle name="Normal 94 4 2 2 2 2" xfId="10205" xr:uid="{00000000-0005-0000-0000-0000F4820000}"/>
    <cellStyle name="Normal 94 4 2 2 2 2 2" xfId="19379" xr:uid="{00000000-0005-0000-0000-0000F5820000}"/>
    <cellStyle name="Normal 94 4 2 2 2 2 2 2" xfId="35953" xr:uid="{00000000-0005-0000-0000-0000F6820000}"/>
    <cellStyle name="Normal 94 4 2 2 2 2 3" xfId="27906" xr:uid="{00000000-0005-0000-0000-0000F7820000}"/>
    <cellStyle name="Normal 94 4 2 2 2 3" xfId="15645" xr:uid="{00000000-0005-0000-0000-0000F8820000}"/>
    <cellStyle name="Normal 94 4 2 2 2 3 2" xfId="32201" xr:uid="{00000000-0005-0000-0000-0000F9820000}"/>
    <cellStyle name="Normal 94 4 2 2 2 4" xfId="24158" xr:uid="{00000000-0005-0000-0000-0000FA820000}"/>
    <cellStyle name="Normal 94 4 2 2 3" xfId="10206" xr:uid="{00000000-0005-0000-0000-0000FB820000}"/>
    <cellStyle name="Normal 94 4 2 2 3 2" xfId="19380" xr:uid="{00000000-0005-0000-0000-0000FC820000}"/>
    <cellStyle name="Normal 94 4 2 2 3 2 2" xfId="35954" xr:uid="{00000000-0005-0000-0000-0000FD820000}"/>
    <cellStyle name="Normal 94 4 2 2 3 3" xfId="27907" xr:uid="{00000000-0005-0000-0000-0000FE820000}"/>
    <cellStyle name="Normal 94 4 2 2 4" xfId="15644" xr:uid="{00000000-0005-0000-0000-0000FF820000}"/>
    <cellStyle name="Normal 94 4 2 2 4 2" xfId="32200" xr:uid="{00000000-0005-0000-0000-000000830000}"/>
    <cellStyle name="Normal 94 4 2 2 5" xfId="24157" xr:uid="{00000000-0005-0000-0000-000001830000}"/>
    <cellStyle name="Normal 94 4 2 3" xfId="6386" xr:uid="{00000000-0005-0000-0000-000002830000}"/>
    <cellStyle name="Normal 94 4 2 3 2" xfId="10207" xr:uid="{00000000-0005-0000-0000-000003830000}"/>
    <cellStyle name="Normal 94 4 2 3 2 2" xfId="19381" xr:uid="{00000000-0005-0000-0000-000004830000}"/>
    <cellStyle name="Normal 94 4 2 3 2 2 2" xfId="35955" xr:uid="{00000000-0005-0000-0000-000005830000}"/>
    <cellStyle name="Normal 94 4 2 3 2 3" xfId="27908" xr:uid="{00000000-0005-0000-0000-000006830000}"/>
    <cellStyle name="Normal 94 4 2 3 3" xfId="15646" xr:uid="{00000000-0005-0000-0000-000007830000}"/>
    <cellStyle name="Normal 94 4 2 3 3 2" xfId="32202" xr:uid="{00000000-0005-0000-0000-000008830000}"/>
    <cellStyle name="Normal 94 4 2 3 4" xfId="24159" xr:uid="{00000000-0005-0000-0000-000009830000}"/>
    <cellStyle name="Normal 94 4 2 4" xfId="10208" xr:uid="{00000000-0005-0000-0000-00000A830000}"/>
    <cellStyle name="Normal 94 4 2 4 2" xfId="19382" xr:uid="{00000000-0005-0000-0000-00000B830000}"/>
    <cellStyle name="Normal 94 4 2 4 2 2" xfId="35956" xr:uid="{00000000-0005-0000-0000-00000C830000}"/>
    <cellStyle name="Normal 94 4 2 4 3" xfId="27909" xr:uid="{00000000-0005-0000-0000-00000D830000}"/>
    <cellStyle name="Normal 94 4 2 5" xfId="15643" xr:uid="{00000000-0005-0000-0000-00000E830000}"/>
    <cellStyle name="Normal 94 4 2 5 2" xfId="32199" xr:uid="{00000000-0005-0000-0000-00000F830000}"/>
    <cellStyle name="Normal 94 4 2 6" xfId="24156" xr:uid="{00000000-0005-0000-0000-000010830000}"/>
    <cellStyle name="Normal 94 4 3" xfId="6387" xr:uid="{00000000-0005-0000-0000-000011830000}"/>
    <cellStyle name="Normal 94 4 3 2" xfId="6388" xr:uid="{00000000-0005-0000-0000-000012830000}"/>
    <cellStyle name="Normal 94 4 3 2 2" xfId="10209" xr:uid="{00000000-0005-0000-0000-000013830000}"/>
    <cellStyle name="Normal 94 4 3 2 2 2" xfId="19383" xr:uid="{00000000-0005-0000-0000-000014830000}"/>
    <cellStyle name="Normal 94 4 3 2 2 2 2" xfId="35957" xr:uid="{00000000-0005-0000-0000-000015830000}"/>
    <cellStyle name="Normal 94 4 3 2 2 3" xfId="27910" xr:uid="{00000000-0005-0000-0000-000016830000}"/>
    <cellStyle name="Normal 94 4 3 2 3" xfId="15648" xr:uid="{00000000-0005-0000-0000-000017830000}"/>
    <cellStyle name="Normal 94 4 3 2 3 2" xfId="32204" xr:uid="{00000000-0005-0000-0000-000018830000}"/>
    <cellStyle name="Normal 94 4 3 2 4" xfId="24161" xr:uid="{00000000-0005-0000-0000-000019830000}"/>
    <cellStyle name="Normal 94 4 3 3" xfId="10210" xr:uid="{00000000-0005-0000-0000-00001A830000}"/>
    <cellStyle name="Normal 94 4 3 3 2" xfId="19384" xr:uid="{00000000-0005-0000-0000-00001B830000}"/>
    <cellStyle name="Normal 94 4 3 3 2 2" xfId="35958" xr:uid="{00000000-0005-0000-0000-00001C830000}"/>
    <cellStyle name="Normal 94 4 3 3 3" xfId="27911" xr:uid="{00000000-0005-0000-0000-00001D830000}"/>
    <cellStyle name="Normal 94 4 3 4" xfId="15647" xr:uid="{00000000-0005-0000-0000-00001E830000}"/>
    <cellStyle name="Normal 94 4 3 4 2" xfId="32203" xr:uid="{00000000-0005-0000-0000-00001F830000}"/>
    <cellStyle name="Normal 94 4 3 5" xfId="24160" xr:uid="{00000000-0005-0000-0000-000020830000}"/>
    <cellStyle name="Normal 94 4 4" xfId="6389" xr:uid="{00000000-0005-0000-0000-000021830000}"/>
    <cellStyle name="Normal 94 4 4 2" xfId="10211" xr:uid="{00000000-0005-0000-0000-000022830000}"/>
    <cellStyle name="Normal 94 4 4 2 2" xfId="19385" xr:uid="{00000000-0005-0000-0000-000023830000}"/>
    <cellStyle name="Normal 94 4 4 2 2 2" xfId="35959" xr:uid="{00000000-0005-0000-0000-000024830000}"/>
    <cellStyle name="Normal 94 4 4 2 3" xfId="27912" xr:uid="{00000000-0005-0000-0000-000025830000}"/>
    <cellStyle name="Normal 94 4 4 3" xfId="15649" xr:uid="{00000000-0005-0000-0000-000026830000}"/>
    <cellStyle name="Normal 94 4 4 3 2" xfId="32205" xr:uid="{00000000-0005-0000-0000-000027830000}"/>
    <cellStyle name="Normal 94 4 4 4" xfId="24162" xr:uid="{00000000-0005-0000-0000-000028830000}"/>
    <cellStyle name="Normal 94 4 5" xfId="10212" xr:uid="{00000000-0005-0000-0000-000029830000}"/>
    <cellStyle name="Normal 94 4 5 2" xfId="19386" xr:uid="{00000000-0005-0000-0000-00002A830000}"/>
    <cellStyle name="Normal 94 4 5 2 2" xfId="35960" xr:uid="{00000000-0005-0000-0000-00002B830000}"/>
    <cellStyle name="Normal 94 4 5 3" xfId="27913" xr:uid="{00000000-0005-0000-0000-00002C830000}"/>
    <cellStyle name="Normal 94 4 6" xfId="15642" xr:uid="{00000000-0005-0000-0000-00002D830000}"/>
    <cellStyle name="Normal 94 4 6 2" xfId="32198" xr:uid="{00000000-0005-0000-0000-00002E830000}"/>
    <cellStyle name="Normal 94 4 7" xfId="24155" xr:uid="{00000000-0005-0000-0000-00002F830000}"/>
    <cellStyle name="Normal 94 5" xfId="6390" xr:uid="{00000000-0005-0000-0000-000030830000}"/>
    <cellStyle name="Normal 94 5 2" xfId="6391" xr:uid="{00000000-0005-0000-0000-000031830000}"/>
    <cellStyle name="Normal 94 5 2 2" xfId="6392" xr:uid="{00000000-0005-0000-0000-000032830000}"/>
    <cellStyle name="Normal 94 5 2 2 2" xfId="6393" xr:uid="{00000000-0005-0000-0000-000033830000}"/>
    <cellStyle name="Normal 94 5 2 2 2 2" xfId="10213" xr:uid="{00000000-0005-0000-0000-000034830000}"/>
    <cellStyle name="Normal 94 5 2 2 2 2 2" xfId="19387" xr:uid="{00000000-0005-0000-0000-000035830000}"/>
    <cellStyle name="Normal 94 5 2 2 2 2 2 2" xfId="35961" xr:uid="{00000000-0005-0000-0000-000036830000}"/>
    <cellStyle name="Normal 94 5 2 2 2 2 3" xfId="27914" xr:uid="{00000000-0005-0000-0000-000037830000}"/>
    <cellStyle name="Normal 94 5 2 2 2 3" xfId="15653" xr:uid="{00000000-0005-0000-0000-000038830000}"/>
    <cellStyle name="Normal 94 5 2 2 2 3 2" xfId="32209" xr:uid="{00000000-0005-0000-0000-000039830000}"/>
    <cellStyle name="Normal 94 5 2 2 2 4" xfId="24166" xr:uid="{00000000-0005-0000-0000-00003A830000}"/>
    <cellStyle name="Normal 94 5 2 2 3" xfId="10214" xr:uid="{00000000-0005-0000-0000-00003B830000}"/>
    <cellStyle name="Normal 94 5 2 2 3 2" xfId="19388" xr:uid="{00000000-0005-0000-0000-00003C830000}"/>
    <cellStyle name="Normal 94 5 2 2 3 2 2" xfId="35962" xr:uid="{00000000-0005-0000-0000-00003D830000}"/>
    <cellStyle name="Normal 94 5 2 2 3 3" xfId="27915" xr:uid="{00000000-0005-0000-0000-00003E830000}"/>
    <cellStyle name="Normal 94 5 2 2 4" xfId="15652" xr:uid="{00000000-0005-0000-0000-00003F830000}"/>
    <cellStyle name="Normal 94 5 2 2 4 2" xfId="32208" xr:uid="{00000000-0005-0000-0000-000040830000}"/>
    <cellStyle name="Normal 94 5 2 2 5" xfId="24165" xr:uid="{00000000-0005-0000-0000-000041830000}"/>
    <cellStyle name="Normal 94 5 2 3" xfId="6394" xr:uid="{00000000-0005-0000-0000-000042830000}"/>
    <cellStyle name="Normal 94 5 2 3 2" xfId="10215" xr:uid="{00000000-0005-0000-0000-000043830000}"/>
    <cellStyle name="Normal 94 5 2 3 2 2" xfId="19389" xr:uid="{00000000-0005-0000-0000-000044830000}"/>
    <cellStyle name="Normal 94 5 2 3 2 2 2" xfId="35963" xr:uid="{00000000-0005-0000-0000-000045830000}"/>
    <cellStyle name="Normal 94 5 2 3 2 3" xfId="27916" xr:uid="{00000000-0005-0000-0000-000046830000}"/>
    <cellStyle name="Normal 94 5 2 3 3" xfId="15654" xr:uid="{00000000-0005-0000-0000-000047830000}"/>
    <cellStyle name="Normal 94 5 2 3 3 2" xfId="32210" xr:uid="{00000000-0005-0000-0000-000048830000}"/>
    <cellStyle name="Normal 94 5 2 3 4" xfId="24167" xr:uid="{00000000-0005-0000-0000-000049830000}"/>
    <cellStyle name="Normal 94 5 2 4" xfId="10216" xr:uid="{00000000-0005-0000-0000-00004A830000}"/>
    <cellStyle name="Normal 94 5 2 4 2" xfId="19390" xr:uid="{00000000-0005-0000-0000-00004B830000}"/>
    <cellStyle name="Normal 94 5 2 4 2 2" xfId="35964" xr:uid="{00000000-0005-0000-0000-00004C830000}"/>
    <cellStyle name="Normal 94 5 2 4 3" xfId="27917" xr:uid="{00000000-0005-0000-0000-00004D830000}"/>
    <cellStyle name="Normal 94 5 2 5" xfId="15651" xr:uid="{00000000-0005-0000-0000-00004E830000}"/>
    <cellStyle name="Normal 94 5 2 5 2" xfId="32207" xr:uid="{00000000-0005-0000-0000-00004F830000}"/>
    <cellStyle name="Normal 94 5 2 6" xfId="24164" xr:uid="{00000000-0005-0000-0000-000050830000}"/>
    <cellStyle name="Normal 94 5 3" xfId="6395" xr:uid="{00000000-0005-0000-0000-000051830000}"/>
    <cellStyle name="Normal 94 5 3 2" xfId="6396" xr:uid="{00000000-0005-0000-0000-000052830000}"/>
    <cellStyle name="Normal 94 5 3 2 2" xfId="10217" xr:uid="{00000000-0005-0000-0000-000053830000}"/>
    <cellStyle name="Normal 94 5 3 2 2 2" xfId="19391" xr:uid="{00000000-0005-0000-0000-000054830000}"/>
    <cellStyle name="Normal 94 5 3 2 2 2 2" xfId="35965" xr:uid="{00000000-0005-0000-0000-000055830000}"/>
    <cellStyle name="Normal 94 5 3 2 2 3" xfId="27918" xr:uid="{00000000-0005-0000-0000-000056830000}"/>
    <cellStyle name="Normal 94 5 3 2 3" xfId="15656" xr:uid="{00000000-0005-0000-0000-000057830000}"/>
    <cellStyle name="Normal 94 5 3 2 3 2" xfId="32212" xr:uid="{00000000-0005-0000-0000-000058830000}"/>
    <cellStyle name="Normal 94 5 3 2 4" xfId="24169" xr:uid="{00000000-0005-0000-0000-000059830000}"/>
    <cellStyle name="Normal 94 5 3 3" xfId="10218" xr:uid="{00000000-0005-0000-0000-00005A830000}"/>
    <cellStyle name="Normal 94 5 3 3 2" xfId="19392" xr:uid="{00000000-0005-0000-0000-00005B830000}"/>
    <cellStyle name="Normal 94 5 3 3 2 2" xfId="35966" xr:uid="{00000000-0005-0000-0000-00005C830000}"/>
    <cellStyle name="Normal 94 5 3 3 3" xfId="27919" xr:uid="{00000000-0005-0000-0000-00005D830000}"/>
    <cellStyle name="Normal 94 5 3 4" xfId="15655" xr:uid="{00000000-0005-0000-0000-00005E830000}"/>
    <cellStyle name="Normal 94 5 3 4 2" xfId="32211" xr:uid="{00000000-0005-0000-0000-00005F830000}"/>
    <cellStyle name="Normal 94 5 3 5" xfId="24168" xr:uid="{00000000-0005-0000-0000-000060830000}"/>
    <cellStyle name="Normal 94 5 4" xfId="6397" xr:uid="{00000000-0005-0000-0000-000061830000}"/>
    <cellStyle name="Normal 94 5 4 2" xfId="10219" xr:uid="{00000000-0005-0000-0000-000062830000}"/>
    <cellStyle name="Normal 94 5 4 2 2" xfId="19393" xr:uid="{00000000-0005-0000-0000-000063830000}"/>
    <cellStyle name="Normal 94 5 4 2 2 2" xfId="35967" xr:uid="{00000000-0005-0000-0000-000064830000}"/>
    <cellStyle name="Normal 94 5 4 2 3" xfId="27920" xr:uid="{00000000-0005-0000-0000-000065830000}"/>
    <cellStyle name="Normal 94 5 4 3" xfId="15657" xr:uid="{00000000-0005-0000-0000-000066830000}"/>
    <cellStyle name="Normal 94 5 4 3 2" xfId="32213" xr:uid="{00000000-0005-0000-0000-000067830000}"/>
    <cellStyle name="Normal 94 5 4 4" xfId="24170" xr:uid="{00000000-0005-0000-0000-000068830000}"/>
    <cellStyle name="Normal 94 5 5" xfId="10220" xr:uid="{00000000-0005-0000-0000-000069830000}"/>
    <cellStyle name="Normal 94 5 5 2" xfId="19394" xr:uid="{00000000-0005-0000-0000-00006A830000}"/>
    <cellStyle name="Normal 94 5 5 2 2" xfId="35968" xr:uid="{00000000-0005-0000-0000-00006B830000}"/>
    <cellStyle name="Normal 94 5 5 3" xfId="27921" xr:uid="{00000000-0005-0000-0000-00006C830000}"/>
    <cellStyle name="Normal 94 5 6" xfId="15650" xr:uid="{00000000-0005-0000-0000-00006D830000}"/>
    <cellStyle name="Normal 94 5 6 2" xfId="32206" xr:uid="{00000000-0005-0000-0000-00006E830000}"/>
    <cellStyle name="Normal 94 5 7" xfId="24163" xr:uid="{00000000-0005-0000-0000-00006F830000}"/>
    <cellStyle name="Normal 94 6" xfId="6398" xr:uid="{00000000-0005-0000-0000-000070830000}"/>
    <cellStyle name="Normal 94 6 2" xfId="6399" xr:uid="{00000000-0005-0000-0000-000071830000}"/>
    <cellStyle name="Normal 94 6 2 2" xfId="6400" xr:uid="{00000000-0005-0000-0000-000072830000}"/>
    <cellStyle name="Normal 94 6 2 2 2" xfId="10221" xr:uid="{00000000-0005-0000-0000-000073830000}"/>
    <cellStyle name="Normal 94 6 2 2 2 2" xfId="19395" xr:uid="{00000000-0005-0000-0000-000074830000}"/>
    <cellStyle name="Normal 94 6 2 2 2 2 2" xfId="35969" xr:uid="{00000000-0005-0000-0000-000075830000}"/>
    <cellStyle name="Normal 94 6 2 2 2 3" xfId="27922" xr:uid="{00000000-0005-0000-0000-000076830000}"/>
    <cellStyle name="Normal 94 6 2 2 3" xfId="15660" xr:uid="{00000000-0005-0000-0000-000077830000}"/>
    <cellStyle name="Normal 94 6 2 2 3 2" xfId="32216" xr:uid="{00000000-0005-0000-0000-000078830000}"/>
    <cellStyle name="Normal 94 6 2 2 4" xfId="24173" xr:uid="{00000000-0005-0000-0000-000079830000}"/>
    <cellStyle name="Normal 94 6 2 3" xfId="10222" xr:uid="{00000000-0005-0000-0000-00007A830000}"/>
    <cellStyle name="Normal 94 6 2 3 2" xfId="19396" xr:uid="{00000000-0005-0000-0000-00007B830000}"/>
    <cellStyle name="Normal 94 6 2 3 2 2" xfId="35970" xr:uid="{00000000-0005-0000-0000-00007C830000}"/>
    <cellStyle name="Normal 94 6 2 3 3" xfId="27923" xr:uid="{00000000-0005-0000-0000-00007D830000}"/>
    <cellStyle name="Normal 94 6 2 4" xfId="15659" xr:uid="{00000000-0005-0000-0000-00007E830000}"/>
    <cellStyle name="Normal 94 6 2 4 2" xfId="32215" xr:uid="{00000000-0005-0000-0000-00007F830000}"/>
    <cellStyle name="Normal 94 6 2 5" xfId="24172" xr:uid="{00000000-0005-0000-0000-000080830000}"/>
    <cellStyle name="Normal 94 6 3" xfId="6401" xr:uid="{00000000-0005-0000-0000-000081830000}"/>
    <cellStyle name="Normal 94 6 3 2" xfId="10223" xr:uid="{00000000-0005-0000-0000-000082830000}"/>
    <cellStyle name="Normal 94 6 3 2 2" xfId="19397" xr:uid="{00000000-0005-0000-0000-000083830000}"/>
    <cellStyle name="Normal 94 6 3 2 2 2" xfId="35971" xr:uid="{00000000-0005-0000-0000-000084830000}"/>
    <cellStyle name="Normal 94 6 3 2 3" xfId="27924" xr:uid="{00000000-0005-0000-0000-000085830000}"/>
    <cellStyle name="Normal 94 6 3 3" xfId="15661" xr:uid="{00000000-0005-0000-0000-000086830000}"/>
    <cellStyle name="Normal 94 6 3 3 2" xfId="32217" xr:uid="{00000000-0005-0000-0000-000087830000}"/>
    <cellStyle name="Normal 94 6 3 4" xfId="24174" xr:uid="{00000000-0005-0000-0000-000088830000}"/>
    <cellStyle name="Normal 94 6 4" xfId="10224" xr:uid="{00000000-0005-0000-0000-000089830000}"/>
    <cellStyle name="Normal 94 6 4 2" xfId="19398" xr:uid="{00000000-0005-0000-0000-00008A830000}"/>
    <cellStyle name="Normal 94 6 4 2 2" xfId="35972" xr:uid="{00000000-0005-0000-0000-00008B830000}"/>
    <cellStyle name="Normal 94 6 4 3" xfId="27925" xr:uid="{00000000-0005-0000-0000-00008C830000}"/>
    <cellStyle name="Normal 94 6 5" xfId="15658" xr:uid="{00000000-0005-0000-0000-00008D830000}"/>
    <cellStyle name="Normal 94 6 5 2" xfId="32214" xr:uid="{00000000-0005-0000-0000-00008E830000}"/>
    <cellStyle name="Normal 94 6 6" xfId="24171" xr:uid="{00000000-0005-0000-0000-00008F830000}"/>
    <cellStyle name="Normal 94 7" xfId="6402" xr:uid="{00000000-0005-0000-0000-000090830000}"/>
    <cellStyle name="Normal 94 7 2" xfId="6403" xr:uid="{00000000-0005-0000-0000-000091830000}"/>
    <cellStyle name="Normal 94 7 2 2" xfId="10225" xr:uid="{00000000-0005-0000-0000-000092830000}"/>
    <cellStyle name="Normal 94 7 2 2 2" xfId="19399" xr:uid="{00000000-0005-0000-0000-000093830000}"/>
    <cellStyle name="Normal 94 7 2 2 2 2" xfId="35973" xr:uid="{00000000-0005-0000-0000-000094830000}"/>
    <cellStyle name="Normal 94 7 2 2 3" xfId="27926" xr:uid="{00000000-0005-0000-0000-000095830000}"/>
    <cellStyle name="Normal 94 7 2 3" xfId="15663" xr:uid="{00000000-0005-0000-0000-000096830000}"/>
    <cellStyle name="Normal 94 7 2 3 2" xfId="32219" xr:uid="{00000000-0005-0000-0000-000097830000}"/>
    <cellStyle name="Normal 94 7 2 4" xfId="24176" xr:uid="{00000000-0005-0000-0000-000098830000}"/>
    <cellStyle name="Normal 94 7 3" xfId="10226" xr:uid="{00000000-0005-0000-0000-000099830000}"/>
    <cellStyle name="Normal 94 7 3 2" xfId="19400" xr:uid="{00000000-0005-0000-0000-00009A830000}"/>
    <cellStyle name="Normal 94 7 3 2 2" xfId="35974" xr:uid="{00000000-0005-0000-0000-00009B830000}"/>
    <cellStyle name="Normal 94 7 3 3" xfId="27927" xr:uid="{00000000-0005-0000-0000-00009C830000}"/>
    <cellStyle name="Normal 94 7 4" xfId="15662" xr:uid="{00000000-0005-0000-0000-00009D830000}"/>
    <cellStyle name="Normal 94 7 4 2" xfId="32218" xr:uid="{00000000-0005-0000-0000-00009E830000}"/>
    <cellStyle name="Normal 94 7 5" xfId="24175" xr:uid="{00000000-0005-0000-0000-00009F830000}"/>
    <cellStyle name="Normal 94 8" xfId="6404" xr:uid="{00000000-0005-0000-0000-0000A0830000}"/>
    <cellStyle name="Normal 94 8 2" xfId="10227" xr:uid="{00000000-0005-0000-0000-0000A1830000}"/>
    <cellStyle name="Normal 94 8 2 2" xfId="19401" xr:uid="{00000000-0005-0000-0000-0000A2830000}"/>
    <cellStyle name="Normal 94 8 2 2 2" xfId="35975" xr:uid="{00000000-0005-0000-0000-0000A3830000}"/>
    <cellStyle name="Normal 94 8 2 3" xfId="27928" xr:uid="{00000000-0005-0000-0000-0000A4830000}"/>
    <cellStyle name="Normal 94 8 3" xfId="15664" xr:uid="{00000000-0005-0000-0000-0000A5830000}"/>
    <cellStyle name="Normal 94 8 3 2" xfId="32220" xr:uid="{00000000-0005-0000-0000-0000A6830000}"/>
    <cellStyle name="Normal 94 8 4" xfId="24177" xr:uid="{00000000-0005-0000-0000-0000A7830000}"/>
    <cellStyle name="Normal 94 9" xfId="10228" xr:uid="{00000000-0005-0000-0000-0000A8830000}"/>
    <cellStyle name="Normal 94 9 2" xfId="19402" xr:uid="{00000000-0005-0000-0000-0000A9830000}"/>
    <cellStyle name="Normal 94 9 2 2" xfId="35976" xr:uid="{00000000-0005-0000-0000-0000AA830000}"/>
    <cellStyle name="Normal 94 9 3" xfId="27929" xr:uid="{00000000-0005-0000-0000-0000AB830000}"/>
    <cellStyle name="Normal 95" xfId="6405" xr:uid="{00000000-0005-0000-0000-0000AC830000}"/>
    <cellStyle name="Normal 95 10" xfId="15665" xr:uid="{00000000-0005-0000-0000-0000AD830000}"/>
    <cellStyle name="Normal 95 10 2" xfId="32221" xr:uid="{00000000-0005-0000-0000-0000AE830000}"/>
    <cellStyle name="Normal 95 11" xfId="24178" xr:uid="{00000000-0005-0000-0000-0000AF830000}"/>
    <cellStyle name="Normal 95 2" xfId="6406" xr:uid="{00000000-0005-0000-0000-0000B0830000}"/>
    <cellStyle name="Normal 95 2 2" xfId="6407" xr:uid="{00000000-0005-0000-0000-0000B1830000}"/>
    <cellStyle name="Normal 95 2 3" xfId="15666" xr:uid="{00000000-0005-0000-0000-0000B2830000}"/>
    <cellStyle name="Normal 95 2 3 2" xfId="32222" xr:uid="{00000000-0005-0000-0000-0000B3830000}"/>
    <cellStyle name="Normal 95 2 4" xfId="24179" xr:uid="{00000000-0005-0000-0000-0000B4830000}"/>
    <cellStyle name="Normal 95 3" xfId="6408" xr:uid="{00000000-0005-0000-0000-0000B5830000}"/>
    <cellStyle name="Normal 95 3 2" xfId="6409" xr:uid="{00000000-0005-0000-0000-0000B6830000}"/>
    <cellStyle name="Normal 95 3 2 2" xfId="6410" xr:uid="{00000000-0005-0000-0000-0000B7830000}"/>
    <cellStyle name="Normal 95 3 2 2 2" xfId="6411" xr:uid="{00000000-0005-0000-0000-0000B8830000}"/>
    <cellStyle name="Normal 95 3 2 2 2 2" xfId="10229" xr:uid="{00000000-0005-0000-0000-0000B9830000}"/>
    <cellStyle name="Normal 95 3 2 2 2 2 2" xfId="19403" xr:uid="{00000000-0005-0000-0000-0000BA830000}"/>
    <cellStyle name="Normal 95 3 2 2 2 2 2 2" xfId="35977" xr:uid="{00000000-0005-0000-0000-0000BB830000}"/>
    <cellStyle name="Normal 95 3 2 2 2 2 3" xfId="27930" xr:uid="{00000000-0005-0000-0000-0000BC830000}"/>
    <cellStyle name="Normal 95 3 2 2 2 3" xfId="15669" xr:uid="{00000000-0005-0000-0000-0000BD830000}"/>
    <cellStyle name="Normal 95 3 2 2 2 3 2" xfId="32225" xr:uid="{00000000-0005-0000-0000-0000BE830000}"/>
    <cellStyle name="Normal 95 3 2 2 2 4" xfId="24182" xr:uid="{00000000-0005-0000-0000-0000BF830000}"/>
    <cellStyle name="Normal 95 3 2 2 3" xfId="10230" xr:uid="{00000000-0005-0000-0000-0000C0830000}"/>
    <cellStyle name="Normal 95 3 2 2 3 2" xfId="19404" xr:uid="{00000000-0005-0000-0000-0000C1830000}"/>
    <cellStyle name="Normal 95 3 2 2 3 2 2" xfId="35978" xr:uid="{00000000-0005-0000-0000-0000C2830000}"/>
    <cellStyle name="Normal 95 3 2 2 3 3" xfId="27931" xr:uid="{00000000-0005-0000-0000-0000C3830000}"/>
    <cellStyle name="Normal 95 3 2 2 4" xfId="15668" xr:uid="{00000000-0005-0000-0000-0000C4830000}"/>
    <cellStyle name="Normal 95 3 2 2 4 2" xfId="32224" xr:uid="{00000000-0005-0000-0000-0000C5830000}"/>
    <cellStyle name="Normal 95 3 2 2 5" xfId="24181" xr:uid="{00000000-0005-0000-0000-0000C6830000}"/>
    <cellStyle name="Normal 95 3 2 3" xfId="6412" xr:uid="{00000000-0005-0000-0000-0000C7830000}"/>
    <cellStyle name="Normal 95 3 2 3 2" xfId="10231" xr:uid="{00000000-0005-0000-0000-0000C8830000}"/>
    <cellStyle name="Normal 95 3 2 3 2 2" xfId="19405" xr:uid="{00000000-0005-0000-0000-0000C9830000}"/>
    <cellStyle name="Normal 95 3 2 3 2 2 2" xfId="35979" xr:uid="{00000000-0005-0000-0000-0000CA830000}"/>
    <cellStyle name="Normal 95 3 2 3 2 3" xfId="27932" xr:uid="{00000000-0005-0000-0000-0000CB830000}"/>
    <cellStyle name="Normal 95 3 2 3 3" xfId="15670" xr:uid="{00000000-0005-0000-0000-0000CC830000}"/>
    <cellStyle name="Normal 95 3 2 3 3 2" xfId="32226" xr:uid="{00000000-0005-0000-0000-0000CD830000}"/>
    <cellStyle name="Normal 95 3 2 3 4" xfId="24183" xr:uid="{00000000-0005-0000-0000-0000CE830000}"/>
    <cellStyle name="Normal 95 3 2 4" xfId="10232" xr:uid="{00000000-0005-0000-0000-0000CF830000}"/>
    <cellStyle name="Normal 95 3 2 4 2" xfId="19406" xr:uid="{00000000-0005-0000-0000-0000D0830000}"/>
    <cellStyle name="Normal 95 3 2 4 2 2" xfId="35980" xr:uid="{00000000-0005-0000-0000-0000D1830000}"/>
    <cellStyle name="Normal 95 3 2 4 3" xfId="27933" xr:uid="{00000000-0005-0000-0000-0000D2830000}"/>
    <cellStyle name="Normal 95 3 2 5" xfId="15667" xr:uid="{00000000-0005-0000-0000-0000D3830000}"/>
    <cellStyle name="Normal 95 3 2 5 2" xfId="32223" xr:uid="{00000000-0005-0000-0000-0000D4830000}"/>
    <cellStyle name="Normal 95 3 2 6" xfId="24180" xr:uid="{00000000-0005-0000-0000-0000D5830000}"/>
    <cellStyle name="Normal 95 3 3" xfId="6413" xr:uid="{00000000-0005-0000-0000-0000D6830000}"/>
    <cellStyle name="Normal 95 3 3 2" xfId="6414" xr:uid="{00000000-0005-0000-0000-0000D7830000}"/>
    <cellStyle name="Normal 95 3 3 2 2" xfId="10233" xr:uid="{00000000-0005-0000-0000-0000D8830000}"/>
    <cellStyle name="Normal 95 3 3 2 2 2" xfId="19407" xr:uid="{00000000-0005-0000-0000-0000D9830000}"/>
    <cellStyle name="Normal 95 3 3 2 2 2 2" xfId="35981" xr:uid="{00000000-0005-0000-0000-0000DA830000}"/>
    <cellStyle name="Normal 95 3 3 2 2 3" xfId="27934" xr:uid="{00000000-0005-0000-0000-0000DB830000}"/>
    <cellStyle name="Normal 95 3 3 2 3" xfId="15672" xr:uid="{00000000-0005-0000-0000-0000DC830000}"/>
    <cellStyle name="Normal 95 3 3 2 3 2" xfId="32228" xr:uid="{00000000-0005-0000-0000-0000DD830000}"/>
    <cellStyle name="Normal 95 3 3 2 4" xfId="24185" xr:uid="{00000000-0005-0000-0000-0000DE830000}"/>
    <cellStyle name="Normal 95 3 3 3" xfId="10234" xr:uid="{00000000-0005-0000-0000-0000DF830000}"/>
    <cellStyle name="Normal 95 3 3 3 2" xfId="19408" xr:uid="{00000000-0005-0000-0000-0000E0830000}"/>
    <cellStyle name="Normal 95 3 3 3 2 2" xfId="35982" xr:uid="{00000000-0005-0000-0000-0000E1830000}"/>
    <cellStyle name="Normal 95 3 3 3 3" xfId="27935" xr:uid="{00000000-0005-0000-0000-0000E2830000}"/>
    <cellStyle name="Normal 95 3 3 4" xfId="15671" xr:uid="{00000000-0005-0000-0000-0000E3830000}"/>
    <cellStyle name="Normal 95 3 3 4 2" xfId="32227" xr:uid="{00000000-0005-0000-0000-0000E4830000}"/>
    <cellStyle name="Normal 95 3 3 5" xfId="24184" xr:uid="{00000000-0005-0000-0000-0000E5830000}"/>
    <cellStyle name="Normal 95 3 4" xfId="6415" xr:uid="{00000000-0005-0000-0000-0000E6830000}"/>
    <cellStyle name="Normal 95 3 4 2" xfId="10235" xr:uid="{00000000-0005-0000-0000-0000E7830000}"/>
    <cellStyle name="Normal 95 3 4 2 2" xfId="19409" xr:uid="{00000000-0005-0000-0000-0000E8830000}"/>
    <cellStyle name="Normal 95 3 4 2 2 2" xfId="35983" xr:uid="{00000000-0005-0000-0000-0000E9830000}"/>
    <cellStyle name="Normal 95 3 4 2 3" xfId="27936" xr:uid="{00000000-0005-0000-0000-0000EA830000}"/>
    <cellStyle name="Normal 95 3 4 3" xfId="15673" xr:uid="{00000000-0005-0000-0000-0000EB830000}"/>
    <cellStyle name="Normal 95 3 4 3 2" xfId="32229" xr:uid="{00000000-0005-0000-0000-0000EC830000}"/>
    <cellStyle name="Normal 95 3 4 4" xfId="24186" xr:uid="{00000000-0005-0000-0000-0000ED830000}"/>
    <cellStyle name="Normal 95 3 5" xfId="6416" xr:uid="{00000000-0005-0000-0000-0000EE830000}"/>
    <cellStyle name="Normal 95 3 5 2" xfId="15674" xr:uid="{00000000-0005-0000-0000-0000EF830000}"/>
    <cellStyle name="Normal 95 3 5 2 2" xfId="32230" xr:uid="{00000000-0005-0000-0000-0000F0830000}"/>
    <cellStyle name="Normal 95 3 5 3" xfId="24187" xr:uid="{00000000-0005-0000-0000-0000F1830000}"/>
    <cellStyle name="Normal 95 4" xfId="6417" xr:uid="{00000000-0005-0000-0000-0000F2830000}"/>
    <cellStyle name="Normal 95 4 2" xfId="6418" xr:uid="{00000000-0005-0000-0000-0000F3830000}"/>
    <cellStyle name="Normal 95 4 2 2" xfId="6419" xr:uid="{00000000-0005-0000-0000-0000F4830000}"/>
    <cellStyle name="Normal 95 4 2 2 2" xfId="6420" xr:uid="{00000000-0005-0000-0000-0000F5830000}"/>
    <cellStyle name="Normal 95 4 2 2 2 2" xfId="10236" xr:uid="{00000000-0005-0000-0000-0000F6830000}"/>
    <cellStyle name="Normal 95 4 2 2 2 2 2" xfId="19410" xr:uid="{00000000-0005-0000-0000-0000F7830000}"/>
    <cellStyle name="Normal 95 4 2 2 2 2 2 2" xfId="35984" xr:uid="{00000000-0005-0000-0000-0000F8830000}"/>
    <cellStyle name="Normal 95 4 2 2 2 2 3" xfId="27937" xr:uid="{00000000-0005-0000-0000-0000F9830000}"/>
    <cellStyle name="Normal 95 4 2 2 2 3" xfId="15678" xr:uid="{00000000-0005-0000-0000-0000FA830000}"/>
    <cellStyle name="Normal 95 4 2 2 2 3 2" xfId="32234" xr:uid="{00000000-0005-0000-0000-0000FB830000}"/>
    <cellStyle name="Normal 95 4 2 2 2 4" xfId="24191" xr:uid="{00000000-0005-0000-0000-0000FC830000}"/>
    <cellStyle name="Normal 95 4 2 2 3" xfId="10237" xr:uid="{00000000-0005-0000-0000-0000FD830000}"/>
    <cellStyle name="Normal 95 4 2 2 3 2" xfId="19411" xr:uid="{00000000-0005-0000-0000-0000FE830000}"/>
    <cellStyle name="Normal 95 4 2 2 3 2 2" xfId="35985" xr:uid="{00000000-0005-0000-0000-0000FF830000}"/>
    <cellStyle name="Normal 95 4 2 2 3 3" xfId="27938" xr:uid="{00000000-0005-0000-0000-000000840000}"/>
    <cellStyle name="Normal 95 4 2 2 4" xfId="15677" xr:uid="{00000000-0005-0000-0000-000001840000}"/>
    <cellStyle name="Normal 95 4 2 2 4 2" xfId="32233" xr:uid="{00000000-0005-0000-0000-000002840000}"/>
    <cellStyle name="Normal 95 4 2 2 5" xfId="24190" xr:uid="{00000000-0005-0000-0000-000003840000}"/>
    <cellStyle name="Normal 95 4 2 3" xfId="6421" xr:uid="{00000000-0005-0000-0000-000004840000}"/>
    <cellStyle name="Normal 95 4 2 3 2" xfId="10238" xr:uid="{00000000-0005-0000-0000-000005840000}"/>
    <cellStyle name="Normal 95 4 2 3 2 2" xfId="19412" xr:uid="{00000000-0005-0000-0000-000006840000}"/>
    <cellStyle name="Normal 95 4 2 3 2 2 2" xfId="35986" xr:uid="{00000000-0005-0000-0000-000007840000}"/>
    <cellStyle name="Normal 95 4 2 3 2 3" xfId="27939" xr:uid="{00000000-0005-0000-0000-000008840000}"/>
    <cellStyle name="Normal 95 4 2 3 3" xfId="15679" xr:uid="{00000000-0005-0000-0000-000009840000}"/>
    <cellStyle name="Normal 95 4 2 3 3 2" xfId="32235" xr:uid="{00000000-0005-0000-0000-00000A840000}"/>
    <cellStyle name="Normal 95 4 2 3 4" xfId="24192" xr:uid="{00000000-0005-0000-0000-00000B840000}"/>
    <cellStyle name="Normal 95 4 2 4" xfId="10239" xr:uid="{00000000-0005-0000-0000-00000C840000}"/>
    <cellStyle name="Normal 95 4 2 4 2" xfId="19413" xr:uid="{00000000-0005-0000-0000-00000D840000}"/>
    <cellStyle name="Normal 95 4 2 4 2 2" xfId="35987" xr:uid="{00000000-0005-0000-0000-00000E840000}"/>
    <cellStyle name="Normal 95 4 2 4 3" xfId="27940" xr:uid="{00000000-0005-0000-0000-00000F840000}"/>
    <cellStyle name="Normal 95 4 2 5" xfId="15676" xr:uid="{00000000-0005-0000-0000-000010840000}"/>
    <cellStyle name="Normal 95 4 2 5 2" xfId="32232" xr:uid="{00000000-0005-0000-0000-000011840000}"/>
    <cellStyle name="Normal 95 4 2 6" xfId="24189" xr:uid="{00000000-0005-0000-0000-000012840000}"/>
    <cellStyle name="Normal 95 4 3" xfId="6422" xr:uid="{00000000-0005-0000-0000-000013840000}"/>
    <cellStyle name="Normal 95 4 3 2" xfId="6423" xr:uid="{00000000-0005-0000-0000-000014840000}"/>
    <cellStyle name="Normal 95 4 3 2 2" xfId="10240" xr:uid="{00000000-0005-0000-0000-000015840000}"/>
    <cellStyle name="Normal 95 4 3 2 2 2" xfId="19414" xr:uid="{00000000-0005-0000-0000-000016840000}"/>
    <cellStyle name="Normal 95 4 3 2 2 2 2" xfId="35988" xr:uid="{00000000-0005-0000-0000-000017840000}"/>
    <cellStyle name="Normal 95 4 3 2 2 3" xfId="27941" xr:uid="{00000000-0005-0000-0000-000018840000}"/>
    <cellStyle name="Normal 95 4 3 2 3" xfId="15681" xr:uid="{00000000-0005-0000-0000-000019840000}"/>
    <cellStyle name="Normal 95 4 3 2 3 2" xfId="32237" xr:uid="{00000000-0005-0000-0000-00001A840000}"/>
    <cellStyle name="Normal 95 4 3 2 4" xfId="24194" xr:uid="{00000000-0005-0000-0000-00001B840000}"/>
    <cellStyle name="Normal 95 4 3 3" xfId="10241" xr:uid="{00000000-0005-0000-0000-00001C840000}"/>
    <cellStyle name="Normal 95 4 3 3 2" xfId="19415" xr:uid="{00000000-0005-0000-0000-00001D840000}"/>
    <cellStyle name="Normal 95 4 3 3 2 2" xfId="35989" xr:uid="{00000000-0005-0000-0000-00001E840000}"/>
    <cellStyle name="Normal 95 4 3 3 3" xfId="27942" xr:uid="{00000000-0005-0000-0000-00001F840000}"/>
    <cellStyle name="Normal 95 4 3 4" xfId="15680" xr:uid="{00000000-0005-0000-0000-000020840000}"/>
    <cellStyle name="Normal 95 4 3 4 2" xfId="32236" xr:uid="{00000000-0005-0000-0000-000021840000}"/>
    <cellStyle name="Normal 95 4 3 5" xfId="24193" xr:uid="{00000000-0005-0000-0000-000022840000}"/>
    <cellStyle name="Normal 95 4 4" xfId="6424" xr:uid="{00000000-0005-0000-0000-000023840000}"/>
    <cellStyle name="Normal 95 4 4 2" xfId="10242" xr:uid="{00000000-0005-0000-0000-000024840000}"/>
    <cellStyle name="Normal 95 4 4 2 2" xfId="19416" xr:uid="{00000000-0005-0000-0000-000025840000}"/>
    <cellStyle name="Normal 95 4 4 2 2 2" xfId="35990" xr:uid="{00000000-0005-0000-0000-000026840000}"/>
    <cellStyle name="Normal 95 4 4 2 3" xfId="27943" xr:uid="{00000000-0005-0000-0000-000027840000}"/>
    <cellStyle name="Normal 95 4 4 3" xfId="15682" xr:uid="{00000000-0005-0000-0000-000028840000}"/>
    <cellStyle name="Normal 95 4 4 3 2" xfId="32238" xr:uid="{00000000-0005-0000-0000-000029840000}"/>
    <cellStyle name="Normal 95 4 4 4" xfId="24195" xr:uid="{00000000-0005-0000-0000-00002A840000}"/>
    <cellStyle name="Normal 95 4 5" xfId="10243" xr:uid="{00000000-0005-0000-0000-00002B840000}"/>
    <cellStyle name="Normal 95 4 5 2" xfId="19417" xr:uid="{00000000-0005-0000-0000-00002C840000}"/>
    <cellStyle name="Normal 95 4 5 2 2" xfId="35991" xr:uid="{00000000-0005-0000-0000-00002D840000}"/>
    <cellStyle name="Normal 95 4 5 3" xfId="27944" xr:uid="{00000000-0005-0000-0000-00002E840000}"/>
    <cellStyle name="Normal 95 4 6" xfId="15675" xr:uid="{00000000-0005-0000-0000-00002F840000}"/>
    <cellStyle name="Normal 95 4 6 2" xfId="32231" xr:uid="{00000000-0005-0000-0000-000030840000}"/>
    <cellStyle name="Normal 95 4 7" xfId="24188" xr:uid="{00000000-0005-0000-0000-000031840000}"/>
    <cellStyle name="Normal 95 5" xfId="6425" xr:uid="{00000000-0005-0000-0000-000032840000}"/>
    <cellStyle name="Normal 95 5 2" xfId="6426" xr:uid="{00000000-0005-0000-0000-000033840000}"/>
    <cellStyle name="Normal 95 5 2 2" xfId="6427" xr:uid="{00000000-0005-0000-0000-000034840000}"/>
    <cellStyle name="Normal 95 5 2 2 2" xfId="6428" xr:uid="{00000000-0005-0000-0000-000035840000}"/>
    <cellStyle name="Normal 95 5 2 2 2 2" xfId="10244" xr:uid="{00000000-0005-0000-0000-000036840000}"/>
    <cellStyle name="Normal 95 5 2 2 2 2 2" xfId="19418" xr:uid="{00000000-0005-0000-0000-000037840000}"/>
    <cellStyle name="Normal 95 5 2 2 2 2 2 2" xfId="35992" xr:uid="{00000000-0005-0000-0000-000038840000}"/>
    <cellStyle name="Normal 95 5 2 2 2 2 3" xfId="27945" xr:uid="{00000000-0005-0000-0000-000039840000}"/>
    <cellStyle name="Normal 95 5 2 2 2 3" xfId="15686" xr:uid="{00000000-0005-0000-0000-00003A840000}"/>
    <cellStyle name="Normal 95 5 2 2 2 3 2" xfId="32242" xr:uid="{00000000-0005-0000-0000-00003B840000}"/>
    <cellStyle name="Normal 95 5 2 2 2 4" xfId="24199" xr:uid="{00000000-0005-0000-0000-00003C840000}"/>
    <cellStyle name="Normal 95 5 2 2 3" xfId="10245" xr:uid="{00000000-0005-0000-0000-00003D840000}"/>
    <cellStyle name="Normal 95 5 2 2 3 2" xfId="19419" xr:uid="{00000000-0005-0000-0000-00003E840000}"/>
    <cellStyle name="Normal 95 5 2 2 3 2 2" xfId="35993" xr:uid="{00000000-0005-0000-0000-00003F840000}"/>
    <cellStyle name="Normal 95 5 2 2 3 3" xfId="27946" xr:uid="{00000000-0005-0000-0000-000040840000}"/>
    <cellStyle name="Normal 95 5 2 2 4" xfId="15685" xr:uid="{00000000-0005-0000-0000-000041840000}"/>
    <cellStyle name="Normal 95 5 2 2 4 2" xfId="32241" xr:uid="{00000000-0005-0000-0000-000042840000}"/>
    <cellStyle name="Normal 95 5 2 2 5" xfId="24198" xr:uid="{00000000-0005-0000-0000-000043840000}"/>
    <cellStyle name="Normal 95 5 2 3" xfId="6429" xr:uid="{00000000-0005-0000-0000-000044840000}"/>
    <cellStyle name="Normal 95 5 2 3 2" xfId="10246" xr:uid="{00000000-0005-0000-0000-000045840000}"/>
    <cellStyle name="Normal 95 5 2 3 2 2" xfId="19420" xr:uid="{00000000-0005-0000-0000-000046840000}"/>
    <cellStyle name="Normal 95 5 2 3 2 2 2" xfId="35994" xr:uid="{00000000-0005-0000-0000-000047840000}"/>
    <cellStyle name="Normal 95 5 2 3 2 3" xfId="27947" xr:uid="{00000000-0005-0000-0000-000048840000}"/>
    <cellStyle name="Normal 95 5 2 3 3" xfId="15687" xr:uid="{00000000-0005-0000-0000-000049840000}"/>
    <cellStyle name="Normal 95 5 2 3 3 2" xfId="32243" xr:uid="{00000000-0005-0000-0000-00004A840000}"/>
    <cellStyle name="Normal 95 5 2 3 4" xfId="24200" xr:uid="{00000000-0005-0000-0000-00004B840000}"/>
    <cellStyle name="Normal 95 5 2 4" xfId="10247" xr:uid="{00000000-0005-0000-0000-00004C840000}"/>
    <cellStyle name="Normal 95 5 2 4 2" xfId="19421" xr:uid="{00000000-0005-0000-0000-00004D840000}"/>
    <cellStyle name="Normal 95 5 2 4 2 2" xfId="35995" xr:uid="{00000000-0005-0000-0000-00004E840000}"/>
    <cellStyle name="Normal 95 5 2 4 3" xfId="27948" xr:uid="{00000000-0005-0000-0000-00004F840000}"/>
    <cellStyle name="Normal 95 5 2 5" xfId="15684" xr:uid="{00000000-0005-0000-0000-000050840000}"/>
    <cellStyle name="Normal 95 5 2 5 2" xfId="32240" xr:uid="{00000000-0005-0000-0000-000051840000}"/>
    <cellStyle name="Normal 95 5 2 6" xfId="24197" xr:uid="{00000000-0005-0000-0000-000052840000}"/>
    <cellStyle name="Normal 95 5 3" xfId="6430" xr:uid="{00000000-0005-0000-0000-000053840000}"/>
    <cellStyle name="Normal 95 5 3 2" xfId="6431" xr:uid="{00000000-0005-0000-0000-000054840000}"/>
    <cellStyle name="Normal 95 5 3 2 2" xfId="10248" xr:uid="{00000000-0005-0000-0000-000055840000}"/>
    <cellStyle name="Normal 95 5 3 2 2 2" xfId="19422" xr:uid="{00000000-0005-0000-0000-000056840000}"/>
    <cellStyle name="Normal 95 5 3 2 2 2 2" xfId="35996" xr:uid="{00000000-0005-0000-0000-000057840000}"/>
    <cellStyle name="Normal 95 5 3 2 2 3" xfId="27949" xr:uid="{00000000-0005-0000-0000-000058840000}"/>
    <cellStyle name="Normal 95 5 3 2 3" xfId="15689" xr:uid="{00000000-0005-0000-0000-000059840000}"/>
    <cellStyle name="Normal 95 5 3 2 3 2" xfId="32245" xr:uid="{00000000-0005-0000-0000-00005A840000}"/>
    <cellStyle name="Normal 95 5 3 2 4" xfId="24202" xr:uid="{00000000-0005-0000-0000-00005B840000}"/>
    <cellStyle name="Normal 95 5 3 3" xfId="10249" xr:uid="{00000000-0005-0000-0000-00005C840000}"/>
    <cellStyle name="Normal 95 5 3 3 2" xfId="19423" xr:uid="{00000000-0005-0000-0000-00005D840000}"/>
    <cellStyle name="Normal 95 5 3 3 2 2" xfId="35997" xr:uid="{00000000-0005-0000-0000-00005E840000}"/>
    <cellStyle name="Normal 95 5 3 3 3" xfId="27950" xr:uid="{00000000-0005-0000-0000-00005F840000}"/>
    <cellStyle name="Normal 95 5 3 4" xfId="15688" xr:uid="{00000000-0005-0000-0000-000060840000}"/>
    <cellStyle name="Normal 95 5 3 4 2" xfId="32244" xr:uid="{00000000-0005-0000-0000-000061840000}"/>
    <cellStyle name="Normal 95 5 3 5" xfId="24201" xr:uid="{00000000-0005-0000-0000-000062840000}"/>
    <cellStyle name="Normal 95 5 4" xfId="6432" xr:uid="{00000000-0005-0000-0000-000063840000}"/>
    <cellStyle name="Normal 95 5 4 2" xfId="10250" xr:uid="{00000000-0005-0000-0000-000064840000}"/>
    <cellStyle name="Normal 95 5 4 2 2" xfId="19424" xr:uid="{00000000-0005-0000-0000-000065840000}"/>
    <cellStyle name="Normal 95 5 4 2 2 2" xfId="35998" xr:uid="{00000000-0005-0000-0000-000066840000}"/>
    <cellStyle name="Normal 95 5 4 2 3" xfId="27951" xr:uid="{00000000-0005-0000-0000-000067840000}"/>
    <cellStyle name="Normal 95 5 4 3" xfId="15690" xr:uid="{00000000-0005-0000-0000-000068840000}"/>
    <cellStyle name="Normal 95 5 4 3 2" xfId="32246" xr:uid="{00000000-0005-0000-0000-000069840000}"/>
    <cellStyle name="Normal 95 5 4 4" xfId="24203" xr:uid="{00000000-0005-0000-0000-00006A840000}"/>
    <cellStyle name="Normal 95 5 5" xfId="10251" xr:uid="{00000000-0005-0000-0000-00006B840000}"/>
    <cellStyle name="Normal 95 5 5 2" xfId="19425" xr:uid="{00000000-0005-0000-0000-00006C840000}"/>
    <cellStyle name="Normal 95 5 5 2 2" xfId="35999" xr:uid="{00000000-0005-0000-0000-00006D840000}"/>
    <cellStyle name="Normal 95 5 5 3" xfId="27952" xr:uid="{00000000-0005-0000-0000-00006E840000}"/>
    <cellStyle name="Normal 95 5 6" xfId="15683" xr:uid="{00000000-0005-0000-0000-00006F840000}"/>
    <cellStyle name="Normal 95 5 6 2" xfId="32239" xr:uid="{00000000-0005-0000-0000-000070840000}"/>
    <cellStyle name="Normal 95 5 7" xfId="24196" xr:uid="{00000000-0005-0000-0000-000071840000}"/>
    <cellStyle name="Normal 95 6" xfId="6433" xr:uid="{00000000-0005-0000-0000-000072840000}"/>
    <cellStyle name="Normal 95 6 2" xfId="6434" xr:uid="{00000000-0005-0000-0000-000073840000}"/>
    <cellStyle name="Normal 95 6 2 2" xfId="6435" xr:uid="{00000000-0005-0000-0000-000074840000}"/>
    <cellStyle name="Normal 95 6 2 2 2" xfId="10252" xr:uid="{00000000-0005-0000-0000-000075840000}"/>
    <cellStyle name="Normal 95 6 2 2 2 2" xfId="19426" xr:uid="{00000000-0005-0000-0000-000076840000}"/>
    <cellStyle name="Normal 95 6 2 2 2 2 2" xfId="36000" xr:uid="{00000000-0005-0000-0000-000077840000}"/>
    <cellStyle name="Normal 95 6 2 2 2 3" xfId="27953" xr:uid="{00000000-0005-0000-0000-000078840000}"/>
    <cellStyle name="Normal 95 6 2 2 3" xfId="15693" xr:uid="{00000000-0005-0000-0000-000079840000}"/>
    <cellStyle name="Normal 95 6 2 2 3 2" xfId="32249" xr:uid="{00000000-0005-0000-0000-00007A840000}"/>
    <cellStyle name="Normal 95 6 2 2 4" xfId="24206" xr:uid="{00000000-0005-0000-0000-00007B840000}"/>
    <cellStyle name="Normal 95 6 2 3" xfId="10253" xr:uid="{00000000-0005-0000-0000-00007C840000}"/>
    <cellStyle name="Normal 95 6 2 3 2" xfId="19427" xr:uid="{00000000-0005-0000-0000-00007D840000}"/>
    <cellStyle name="Normal 95 6 2 3 2 2" xfId="36001" xr:uid="{00000000-0005-0000-0000-00007E840000}"/>
    <cellStyle name="Normal 95 6 2 3 3" xfId="27954" xr:uid="{00000000-0005-0000-0000-00007F840000}"/>
    <cellStyle name="Normal 95 6 2 4" xfId="15692" xr:uid="{00000000-0005-0000-0000-000080840000}"/>
    <cellStyle name="Normal 95 6 2 4 2" xfId="32248" xr:uid="{00000000-0005-0000-0000-000081840000}"/>
    <cellStyle name="Normal 95 6 2 5" xfId="24205" xr:uid="{00000000-0005-0000-0000-000082840000}"/>
    <cellStyle name="Normal 95 6 3" xfId="6436" xr:uid="{00000000-0005-0000-0000-000083840000}"/>
    <cellStyle name="Normal 95 6 3 2" xfId="10254" xr:uid="{00000000-0005-0000-0000-000084840000}"/>
    <cellStyle name="Normal 95 6 3 2 2" xfId="19428" xr:uid="{00000000-0005-0000-0000-000085840000}"/>
    <cellStyle name="Normal 95 6 3 2 2 2" xfId="36002" xr:uid="{00000000-0005-0000-0000-000086840000}"/>
    <cellStyle name="Normal 95 6 3 2 3" xfId="27955" xr:uid="{00000000-0005-0000-0000-000087840000}"/>
    <cellStyle name="Normal 95 6 3 3" xfId="15694" xr:uid="{00000000-0005-0000-0000-000088840000}"/>
    <cellStyle name="Normal 95 6 3 3 2" xfId="32250" xr:uid="{00000000-0005-0000-0000-000089840000}"/>
    <cellStyle name="Normal 95 6 3 4" xfId="24207" xr:uid="{00000000-0005-0000-0000-00008A840000}"/>
    <cellStyle name="Normal 95 6 4" xfId="10255" xr:uid="{00000000-0005-0000-0000-00008B840000}"/>
    <cellStyle name="Normal 95 6 4 2" xfId="19429" xr:uid="{00000000-0005-0000-0000-00008C840000}"/>
    <cellStyle name="Normal 95 6 4 2 2" xfId="36003" xr:uid="{00000000-0005-0000-0000-00008D840000}"/>
    <cellStyle name="Normal 95 6 4 3" xfId="27956" xr:uid="{00000000-0005-0000-0000-00008E840000}"/>
    <cellStyle name="Normal 95 6 5" xfId="15691" xr:uid="{00000000-0005-0000-0000-00008F840000}"/>
    <cellStyle name="Normal 95 6 5 2" xfId="32247" xr:uid="{00000000-0005-0000-0000-000090840000}"/>
    <cellStyle name="Normal 95 6 6" xfId="24204" xr:uid="{00000000-0005-0000-0000-000091840000}"/>
    <cellStyle name="Normal 95 7" xfId="6437" xr:uid="{00000000-0005-0000-0000-000092840000}"/>
    <cellStyle name="Normal 95 7 2" xfId="6438" xr:uid="{00000000-0005-0000-0000-000093840000}"/>
    <cellStyle name="Normal 95 7 2 2" xfId="10256" xr:uid="{00000000-0005-0000-0000-000094840000}"/>
    <cellStyle name="Normal 95 7 2 2 2" xfId="19430" xr:uid="{00000000-0005-0000-0000-000095840000}"/>
    <cellStyle name="Normal 95 7 2 2 2 2" xfId="36004" xr:uid="{00000000-0005-0000-0000-000096840000}"/>
    <cellStyle name="Normal 95 7 2 2 3" xfId="27957" xr:uid="{00000000-0005-0000-0000-000097840000}"/>
    <cellStyle name="Normal 95 7 2 3" xfId="15696" xr:uid="{00000000-0005-0000-0000-000098840000}"/>
    <cellStyle name="Normal 95 7 2 3 2" xfId="32252" xr:uid="{00000000-0005-0000-0000-000099840000}"/>
    <cellStyle name="Normal 95 7 2 4" xfId="24209" xr:uid="{00000000-0005-0000-0000-00009A840000}"/>
    <cellStyle name="Normal 95 7 3" xfId="10257" xr:uid="{00000000-0005-0000-0000-00009B840000}"/>
    <cellStyle name="Normal 95 7 3 2" xfId="19431" xr:uid="{00000000-0005-0000-0000-00009C840000}"/>
    <cellStyle name="Normal 95 7 3 2 2" xfId="36005" xr:uid="{00000000-0005-0000-0000-00009D840000}"/>
    <cellStyle name="Normal 95 7 3 3" xfId="27958" xr:uid="{00000000-0005-0000-0000-00009E840000}"/>
    <cellStyle name="Normal 95 7 4" xfId="15695" xr:uid="{00000000-0005-0000-0000-00009F840000}"/>
    <cellStyle name="Normal 95 7 4 2" xfId="32251" xr:uid="{00000000-0005-0000-0000-0000A0840000}"/>
    <cellStyle name="Normal 95 7 5" xfId="24208" xr:uid="{00000000-0005-0000-0000-0000A1840000}"/>
    <cellStyle name="Normal 95 8" xfId="6439" xr:uid="{00000000-0005-0000-0000-0000A2840000}"/>
    <cellStyle name="Normal 95 8 2" xfId="10258" xr:uid="{00000000-0005-0000-0000-0000A3840000}"/>
    <cellStyle name="Normal 95 8 2 2" xfId="19432" xr:uid="{00000000-0005-0000-0000-0000A4840000}"/>
    <cellStyle name="Normal 95 8 2 2 2" xfId="36006" xr:uid="{00000000-0005-0000-0000-0000A5840000}"/>
    <cellStyle name="Normal 95 8 2 3" xfId="27959" xr:uid="{00000000-0005-0000-0000-0000A6840000}"/>
    <cellStyle name="Normal 95 8 3" xfId="15697" xr:uid="{00000000-0005-0000-0000-0000A7840000}"/>
    <cellStyle name="Normal 95 8 3 2" xfId="32253" xr:uid="{00000000-0005-0000-0000-0000A8840000}"/>
    <cellStyle name="Normal 95 8 4" xfId="24210" xr:uid="{00000000-0005-0000-0000-0000A9840000}"/>
    <cellStyle name="Normal 95 9" xfId="10259" xr:uid="{00000000-0005-0000-0000-0000AA840000}"/>
    <cellStyle name="Normal 95 9 2" xfId="19433" xr:uid="{00000000-0005-0000-0000-0000AB840000}"/>
    <cellStyle name="Normal 95 9 2 2" xfId="36007" xr:uid="{00000000-0005-0000-0000-0000AC840000}"/>
    <cellStyle name="Normal 95 9 3" xfId="27960" xr:uid="{00000000-0005-0000-0000-0000AD840000}"/>
    <cellStyle name="Normal 96" xfId="6440" xr:uid="{00000000-0005-0000-0000-0000AE840000}"/>
    <cellStyle name="Normal 96 10" xfId="15698" xr:uid="{00000000-0005-0000-0000-0000AF840000}"/>
    <cellStyle name="Normal 96 10 2" xfId="32254" xr:uid="{00000000-0005-0000-0000-0000B0840000}"/>
    <cellStyle name="Normal 96 11" xfId="24211" xr:uid="{00000000-0005-0000-0000-0000B1840000}"/>
    <cellStyle name="Normal 96 2" xfId="6441" xr:uid="{00000000-0005-0000-0000-0000B2840000}"/>
    <cellStyle name="Normal 96 2 2" xfId="6442" xr:uid="{00000000-0005-0000-0000-0000B3840000}"/>
    <cellStyle name="Normal 96 2 3" xfId="15699" xr:uid="{00000000-0005-0000-0000-0000B4840000}"/>
    <cellStyle name="Normal 96 2 3 2" xfId="32255" xr:uid="{00000000-0005-0000-0000-0000B5840000}"/>
    <cellStyle name="Normal 96 2 4" xfId="24212" xr:uid="{00000000-0005-0000-0000-0000B6840000}"/>
    <cellStyle name="Normal 96 3" xfId="6443" xr:uid="{00000000-0005-0000-0000-0000B7840000}"/>
    <cellStyle name="Normal 96 3 2" xfId="6444" xr:uid="{00000000-0005-0000-0000-0000B8840000}"/>
    <cellStyle name="Normal 96 3 2 2" xfId="6445" xr:uid="{00000000-0005-0000-0000-0000B9840000}"/>
    <cellStyle name="Normal 96 3 2 2 2" xfId="6446" xr:uid="{00000000-0005-0000-0000-0000BA840000}"/>
    <cellStyle name="Normal 96 3 2 2 2 2" xfId="10260" xr:uid="{00000000-0005-0000-0000-0000BB840000}"/>
    <cellStyle name="Normal 96 3 2 2 2 2 2" xfId="19434" xr:uid="{00000000-0005-0000-0000-0000BC840000}"/>
    <cellStyle name="Normal 96 3 2 2 2 2 2 2" xfId="36008" xr:uid="{00000000-0005-0000-0000-0000BD840000}"/>
    <cellStyle name="Normal 96 3 2 2 2 2 3" xfId="27961" xr:uid="{00000000-0005-0000-0000-0000BE840000}"/>
    <cellStyle name="Normal 96 3 2 2 2 3" xfId="15702" xr:uid="{00000000-0005-0000-0000-0000BF840000}"/>
    <cellStyle name="Normal 96 3 2 2 2 3 2" xfId="32258" xr:uid="{00000000-0005-0000-0000-0000C0840000}"/>
    <cellStyle name="Normal 96 3 2 2 2 4" xfId="24215" xr:uid="{00000000-0005-0000-0000-0000C1840000}"/>
    <cellStyle name="Normal 96 3 2 2 3" xfId="10261" xr:uid="{00000000-0005-0000-0000-0000C2840000}"/>
    <cellStyle name="Normal 96 3 2 2 3 2" xfId="19435" xr:uid="{00000000-0005-0000-0000-0000C3840000}"/>
    <cellStyle name="Normal 96 3 2 2 3 2 2" xfId="36009" xr:uid="{00000000-0005-0000-0000-0000C4840000}"/>
    <cellStyle name="Normal 96 3 2 2 3 3" xfId="27962" xr:uid="{00000000-0005-0000-0000-0000C5840000}"/>
    <cellStyle name="Normal 96 3 2 2 4" xfId="15701" xr:uid="{00000000-0005-0000-0000-0000C6840000}"/>
    <cellStyle name="Normal 96 3 2 2 4 2" xfId="32257" xr:uid="{00000000-0005-0000-0000-0000C7840000}"/>
    <cellStyle name="Normal 96 3 2 2 5" xfId="24214" xr:uid="{00000000-0005-0000-0000-0000C8840000}"/>
    <cellStyle name="Normal 96 3 2 3" xfId="6447" xr:uid="{00000000-0005-0000-0000-0000C9840000}"/>
    <cellStyle name="Normal 96 3 2 3 2" xfId="10262" xr:uid="{00000000-0005-0000-0000-0000CA840000}"/>
    <cellStyle name="Normal 96 3 2 3 2 2" xfId="19436" xr:uid="{00000000-0005-0000-0000-0000CB840000}"/>
    <cellStyle name="Normal 96 3 2 3 2 2 2" xfId="36010" xr:uid="{00000000-0005-0000-0000-0000CC840000}"/>
    <cellStyle name="Normal 96 3 2 3 2 3" xfId="27963" xr:uid="{00000000-0005-0000-0000-0000CD840000}"/>
    <cellStyle name="Normal 96 3 2 3 3" xfId="15703" xr:uid="{00000000-0005-0000-0000-0000CE840000}"/>
    <cellStyle name="Normal 96 3 2 3 3 2" xfId="32259" xr:uid="{00000000-0005-0000-0000-0000CF840000}"/>
    <cellStyle name="Normal 96 3 2 3 4" xfId="24216" xr:uid="{00000000-0005-0000-0000-0000D0840000}"/>
    <cellStyle name="Normal 96 3 2 4" xfId="10263" xr:uid="{00000000-0005-0000-0000-0000D1840000}"/>
    <cellStyle name="Normal 96 3 2 4 2" xfId="19437" xr:uid="{00000000-0005-0000-0000-0000D2840000}"/>
    <cellStyle name="Normal 96 3 2 4 2 2" xfId="36011" xr:uid="{00000000-0005-0000-0000-0000D3840000}"/>
    <cellStyle name="Normal 96 3 2 4 3" xfId="27964" xr:uid="{00000000-0005-0000-0000-0000D4840000}"/>
    <cellStyle name="Normal 96 3 2 5" xfId="15700" xr:uid="{00000000-0005-0000-0000-0000D5840000}"/>
    <cellStyle name="Normal 96 3 2 5 2" xfId="32256" xr:uid="{00000000-0005-0000-0000-0000D6840000}"/>
    <cellStyle name="Normal 96 3 2 6" xfId="24213" xr:uid="{00000000-0005-0000-0000-0000D7840000}"/>
    <cellStyle name="Normal 96 3 3" xfId="6448" xr:uid="{00000000-0005-0000-0000-0000D8840000}"/>
    <cellStyle name="Normal 96 3 3 2" xfId="6449" xr:uid="{00000000-0005-0000-0000-0000D9840000}"/>
    <cellStyle name="Normal 96 3 3 2 2" xfId="10264" xr:uid="{00000000-0005-0000-0000-0000DA840000}"/>
    <cellStyle name="Normal 96 3 3 2 2 2" xfId="19438" xr:uid="{00000000-0005-0000-0000-0000DB840000}"/>
    <cellStyle name="Normal 96 3 3 2 2 2 2" xfId="36012" xr:uid="{00000000-0005-0000-0000-0000DC840000}"/>
    <cellStyle name="Normal 96 3 3 2 2 3" xfId="27965" xr:uid="{00000000-0005-0000-0000-0000DD840000}"/>
    <cellStyle name="Normal 96 3 3 2 3" xfId="15705" xr:uid="{00000000-0005-0000-0000-0000DE840000}"/>
    <cellStyle name="Normal 96 3 3 2 3 2" xfId="32261" xr:uid="{00000000-0005-0000-0000-0000DF840000}"/>
    <cellStyle name="Normal 96 3 3 2 4" xfId="24218" xr:uid="{00000000-0005-0000-0000-0000E0840000}"/>
    <cellStyle name="Normal 96 3 3 3" xfId="10265" xr:uid="{00000000-0005-0000-0000-0000E1840000}"/>
    <cellStyle name="Normal 96 3 3 3 2" xfId="19439" xr:uid="{00000000-0005-0000-0000-0000E2840000}"/>
    <cellStyle name="Normal 96 3 3 3 2 2" xfId="36013" xr:uid="{00000000-0005-0000-0000-0000E3840000}"/>
    <cellStyle name="Normal 96 3 3 3 3" xfId="27966" xr:uid="{00000000-0005-0000-0000-0000E4840000}"/>
    <cellStyle name="Normal 96 3 3 4" xfId="15704" xr:uid="{00000000-0005-0000-0000-0000E5840000}"/>
    <cellStyle name="Normal 96 3 3 4 2" xfId="32260" xr:uid="{00000000-0005-0000-0000-0000E6840000}"/>
    <cellStyle name="Normal 96 3 3 5" xfId="24217" xr:uid="{00000000-0005-0000-0000-0000E7840000}"/>
    <cellStyle name="Normal 96 3 4" xfId="6450" xr:uid="{00000000-0005-0000-0000-0000E8840000}"/>
    <cellStyle name="Normal 96 3 4 2" xfId="10266" xr:uid="{00000000-0005-0000-0000-0000E9840000}"/>
    <cellStyle name="Normal 96 3 4 2 2" xfId="19440" xr:uid="{00000000-0005-0000-0000-0000EA840000}"/>
    <cellStyle name="Normal 96 3 4 2 2 2" xfId="36014" xr:uid="{00000000-0005-0000-0000-0000EB840000}"/>
    <cellStyle name="Normal 96 3 4 2 3" xfId="27967" xr:uid="{00000000-0005-0000-0000-0000EC840000}"/>
    <cellStyle name="Normal 96 3 4 3" xfId="15706" xr:uid="{00000000-0005-0000-0000-0000ED840000}"/>
    <cellStyle name="Normal 96 3 4 3 2" xfId="32262" xr:uid="{00000000-0005-0000-0000-0000EE840000}"/>
    <cellStyle name="Normal 96 3 4 4" xfId="24219" xr:uid="{00000000-0005-0000-0000-0000EF840000}"/>
    <cellStyle name="Normal 96 3 5" xfId="6451" xr:uid="{00000000-0005-0000-0000-0000F0840000}"/>
    <cellStyle name="Normal 96 3 5 2" xfId="15707" xr:uid="{00000000-0005-0000-0000-0000F1840000}"/>
    <cellStyle name="Normal 96 3 5 2 2" xfId="32263" xr:uid="{00000000-0005-0000-0000-0000F2840000}"/>
    <cellStyle name="Normal 96 3 5 3" xfId="24220" xr:uid="{00000000-0005-0000-0000-0000F3840000}"/>
    <cellStyle name="Normal 96 4" xfId="6452" xr:uid="{00000000-0005-0000-0000-0000F4840000}"/>
    <cellStyle name="Normal 96 4 2" xfId="6453" xr:uid="{00000000-0005-0000-0000-0000F5840000}"/>
    <cellStyle name="Normal 96 4 2 2" xfId="6454" xr:uid="{00000000-0005-0000-0000-0000F6840000}"/>
    <cellStyle name="Normal 96 4 2 2 2" xfId="6455" xr:uid="{00000000-0005-0000-0000-0000F7840000}"/>
    <cellStyle name="Normal 96 4 2 2 2 2" xfId="10267" xr:uid="{00000000-0005-0000-0000-0000F8840000}"/>
    <cellStyle name="Normal 96 4 2 2 2 2 2" xfId="19441" xr:uid="{00000000-0005-0000-0000-0000F9840000}"/>
    <cellStyle name="Normal 96 4 2 2 2 2 2 2" xfId="36015" xr:uid="{00000000-0005-0000-0000-0000FA840000}"/>
    <cellStyle name="Normal 96 4 2 2 2 2 3" xfId="27968" xr:uid="{00000000-0005-0000-0000-0000FB840000}"/>
    <cellStyle name="Normal 96 4 2 2 2 3" xfId="15711" xr:uid="{00000000-0005-0000-0000-0000FC840000}"/>
    <cellStyle name="Normal 96 4 2 2 2 3 2" xfId="32267" xr:uid="{00000000-0005-0000-0000-0000FD840000}"/>
    <cellStyle name="Normal 96 4 2 2 2 4" xfId="24224" xr:uid="{00000000-0005-0000-0000-0000FE840000}"/>
    <cellStyle name="Normal 96 4 2 2 3" xfId="10268" xr:uid="{00000000-0005-0000-0000-0000FF840000}"/>
    <cellStyle name="Normal 96 4 2 2 3 2" xfId="19442" xr:uid="{00000000-0005-0000-0000-000000850000}"/>
    <cellStyle name="Normal 96 4 2 2 3 2 2" xfId="36016" xr:uid="{00000000-0005-0000-0000-000001850000}"/>
    <cellStyle name="Normal 96 4 2 2 3 3" xfId="27969" xr:uid="{00000000-0005-0000-0000-000002850000}"/>
    <cellStyle name="Normal 96 4 2 2 4" xfId="15710" xr:uid="{00000000-0005-0000-0000-000003850000}"/>
    <cellStyle name="Normal 96 4 2 2 4 2" xfId="32266" xr:uid="{00000000-0005-0000-0000-000004850000}"/>
    <cellStyle name="Normal 96 4 2 2 5" xfId="24223" xr:uid="{00000000-0005-0000-0000-000005850000}"/>
    <cellStyle name="Normal 96 4 2 3" xfId="6456" xr:uid="{00000000-0005-0000-0000-000006850000}"/>
    <cellStyle name="Normal 96 4 2 3 2" xfId="10269" xr:uid="{00000000-0005-0000-0000-000007850000}"/>
    <cellStyle name="Normal 96 4 2 3 2 2" xfId="19443" xr:uid="{00000000-0005-0000-0000-000008850000}"/>
    <cellStyle name="Normal 96 4 2 3 2 2 2" xfId="36017" xr:uid="{00000000-0005-0000-0000-000009850000}"/>
    <cellStyle name="Normal 96 4 2 3 2 3" xfId="27970" xr:uid="{00000000-0005-0000-0000-00000A850000}"/>
    <cellStyle name="Normal 96 4 2 3 3" xfId="15712" xr:uid="{00000000-0005-0000-0000-00000B850000}"/>
    <cellStyle name="Normal 96 4 2 3 3 2" xfId="32268" xr:uid="{00000000-0005-0000-0000-00000C850000}"/>
    <cellStyle name="Normal 96 4 2 3 4" xfId="24225" xr:uid="{00000000-0005-0000-0000-00000D850000}"/>
    <cellStyle name="Normal 96 4 2 4" xfId="10270" xr:uid="{00000000-0005-0000-0000-00000E850000}"/>
    <cellStyle name="Normal 96 4 2 4 2" xfId="19444" xr:uid="{00000000-0005-0000-0000-00000F850000}"/>
    <cellStyle name="Normal 96 4 2 4 2 2" xfId="36018" xr:uid="{00000000-0005-0000-0000-000010850000}"/>
    <cellStyle name="Normal 96 4 2 4 3" xfId="27971" xr:uid="{00000000-0005-0000-0000-000011850000}"/>
    <cellStyle name="Normal 96 4 2 5" xfId="15709" xr:uid="{00000000-0005-0000-0000-000012850000}"/>
    <cellStyle name="Normal 96 4 2 5 2" xfId="32265" xr:uid="{00000000-0005-0000-0000-000013850000}"/>
    <cellStyle name="Normal 96 4 2 6" xfId="24222" xr:uid="{00000000-0005-0000-0000-000014850000}"/>
    <cellStyle name="Normal 96 4 3" xfId="6457" xr:uid="{00000000-0005-0000-0000-000015850000}"/>
    <cellStyle name="Normal 96 4 3 2" xfId="6458" xr:uid="{00000000-0005-0000-0000-000016850000}"/>
    <cellStyle name="Normal 96 4 3 2 2" xfId="10271" xr:uid="{00000000-0005-0000-0000-000017850000}"/>
    <cellStyle name="Normal 96 4 3 2 2 2" xfId="19445" xr:uid="{00000000-0005-0000-0000-000018850000}"/>
    <cellStyle name="Normal 96 4 3 2 2 2 2" xfId="36019" xr:uid="{00000000-0005-0000-0000-000019850000}"/>
    <cellStyle name="Normal 96 4 3 2 2 3" xfId="27972" xr:uid="{00000000-0005-0000-0000-00001A850000}"/>
    <cellStyle name="Normal 96 4 3 2 3" xfId="15714" xr:uid="{00000000-0005-0000-0000-00001B850000}"/>
    <cellStyle name="Normal 96 4 3 2 3 2" xfId="32270" xr:uid="{00000000-0005-0000-0000-00001C850000}"/>
    <cellStyle name="Normal 96 4 3 2 4" xfId="24227" xr:uid="{00000000-0005-0000-0000-00001D850000}"/>
    <cellStyle name="Normal 96 4 3 3" xfId="10272" xr:uid="{00000000-0005-0000-0000-00001E850000}"/>
    <cellStyle name="Normal 96 4 3 3 2" xfId="19446" xr:uid="{00000000-0005-0000-0000-00001F850000}"/>
    <cellStyle name="Normal 96 4 3 3 2 2" xfId="36020" xr:uid="{00000000-0005-0000-0000-000020850000}"/>
    <cellStyle name="Normal 96 4 3 3 3" xfId="27973" xr:uid="{00000000-0005-0000-0000-000021850000}"/>
    <cellStyle name="Normal 96 4 3 4" xfId="15713" xr:uid="{00000000-0005-0000-0000-000022850000}"/>
    <cellStyle name="Normal 96 4 3 4 2" xfId="32269" xr:uid="{00000000-0005-0000-0000-000023850000}"/>
    <cellStyle name="Normal 96 4 3 5" xfId="24226" xr:uid="{00000000-0005-0000-0000-000024850000}"/>
    <cellStyle name="Normal 96 4 4" xfId="6459" xr:uid="{00000000-0005-0000-0000-000025850000}"/>
    <cellStyle name="Normal 96 4 4 2" xfId="10273" xr:uid="{00000000-0005-0000-0000-000026850000}"/>
    <cellStyle name="Normal 96 4 4 2 2" xfId="19447" xr:uid="{00000000-0005-0000-0000-000027850000}"/>
    <cellStyle name="Normal 96 4 4 2 2 2" xfId="36021" xr:uid="{00000000-0005-0000-0000-000028850000}"/>
    <cellStyle name="Normal 96 4 4 2 3" xfId="27974" xr:uid="{00000000-0005-0000-0000-000029850000}"/>
    <cellStyle name="Normal 96 4 4 3" xfId="15715" xr:uid="{00000000-0005-0000-0000-00002A850000}"/>
    <cellStyle name="Normal 96 4 4 3 2" xfId="32271" xr:uid="{00000000-0005-0000-0000-00002B850000}"/>
    <cellStyle name="Normal 96 4 4 4" xfId="24228" xr:uid="{00000000-0005-0000-0000-00002C850000}"/>
    <cellStyle name="Normal 96 4 5" xfId="10274" xr:uid="{00000000-0005-0000-0000-00002D850000}"/>
    <cellStyle name="Normal 96 4 5 2" xfId="19448" xr:uid="{00000000-0005-0000-0000-00002E850000}"/>
    <cellStyle name="Normal 96 4 5 2 2" xfId="36022" xr:uid="{00000000-0005-0000-0000-00002F850000}"/>
    <cellStyle name="Normal 96 4 5 3" xfId="27975" xr:uid="{00000000-0005-0000-0000-000030850000}"/>
    <cellStyle name="Normal 96 4 6" xfId="15708" xr:uid="{00000000-0005-0000-0000-000031850000}"/>
    <cellStyle name="Normal 96 4 6 2" xfId="32264" xr:uid="{00000000-0005-0000-0000-000032850000}"/>
    <cellStyle name="Normal 96 4 7" xfId="24221" xr:uid="{00000000-0005-0000-0000-000033850000}"/>
    <cellStyle name="Normal 96 5" xfId="6460" xr:uid="{00000000-0005-0000-0000-000034850000}"/>
    <cellStyle name="Normal 96 5 2" xfId="6461" xr:uid="{00000000-0005-0000-0000-000035850000}"/>
    <cellStyle name="Normal 96 5 2 2" xfId="6462" xr:uid="{00000000-0005-0000-0000-000036850000}"/>
    <cellStyle name="Normal 96 5 2 2 2" xfId="6463" xr:uid="{00000000-0005-0000-0000-000037850000}"/>
    <cellStyle name="Normal 96 5 2 2 2 2" xfId="10275" xr:uid="{00000000-0005-0000-0000-000038850000}"/>
    <cellStyle name="Normal 96 5 2 2 2 2 2" xfId="19449" xr:uid="{00000000-0005-0000-0000-000039850000}"/>
    <cellStyle name="Normal 96 5 2 2 2 2 2 2" xfId="36023" xr:uid="{00000000-0005-0000-0000-00003A850000}"/>
    <cellStyle name="Normal 96 5 2 2 2 2 3" xfId="27976" xr:uid="{00000000-0005-0000-0000-00003B850000}"/>
    <cellStyle name="Normal 96 5 2 2 2 3" xfId="15719" xr:uid="{00000000-0005-0000-0000-00003C850000}"/>
    <cellStyle name="Normal 96 5 2 2 2 3 2" xfId="32275" xr:uid="{00000000-0005-0000-0000-00003D850000}"/>
    <cellStyle name="Normal 96 5 2 2 2 4" xfId="24232" xr:uid="{00000000-0005-0000-0000-00003E850000}"/>
    <cellStyle name="Normal 96 5 2 2 3" xfId="10276" xr:uid="{00000000-0005-0000-0000-00003F850000}"/>
    <cellStyle name="Normal 96 5 2 2 3 2" xfId="19450" xr:uid="{00000000-0005-0000-0000-000040850000}"/>
    <cellStyle name="Normal 96 5 2 2 3 2 2" xfId="36024" xr:uid="{00000000-0005-0000-0000-000041850000}"/>
    <cellStyle name="Normal 96 5 2 2 3 3" xfId="27977" xr:uid="{00000000-0005-0000-0000-000042850000}"/>
    <cellStyle name="Normal 96 5 2 2 4" xfId="15718" xr:uid="{00000000-0005-0000-0000-000043850000}"/>
    <cellStyle name="Normal 96 5 2 2 4 2" xfId="32274" xr:uid="{00000000-0005-0000-0000-000044850000}"/>
    <cellStyle name="Normal 96 5 2 2 5" xfId="24231" xr:uid="{00000000-0005-0000-0000-000045850000}"/>
    <cellStyle name="Normal 96 5 2 3" xfId="6464" xr:uid="{00000000-0005-0000-0000-000046850000}"/>
    <cellStyle name="Normal 96 5 2 3 2" xfId="10277" xr:uid="{00000000-0005-0000-0000-000047850000}"/>
    <cellStyle name="Normal 96 5 2 3 2 2" xfId="19451" xr:uid="{00000000-0005-0000-0000-000048850000}"/>
    <cellStyle name="Normal 96 5 2 3 2 2 2" xfId="36025" xr:uid="{00000000-0005-0000-0000-000049850000}"/>
    <cellStyle name="Normal 96 5 2 3 2 3" xfId="27978" xr:uid="{00000000-0005-0000-0000-00004A850000}"/>
    <cellStyle name="Normal 96 5 2 3 3" xfId="15720" xr:uid="{00000000-0005-0000-0000-00004B850000}"/>
    <cellStyle name="Normal 96 5 2 3 3 2" xfId="32276" xr:uid="{00000000-0005-0000-0000-00004C850000}"/>
    <cellStyle name="Normal 96 5 2 3 4" xfId="24233" xr:uid="{00000000-0005-0000-0000-00004D850000}"/>
    <cellStyle name="Normal 96 5 2 4" xfId="10278" xr:uid="{00000000-0005-0000-0000-00004E850000}"/>
    <cellStyle name="Normal 96 5 2 4 2" xfId="19452" xr:uid="{00000000-0005-0000-0000-00004F850000}"/>
    <cellStyle name="Normal 96 5 2 4 2 2" xfId="36026" xr:uid="{00000000-0005-0000-0000-000050850000}"/>
    <cellStyle name="Normal 96 5 2 4 3" xfId="27979" xr:uid="{00000000-0005-0000-0000-000051850000}"/>
    <cellStyle name="Normal 96 5 2 5" xfId="15717" xr:uid="{00000000-0005-0000-0000-000052850000}"/>
    <cellStyle name="Normal 96 5 2 5 2" xfId="32273" xr:uid="{00000000-0005-0000-0000-000053850000}"/>
    <cellStyle name="Normal 96 5 2 6" xfId="24230" xr:uid="{00000000-0005-0000-0000-000054850000}"/>
    <cellStyle name="Normal 96 5 3" xfId="6465" xr:uid="{00000000-0005-0000-0000-000055850000}"/>
    <cellStyle name="Normal 96 5 3 2" xfId="6466" xr:uid="{00000000-0005-0000-0000-000056850000}"/>
    <cellStyle name="Normal 96 5 3 2 2" xfId="10279" xr:uid="{00000000-0005-0000-0000-000057850000}"/>
    <cellStyle name="Normal 96 5 3 2 2 2" xfId="19453" xr:uid="{00000000-0005-0000-0000-000058850000}"/>
    <cellStyle name="Normal 96 5 3 2 2 2 2" xfId="36027" xr:uid="{00000000-0005-0000-0000-000059850000}"/>
    <cellStyle name="Normal 96 5 3 2 2 3" xfId="27980" xr:uid="{00000000-0005-0000-0000-00005A850000}"/>
    <cellStyle name="Normal 96 5 3 2 3" xfId="15722" xr:uid="{00000000-0005-0000-0000-00005B850000}"/>
    <cellStyle name="Normal 96 5 3 2 3 2" xfId="32278" xr:uid="{00000000-0005-0000-0000-00005C850000}"/>
    <cellStyle name="Normal 96 5 3 2 4" xfId="24235" xr:uid="{00000000-0005-0000-0000-00005D850000}"/>
    <cellStyle name="Normal 96 5 3 3" xfId="10280" xr:uid="{00000000-0005-0000-0000-00005E850000}"/>
    <cellStyle name="Normal 96 5 3 3 2" xfId="19454" xr:uid="{00000000-0005-0000-0000-00005F850000}"/>
    <cellStyle name="Normal 96 5 3 3 2 2" xfId="36028" xr:uid="{00000000-0005-0000-0000-000060850000}"/>
    <cellStyle name="Normal 96 5 3 3 3" xfId="27981" xr:uid="{00000000-0005-0000-0000-000061850000}"/>
    <cellStyle name="Normal 96 5 3 4" xfId="15721" xr:uid="{00000000-0005-0000-0000-000062850000}"/>
    <cellStyle name="Normal 96 5 3 4 2" xfId="32277" xr:uid="{00000000-0005-0000-0000-000063850000}"/>
    <cellStyle name="Normal 96 5 3 5" xfId="24234" xr:uid="{00000000-0005-0000-0000-000064850000}"/>
    <cellStyle name="Normal 96 5 4" xfId="6467" xr:uid="{00000000-0005-0000-0000-000065850000}"/>
    <cellStyle name="Normal 96 5 4 2" xfId="10281" xr:uid="{00000000-0005-0000-0000-000066850000}"/>
    <cellStyle name="Normal 96 5 4 2 2" xfId="19455" xr:uid="{00000000-0005-0000-0000-000067850000}"/>
    <cellStyle name="Normal 96 5 4 2 2 2" xfId="36029" xr:uid="{00000000-0005-0000-0000-000068850000}"/>
    <cellStyle name="Normal 96 5 4 2 3" xfId="27982" xr:uid="{00000000-0005-0000-0000-000069850000}"/>
    <cellStyle name="Normal 96 5 4 3" xfId="15723" xr:uid="{00000000-0005-0000-0000-00006A850000}"/>
    <cellStyle name="Normal 96 5 4 3 2" xfId="32279" xr:uid="{00000000-0005-0000-0000-00006B850000}"/>
    <cellStyle name="Normal 96 5 4 4" xfId="24236" xr:uid="{00000000-0005-0000-0000-00006C850000}"/>
    <cellStyle name="Normal 96 5 5" xfId="10282" xr:uid="{00000000-0005-0000-0000-00006D850000}"/>
    <cellStyle name="Normal 96 5 5 2" xfId="19456" xr:uid="{00000000-0005-0000-0000-00006E850000}"/>
    <cellStyle name="Normal 96 5 5 2 2" xfId="36030" xr:uid="{00000000-0005-0000-0000-00006F850000}"/>
    <cellStyle name="Normal 96 5 5 3" xfId="27983" xr:uid="{00000000-0005-0000-0000-000070850000}"/>
    <cellStyle name="Normal 96 5 6" xfId="15716" xr:uid="{00000000-0005-0000-0000-000071850000}"/>
    <cellStyle name="Normal 96 5 6 2" xfId="32272" xr:uid="{00000000-0005-0000-0000-000072850000}"/>
    <cellStyle name="Normal 96 5 7" xfId="24229" xr:uid="{00000000-0005-0000-0000-000073850000}"/>
    <cellStyle name="Normal 96 6" xfId="6468" xr:uid="{00000000-0005-0000-0000-000074850000}"/>
    <cellStyle name="Normal 96 6 2" xfId="6469" xr:uid="{00000000-0005-0000-0000-000075850000}"/>
    <cellStyle name="Normal 96 6 2 2" xfId="6470" xr:uid="{00000000-0005-0000-0000-000076850000}"/>
    <cellStyle name="Normal 96 6 2 2 2" xfId="10283" xr:uid="{00000000-0005-0000-0000-000077850000}"/>
    <cellStyle name="Normal 96 6 2 2 2 2" xfId="19457" xr:uid="{00000000-0005-0000-0000-000078850000}"/>
    <cellStyle name="Normal 96 6 2 2 2 2 2" xfId="36031" xr:uid="{00000000-0005-0000-0000-000079850000}"/>
    <cellStyle name="Normal 96 6 2 2 2 3" xfId="27984" xr:uid="{00000000-0005-0000-0000-00007A850000}"/>
    <cellStyle name="Normal 96 6 2 2 3" xfId="15726" xr:uid="{00000000-0005-0000-0000-00007B850000}"/>
    <cellStyle name="Normal 96 6 2 2 3 2" xfId="32282" xr:uid="{00000000-0005-0000-0000-00007C850000}"/>
    <cellStyle name="Normal 96 6 2 2 4" xfId="24239" xr:uid="{00000000-0005-0000-0000-00007D850000}"/>
    <cellStyle name="Normal 96 6 2 3" xfId="10284" xr:uid="{00000000-0005-0000-0000-00007E850000}"/>
    <cellStyle name="Normal 96 6 2 3 2" xfId="19458" xr:uid="{00000000-0005-0000-0000-00007F850000}"/>
    <cellStyle name="Normal 96 6 2 3 2 2" xfId="36032" xr:uid="{00000000-0005-0000-0000-000080850000}"/>
    <cellStyle name="Normal 96 6 2 3 3" xfId="27985" xr:uid="{00000000-0005-0000-0000-000081850000}"/>
    <cellStyle name="Normal 96 6 2 4" xfId="15725" xr:uid="{00000000-0005-0000-0000-000082850000}"/>
    <cellStyle name="Normal 96 6 2 4 2" xfId="32281" xr:uid="{00000000-0005-0000-0000-000083850000}"/>
    <cellStyle name="Normal 96 6 2 5" xfId="24238" xr:uid="{00000000-0005-0000-0000-000084850000}"/>
    <cellStyle name="Normal 96 6 3" xfId="6471" xr:uid="{00000000-0005-0000-0000-000085850000}"/>
    <cellStyle name="Normal 96 6 3 2" xfId="10285" xr:uid="{00000000-0005-0000-0000-000086850000}"/>
    <cellStyle name="Normal 96 6 3 2 2" xfId="19459" xr:uid="{00000000-0005-0000-0000-000087850000}"/>
    <cellStyle name="Normal 96 6 3 2 2 2" xfId="36033" xr:uid="{00000000-0005-0000-0000-000088850000}"/>
    <cellStyle name="Normal 96 6 3 2 3" xfId="27986" xr:uid="{00000000-0005-0000-0000-000089850000}"/>
    <cellStyle name="Normal 96 6 3 3" xfId="15727" xr:uid="{00000000-0005-0000-0000-00008A850000}"/>
    <cellStyle name="Normal 96 6 3 3 2" xfId="32283" xr:uid="{00000000-0005-0000-0000-00008B850000}"/>
    <cellStyle name="Normal 96 6 3 4" xfId="24240" xr:uid="{00000000-0005-0000-0000-00008C850000}"/>
    <cellStyle name="Normal 96 6 4" xfId="10286" xr:uid="{00000000-0005-0000-0000-00008D850000}"/>
    <cellStyle name="Normal 96 6 4 2" xfId="19460" xr:uid="{00000000-0005-0000-0000-00008E850000}"/>
    <cellStyle name="Normal 96 6 4 2 2" xfId="36034" xr:uid="{00000000-0005-0000-0000-00008F850000}"/>
    <cellStyle name="Normal 96 6 4 3" xfId="27987" xr:uid="{00000000-0005-0000-0000-000090850000}"/>
    <cellStyle name="Normal 96 6 5" xfId="15724" xr:uid="{00000000-0005-0000-0000-000091850000}"/>
    <cellStyle name="Normal 96 6 5 2" xfId="32280" xr:uid="{00000000-0005-0000-0000-000092850000}"/>
    <cellStyle name="Normal 96 6 6" xfId="24237" xr:uid="{00000000-0005-0000-0000-000093850000}"/>
    <cellStyle name="Normal 96 7" xfId="6472" xr:uid="{00000000-0005-0000-0000-000094850000}"/>
    <cellStyle name="Normal 96 7 2" xfId="6473" xr:uid="{00000000-0005-0000-0000-000095850000}"/>
    <cellStyle name="Normal 96 7 2 2" xfId="10287" xr:uid="{00000000-0005-0000-0000-000096850000}"/>
    <cellStyle name="Normal 96 7 2 2 2" xfId="19461" xr:uid="{00000000-0005-0000-0000-000097850000}"/>
    <cellStyle name="Normal 96 7 2 2 2 2" xfId="36035" xr:uid="{00000000-0005-0000-0000-000098850000}"/>
    <cellStyle name="Normal 96 7 2 2 3" xfId="27988" xr:uid="{00000000-0005-0000-0000-000099850000}"/>
    <cellStyle name="Normal 96 7 2 3" xfId="15729" xr:uid="{00000000-0005-0000-0000-00009A850000}"/>
    <cellStyle name="Normal 96 7 2 3 2" xfId="32285" xr:uid="{00000000-0005-0000-0000-00009B850000}"/>
    <cellStyle name="Normal 96 7 2 4" xfId="24242" xr:uid="{00000000-0005-0000-0000-00009C850000}"/>
    <cellStyle name="Normal 96 7 3" xfId="10288" xr:uid="{00000000-0005-0000-0000-00009D850000}"/>
    <cellStyle name="Normal 96 7 3 2" xfId="19462" xr:uid="{00000000-0005-0000-0000-00009E850000}"/>
    <cellStyle name="Normal 96 7 3 2 2" xfId="36036" xr:uid="{00000000-0005-0000-0000-00009F850000}"/>
    <cellStyle name="Normal 96 7 3 3" xfId="27989" xr:uid="{00000000-0005-0000-0000-0000A0850000}"/>
    <cellStyle name="Normal 96 7 4" xfId="15728" xr:uid="{00000000-0005-0000-0000-0000A1850000}"/>
    <cellStyle name="Normal 96 7 4 2" xfId="32284" xr:uid="{00000000-0005-0000-0000-0000A2850000}"/>
    <cellStyle name="Normal 96 7 5" xfId="24241" xr:uid="{00000000-0005-0000-0000-0000A3850000}"/>
    <cellStyle name="Normal 96 8" xfId="6474" xr:uid="{00000000-0005-0000-0000-0000A4850000}"/>
    <cellStyle name="Normal 96 8 2" xfId="10289" xr:uid="{00000000-0005-0000-0000-0000A5850000}"/>
    <cellStyle name="Normal 96 8 2 2" xfId="19463" xr:uid="{00000000-0005-0000-0000-0000A6850000}"/>
    <cellStyle name="Normal 96 8 2 2 2" xfId="36037" xr:uid="{00000000-0005-0000-0000-0000A7850000}"/>
    <cellStyle name="Normal 96 8 2 3" xfId="27990" xr:uid="{00000000-0005-0000-0000-0000A8850000}"/>
    <cellStyle name="Normal 96 8 3" xfId="15730" xr:uid="{00000000-0005-0000-0000-0000A9850000}"/>
    <cellStyle name="Normal 96 8 3 2" xfId="32286" xr:uid="{00000000-0005-0000-0000-0000AA850000}"/>
    <cellStyle name="Normal 96 8 4" xfId="24243" xr:uid="{00000000-0005-0000-0000-0000AB850000}"/>
    <cellStyle name="Normal 96 9" xfId="10290" xr:uid="{00000000-0005-0000-0000-0000AC850000}"/>
    <cellStyle name="Normal 96 9 2" xfId="19464" xr:uid="{00000000-0005-0000-0000-0000AD850000}"/>
    <cellStyle name="Normal 96 9 2 2" xfId="36038" xr:uid="{00000000-0005-0000-0000-0000AE850000}"/>
    <cellStyle name="Normal 96 9 3" xfId="27991" xr:uid="{00000000-0005-0000-0000-0000AF850000}"/>
    <cellStyle name="Normal 97" xfId="6475" xr:uid="{00000000-0005-0000-0000-0000B0850000}"/>
    <cellStyle name="Normal 97 10" xfId="15731" xr:uid="{00000000-0005-0000-0000-0000B1850000}"/>
    <cellStyle name="Normal 97 10 2" xfId="32287" xr:uid="{00000000-0005-0000-0000-0000B2850000}"/>
    <cellStyle name="Normal 97 11" xfId="24244" xr:uid="{00000000-0005-0000-0000-0000B3850000}"/>
    <cellStyle name="Normal 97 2" xfId="6476" xr:uid="{00000000-0005-0000-0000-0000B4850000}"/>
    <cellStyle name="Normal 97 2 2" xfId="6477" xr:uid="{00000000-0005-0000-0000-0000B5850000}"/>
    <cellStyle name="Normal 97 2 3" xfId="15732" xr:uid="{00000000-0005-0000-0000-0000B6850000}"/>
    <cellStyle name="Normal 97 2 3 2" xfId="32288" xr:uid="{00000000-0005-0000-0000-0000B7850000}"/>
    <cellStyle name="Normal 97 2 4" xfId="24245" xr:uid="{00000000-0005-0000-0000-0000B8850000}"/>
    <cellStyle name="Normal 97 3" xfId="6478" xr:uid="{00000000-0005-0000-0000-0000B9850000}"/>
    <cellStyle name="Normal 97 3 2" xfId="6479" xr:uid="{00000000-0005-0000-0000-0000BA850000}"/>
    <cellStyle name="Normal 97 3 2 2" xfId="6480" xr:uid="{00000000-0005-0000-0000-0000BB850000}"/>
    <cellStyle name="Normal 97 3 2 2 2" xfId="6481" xr:uid="{00000000-0005-0000-0000-0000BC850000}"/>
    <cellStyle name="Normal 97 3 2 2 2 2" xfId="10291" xr:uid="{00000000-0005-0000-0000-0000BD850000}"/>
    <cellStyle name="Normal 97 3 2 2 2 2 2" xfId="19465" xr:uid="{00000000-0005-0000-0000-0000BE850000}"/>
    <cellStyle name="Normal 97 3 2 2 2 2 2 2" xfId="36039" xr:uid="{00000000-0005-0000-0000-0000BF850000}"/>
    <cellStyle name="Normal 97 3 2 2 2 2 3" xfId="27992" xr:uid="{00000000-0005-0000-0000-0000C0850000}"/>
    <cellStyle name="Normal 97 3 2 2 2 3" xfId="15735" xr:uid="{00000000-0005-0000-0000-0000C1850000}"/>
    <cellStyle name="Normal 97 3 2 2 2 3 2" xfId="32291" xr:uid="{00000000-0005-0000-0000-0000C2850000}"/>
    <cellStyle name="Normal 97 3 2 2 2 4" xfId="24248" xr:uid="{00000000-0005-0000-0000-0000C3850000}"/>
    <cellStyle name="Normal 97 3 2 2 3" xfId="10292" xr:uid="{00000000-0005-0000-0000-0000C4850000}"/>
    <cellStyle name="Normal 97 3 2 2 3 2" xfId="19466" xr:uid="{00000000-0005-0000-0000-0000C5850000}"/>
    <cellStyle name="Normal 97 3 2 2 3 2 2" xfId="36040" xr:uid="{00000000-0005-0000-0000-0000C6850000}"/>
    <cellStyle name="Normal 97 3 2 2 3 3" xfId="27993" xr:uid="{00000000-0005-0000-0000-0000C7850000}"/>
    <cellStyle name="Normal 97 3 2 2 4" xfId="15734" xr:uid="{00000000-0005-0000-0000-0000C8850000}"/>
    <cellStyle name="Normal 97 3 2 2 4 2" xfId="32290" xr:uid="{00000000-0005-0000-0000-0000C9850000}"/>
    <cellStyle name="Normal 97 3 2 2 5" xfId="24247" xr:uid="{00000000-0005-0000-0000-0000CA850000}"/>
    <cellStyle name="Normal 97 3 2 3" xfId="6482" xr:uid="{00000000-0005-0000-0000-0000CB850000}"/>
    <cellStyle name="Normal 97 3 2 3 2" xfId="10293" xr:uid="{00000000-0005-0000-0000-0000CC850000}"/>
    <cellStyle name="Normal 97 3 2 3 2 2" xfId="19467" xr:uid="{00000000-0005-0000-0000-0000CD850000}"/>
    <cellStyle name="Normal 97 3 2 3 2 2 2" xfId="36041" xr:uid="{00000000-0005-0000-0000-0000CE850000}"/>
    <cellStyle name="Normal 97 3 2 3 2 3" xfId="27994" xr:uid="{00000000-0005-0000-0000-0000CF850000}"/>
    <cellStyle name="Normal 97 3 2 3 3" xfId="15736" xr:uid="{00000000-0005-0000-0000-0000D0850000}"/>
    <cellStyle name="Normal 97 3 2 3 3 2" xfId="32292" xr:uid="{00000000-0005-0000-0000-0000D1850000}"/>
    <cellStyle name="Normal 97 3 2 3 4" xfId="24249" xr:uid="{00000000-0005-0000-0000-0000D2850000}"/>
    <cellStyle name="Normal 97 3 2 4" xfId="10294" xr:uid="{00000000-0005-0000-0000-0000D3850000}"/>
    <cellStyle name="Normal 97 3 2 4 2" xfId="19468" xr:uid="{00000000-0005-0000-0000-0000D4850000}"/>
    <cellStyle name="Normal 97 3 2 4 2 2" xfId="36042" xr:uid="{00000000-0005-0000-0000-0000D5850000}"/>
    <cellStyle name="Normal 97 3 2 4 3" xfId="27995" xr:uid="{00000000-0005-0000-0000-0000D6850000}"/>
    <cellStyle name="Normal 97 3 2 5" xfId="15733" xr:uid="{00000000-0005-0000-0000-0000D7850000}"/>
    <cellStyle name="Normal 97 3 2 5 2" xfId="32289" xr:uid="{00000000-0005-0000-0000-0000D8850000}"/>
    <cellStyle name="Normal 97 3 2 6" xfId="24246" xr:uid="{00000000-0005-0000-0000-0000D9850000}"/>
    <cellStyle name="Normal 97 3 3" xfId="6483" xr:uid="{00000000-0005-0000-0000-0000DA850000}"/>
    <cellStyle name="Normal 97 3 3 2" xfId="6484" xr:uid="{00000000-0005-0000-0000-0000DB850000}"/>
    <cellStyle name="Normal 97 3 3 2 2" xfId="10295" xr:uid="{00000000-0005-0000-0000-0000DC850000}"/>
    <cellStyle name="Normal 97 3 3 2 2 2" xfId="19469" xr:uid="{00000000-0005-0000-0000-0000DD850000}"/>
    <cellStyle name="Normal 97 3 3 2 2 2 2" xfId="36043" xr:uid="{00000000-0005-0000-0000-0000DE850000}"/>
    <cellStyle name="Normal 97 3 3 2 2 3" xfId="27996" xr:uid="{00000000-0005-0000-0000-0000DF850000}"/>
    <cellStyle name="Normal 97 3 3 2 3" xfId="15738" xr:uid="{00000000-0005-0000-0000-0000E0850000}"/>
    <cellStyle name="Normal 97 3 3 2 3 2" xfId="32294" xr:uid="{00000000-0005-0000-0000-0000E1850000}"/>
    <cellStyle name="Normal 97 3 3 2 4" xfId="24251" xr:uid="{00000000-0005-0000-0000-0000E2850000}"/>
    <cellStyle name="Normal 97 3 3 3" xfId="10296" xr:uid="{00000000-0005-0000-0000-0000E3850000}"/>
    <cellStyle name="Normal 97 3 3 3 2" xfId="19470" xr:uid="{00000000-0005-0000-0000-0000E4850000}"/>
    <cellStyle name="Normal 97 3 3 3 2 2" xfId="36044" xr:uid="{00000000-0005-0000-0000-0000E5850000}"/>
    <cellStyle name="Normal 97 3 3 3 3" xfId="27997" xr:uid="{00000000-0005-0000-0000-0000E6850000}"/>
    <cellStyle name="Normal 97 3 3 4" xfId="15737" xr:uid="{00000000-0005-0000-0000-0000E7850000}"/>
    <cellStyle name="Normal 97 3 3 4 2" xfId="32293" xr:uid="{00000000-0005-0000-0000-0000E8850000}"/>
    <cellStyle name="Normal 97 3 3 5" xfId="24250" xr:uid="{00000000-0005-0000-0000-0000E9850000}"/>
    <cellStyle name="Normal 97 3 4" xfId="6485" xr:uid="{00000000-0005-0000-0000-0000EA850000}"/>
    <cellStyle name="Normal 97 3 4 2" xfId="10297" xr:uid="{00000000-0005-0000-0000-0000EB850000}"/>
    <cellStyle name="Normal 97 3 4 2 2" xfId="19471" xr:uid="{00000000-0005-0000-0000-0000EC850000}"/>
    <cellStyle name="Normal 97 3 4 2 2 2" xfId="36045" xr:uid="{00000000-0005-0000-0000-0000ED850000}"/>
    <cellStyle name="Normal 97 3 4 2 3" xfId="27998" xr:uid="{00000000-0005-0000-0000-0000EE850000}"/>
    <cellStyle name="Normal 97 3 4 3" xfId="15739" xr:uid="{00000000-0005-0000-0000-0000EF850000}"/>
    <cellStyle name="Normal 97 3 4 3 2" xfId="32295" xr:uid="{00000000-0005-0000-0000-0000F0850000}"/>
    <cellStyle name="Normal 97 3 4 4" xfId="24252" xr:uid="{00000000-0005-0000-0000-0000F1850000}"/>
    <cellStyle name="Normal 97 3 5" xfId="6486" xr:uid="{00000000-0005-0000-0000-0000F2850000}"/>
    <cellStyle name="Normal 97 3 5 2" xfId="15740" xr:uid="{00000000-0005-0000-0000-0000F3850000}"/>
    <cellStyle name="Normal 97 3 5 2 2" xfId="32296" xr:uid="{00000000-0005-0000-0000-0000F4850000}"/>
    <cellStyle name="Normal 97 3 5 3" xfId="24253" xr:uid="{00000000-0005-0000-0000-0000F5850000}"/>
    <cellStyle name="Normal 97 4" xfId="6487" xr:uid="{00000000-0005-0000-0000-0000F6850000}"/>
    <cellStyle name="Normal 97 4 2" xfId="6488" xr:uid="{00000000-0005-0000-0000-0000F7850000}"/>
    <cellStyle name="Normal 97 4 2 2" xfId="6489" xr:uid="{00000000-0005-0000-0000-0000F8850000}"/>
    <cellStyle name="Normal 97 4 2 2 2" xfId="6490" xr:uid="{00000000-0005-0000-0000-0000F9850000}"/>
    <cellStyle name="Normal 97 4 2 2 2 2" xfId="10298" xr:uid="{00000000-0005-0000-0000-0000FA850000}"/>
    <cellStyle name="Normal 97 4 2 2 2 2 2" xfId="19472" xr:uid="{00000000-0005-0000-0000-0000FB850000}"/>
    <cellStyle name="Normal 97 4 2 2 2 2 2 2" xfId="36046" xr:uid="{00000000-0005-0000-0000-0000FC850000}"/>
    <cellStyle name="Normal 97 4 2 2 2 2 3" xfId="27999" xr:uid="{00000000-0005-0000-0000-0000FD850000}"/>
    <cellStyle name="Normal 97 4 2 2 2 3" xfId="15744" xr:uid="{00000000-0005-0000-0000-0000FE850000}"/>
    <cellStyle name="Normal 97 4 2 2 2 3 2" xfId="32300" xr:uid="{00000000-0005-0000-0000-0000FF850000}"/>
    <cellStyle name="Normal 97 4 2 2 2 4" xfId="24257" xr:uid="{00000000-0005-0000-0000-000000860000}"/>
    <cellStyle name="Normal 97 4 2 2 3" xfId="10299" xr:uid="{00000000-0005-0000-0000-000001860000}"/>
    <cellStyle name="Normal 97 4 2 2 3 2" xfId="19473" xr:uid="{00000000-0005-0000-0000-000002860000}"/>
    <cellStyle name="Normal 97 4 2 2 3 2 2" xfId="36047" xr:uid="{00000000-0005-0000-0000-000003860000}"/>
    <cellStyle name="Normal 97 4 2 2 3 3" xfId="28000" xr:uid="{00000000-0005-0000-0000-000004860000}"/>
    <cellStyle name="Normal 97 4 2 2 4" xfId="15743" xr:uid="{00000000-0005-0000-0000-000005860000}"/>
    <cellStyle name="Normal 97 4 2 2 4 2" xfId="32299" xr:uid="{00000000-0005-0000-0000-000006860000}"/>
    <cellStyle name="Normal 97 4 2 2 5" xfId="24256" xr:uid="{00000000-0005-0000-0000-000007860000}"/>
    <cellStyle name="Normal 97 4 2 3" xfId="6491" xr:uid="{00000000-0005-0000-0000-000008860000}"/>
    <cellStyle name="Normal 97 4 2 3 2" xfId="10300" xr:uid="{00000000-0005-0000-0000-000009860000}"/>
    <cellStyle name="Normal 97 4 2 3 2 2" xfId="19474" xr:uid="{00000000-0005-0000-0000-00000A860000}"/>
    <cellStyle name="Normal 97 4 2 3 2 2 2" xfId="36048" xr:uid="{00000000-0005-0000-0000-00000B860000}"/>
    <cellStyle name="Normal 97 4 2 3 2 3" xfId="28001" xr:uid="{00000000-0005-0000-0000-00000C860000}"/>
    <cellStyle name="Normal 97 4 2 3 3" xfId="15745" xr:uid="{00000000-0005-0000-0000-00000D860000}"/>
    <cellStyle name="Normal 97 4 2 3 3 2" xfId="32301" xr:uid="{00000000-0005-0000-0000-00000E860000}"/>
    <cellStyle name="Normal 97 4 2 3 4" xfId="24258" xr:uid="{00000000-0005-0000-0000-00000F860000}"/>
    <cellStyle name="Normal 97 4 2 4" xfId="10301" xr:uid="{00000000-0005-0000-0000-000010860000}"/>
    <cellStyle name="Normal 97 4 2 4 2" xfId="19475" xr:uid="{00000000-0005-0000-0000-000011860000}"/>
    <cellStyle name="Normal 97 4 2 4 2 2" xfId="36049" xr:uid="{00000000-0005-0000-0000-000012860000}"/>
    <cellStyle name="Normal 97 4 2 4 3" xfId="28002" xr:uid="{00000000-0005-0000-0000-000013860000}"/>
    <cellStyle name="Normal 97 4 2 5" xfId="15742" xr:uid="{00000000-0005-0000-0000-000014860000}"/>
    <cellStyle name="Normal 97 4 2 5 2" xfId="32298" xr:uid="{00000000-0005-0000-0000-000015860000}"/>
    <cellStyle name="Normal 97 4 2 6" xfId="24255" xr:uid="{00000000-0005-0000-0000-000016860000}"/>
    <cellStyle name="Normal 97 4 3" xfId="6492" xr:uid="{00000000-0005-0000-0000-000017860000}"/>
    <cellStyle name="Normal 97 4 3 2" xfId="6493" xr:uid="{00000000-0005-0000-0000-000018860000}"/>
    <cellStyle name="Normal 97 4 3 2 2" xfId="10302" xr:uid="{00000000-0005-0000-0000-000019860000}"/>
    <cellStyle name="Normal 97 4 3 2 2 2" xfId="19476" xr:uid="{00000000-0005-0000-0000-00001A860000}"/>
    <cellStyle name="Normal 97 4 3 2 2 2 2" xfId="36050" xr:uid="{00000000-0005-0000-0000-00001B860000}"/>
    <cellStyle name="Normal 97 4 3 2 2 3" xfId="28003" xr:uid="{00000000-0005-0000-0000-00001C860000}"/>
    <cellStyle name="Normal 97 4 3 2 3" xfId="15747" xr:uid="{00000000-0005-0000-0000-00001D860000}"/>
    <cellStyle name="Normal 97 4 3 2 3 2" xfId="32303" xr:uid="{00000000-0005-0000-0000-00001E860000}"/>
    <cellStyle name="Normal 97 4 3 2 4" xfId="24260" xr:uid="{00000000-0005-0000-0000-00001F860000}"/>
    <cellStyle name="Normal 97 4 3 3" xfId="10303" xr:uid="{00000000-0005-0000-0000-000020860000}"/>
    <cellStyle name="Normal 97 4 3 3 2" xfId="19477" xr:uid="{00000000-0005-0000-0000-000021860000}"/>
    <cellStyle name="Normal 97 4 3 3 2 2" xfId="36051" xr:uid="{00000000-0005-0000-0000-000022860000}"/>
    <cellStyle name="Normal 97 4 3 3 3" xfId="28004" xr:uid="{00000000-0005-0000-0000-000023860000}"/>
    <cellStyle name="Normal 97 4 3 4" xfId="15746" xr:uid="{00000000-0005-0000-0000-000024860000}"/>
    <cellStyle name="Normal 97 4 3 4 2" xfId="32302" xr:uid="{00000000-0005-0000-0000-000025860000}"/>
    <cellStyle name="Normal 97 4 3 5" xfId="24259" xr:uid="{00000000-0005-0000-0000-000026860000}"/>
    <cellStyle name="Normal 97 4 4" xfId="6494" xr:uid="{00000000-0005-0000-0000-000027860000}"/>
    <cellStyle name="Normal 97 4 4 2" xfId="10304" xr:uid="{00000000-0005-0000-0000-000028860000}"/>
    <cellStyle name="Normal 97 4 4 2 2" xfId="19478" xr:uid="{00000000-0005-0000-0000-000029860000}"/>
    <cellStyle name="Normal 97 4 4 2 2 2" xfId="36052" xr:uid="{00000000-0005-0000-0000-00002A860000}"/>
    <cellStyle name="Normal 97 4 4 2 3" xfId="28005" xr:uid="{00000000-0005-0000-0000-00002B860000}"/>
    <cellStyle name="Normal 97 4 4 3" xfId="15748" xr:uid="{00000000-0005-0000-0000-00002C860000}"/>
    <cellStyle name="Normal 97 4 4 3 2" xfId="32304" xr:uid="{00000000-0005-0000-0000-00002D860000}"/>
    <cellStyle name="Normal 97 4 4 4" xfId="24261" xr:uid="{00000000-0005-0000-0000-00002E860000}"/>
    <cellStyle name="Normal 97 4 5" xfId="10305" xr:uid="{00000000-0005-0000-0000-00002F860000}"/>
    <cellStyle name="Normal 97 4 5 2" xfId="19479" xr:uid="{00000000-0005-0000-0000-000030860000}"/>
    <cellStyle name="Normal 97 4 5 2 2" xfId="36053" xr:uid="{00000000-0005-0000-0000-000031860000}"/>
    <cellStyle name="Normal 97 4 5 3" xfId="28006" xr:uid="{00000000-0005-0000-0000-000032860000}"/>
    <cellStyle name="Normal 97 4 6" xfId="15741" xr:uid="{00000000-0005-0000-0000-000033860000}"/>
    <cellStyle name="Normal 97 4 6 2" xfId="32297" xr:uid="{00000000-0005-0000-0000-000034860000}"/>
    <cellStyle name="Normal 97 4 7" xfId="24254" xr:uid="{00000000-0005-0000-0000-000035860000}"/>
    <cellStyle name="Normal 97 5" xfId="6495" xr:uid="{00000000-0005-0000-0000-000036860000}"/>
    <cellStyle name="Normal 97 5 2" xfId="6496" xr:uid="{00000000-0005-0000-0000-000037860000}"/>
    <cellStyle name="Normal 97 5 2 2" xfId="6497" xr:uid="{00000000-0005-0000-0000-000038860000}"/>
    <cellStyle name="Normal 97 5 2 2 2" xfId="6498" xr:uid="{00000000-0005-0000-0000-000039860000}"/>
    <cellStyle name="Normal 97 5 2 2 2 2" xfId="10306" xr:uid="{00000000-0005-0000-0000-00003A860000}"/>
    <cellStyle name="Normal 97 5 2 2 2 2 2" xfId="19480" xr:uid="{00000000-0005-0000-0000-00003B860000}"/>
    <cellStyle name="Normal 97 5 2 2 2 2 2 2" xfId="36054" xr:uid="{00000000-0005-0000-0000-00003C860000}"/>
    <cellStyle name="Normal 97 5 2 2 2 2 3" xfId="28007" xr:uid="{00000000-0005-0000-0000-00003D860000}"/>
    <cellStyle name="Normal 97 5 2 2 2 3" xfId="15752" xr:uid="{00000000-0005-0000-0000-00003E860000}"/>
    <cellStyle name="Normal 97 5 2 2 2 3 2" xfId="32308" xr:uid="{00000000-0005-0000-0000-00003F860000}"/>
    <cellStyle name="Normal 97 5 2 2 2 4" xfId="24265" xr:uid="{00000000-0005-0000-0000-000040860000}"/>
    <cellStyle name="Normal 97 5 2 2 3" xfId="10307" xr:uid="{00000000-0005-0000-0000-000041860000}"/>
    <cellStyle name="Normal 97 5 2 2 3 2" xfId="19481" xr:uid="{00000000-0005-0000-0000-000042860000}"/>
    <cellStyle name="Normal 97 5 2 2 3 2 2" xfId="36055" xr:uid="{00000000-0005-0000-0000-000043860000}"/>
    <cellStyle name="Normal 97 5 2 2 3 3" xfId="28008" xr:uid="{00000000-0005-0000-0000-000044860000}"/>
    <cellStyle name="Normal 97 5 2 2 4" xfId="15751" xr:uid="{00000000-0005-0000-0000-000045860000}"/>
    <cellStyle name="Normal 97 5 2 2 4 2" xfId="32307" xr:uid="{00000000-0005-0000-0000-000046860000}"/>
    <cellStyle name="Normal 97 5 2 2 5" xfId="24264" xr:uid="{00000000-0005-0000-0000-000047860000}"/>
    <cellStyle name="Normal 97 5 2 3" xfId="6499" xr:uid="{00000000-0005-0000-0000-000048860000}"/>
    <cellStyle name="Normal 97 5 2 3 2" xfId="10308" xr:uid="{00000000-0005-0000-0000-000049860000}"/>
    <cellStyle name="Normal 97 5 2 3 2 2" xfId="19482" xr:uid="{00000000-0005-0000-0000-00004A860000}"/>
    <cellStyle name="Normal 97 5 2 3 2 2 2" xfId="36056" xr:uid="{00000000-0005-0000-0000-00004B860000}"/>
    <cellStyle name="Normal 97 5 2 3 2 3" xfId="28009" xr:uid="{00000000-0005-0000-0000-00004C860000}"/>
    <cellStyle name="Normal 97 5 2 3 3" xfId="15753" xr:uid="{00000000-0005-0000-0000-00004D860000}"/>
    <cellStyle name="Normal 97 5 2 3 3 2" xfId="32309" xr:uid="{00000000-0005-0000-0000-00004E860000}"/>
    <cellStyle name="Normal 97 5 2 3 4" xfId="24266" xr:uid="{00000000-0005-0000-0000-00004F860000}"/>
    <cellStyle name="Normal 97 5 2 4" xfId="10309" xr:uid="{00000000-0005-0000-0000-000050860000}"/>
    <cellStyle name="Normal 97 5 2 4 2" xfId="19483" xr:uid="{00000000-0005-0000-0000-000051860000}"/>
    <cellStyle name="Normal 97 5 2 4 2 2" xfId="36057" xr:uid="{00000000-0005-0000-0000-000052860000}"/>
    <cellStyle name="Normal 97 5 2 4 3" xfId="28010" xr:uid="{00000000-0005-0000-0000-000053860000}"/>
    <cellStyle name="Normal 97 5 2 5" xfId="15750" xr:uid="{00000000-0005-0000-0000-000054860000}"/>
    <cellStyle name="Normal 97 5 2 5 2" xfId="32306" xr:uid="{00000000-0005-0000-0000-000055860000}"/>
    <cellStyle name="Normal 97 5 2 6" xfId="24263" xr:uid="{00000000-0005-0000-0000-000056860000}"/>
    <cellStyle name="Normal 97 5 3" xfId="6500" xr:uid="{00000000-0005-0000-0000-000057860000}"/>
    <cellStyle name="Normal 97 5 3 2" xfId="6501" xr:uid="{00000000-0005-0000-0000-000058860000}"/>
    <cellStyle name="Normal 97 5 3 2 2" xfId="10310" xr:uid="{00000000-0005-0000-0000-000059860000}"/>
    <cellStyle name="Normal 97 5 3 2 2 2" xfId="19484" xr:uid="{00000000-0005-0000-0000-00005A860000}"/>
    <cellStyle name="Normal 97 5 3 2 2 2 2" xfId="36058" xr:uid="{00000000-0005-0000-0000-00005B860000}"/>
    <cellStyle name="Normal 97 5 3 2 2 3" xfId="28011" xr:uid="{00000000-0005-0000-0000-00005C860000}"/>
    <cellStyle name="Normal 97 5 3 2 3" xfId="15755" xr:uid="{00000000-0005-0000-0000-00005D860000}"/>
    <cellStyle name="Normal 97 5 3 2 3 2" xfId="32311" xr:uid="{00000000-0005-0000-0000-00005E860000}"/>
    <cellStyle name="Normal 97 5 3 2 4" xfId="24268" xr:uid="{00000000-0005-0000-0000-00005F860000}"/>
    <cellStyle name="Normal 97 5 3 3" xfId="10311" xr:uid="{00000000-0005-0000-0000-000060860000}"/>
    <cellStyle name="Normal 97 5 3 3 2" xfId="19485" xr:uid="{00000000-0005-0000-0000-000061860000}"/>
    <cellStyle name="Normal 97 5 3 3 2 2" xfId="36059" xr:uid="{00000000-0005-0000-0000-000062860000}"/>
    <cellStyle name="Normal 97 5 3 3 3" xfId="28012" xr:uid="{00000000-0005-0000-0000-000063860000}"/>
    <cellStyle name="Normal 97 5 3 4" xfId="15754" xr:uid="{00000000-0005-0000-0000-000064860000}"/>
    <cellStyle name="Normal 97 5 3 4 2" xfId="32310" xr:uid="{00000000-0005-0000-0000-000065860000}"/>
    <cellStyle name="Normal 97 5 3 5" xfId="24267" xr:uid="{00000000-0005-0000-0000-000066860000}"/>
    <cellStyle name="Normal 97 5 4" xfId="6502" xr:uid="{00000000-0005-0000-0000-000067860000}"/>
    <cellStyle name="Normal 97 5 4 2" xfId="10312" xr:uid="{00000000-0005-0000-0000-000068860000}"/>
    <cellStyle name="Normal 97 5 4 2 2" xfId="19486" xr:uid="{00000000-0005-0000-0000-000069860000}"/>
    <cellStyle name="Normal 97 5 4 2 2 2" xfId="36060" xr:uid="{00000000-0005-0000-0000-00006A860000}"/>
    <cellStyle name="Normal 97 5 4 2 3" xfId="28013" xr:uid="{00000000-0005-0000-0000-00006B860000}"/>
    <cellStyle name="Normal 97 5 4 3" xfId="15756" xr:uid="{00000000-0005-0000-0000-00006C860000}"/>
    <cellStyle name="Normal 97 5 4 3 2" xfId="32312" xr:uid="{00000000-0005-0000-0000-00006D860000}"/>
    <cellStyle name="Normal 97 5 4 4" xfId="24269" xr:uid="{00000000-0005-0000-0000-00006E860000}"/>
    <cellStyle name="Normal 97 5 5" xfId="10313" xr:uid="{00000000-0005-0000-0000-00006F860000}"/>
    <cellStyle name="Normal 97 5 5 2" xfId="19487" xr:uid="{00000000-0005-0000-0000-000070860000}"/>
    <cellStyle name="Normal 97 5 5 2 2" xfId="36061" xr:uid="{00000000-0005-0000-0000-000071860000}"/>
    <cellStyle name="Normal 97 5 5 3" xfId="28014" xr:uid="{00000000-0005-0000-0000-000072860000}"/>
    <cellStyle name="Normal 97 5 6" xfId="15749" xr:uid="{00000000-0005-0000-0000-000073860000}"/>
    <cellStyle name="Normal 97 5 6 2" xfId="32305" xr:uid="{00000000-0005-0000-0000-000074860000}"/>
    <cellStyle name="Normal 97 5 7" xfId="24262" xr:uid="{00000000-0005-0000-0000-000075860000}"/>
    <cellStyle name="Normal 97 6" xfId="6503" xr:uid="{00000000-0005-0000-0000-000076860000}"/>
    <cellStyle name="Normal 97 6 2" xfId="6504" xr:uid="{00000000-0005-0000-0000-000077860000}"/>
    <cellStyle name="Normal 97 6 2 2" xfId="6505" xr:uid="{00000000-0005-0000-0000-000078860000}"/>
    <cellStyle name="Normal 97 6 2 2 2" xfId="10314" xr:uid="{00000000-0005-0000-0000-000079860000}"/>
    <cellStyle name="Normal 97 6 2 2 2 2" xfId="19488" xr:uid="{00000000-0005-0000-0000-00007A860000}"/>
    <cellStyle name="Normal 97 6 2 2 2 2 2" xfId="36062" xr:uid="{00000000-0005-0000-0000-00007B860000}"/>
    <cellStyle name="Normal 97 6 2 2 2 3" xfId="28015" xr:uid="{00000000-0005-0000-0000-00007C860000}"/>
    <cellStyle name="Normal 97 6 2 2 3" xfId="15759" xr:uid="{00000000-0005-0000-0000-00007D860000}"/>
    <cellStyle name="Normal 97 6 2 2 3 2" xfId="32315" xr:uid="{00000000-0005-0000-0000-00007E860000}"/>
    <cellStyle name="Normal 97 6 2 2 4" xfId="24272" xr:uid="{00000000-0005-0000-0000-00007F860000}"/>
    <cellStyle name="Normal 97 6 2 3" xfId="10315" xr:uid="{00000000-0005-0000-0000-000080860000}"/>
    <cellStyle name="Normal 97 6 2 3 2" xfId="19489" xr:uid="{00000000-0005-0000-0000-000081860000}"/>
    <cellStyle name="Normal 97 6 2 3 2 2" xfId="36063" xr:uid="{00000000-0005-0000-0000-000082860000}"/>
    <cellStyle name="Normal 97 6 2 3 3" xfId="28016" xr:uid="{00000000-0005-0000-0000-000083860000}"/>
    <cellStyle name="Normal 97 6 2 4" xfId="15758" xr:uid="{00000000-0005-0000-0000-000084860000}"/>
    <cellStyle name="Normal 97 6 2 4 2" xfId="32314" xr:uid="{00000000-0005-0000-0000-000085860000}"/>
    <cellStyle name="Normal 97 6 2 5" xfId="24271" xr:uid="{00000000-0005-0000-0000-000086860000}"/>
    <cellStyle name="Normal 97 6 3" xfId="6506" xr:uid="{00000000-0005-0000-0000-000087860000}"/>
    <cellStyle name="Normal 97 6 3 2" xfId="10316" xr:uid="{00000000-0005-0000-0000-000088860000}"/>
    <cellStyle name="Normal 97 6 3 2 2" xfId="19490" xr:uid="{00000000-0005-0000-0000-000089860000}"/>
    <cellStyle name="Normal 97 6 3 2 2 2" xfId="36064" xr:uid="{00000000-0005-0000-0000-00008A860000}"/>
    <cellStyle name="Normal 97 6 3 2 3" xfId="28017" xr:uid="{00000000-0005-0000-0000-00008B860000}"/>
    <cellStyle name="Normal 97 6 3 3" xfId="15760" xr:uid="{00000000-0005-0000-0000-00008C860000}"/>
    <cellStyle name="Normal 97 6 3 3 2" xfId="32316" xr:uid="{00000000-0005-0000-0000-00008D860000}"/>
    <cellStyle name="Normal 97 6 3 4" xfId="24273" xr:uid="{00000000-0005-0000-0000-00008E860000}"/>
    <cellStyle name="Normal 97 6 4" xfId="10317" xr:uid="{00000000-0005-0000-0000-00008F860000}"/>
    <cellStyle name="Normal 97 6 4 2" xfId="19491" xr:uid="{00000000-0005-0000-0000-000090860000}"/>
    <cellStyle name="Normal 97 6 4 2 2" xfId="36065" xr:uid="{00000000-0005-0000-0000-000091860000}"/>
    <cellStyle name="Normal 97 6 4 3" xfId="28018" xr:uid="{00000000-0005-0000-0000-000092860000}"/>
    <cellStyle name="Normal 97 6 5" xfId="15757" xr:uid="{00000000-0005-0000-0000-000093860000}"/>
    <cellStyle name="Normal 97 6 5 2" xfId="32313" xr:uid="{00000000-0005-0000-0000-000094860000}"/>
    <cellStyle name="Normal 97 6 6" xfId="24270" xr:uid="{00000000-0005-0000-0000-000095860000}"/>
    <cellStyle name="Normal 97 7" xfId="6507" xr:uid="{00000000-0005-0000-0000-000096860000}"/>
    <cellStyle name="Normal 97 7 2" xfId="6508" xr:uid="{00000000-0005-0000-0000-000097860000}"/>
    <cellStyle name="Normal 97 7 2 2" xfId="10318" xr:uid="{00000000-0005-0000-0000-000098860000}"/>
    <cellStyle name="Normal 97 7 2 2 2" xfId="19492" xr:uid="{00000000-0005-0000-0000-000099860000}"/>
    <cellStyle name="Normal 97 7 2 2 2 2" xfId="36066" xr:uid="{00000000-0005-0000-0000-00009A860000}"/>
    <cellStyle name="Normal 97 7 2 2 3" xfId="28019" xr:uid="{00000000-0005-0000-0000-00009B860000}"/>
    <cellStyle name="Normal 97 7 2 3" xfId="15762" xr:uid="{00000000-0005-0000-0000-00009C860000}"/>
    <cellStyle name="Normal 97 7 2 3 2" xfId="32318" xr:uid="{00000000-0005-0000-0000-00009D860000}"/>
    <cellStyle name="Normal 97 7 2 4" xfId="24275" xr:uid="{00000000-0005-0000-0000-00009E860000}"/>
    <cellStyle name="Normal 97 7 3" xfId="10319" xr:uid="{00000000-0005-0000-0000-00009F860000}"/>
    <cellStyle name="Normal 97 7 3 2" xfId="19493" xr:uid="{00000000-0005-0000-0000-0000A0860000}"/>
    <cellStyle name="Normal 97 7 3 2 2" xfId="36067" xr:uid="{00000000-0005-0000-0000-0000A1860000}"/>
    <cellStyle name="Normal 97 7 3 3" xfId="28020" xr:uid="{00000000-0005-0000-0000-0000A2860000}"/>
    <cellStyle name="Normal 97 7 4" xfId="15761" xr:uid="{00000000-0005-0000-0000-0000A3860000}"/>
    <cellStyle name="Normal 97 7 4 2" xfId="32317" xr:uid="{00000000-0005-0000-0000-0000A4860000}"/>
    <cellStyle name="Normal 97 7 5" xfId="24274" xr:uid="{00000000-0005-0000-0000-0000A5860000}"/>
    <cellStyle name="Normal 97 8" xfId="6509" xr:uid="{00000000-0005-0000-0000-0000A6860000}"/>
    <cellStyle name="Normal 97 8 2" xfId="10320" xr:uid="{00000000-0005-0000-0000-0000A7860000}"/>
    <cellStyle name="Normal 97 8 2 2" xfId="19494" xr:uid="{00000000-0005-0000-0000-0000A8860000}"/>
    <cellStyle name="Normal 97 8 2 2 2" xfId="36068" xr:uid="{00000000-0005-0000-0000-0000A9860000}"/>
    <cellStyle name="Normal 97 8 2 3" xfId="28021" xr:uid="{00000000-0005-0000-0000-0000AA860000}"/>
    <cellStyle name="Normal 97 8 3" xfId="15763" xr:uid="{00000000-0005-0000-0000-0000AB860000}"/>
    <cellStyle name="Normal 97 8 3 2" xfId="32319" xr:uid="{00000000-0005-0000-0000-0000AC860000}"/>
    <cellStyle name="Normal 97 8 4" xfId="24276" xr:uid="{00000000-0005-0000-0000-0000AD860000}"/>
    <cellStyle name="Normal 97 9" xfId="10321" xr:uid="{00000000-0005-0000-0000-0000AE860000}"/>
    <cellStyle name="Normal 97 9 2" xfId="19495" xr:uid="{00000000-0005-0000-0000-0000AF860000}"/>
    <cellStyle name="Normal 97 9 2 2" xfId="36069" xr:uid="{00000000-0005-0000-0000-0000B0860000}"/>
    <cellStyle name="Normal 97 9 3" xfId="28022" xr:uid="{00000000-0005-0000-0000-0000B1860000}"/>
    <cellStyle name="Normal 98" xfId="6510" xr:uid="{00000000-0005-0000-0000-0000B2860000}"/>
    <cellStyle name="Normal 98 10" xfId="15764" xr:uid="{00000000-0005-0000-0000-0000B3860000}"/>
    <cellStyle name="Normal 98 10 2" xfId="32320" xr:uid="{00000000-0005-0000-0000-0000B4860000}"/>
    <cellStyle name="Normal 98 11" xfId="24277" xr:uid="{00000000-0005-0000-0000-0000B5860000}"/>
    <cellStyle name="Normal 98 2" xfId="6511" xr:uid="{00000000-0005-0000-0000-0000B6860000}"/>
    <cellStyle name="Normal 98 2 2" xfId="6512" xr:uid="{00000000-0005-0000-0000-0000B7860000}"/>
    <cellStyle name="Normal 98 2 3" xfId="15765" xr:uid="{00000000-0005-0000-0000-0000B8860000}"/>
    <cellStyle name="Normal 98 2 3 2" xfId="32321" xr:uid="{00000000-0005-0000-0000-0000B9860000}"/>
    <cellStyle name="Normal 98 2 4" xfId="24278" xr:uid="{00000000-0005-0000-0000-0000BA860000}"/>
    <cellStyle name="Normal 98 3" xfId="6513" xr:uid="{00000000-0005-0000-0000-0000BB860000}"/>
    <cellStyle name="Normal 98 3 2" xfId="6514" xr:uid="{00000000-0005-0000-0000-0000BC860000}"/>
    <cellStyle name="Normal 98 3 2 2" xfId="6515" xr:uid="{00000000-0005-0000-0000-0000BD860000}"/>
    <cellStyle name="Normal 98 3 2 2 2" xfId="6516" xr:uid="{00000000-0005-0000-0000-0000BE860000}"/>
    <cellStyle name="Normal 98 3 2 2 2 2" xfId="10322" xr:uid="{00000000-0005-0000-0000-0000BF860000}"/>
    <cellStyle name="Normal 98 3 2 2 2 2 2" xfId="19496" xr:uid="{00000000-0005-0000-0000-0000C0860000}"/>
    <cellStyle name="Normal 98 3 2 2 2 2 2 2" xfId="36070" xr:uid="{00000000-0005-0000-0000-0000C1860000}"/>
    <cellStyle name="Normal 98 3 2 2 2 2 3" xfId="28023" xr:uid="{00000000-0005-0000-0000-0000C2860000}"/>
    <cellStyle name="Normal 98 3 2 2 2 3" xfId="15768" xr:uid="{00000000-0005-0000-0000-0000C3860000}"/>
    <cellStyle name="Normal 98 3 2 2 2 3 2" xfId="32324" xr:uid="{00000000-0005-0000-0000-0000C4860000}"/>
    <cellStyle name="Normal 98 3 2 2 2 4" xfId="24281" xr:uid="{00000000-0005-0000-0000-0000C5860000}"/>
    <cellStyle name="Normal 98 3 2 2 3" xfId="10323" xr:uid="{00000000-0005-0000-0000-0000C6860000}"/>
    <cellStyle name="Normal 98 3 2 2 3 2" xfId="19497" xr:uid="{00000000-0005-0000-0000-0000C7860000}"/>
    <cellStyle name="Normal 98 3 2 2 3 2 2" xfId="36071" xr:uid="{00000000-0005-0000-0000-0000C8860000}"/>
    <cellStyle name="Normal 98 3 2 2 3 3" xfId="28024" xr:uid="{00000000-0005-0000-0000-0000C9860000}"/>
    <cellStyle name="Normal 98 3 2 2 4" xfId="15767" xr:uid="{00000000-0005-0000-0000-0000CA860000}"/>
    <cellStyle name="Normal 98 3 2 2 4 2" xfId="32323" xr:uid="{00000000-0005-0000-0000-0000CB860000}"/>
    <cellStyle name="Normal 98 3 2 2 5" xfId="24280" xr:uid="{00000000-0005-0000-0000-0000CC860000}"/>
    <cellStyle name="Normal 98 3 2 3" xfId="6517" xr:uid="{00000000-0005-0000-0000-0000CD860000}"/>
    <cellStyle name="Normal 98 3 2 3 2" xfId="10324" xr:uid="{00000000-0005-0000-0000-0000CE860000}"/>
    <cellStyle name="Normal 98 3 2 3 2 2" xfId="19498" xr:uid="{00000000-0005-0000-0000-0000CF860000}"/>
    <cellStyle name="Normal 98 3 2 3 2 2 2" xfId="36072" xr:uid="{00000000-0005-0000-0000-0000D0860000}"/>
    <cellStyle name="Normal 98 3 2 3 2 3" xfId="28025" xr:uid="{00000000-0005-0000-0000-0000D1860000}"/>
    <cellStyle name="Normal 98 3 2 3 3" xfId="15769" xr:uid="{00000000-0005-0000-0000-0000D2860000}"/>
    <cellStyle name="Normal 98 3 2 3 3 2" xfId="32325" xr:uid="{00000000-0005-0000-0000-0000D3860000}"/>
    <cellStyle name="Normal 98 3 2 3 4" xfId="24282" xr:uid="{00000000-0005-0000-0000-0000D4860000}"/>
    <cellStyle name="Normal 98 3 2 4" xfId="10325" xr:uid="{00000000-0005-0000-0000-0000D5860000}"/>
    <cellStyle name="Normal 98 3 2 4 2" xfId="19499" xr:uid="{00000000-0005-0000-0000-0000D6860000}"/>
    <cellStyle name="Normal 98 3 2 4 2 2" xfId="36073" xr:uid="{00000000-0005-0000-0000-0000D7860000}"/>
    <cellStyle name="Normal 98 3 2 4 3" xfId="28026" xr:uid="{00000000-0005-0000-0000-0000D8860000}"/>
    <cellStyle name="Normal 98 3 2 5" xfId="15766" xr:uid="{00000000-0005-0000-0000-0000D9860000}"/>
    <cellStyle name="Normal 98 3 2 5 2" xfId="32322" xr:uid="{00000000-0005-0000-0000-0000DA860000}"/>
    <cellStyle name="Normal 98 3 2 6" xfId="24279" xr:uid="{00000000-0005-0000-0000-0000DB860000}"/>
    <cellStyle name="Normal 98 3 3" xfId="6518" xr:uid="{00000000-0005-0000-0000-0000DC860000}"/>
    <cellStyle name="Normal 98 3 3 2" xfId="6519" xr:uid="{00000000-0005-0000-0000-0000DD860000}"/>
    <cellStyle name="Normal 98 3 3 2 2" xfId="10326" xr:uid="{00000000-0005-0000-0000-0000DE860000}"/>
    <cellStyle name="Normal 98 3 3 2 2 2" xfId="19500" xr:uid="{00000000-0005-0000-0000-0000DF860000}"/>
    <cellStyle name="Normal 98 3 3 2 2 2 2" xfId="36074" xr:uid="{00000000-0005-0000-0000-0000E0860000}"/>
    <cellStyle name="Normal 98 3 3 2 2 3" xfId="28027" xr:uid="{00000000-0005-0000-0000-0000E1860000}"/>
    <cellStyle name="Normal 98 3 3 2 3" xfId="15771" xr:uid="{00000000-0005-0000-0000-0000E2860000}"/>
    <cellStyle name="Normal 98 3 3 2 3 2" xfId="32327" xr:uid="{00000000-0005-0000-0000-0000E3860000}"/>
    <cellStyle name="Normal 98 3 3 2 4" xfId="24284" xr:uid="{00000000-0005-0000-0000-0000E4860000}"/>
    <cellStyle name="Normal 98 3 3 3" xfId="10327" xr:uid="{00000000-0005-0000-0000-0000E5860000}"/>
    <cellStyle name="Normal 98 3 3 3 2" xfId="19501" xr:uid="{00000000-0005-0000-0000-0000E6860000}"/>
    <cellStyle name="Normal 98 3 3 3 2 2" xfId="36075" xr:uid="{00000000-0005-0000-0000-0000E7860000}"/>
    <cellStyle name="Normal 98 3 3 3 3" xfId="28028" xr:uid="{00000000-0005-0000-0000-0000E8860000}"/>
    <cellStyle name="Normal 98 3 3 4" xfId="15770" xr:uid="{00000000-0005-0000-0000-0000E9860000}"/>
    <cellStyle name="Normal 98 3 3 4 2" xfId="32326" xr:uid="{00000000-0005-0000-0000-0000EA860000}"/>
    <cellStyle name="Normal 98 3 3 5" xfId="24283" xr:uid="{00000000-0005-0000-0000-0000EB860000}"/>
    <cellStyle name="Normal 98 3 4" xfId="6520" xr:uid="{00000000-0005-0000-0000-0000EC860000}"/>
    <cellStyle name="Normal 98 3 4 2" xfId="10328" xr:uid="{00000000-0005-0000-0000-0000ED860000}"/>
    <cellStyle name="Normal 98 3 4 2 2" xfId="19502" xr:uid="{00000000-0005-0000-0000-0000EE860000}"/>
    <cellStyle name="Normal 98 3 4 2 2 2" xfId="36076" xr:uid="{00000000-0005-0000-0000-0000EF860000}"/>
    <cellStyle name="Normal 98 3 4 2 3" xfId="28029" xr:uid="{00000000-0005-0000-0000-0000F0860000}"/>
    <cellStyle name="Normal 98 3 4 3" xfId="15772" xr:uid="{00000000-0005-0000-0000-0000F1860000}"/>
    <cellStyle name="Normal 98 3 4 3 2" xfId="32328" xr:uid="{00000000-0005-0000-0000-0000F2860000}"/>
    <cellStyle name="Normal 98 3 4 4" xfId="24285" xr:uid="{00000000-0005-0000-0000-0000F3860000}"/>
    <cellStyle name="Normal 98 3 5" xfId="6521" xr:uid="{00000000-0005-0000-0000-0000F4860000}"/>
    <cellStyle name="Normal 98 3 5 2" xfId="15773" xr:uid="{00000000-0005-0000-0000-0000F5860000}"/>
    <cellStyle name="Normal 98 3 5 2 2" xfId="32329" xr:uid="{00000000-0005-0000-0000-0000F6860000}"/>
    <cellStyle name="Normal 98 3 5 3" xfId="24286" xr:uid="{00000000-0005-0000-0000-0000F7860000}"/>
    <cellStyle name="Normal 98 4" xfId="6522" xr:uid="{00000000-0005-0000-0000-0000F8860000}"/>
    <cellStyle name="Normal 98 4 2" xfId="6523" xr:uid="{00000000-0005-0000-0000-0000F9860000}"/>
    <cellStyle name="Normal 98 4 2 2" xfId="6524" xr:uid="{00000000-0005-0000-0000-0000FA860000}"/>
    <cellStyle name="Normal 98 4 2 2 2" xfId="6525" xr:uid="{00000000-0005-0000-0000-0000FB860000}"/>
    <cellStyle name="Normal 98 4 2 2 2 2" xfId="10329" xr:uid="{00000000-0005-0000-0000-0000FC860000}"/>
    <cellStyle name="Normal 98 4 2 2 2 2 2" xfId="19503" xr:uid="{00000000-0005-0000-0000-0000FD860000}"/>
    <cellStyle name="Normal 98 4 2 2 2 2 2 2" xfId="36077" xr:uid="{00000000-0005-0000-0000-0000FE860000}"/>
    <cellStyle name="Normal 98 4 2 2 2 2 3" xfId="28030" xr:uid="{00000000-0005-0000-0000-0000FF860000}"/>
    <cellStyle name="Normal 98 4 2 2 2 3" xfId="15777" xr:uid="{00000000-0005-0000-0000-000000870000}"/>
    <cellStyle name="Normal 98 4 2 2 2 3 2" xfId="32333" xr:uid="{00000000-0005-0000-0000-000001870000}"/>
    <cellStyle name="Normal 98 4 2 2 2 4" xfId="24290" xr:uid="{00000000-0005-0000-0000-000002870000}"/>
    <cellStyle name="Normal 98 4 2 2 3" xfId="10330" xr:uid="{00000000-0005-0000-0000-000003870000}"/>
    <cellStyle name="Normal 98 4 2 2 3 2" xfId="19504" xr:uid="{00000000-0005-0000-0000-000004870000}"/>
    <cellStyle name="Normal 98 4 2 2 3 2 2" xfId="36078" xr:uid="{00000000-0005-0000-0000-000005870000}"/>
    <cellStyle name="Normal 98 4 2 2 3 3" xfId="28031" xr:uid="{00000000-0005-0000-0000-000006870000}"/>
    <cellStyle name="Normal 98 4 2 2 4" xfId="15776" xr:uid="{00000000-0005-0000-0000-000007870000}"/>
    <cellStyle name="Normal 98 4 2 2 4 2" xfId="32332" xr:uid="{00000000-0005-0000-0000-000008870000}"/>
    <cellStyle name="Normal 98 4 2 2 5" xfId="24289" xr:uid="{00000000-0005-0000-0000-000009870000}"/>
    <cellStyle name="Normal 98 4 2 3" xfId="6526" xr:uid="{00000000-0005-0000-0000-00000A870000}"/>
    <cellStyle name="Normal 98 4 2 3 2" xfId="10331" xr:uid="{00000000-0005-0000-0000-00000B870000}"/>
    <cellStyle name="Normal 98 4 2 3 2 2" xfId="19505" xr:uid="{00000000-0005-0000-0000-00000C870000}"/>
    <cellStyle name="Normal 98 4 2 3 2 2 2" xfId="36079" xr:uid="{00000000-0005-0000-0000-00000D870000}"/>
    <cellStyle name="Normal 98 4 2 3 2 3" xfId="28032" xr:uid="{00000000-0005-0000-0000-00000E870000}"/>
    <cellStyle name="Normal 98 4 2 3 3" xfId="15778" xr:uid="{00000000-0005-0000-0000-00000F870000}"/>
    <cellStyle name="Normal 98 4 2 3 3 2" xfId="32334" xr:uid="{00000000-0005-0000-0000-000010870000}"/>
    <cellStyle name="Normal 98 4 2 3 4" xfId="24291" xr:uid="{00000000-0005-0000-0000-000011870000}"/>
    <cellStyle name="Normal 98 4 2 4" xfId="10332" xr:uid="{00000000-0005-0000-0000-000012870000}"/>
    <cellStyle name="Normal 98 4 2 4 2" xfId="19506" xr:uid="{00000000-0005-0000-0000-000013870000}"/>
    <cellStyle name="Normal 98 4 2 4 2 2" xfId="36080" xr:uid="{00000000-0005-0000-0000-000014870000}"/>
    <cellStyle name="Normal 98 4 2 4 3" xfId="28033" xr:uid="{00000000-0005-0000-0000-000015870000}"/>
    <cellStyle name="Normal 98 4 2 5" xfId="15775" xr:uid="{00000000-0005-0000-0000-000016870000}"/>
    <cellStyle name="Normal 98 4 2 5 2" xfId="32331" xr:uid="{00000000-0005-0000-0000-000017870000}"/>
    <cellStyle name="Normal 98 4 2 6" xfId="24288" xr:uid="{00000000-0005-0000-0000-000018870000}"/>
    <cellStyle name="Normal 98 4 3" xfId="6527" xr:uid="{00000000-0005-0000-0000-000019870000}"/>
    <cellStyle name="Normal 98 4 3 2" xfId="6528" xr:uid="{00000000-0005-0000-0000-00001A870000}"/>
    <cellStyle name="Normal 98 4 3 2 2" xfId="10333" xr:uid="{00000000-0005-0000-0000-00001B870000}"/>
    <cellStyle name="Normal 98 4 3 2 2 2" xfId="19507" xr:uid="{00000000-0005-0000-0000-00001C870000}"/>
    <cellStyle name="Normal 98 4 3 2 2 2 2" xfId="36081" xr:uid="{00000000-0005-0000-0000-00001D870000}"/>
    <cellStyle name="Normal 98 4 3 2 2 3" xfId="28034" xr:uid="{00000000-0005-0000-0000-00001E870000}"/>
    <cellStyle name="Normal 98 4 3 2 3" xfId="15780" xr:uid="{00000000-0005-0000-0000-00001F870000}"/>
    <cellStyle name="Normal 98 4 3 2 3 2" xfId="32336" xr:uid="{00000000-0005-0000-0000-000020870000}"/>
    <cellStyle name="Normal 98 4 3 2 4" xfId="24293" xr:uid="{00000000-0005-0000-0000-000021870000}"/>
    <cellStyle name="Normal 98 4 3 3" xfId="10334" xr:uid="{00000000-0005-0000-0000-000022870000}"/>
    <cellStyle name="Normal 98 4 3 3 2" xfId="19508" xr:uid="{00000000-0005-0000-0000-000023870000}"/>
    <cellStyle name="Normal 98 4 3 3 2 2" xfId="36082" xr:uid="{00000000-0005-0000-0000-000024870000}"/>
    <cellStyle name="Normal 98 4 3 3 3" xfId="28035" xr:uid="{00000000-0005-0000-0000-000025870000}"/>
    <cellStyle name="Normal 98 4 3 4" xfId="15779" xr:uid="{00000000-0005-0000-0000-000026870000}"/>
    <cellStyle name="Normal 98 4 3 4 2" xfId="32335" xr:uid="{00000000-0005-0000-0000-000027870000}"/>
    <cellStyle name="Normal 98 4 3 5" xfId="24292" xr:uid="{00000000-0005-0000-0000-000028870000}"/>
    <cellStyle name="Normal 98 4 4" xfId="6529" xr:uid="{00000000-0005-0000-0000-000029870000}"/>
    <cellStyle name="Normal 98 4 4 2" xfId="10335" xr:uid="{00000000-0005-0000-0000-00002A870000}"/>
    <cellStyle name="Normal 98 4 4 2 2" xfId="19509" xr:uid="{00000000-0005-0000-0000-00002B870000}"/>
    <cellStyle name="Normal 98 4 4 2 2 2" xfId="36083" xr:uid="{00000000-0005-0000-0000-00002C870000}"/>
    <cellStyle name="Normal 98 4 4 2 3" xfId="28036" xr:uid="{00000000-0005-0000-0000-00002D870000}"/>
    <cellStyle name="Normal 98 4 4 3" xfId="15781" xr:uid="{00000000-0005-0000-0000-00002E870000}"/>
    <cellStyle name="Normal 98 4 4 3 2" xfId="32337" xr:uid="{00000000-0005-0000-0000-00002F870000}"/>
    <cellStyle name="Normal 98 4 4 4" xfId="24294" xr:uid="{00000000-0005-0000-0000-000030870000}"/>
    <cellStyle name="Normal 98 4 5" xfId="10336" xr:uid="{00000000-0005-0000-0000-000031870000}"/>
    <cellStyle name="Normal 98 4 5 2" xfId="19510" xr:uid="{00000000-0005-0000-0000-000032870000}"/>
    <cellStyle name="Normal 98 4 5 2 2" xfId="36084" xr:uid="{00000000-0005-0000-0000-000033870000}"/>
    <cellStyle name="Normal 98 4 5 3" xfId="28037" xr:uid="{00000000-0005-0000-0000-000034870000}"/>
    <cellStyle name="Normal 98 4 6" xfId="15774" xr:uid="{00000000-0005-0000-0000-000035870000}"/>
    <cellStyle name="Normal 98 4 6 2" xfId="32330" xr:uid="{00000000-0005-0000-0000-000036870000}"/>
    <cellStyle name="Normal 98 4 7" xfId="24287" xr:uid="{00000000-0005-0000-0000-000037870000}"/>
    <cellStyle name="Normal 98 5" xfId="6530" xr:uid="{00000000-0005-0000-0000-000038870000}"/>
    <cellStyle name="Normal 98 5 2" xfId="6531" xr:uid="{00000000-0005-0000-0000-000039870000}"/>
    <cellStyle name="Normal 98 5 2 2" xfId="6532" xr:uid="{00000000-0005-0000-0000-00003A870000}"/>
    <cellStyle name="Normal 98 5 2 2 2" xfId="6533" xr:uid="{00000000-0005-0000-0000-00003B870000}"/>
    <cellStyle name="Normal 98 5 2 2 2 2" xfId="10337" xr:uid="{00000000-0005-0000-0000-00003C870000}"/>
    <cellStyle name="Normal 98 5 2 2 2 2 2" xfId="19511" xr:uid="{00000000-0005-0000-0000-00003D870000}"/>
    <cellStyle name="Normal 98 5 2 2 2 2 2 2" xfId="36085" xr:uid="{00000000-0005-0000-0000-00003E870000}"/>
    <cellStyle name="Normal 98 5 2 2 2 2 3" xfId="28038" xr:uid="{00000000-0005-0000-0000-00003F870000}"/>
    <cellStyle name="Normal 98 5 2 2 2 3" xfId="15785" xr:uid="{00000000-0005-0000-0000-000040870000}"/>
    <cellStyle name="Normal 98 5 2 2 2 3 2" xfId="32341" xr:uid="{00000000-0005-0000-0000-000041870000}"/>
    <cellStyle name="Normal 98 5 2 2 2 4" xfId="24298" xr:uid="{00000000-0005-0000-0000-000042870000}"/>
    <cellStyle name="Normal 98 5 2 2 3" xfId="10338" xr:uid="{00000000-0005-0000-0000-000043870000}"/>
    <cellStyle name="Normal 98 5 2 2 3 2" xfId="19512" xr:uid="{00000000-0005-0000-0000-000044870000}"/>
    <cellStyle name="Normal 98 5 2 2 3 2 2" xfId="36086" xr:uid="{00000000-0005-0000-0000-000045870000}"/>
    <cellStyle name="Normal 98 5 2 2 3 3" xfId="28039" xr:uid="{00000000-0005-0000-0000-000046870000}"/>
    <cellStyle name="Normal 98 5 2 2 4" xfId="15784" xr:uid="{00000000-0005-0000-0000-000047870000}"/>
    <cellStyle name="Normal 98 5 2 2 4 2" xfId="32340" xr:uid="{00000000-0005-0000-0000-000048870000}"/>
    <cellStyle name="Normal 98 5 2 2 5" xfId="24297" xr:uid="{00000000-0005-0000-0000-000049870000}"/>
    <cellStyle name="Normal 98 5 2 3" xfId="6534" xr:uid="{00000000-0005-0000-0000-00004A870000}"/>
    <cellStyle name="Normal 98 5 2 3 2" xfId="10339" xr:uid="{00000000-0005-0000-0000-00004B870000}"/>
    <cellStyle name="Normal 98 5 2 3 2 2" xfId="19513" xr:uid="{00000000-0005-0000-0000-00004C870000}"/>
    <cellStyle name="Normal 98 5 2 3 2 2 2" xfId="36087" xr:uid="{00000000-0005-0000-0000-00004D870000}"/>
    <cellStyle name="Normal 98 5 2 3 2 3" xfId="28040" xr:uid="{00000000-0005-0000-0000-00004E870000}"/>
    <cellStyle name="Normal 98 5 2 3 3" xfId="15786" xr:uid="{00000000-0005-0000-0000-00004F870000}"/>
    <cellStyle name="Normal 98 5 2 3 3 2" xfId="32342" xr:uid="{00000000-0005-0000-0000-000050870000}"/>
    <cellStyle name="Normal 98 5 2 3 4" xfId="24299" xr:uid="{00000000-0005-0000-0000-000051870000}"/>
    <cellStyle name="Normal 98 5 2 4" xfId="10340" xr:uid="{00000000-0005-0000-0000-000052870000}"/>
    <cellStyle name="Normal 98 5 2 4 2" xfId="19514" xr:uid="{00000000-0005-0000-0000-000053870000}"/>
    <cellStyle name="Normal 98 5 2 4 2 2" xfId="36088" xr:uid="{00000000-0005-0000-0000-000054870000}"/>
    <cellStyle name="Normal 98 5 2 4 3" xfId="28041" xr:uid="{00000000-0005-0000-0000-000055870000}"/>
    <cellStyle name="Normal 98 5 2 5" xfId="15783" xr:uid="{00000000-0005-0000-0000-000056870000}"/>
    <cellStyle name="Normal 98 5 2 5 2" xfId="32339" xr:uid="{00000000-0005-0000-0000-000057870000}"/>
    <cellStyle name="Normal 98 5 2 6" xfId="24296" xr:uid="{00000000-0005-0000-0000-000058870000}"/>
    <cellStyle name="Normal 98 5 3" xfId="6535" xr:uid="{00000000-0005-0000-0000-000059870000}"/>
    <cellStyle name="Normal 98 5 3 2" xfId="6536" xr:uid="{00000000-0005-0000-0000-00005A870000}"/>
    <cellStyle name="Normal 98 5 3 2 2" xfId="10341" xr:uid="{00000000-0005-0000-0000-00005B870000}"/>
    <cellStyle name="Normal 98 5 3 2 2 2" xfId="19515" xr:uid="{00000000-0005-0000-0000-00005C870000}"/>
    <cellStyle name="Normal 98 5 3 2 2 2 2" xfId="36089" xr:uid="{00000000-0005-0000-0000-00005D870000}"/>
    <cellStyle name="Normal 98 5 3 2 2 3" xfId="28042" xr:uid="{00000000-0005-0000-0000-00005E870000}"/>
    <cellStyle name="Normal 98 5 3 2 3" xfId="15788" xr:uid="{00000000-0005-0000-0000-00005F870000}"/>
    <cellStyle name="Normal 98 5 3 2 3 2" xfId="32344" xr:uid="{00000000-0005-0000-0000-000060870000}"/>
    <cellStyle name="Normal 98 5 3 2 4" xfId="24301" xr:uid="{00000000-0005-0000-0000-000061870000}"/>
    <cellStyle name="Normal 98 5 3 3" xfId="10342" xr:uid="{00000000-0005-0000-0000-000062870000}"/>
    <cellStyle name="Normal 98 5 3 3 2" xfId="19516" xr:uid="{00000000-0005-0000-0000-000063870000}"/>
    <cellStyle name="Normal 98 5 3 3 2 2" xfId="36090" xr:uid="{00000000-0005-0000-0000-000064870000}"/>
    <cellStyle name="Normal 98 5 3 3 3" xfId="28043" xr:uid="{00000000-0005-0000-0000-000065870000}"/>
    <cellStyle name="Normal 98 5 3 4" xfId="15787" xr:uid="{00000000-0005-0000-0000-000066870000}"/>
    <cellStyle name="Normal 98 5 3 4 2" xfId="32343" xr:uid="{00000000-0005-0000-0000-000067870000}"/>
    <cellStyle name="Normal 98 5 3 5" xfId="24300" xr:uid="{00000000-0005-0000-0000-000068870000}"/>
    <cellStyle name="Normal 98 5 4" xfId="6537" xr:uid="{00000000-0005-0000-0000-000069870000}"/>
    <cellStyle name="Normal 98 5 4 2" xfId="10343" xr:uid="{00000000-0005-0000-0000-00006A870000}"/>
    <cellStyle name="Normal 98 5 4 2 2" xfId="19517" xr:uid="{00000000-0005-0000-0000-00006B870000}"/>
    <cellStyle name="Normal 98 5 4 2 2 2" xfId="36091" xr:uid="{00000000-0005-0000-0000-00006C870000}"/>
    <cellStyle name="Normal 98 5 4 2 3" xfId="28044" xr:uid="{00000000-0005-0000-0000-00006D870000}"/>
    <cellStyle name="Normal 98 5 4 3" xfId="15789" xr:uid="{00000000-0005-0000-0000-00006E870000}"/>
    <cellStyle name="Normal 98 5 4 3 2" xfId="32345" xr:uid="{00000000-0005-0000-0000-00006F870000}"/>
    <cellStyle name="Normal 98 5 4 4" xfId="24302" xr:uid="{00000000-0005-0000-0000-000070870000}"/>
    <cellStyle name="Normal 98 5 5" xfId="10344" xr:uid="{00000000-0005-0000-0000-000071870000}"/>
    <cellStyle name="Normal 98 5 5 2" xfId="19518" xr:uid="{00000000-0005-0000-0000-000072870000}"/>
    <cellStyle name="Normal 98 5 5 2 2" xfId="36092" xr:uid="{00000000-0005-0000-0000-000073870000}"/>
    <cellStyle name="Normal 98 5 5 3" xfId="28045" xr:uid="{00000000-0005-0000-0000-000074870000}"/>
    <cellStyle name="Normal 98 5 6" xfId="15782" xr:uid="{00000000-0005-0000-0000-000075870000}"/>
    <cellStyle name="Normal 98 5 6 2" xfId="32338" xr:uid="{00000000-0005-0000-0000-000076870000}"/>
    <cellStyle name="Normal 98 5 7" xfId="24295" xr:uid="{00000000-0005-0000-0000-000077870000}"/>
    <cellStyle name="Normal 98 6" xfId="6538" xr:uid="{00000000-0005-0000-0000-000078870000}"/>
    <cellStyle name="Normal 98 6 2" xfId="6539" xr:uid="{00000000-0005-0000-0000-000079870000}"/>
    <cellStyle name="Normal 98 6 2 2" xfId="6540" xr:uid="{00000000-0005-0000-0000-00007A870000}"/>
    <cellStyle name="Normal 98 6 2 2 2" xfId="10345" xr:uid="{00000000-0005-0000-0000-00007B870000}"/>
    <cellStyle name="Normal 98 6 2 2 2 2" xfId="19519" xr:uid="{00000000-0005-0000-0000-00007C870000}"/>
    <cellStyle name="Normal 98 6 2 2 2 2 2" xfId="36093" xr:uid="{00000000-0005-0000-0000-00007D870000}"/>
    <cellStyle name="Normal 98 6 2 2 2 3" xfId="28046" xr:uid="{00000000-0005-0000-0000-00007E870000}"/>
    <cellStyle name="Normal 98 6 2 2 3" xfId="15792" xr:uid="{00000000-0005-0000-0000-00007F870000}"/>
    <cellStyle name="Normal 98 6 2 2 3 2" xfId="32348" xr:uid="{00000000-0005-0000-0000-000080870000}"/>
    <cellStyle name="Normal 98 6 2 2 4" xfId="24305" xr:uid="{00000000-0005-0000-0000-000081870000}"/>
    <cellStyle name="Normal 98 6 2 3" xfId="10346" xr:uid="{00000000-0005-0000-0000-000082870000}"/>
    <cellStyle name="Normal 98 6 2 3 2" xfId="19520" xr:uid="{00000000-0005-0000-0000-000083870000}"/>
    <cellStyle name="Normal 98 6 2 3 2 2" xfId="36094" xr:uid="{00000000-0005-0000-0000-000084870000}"/>
    <cellStyle name="Normal 98 6 2 3 3" xfId="28047" xr:uid="{00000000-0005-0000-0000-000085870000}"/>
    <cellStyle name="Normal 98 6 2 4" xfId="15791" xr:uid="{00000000-0005-0000-0000-000086870000}"/>
    <cellStyle name="Normal 98 6 2 4 2" xfId="32347" xr:uid="{00000000-0005-0000-0000-000087870000}"/>
    <cellStyle name="Normal 98 6 2 5" xfId="24304" xr:uid="{00000000-0005-0000-0000-000088870000}"/>
    <cellStyle name="Normal 98 6 3" xfId="6541" xr:uid="{00000000-0005-0000-0000-000089870000}"/>
    <cellStyle name="Normal 98 6 3 2" xfId="10347" xr:uid="{00000000-0005-0000-0000-00008A870000}"/>
    <cellStyle name="Normal 98 6 3 2 2" xfId="19521" xr:uid="{00000000-0005-0000-0000-00008B870000}"/>
    <cellStyle name="Normal 98 6 3 2 2 2" xfId="36095" xr:uid="{00000000-0005-0000-0000-00008C870000}"/>
    <cellStyle name="Normal 98 6 3 2 3" xfId="28048" xr:uid="{00000000-0005-0000-0000-00008D870000}"/>
    <cellStyle name="Normal 98 6 3 3" xfId="15793" xr:uid="{00000000-0005-0000-0000-00008E870000}"/>
    <cellStyle name="Normal 98 6 3 3 2" xfId="32349" xr:uid="{00000000-0005-0000-0000-00008F870000}"/>
    <cellStyle name="Normal 98 6 3 4" xfId="24306" xr:uid="{00000000-0005-0000-0000-000090870000}"/>
    <cellStyle name="Normal 98 6 4" xfId="10348" xr:uid="{00000000-0005-0000-0000-000091870000}"/>
    <cellStyle name="Normal 98 6 4 2" xfId="19522" xr:uid="{00000000-0005-0000-0000-000092870000}"/>
    <cellStyle name="Normal 98 6 4 2 2" xfId="36096" xr:uid="{00000000-0005-0000-0000-000093870000}"/>
    <cellStyle name="Normal 98 6 4 3" xfId="28049" xr:uid="{00000000-0005-0000-0000-000094870000}"/>
    <cellStyle name="Normal 98 6 5" xfId="15790" xr:uid="{00000000-0005-0000-0000-000095870000}"/>
    <cellStyle name="Normal 98 6 5 2" xfId="32346" xr:uid="{00000000-0005-0000-0000-000096870000}"/>
    <cellStyle name="Normal 98 6 6" xfId="24303" xr:uid="{00000000-0005-0000-0000-000097870000}"/>
    <cellStyle name="Normal 98 7" xfId="6542" xr:uid="{00000000-0005-0000-0000-000098870000}"/>
    <cellStyle name="Normal 98 7 2" xfId="6543" xr:uid="{00000000-0005-0000-0000-000099870000}"/>
    <cellStyle name="Normal 98 7 2 2" xfId="10349" xr:uid="{00000000-0005-0000-0000-00009A870000}"/>
    <cellStyle name="Normal 98 7 2 2 2" xfId="19523" xr:uid="{00000000-0005-0000-0000-00009B870000}"/>
    <cellStyle name="Normal 98 7 2 2 2 2" xfId="36097" xr:uid="{00000000-0005-0000-0000-00009C870000}"/>
    <cellStyle name="Normal 98 7 2 2 3" xfId="28050" xr:uid="{00000000-0005-0000-0000-00009D870000}"/>
    <cellStyle name="Normal 98 7 2 3" xfId="15795" xr:uid="{00000000-0005-0000-0000-00009E870000}"/>
    <cellStyle name="Normal 98 7 2 3 2" xfId="32351" xr:uid="{00000000-0005-0000-0000-00009F870000}"/>
    <cellStyle name="Normal 98 7 2 4" xfId="24308" xr:uid="{00000000-0005-0000-0000-0000A0870000}"/>
    <cellStyle name="Normal 98 7 3" xfId="10350" xr:uid="{00000000-0005-0000-0000-0000A1870000}"/>
    <cellStyle name="Normal 98 7 3 2" xfId="19524" xr:uid="{00000000-0005-0000-0000-0000A2870000}"/>
    <cellStyle name="Normal 98 7 3 2 2" xfId="36098" xr:uid="{00000000-0005-0000-0000-0000A3870000}"/>
    <cellStyle name="Normal 98 7 3 3" xfId="28051" xr:uid="{00000000-0005-0000-0000-0000A4870000}"/>
    <cellStyle name="Normal 98 7 4" xfId="15794" xr:uid="{00000000-0005-0000-0000-0000A5870000}"/>
    <cellStyle name="Normal 98 7 4 2" xfId="32350" xr:uid="{00000000-0005-0000-0000-0000A6870000}"/>
    <cellStyle name="Normal 98 7 5" xfId="24307" xr:uid="{00000000-0005-0000-0000-0000A7870000}"/>
    <cellStyle name="Normal 98 8" xfId="6544" xr:uid="{00000000-0005-0000-0000-0000A8870000}"/>
    <cellStyle name="Normal 98 8 2" xfId="10351" xr:uid="{00000000-0005-0000-0000-0000A9870000}"/>
    <cellStyle name="Normal 98 8 2 2" xfId="19525" xr:uid="{00000000-0005-0000-0000-0000AA870000}"/>
    <cellStyle name="Normal 98 8 2 2 2" xfId="36099" xr:uid="{00000000-0005-0000-0000-0000AB870000}"/>
    <cellStyle name="Normal 98 8 2 3" xfId="28052" xr:uid="{00000000-0005-0000-0000-0000AC870000}"/>
    <cellStyle name="Normal 98 8 3" xfId="15796" xr:uid="{00000000-0005-0000-0000-0000AD870000}"/>
    <cellStyle name="Normal 98 8 3 2" xfId="32352" xr:uid="{00000000-0005-0000-0000-0000AE870000}"/>
    <cellStyle name="Normal 98 8 4" xfId="24309" xr:uid="{00000000-0005-0000-0000-0000AF870000}"/>
    <cellStyle name="Normal 98 9" xfId="10352" xr:uid="{00000000-0005-0000-0000-0000B0870000}"/>
    <cellStyle name="Normal 98 9 2" xfId="19526" xr:uid="{00000000-0005-0000-0000-0000B1870000}"/>
    <cellStyle name="Normal 98 9 2 2" xfId="36100" xr:uid="{00000000-0005-0000-0000-0000B2870000}"/>
    <cellStyle name="Normal 98 9 3" xfId="28053" xr:uid="{00000000-0005-0000-0000-0000B3870000}"/>
    <cellStyle name="Normal 99" xfId="6545" xr:uid="{00000000-0005-0000-0000-0000B4870000}"/>
    <cellStyle name="Normal 99 2" xfId="10353" xr:uid="{00000000-0005-0000-0000-0000B5870000}"/>
    <cellStyle name="Normal_Cognex 4.17.07" xfId="36198" xr:uid="{960EEA5F-0A08-4E0F-BAB7-41FC803D00B7}"/>
    <cellStyle name="Normal_EMC072000" xfId="36199" xr:uid="{45290676-B890-4934-8251-5A44C2BDF18B}"/>
    <cellStyle name="Normal_GIGM test" xfId="386" xr:uid="{00000000-0005-0000-0000-0000B6870000}"/>
    <cellStyle name="NormalItalic" xfId="1934" xr:uid="{00000000-0005-0000-0000-0000B7870000}"/>
    <cellStyle name="Nota" xfId="1935" xr:uid="{00000000-0005-0000-0000-0000B8870000}"/>
    <cellStyle name="Nota 2" xfId="11089" xr:uid="{00000000-0005-0000-0000-0000B9870000}"/>
    <cellStyle name="Notas" xfId="1936" xr:uid="{00000000-0005-0000-0000-0000BA870000}"/>
    <cellStyle name="Notas 2" xfId="11090" xr:uid="{00000000-0005-0000-0000-0000BB870000}"/>
    <cellStyle name="Note" xfId="1752" builtinId="10" customBuiltin="1"/>
    <cellStyle name="Note 10" xfId="11138" xr:uid="{00000000-0005-0000-0000-0000BD870000}"/>
    <cellStyle name="Note 11" xfId="11154" xr:uid="{00000000-0005-0000-0000-0000BE870000}"/>
    <cellStyle name="Note 12" xfId="11170" xr:uid="{00000000-0005-0000-0000-0000BF870000}"/>
    <cellStyle name="Note 13" xfId="11199" xr:uid="{00000000-0005-0000-0000-0000C0870000}"/>
    <cellStyle name="Note 14" xfId="11218" xr:uid="{00000000-0005-0000-0000-0000C1870000}"/>
    <cellStyle name="Note 15" xfId="11234" xr:uid="{00000000-0005-0000-0000-0000C2870000}"/>
    <cellStyle name="Note 16" xfId="11209" xr:uid="{00000000-0005-0000-0000-0000C3870000}"/>
    <cellStyle name="Note 17" xfId="11256" xr:uid="{00000000-0005-0000-0000-0000C4870000}"/>
    <cellStyle name="Note 18" xfId="11283" xr:uid="{00000000-0005-0000-0000-0000C5870000}"/>
    <cellStyle name="Note 19" xfId="11315" xr:uid="{00000000-0005-0000-0000-0000C6870000}"/>
    <cellStyle name="Note 2" xfId="66" xr:uid="{00000000-0005-0000-0000-0000C7870000}"/>
    <cellStyle name="Note 2 2" xfId="296" xr:uid="{00000000-0005-0000-0000-0000C8870000}"/>
    <cellStyle name="Note 2 2 2" xfId="1592" xr:uid="{00000000-0005-0000-0000-0000C9870000}"/>
    <cellStyle name="Note 2 2 2 2" xfId="1635" xr:uid="{00000000-0005-0000-0000-0000CA870000}"/>
    <cellStyle name="Note 2 2 2 2 2" xfId="10354" xr:uid="{00000000-0005-0000-0000-0000CB870000}"/>
    <cellStyle name="Note 2 2 2 2 2 2" xfId="19527" xr:uid="{00000000-0005-0000-0000-0000CC870000}"/>
    <cellStyle name="Note 2 2 2 2 2 2 2" xfId="36101" xr:uid="{00000000-0005-0000-0000-0000CD870000}"/>
    <cellStyle name="Note 2 2 2 2 2 3" xfId="28054" xr:uid="{00000000-0005-0000-0000-0000CE870000}"/>
    <cellStyle name="Note 2 2 2 2 3" xfId="6549" xr:uid="{00000000-0005-0000-0000-0000CF870000}"/>
    <cellStyle name="Note 2 2 2 2 3 2" xfId="32356" xr:uid="{00000000-0005-0000-0000-0000D0870000}"/>
    <cellStyle name="Note 2 2 2 2 4" xfId="24312" xr:uid="{00000000-0005-0000-0000-0000D1870000}"/>
    <cellStyle name="Note 2 2 2 3" xfId="1654" xr:uid="{00000000-0005-0000-0000-0000D2870000}"/>
    <cellStyle name="Note 2 2 2 3 2" xfId="10355" xr:uid="{00000000-0005-0000-0000-0000D3870000}"/>
    <cellStyle name="Note 2 2 2 3 2 2" xfId="36102" xr:uid="{00000000-0005-0000-0000-0000D4870000}"/>
    <cellStyle name="Note 2 2 2 3 3" xfId="28055" xr:uid="{00000000-0005-0000-0000-0000D5870000}"/>
    <cellStyle name="Note 2 2 2 4" xfId="6548" xr:uid="{00000000-0005-0000-0000-0000D6870000}"/>
    <cellStyle name="Note 2 2 2 4 2" xfId="32355" xr:uid="{00000000-0005-0000-0000-0000D7870000}"/>
    <cellStyle name="Note 2 2 2 5" xfId="24311" xr:uid="{00000000-0005-0000-0000-0000D8870000}"/>
    <cellStyle name="Note 2 2 3" xfId="1615" xr:uid="{00000000-0005-0000-0000-0000D9870000}"/>
    <cellStyle name="Note 2 2 3 2" xfId="10356" xr:uid="{00000000-0005-0000-0000-0000DA870000}"/>
    <cellStyle name="Note 2 2 3 2 2" xfId="19528" xr:uid="{00000000-0005-0000-0000-0000DB870000}"/>
    <cellStyle name="Note 2 2 3 2 2 2" xfId="36103" xr:uid="{00000000-0005-0000-0000-0000DC870000}"/>
    <cellStyle name="Note 2 2 3 2 3" xfId="28056" xr:uid="{00000000-0005-0000-0000-0000DD870000}"/>
    <cellStyle name="Note 2 2 3 3" xfId="6550" xr:uid="{00000000-0005-0000-0000-0000DE870000}"/>
    <cellStyle name="Note 2 2 3 3 2" xfId="32357" xr:uid="{00000000-0005-0000-0000-0000DF870000}"/>
    <cellStyle name="Note 2 2 3 4" xfId="24313" xr:uid="{00000000-0005-0000-0000-0000E0870000}"/>
    <cellStyle name="Note 2 2 4" xfId="10357" xr:uid="{00000000-0005-0000-0000-0000E1870000}"/>
    <cellStyle name="Note 2 2 4 2" xfId="19529" xr:uid="{00000000-0005-0000-0000-0000E2870000}"/>
    <cellStyle name="Note 2 2 4 2 2" xfId="36104" xr:uid="{00000000-0005-0000-0000-0000E3870000}"/>
    <cellStyle name="Note 2 2 4 3" xfId="28057" xr:uid="{00000000-0005-0000-0000-0000E4870000}"/>
    <cellStyle name="Note 2 2 5" xfId="6547" xr:uid="{00000000-0005-0000-0000-0000E5870000}"/>
    <cellStyle name="Note 2 2 5 2" xfId="32354" xr:uid="{00000000-0005-0000-0000-0000E6870000}"/>
    <cellStyle name="Note 2 2 6" xfId="24310" xr:uid="{00000000-0005-0000-0000-0000E7870000}"/>
    <cellStyle name="Note 2 3" xfId="1586" xr:uid="{00000000-0005-0000-0000-0000E8870000}"/>
    <cellStyle name="Note 2 3 2" xfId="1629" xr:uid="{00000000-0005-0000-0000-0000E9870000}"/>
    <cellStyle name="Note 2 3 2 2" xfId="10358" xr:uid="{00000000-0005-0000-0000-0000EA870000}"/>
    <cellStyle name="Note 2 3 2 2 2" xfId="19530" xr:uid="{00000000-0005-0000-0000-0000EB870000}"/>
    <cellStyle name="Note 2 3 2 2 2 2" xfId="36105" xr:uid="{00000000-0005-0000-0000-0000EC870000}"/>
    <cellStyle name="Note 2 3 2 2 3" xfId="28058" xr:uid="{00000000-0005-0000-0000-0000ED870000}"/>
    <cellStyle name="Note 2 3 2 3" xfId="6552" xr:uid="{00000000-0005-0000-0000-0000EE870000}"/>
    <cellStyle name="Note 2 3 2 3 2" xfId="32359" xr:uid="{00000000-0005-0000-0000-0000EF870000}"/>
    <cellStyle name="Note 2 3 2 4" xfId="24315" xr:uid="{00000000-0005-0000-0000-0000F0870000}"/>
    <cellStyle name="Note 2 3 3" xfId="1648" xr:uid="{00000000-0005-0000-0000-0000F1870000}"/>
    <cellStyle name="Note 2 3 3 2" xfId="10359" xr:uid="{00000000-0005-0000-0000-0000F2870000}"/>
    <cellStyle name="Note 2 3 3 2 2" xfId="36106" xr:uid="{00000000-0005-0000-0000-0000F3870000}"/>
    <cellStyle name="Note 2 3 3 3" xfId="28059" xr:uid="{00000000-0005-0000-0000-0000F4870000}"/>
    <cellStyle name="Note 2 3 4" xfId="6551" xr:uid="{00000000-0005-0000-0000-0000F5870000}"/>
    <cellStyle name="Note 2 3 4 2" xfId="32358" xr:uid="{00000000-0005-0000-0000-0000F6870000}"/>
    <cellStyle name="Note 2 3 5" xfId="24314" xr:uid="{00000000-0005-0000-0000-0000F7870000}"/>
    <cellStyle name="Note 2 4" xfId="1609" xr:uid="{00000000-0005-0000-0000-0000F8870000}"/>
    <cellStyle name="Note 2 4 2" xfId="10360" xr:uid="{00000000-0005-0000-0000-0000F9870000}"/>
    <cellStyle name="Note 2 4 2 2" xfId="19531" xr:uid="{00000000-0005-0000-0000-0000FA870000}"/>
    <cellStyle name="Note 2 4 2 2 2" xfId="36107" xr:uid="{00000000-0005-0000-0000-0000FB870000}"/>
    <cellStyle name="Note 2 4 2 3" xfId="28060" xr:uid="{00000000-0005-0000-0000-0000FC870000}"/>
    <cellStyle name="Note 2 4 3" xfId="6553" xr:uid="{00000000-0005-0000-0000-0000FD870000}"/>
    <cellStyle name="Note 2 4 3 2" xfId="32360" xr:uid="{00000000-0005-0000-0000-0000FE870000}"/>
    <cellStyle name="Note 2 4 4" xfId="24316" xr:uid="{00000000-0005-0000-0000-0000FF870000}"/>
    <cellStyle name="Note 2 5" xfId="10361" xr:uid="{00000000-0005-0000-0000-000000880000}"/>
    <cellStyle name="Note 2 5 2" xfId="19532" xr:uid="{00000000-0005-0000-0000-000001880000}"/>
    <cellStyle name="Note 2 5 2 2" xfId="36108" xr:uid="{00000000-0005-0000-0000-000002880000}"/>
    <cellStyle name="Note 2 5 3" xfId="28061" xr:uid="{00000000-0005-0000-0000-000003880000}"/>
    <cellStyle name="Note 2 6" xfId="10903" xr:uid="{00000000-0005-0000-0000-000004880000}"/>
    <cellStyle name="Note 2 6 2" xfId="32353" xr:uid="{00000000-0005-0000-0000-000005880000}"/>
    <cellStyle name="Note 2 7" xfId="6546" xr:uid="{00000000-0005-0000-0000-000006880000}"/>
    <cellStyle name="Note 20" xfId="11439" xr:uid="{00000000-0005-0000-0000-000007880000}"/>
    <cellStyle name="Note 21" xfId="11454" xr:uid="{00000000-0005-0000-0000-000008880000}"/>
    <cellStyle name="Note 22" xfId="11480" xr:uid="{00000000-0005-0000-0000-000009880000}"/>
    <cellStyle name="Note 23" xfId="11338" xr:uid="{00000000-0005-0000-0000-00000A880000}"/>
    <cellStyle name="Note 24" xfId="11474" xr:uid="{00000000-0005-0000-0000-00000B880000}"/>
    <cellStyle name="Note 25" xfId="11346" xr:uid="{00000000-0005-0000-0000-00000C880000}"/>
    <cellStyle name="Note 26" xfId="11468" xr:uid="{00000000-0005-0000-0000-00000D880000}"/>
    <cellStyle name="Note 27" xfId="11352" xr:uid="{00000000-0005-0000-0000-00000E880000}"/>
    <cellStyle name="Note 28" xfId="11463" xr:uid="{00000000-0005-0000-0000-00000F880000}"/>
    <cellStyle name="Note 29" xfId="11357" xr:uid="{00000000-0005-0000-0000-000010880000}"/>
    <cellStyle name="Note 3" xfId="297" xr:uid="{00000000-0005-0000-0000-000011880000}"/>
    <cellStyle name="Note 3 2" xfId="298" xr:uid="{00000000-0005-0000-0000-000012880000}"/>
    <cellStyle name="Note 3 2 2" xfId="299" xr:uid="{00000000-0005-0000-0000-000013880000}"/>
    <cellStyle name="Note 3 2 2 2" xfId="6554" xr:uid="{00000000-0005-0000-0000-000014880000}"/>
    <cellStyle name="Note 3 2 2 2 2" xfId="15800" xr:uid="{00000000-0005-0000-0000-000015880000}"/>
    <cellStyle name="Note 3 2 2 2 2 2" xfId="32364" xr:uid="{00000000-0005-0000-0000-000016880000}"/>
    <cellStyle name="Note 3 2 2 2 3" xfId="24320" xr:uid="{00000000-0005-0000-0000-000017880000}"/>
    <cellStyle name="Note 3 2 2 3" xfId="15799" xr:uid="{00000000-0005-0000-0000-000018880000}"/>
    <cellStyle name="Note 3 2 2 3 2" xfId="32363" xr:uid="{00000000-0005-0000-0000-000019880000}"/>
    <cellStyle name="Note 3 2 2 4" xfId="24319" xr:uid="{00000000-0005-0000-0000-00001A880000}"/>
    <cellStyle name="Note 3 2 3" xfId="6555" xr:uid="{00000000-0005-0000-0000-00001B880000}"/>
    <cellStyle name="Note 3 2 3 2" xfId="15801" xr:uid="{00000000-0005-0000-0000-00001C880000}"/>
    <cellStyle name="Note 3 2 3 2 2" xfId="32365" xr:uid="{00000000-0005-0000-0000-00001D880000}"/>
    <cellStyle name="Note 3 2 3 3" xfId="24321" xr:uid="{00000000-0005-0000-0000-00001E880000}"/>
    <cellStyle name="Note 3 2 4" xfId="15798" xr:uid="{00000000-0005-0000-0000-00001F880000}"/>
    <cellStyle name="Note 3 2 4 2" xfId="32362" xr:uid="{00000000-0005-0000-0000-000020880000}"/>
    <cellStyle name="Note 3 2 5" xfId="24318" xr:uid="{00000000-0005-0000-0000-000021880000}"/>
    <cellStyle name="Note 3 3" xfId="300" xr:uid="{00000000-0005-0000-0000-000022880000}"/>
    <cellStyle name="Note 3 3 2" xfId="6556" xr:uid="{00000000-0005-0000-0000-000023880000}"/>
    <cellStyle name="Note 3 3 2 2" xfId="15803" xr:uid="{00000000-0005-0000-0000-000024880000}"/>
    <cellStyle name="Note 3 3 2 2 2" xfId="32367" xr:uid="{00000000-0005-0000-0000-000025880000}"/>
    <cellStyle name="Note 3 3 2 3" xfId="24323" xr:uid="{00000000-0005-0000-0000-000026880000}"/>
    <cellStyle name="Note 3 3 3" xfId="15802" xr:uid="{00000000-0005-0000-0000-000027880000}"/>
    <cellStyle name="Note 3 3 3 2" xfId="32366" xr:uid="{00000000-0005-0000-0000-000028880000}"/>
    <cellStyle name="Note 3 3 4" xfId="24322" xr:uid="{00000000-0005-0000-0000-000029880000}"/>
    <cellStyle name="Note 3 4" xfId="6557" xr:uid="{00000000-0005-0000-0000-00002A880000}"/>
    <cellStyle name="Note 3 4 2" xfId="15804" xr:uid="{00000000-0005-0000-0000-00002B880000}"/>
    <cellStyle name="Note 3 4 2 2" xfId="32368" xr:uid="{00000000-0005-0000-0000-00002C880000}"/>
    <cellStyle name="Note 3 4 3" xfId="24324" xr:uid="{00000000-0005-0000-0000-00002D880000}"/>
    <cellStyle name="Note 3 5" xfId="15797" xr:uid="{00000000-0005-0000-0000-00002E880000}"/>
    <cellStyle name="Note 3 5 2" xfId="32361" xr:uid="{00000000-0005-0000-0000-00002F880000}"/>
    <cellStyle name="Note 3 6" xfId="24317" xr:uid="{00000000-0005-0000-0000-000030880000}"/>
    <cellStyle name="Note 30" xfId="11433" xr:uid="{00000000-0005-0000-0000-000031880000}"/>
    <cellStyle name="Note 31" xfId="11360" xr:uid="{00000000-0005-0000-0000-000032880000}"/>
    <cellStyle name="Note 32" xfId="11430" xr:uid="{00000000-0005-0000-0000-000033880000}"/>
    <cellStyle name="Note 33" xfId="11362" xr:uid="{00000000-0005-0000-0000-000034880000}"/>
    <cellStyle name="Note 34" xfId="11428" xr:uid="{00000000-0005-0000-0000-000035880000}"/>
    <cellStyle name="Note 35" xfId="11364" xr:uid="{00000000-0005-0000-0000-000036880000}"/>
    <cellStyle name="Note 36" xfId="11427" xr:uid="{00000000-0005-0000-0000-000037880000}"/>
    <cellStyle name="Note 37" xfId="11366" xr:uid="{00000000-0005-0000-0000-000038880000}"/>
    <cellStyle name="Note 38" xfId="11426" xr:uid="{00000000-0005-0000-0000-000039880000}"/>
    <cellStyle name="Note 39" xfId="11368" xr:uid="{00000000-0005-0000-0000-00003A880000}"/>
    <cellStyle name="Note 4" xfId="1159" xr:uid="{00000000-0005-0000-0000-00003B880000}"/>
    <cellStyle name="Note 4 2" xfId="1599" xr:uid="{00000000-0005-0000-0000-00003C880000}"/>
    <cellStyle name="Note 4 2 2" xfId="1641" xr:uid="{00000000-0005-0000-0000-00003D880000}"/>
    <cellStyle name="Note 4 2 2 2" xfId="6560" xr:uid="{00000000-0005-0000-0000-00003E880000}"/>
    <cellStyle name="Note 4 2 2 2 2" xfId="32371" xr:uid="{00000000-0005-0000-0000-00003F880000}"/>
    <cellStyle name="Note 4 2 2 3" xfId="24325" xr:uid="{00000000-0005-0000-0000-000040880000}"/>
    <cellStyle name="Note 4 2 3" xfId="1660" xr:uid="{00000000-0005-0000-0000-000041880000}"/>
    <cellStyle name="Note 4 2 3 2" xfId="32370" xr:uid="{00000000-0005-0000-0000-000042880000}"/>
    <cellStyle name="Note 4 2 3 3" xfId="15806" xr:uid="{00000000-0005-0000-0000-000043880000}"/>
    <cellStyle name="Note 4 2 4" xfId="6559" xr:uid="{00000000-0005-0000-0000-000044880000}"/>
    <cellStyle name="Note 4 3" xfId="1624" xr:uid="{00000000-0005-0000-0000-000045880000}"/>
    <cellStyle name="Note 4 3 2" xfId="6561" xr:uid="{00000000-0005-0000-0000-000046880000}"/>
    <cellStyle name="Note 4 3 2 2" xfId="32372" xr:uid="{00000000-0005-0000-0000-000047880000}"/>
    <cellStyle name="Note 4 3 3" xfId="24326" xr:uid="{00000000-0005-0000-0000-000048880000}"/>
    <cellStyle name="Note 4 4" xfId="1621" xr:uid="{00000000-0005-0000-0000-000049880000}"/>
    <cellStyle name="Note 4 4 2" xfId="32369" xr:uid="{00000000-0005-0000-0000-00004A880000}"/>
    <cellStyle name="Note 4 4 3" xfId="15805" xr:uid="{00000000-0005-0000-0000-00004B880000}"/>
    <cellStyle name="Note 4 5" xfId="6558" xr:uid="{00000000-0005-0000-0000-00004C880000}"/>
    <cellStyle name="Note 40" xfId="11424" xr:uid="{00000000-0005-0000-0000-00004D880000}"/>
    <cellStyle name="Note 41" xfId="11373" xr:uid="{00000000-0005-0000-0000-00004E880000}"/>
    <cellStyle name="Note 41 2" xfId="28167" xr:uid="{00000000-0005-0000-0000-00004F880000}"/>
    <cellStyle name="Note 42" xfId="19649" xr:uid="{00000000-0005-0000-0000-000050880000}"/>
    <cellStyle name="Note 43" xfId="19666" xr:uid="{00000000-0005-0000-0000-000051880000}"/>
    <cellStyle name="Note 44" xfId="19671" xr:uid="{00000000-0005-0000-0000-000052880000}"/>
    <cellStyle name="Note 45" xfId="19699" xr:uid="{00000000-0005-0000-0000-000053880000}"/>
    <cellStyle name="Note 46" xfId="19713" xr:uid="{00000000-0005-0000-0000-000054880000}"/>
    <cellStyle name="Note 47" xfId="19729" xr:uid="{00000000-0005-0000-0000-000055880000}"/>
    <cellStyle name="Note 48" xfId="19705" xr:uid="{00000000-0005-0000-0000-000056880000}"/>
    <cellStyle name="Note 49" xfId="19751" xr:uid="{00000000-0005-0000-0000-000057880000}"/>
    <cellStyle name="Note 5" xfId="6562" xr:uid="{00000000-0005-0000-0000-000058880000}"/>
    <cellStyle name="Note 5 2" xfId="6563" xr:uid="{00000000-0005-0000-0000-000059880000}"/>
    <cellStyle name="Note 5 2 2" xfId="15808" xr:uid="{00000000-0005-0000-0000-00005A880000}"/>
    <cellStyle name="Note 5 2 2 2" xfId="32374" xr:uid="{00000000-0005-0000-0000-00005B880000}"/>
    <cellStyle name="Note 5 2 3" xfId="24328" xr:uid="{00000000-0005-0000-0000-00005C880000}"/>
    <cellStyle name="Note 5 3" xfId="15807" xr:uid="{00000000-0005-0000-0000-00005D880000}"/>
    <cellStyle name="Note 5 3 2" xfId="32373" xr:uid="{00000000-0005-0000-0000-00005E880000}"/>
    <cellStyle name="Note 5 4" xfId="24327" xr:uid="{00000000-0005-0000-0000-00005F880000}"/>
    <cellStyle name="Note 50" xfId="19778" xr:uid="{00000000-0005-0000-0000-000060880000}"/>
    <cellStyle name="Note 51" xfId="19797" xr:uid="{00000000-0005-0000-0000-000061880000}"/>
    <cellStyle name="Note 52" xfId="19912" xr:uid="{00000000-0005-0000-0000-000062880000}"/>
    <cellStyle name="Note 53" xfId="19926" xr:uid="{00000000-0005-0000-0000-000063880000}"/>
    <cellStyle name="Note 54" xfId="19950" xr:uid="{00000000-0005-0000-0000-000064880000}"/>
    <cellStyle name="Note 55" xfId="19815" xr:uid="{00000000-0005-0000-0000-000065880000}"/>
    <cellStyle name="Note 56" xfId="19945" xr:uid="{00000000-0005-0000-0000-000066880000}"/>
    <cellStyle name="Note 57" xfId="19822" xr:uid="{00000000-0005-0000-0000-000067880000}"/>
    <cellStyle name="Note 58" xfId="19939" xr:uid="{00000000-0005-0000-0000-000068880000}"/>
    <cellStyle name="Note 59" xfId="19828" xr:uid="{00000000-0005-0000-0000-000069880000}"/>
    <cellStyle name="Note 6" xfId="6564" xr:uid="{00000000-0005-0000-0000-00006A880000}"/>
    <cellStyle name="Note 6 2" xfId="6565" xr:uid="{00000000-0005-0000-0000-00006B880000}"/>
    <cellStyle name="Note 6 2 2" xfId="15810" xr:uid="{00000000-0005-0000-0000-00006C880000}"/>
    <cellStyle name="Note 6 2 2 2" xfId="32376" xr:uid="{00000000-0005-0000-0000-00006D880000}"/>
    <cellStyle name="Note 6 2 3" xfId="24330" xr:uid="{00000000-0005-0000-0000-00006E880000}"/>
    <cellStyle name="Note 6 3" xfId="15809" xr:uid="{00000000-0005-0000-0000-00006F880000}"/>
    <cellStyle name="Note 6 3 2" xfId="32375" xr:uid="{00000000-0005-0000-0000-000070880000}"/>
    <cellStyle name="Note 6 4" xfId="24329" xr:uid="{00000000-0005-0000-0000-000071880000}"/>
    <cellStyle name="Note 60" xfId="19934" xr:uid="{00000000-0005-0000-0000-000072880000}"/>
    <cellStyle name="Note 61" xfId="19833" xr:uid="{00000000-0005-0000-0000-000073880000}"/>
    <cellStyle name="Note 62" xfId="19906" xr:uid="{00000000-0005-0000-0000-000074880000}"/>
    <cellStyle name="Note 63" xfId="19836" xr:uid="{00000000-0005-0000-0000-000075880000}"/>
    <cellStyle name="Note 64" xfId="19904" xr:uid="{00000000-0005-0000-0000-000076880000}"/>
    <cellStyle name="Note 65" xfId="19838" xr:uid="{00000000-0005-0000-0000-000077880000}"/>
    <cellStyle name="Note 66" xfId="19902" xr:uid="{00000000-0005-0000-0000-000078880000}"/>
    <cellStyle name="Note 67" xfId="19840" xr:uid="{00000000-0005-0000-0000-000079880000}"/>
    <cellStyle name="Note 68" xfId="19901" xr:uid="{00000000-0005-0000-0000-00007A880000}"/>
    <cellStyle name="Note 69" xfId="19842" xr:uid="{00000000-0005-0000-0000-00007B880000}"/>
    <cellStyle name="Note 7" xfId="6566" xr:uid="{00000000-0005-0000-0000-00007C880000}"/>
    <cellStyle name="Note 7 2" xfId="15811" xr:uid="{00000000-0005-0000-0000-00007D880000}"/>
    <cellStyle name="Note 7 2 2" xfId="32377" xr:uid="{00000000-0005-0000-0000-00007E880000}"/>
    <cellStyle name="Note 7 3" xfId="24331" xr:uid="{00000000-0005-0000-0000-00007F880000}"/>
    <cellStyle name="Note 70" xfId="19900" xr:uid="{00000000-0005-0000-0000-000080880000}"/>
    <cellStyle name="Note 71" xfId="19844" xr:uid="{00000000-0005-0000-0000-000081880000}"/>
    <cellStyle name="Note 72" xfId="19898" xr:uid="{00000000-0005-0000-0000-000082880000}"/>
    <cellStyle name="Note 73" xfId="19619" xr:uid="{00000000-0005-0000-0000-000083880000}"/>
    <cellStyle name="Note 8" xfId="6567" xr:uid="{00000000-0005-0000-0000-000084880000}"/>
    <cellStyle name="Note 8 2" xfId="15812" xr:uid="{00000000-0005-0000-0000-000085880000}"/>
    <cellStyle name="Note 8 2 2" xfId="32378" xr:uid="{00000000-0005-0000-0000-000086880000}"/>
    <cellStyle name="Note 8 3" xfId="24332" xr:uid="{00000000-0005-0000-0000-000087880000}"/>
    <cellStyle name="Note 9" xfId="6568" xr:uid="{00000000-0005-0000-0000-000088880000}"/>
    <cellStyle name="Note 9 2" xfId="15813" xr:uid="{00000000-0005-0000-0000-000089880000}"/>
    <cellStyle name="Note 9 2 2" xfId="32379" xr:uid="{00000000-0005-0000-0000-00008A880000}"/>
    <cellStyle name="Note 9 3" xfId="24333" xr:uid="{00000000-0005-0000-0000-00008B880000}"/>
    <cellStyle name="Nulos" xfId="1937" xr:uid="{00000000-0005-0000-0000-00008C880000}"/>
    <cellStyle name="Number" xfId="16" xr:uid="{00000000-0005-0000-0000-00008D880000}"/>
    <cellStyle name="Œ…‹æØ‚è [0.00]_GE 3 MINIMUM" xfId="1938" xr:uid="{00000000-0005-0000-0000-00008E880000}"/>
    <cellStyle name="Œ…‹æØ‚è_GE 3 MINIMUM" xfId="1939" xr:uid="{00000000-0005-0000-0000-00008F880000}"/>
    <cellStyle name="Oficio" xfId="1940" xr:uid="{00000000-0005-0000-0000-000090880000}"/>
    <cellStyle name="Osborne" xfId="301" xr:uid="{00000000-0005-0000-0000-000091880000}"/>
    <cellStyle name="Osborne 2" xfId="10411" xr:uid="{00000000-0005-0000-0000-000092880000}"/>
    <cellStyle name="Osborne 3" xfId="11124" xr:uid="{00000000-0005-0000-0000-000093880000}"/>
    <cellStyle name="OSW_RowLabels" xfId="1160" xr:uid="{00000000-0005-0000-0000-000094880000}"/>
    <cellStyle name="Output" xfId="1747" builtinId="21" customBuiltin="1"/>
    <cellStyle name="Output 10" xfId="11261" xr:uid="{00000000-0005-0000-0000-000096880000}"/>
    <cellStyle name="Output 11" xfId="11278" xr:uid="{00000000-0005-0000-0000-000097880000}"/>
    <cellStyle name="Output 12" xfId="11310" xr:uid="{00000000-0005-0000-0000-000098880000}"/>
    <cellStyle name="Output 13" xfId="11444" xr:uid="{00000000-0005-0000-0000-000099880000}"/>
    <cellStyle name="Output 14" xfId="11329" xr:uid="{00000000-0005-0000-0000-00009A880000}"/>
    <cellStyle name="Output 15" xfId="11485" xr:uid="{00000000-0005-0000-0000-00009B880000}"/>
    <cellStyle name="Output 16" xfId="11502" xr:uid="{00000000-0005-0000-0000-00009C880000}"/>
    <cellStyle name="Output 17" xfId="11517" xr:uid="{00000000-0005-0000-0000-00009D880000}"/>
    <cellStyle name="Output 18" xfId="11534" xr:uid="{00000000-0005-0000-0000-00009E880000}"/>
    <cellStyle name="Output 19" xfId="11550" xr:uid="{00000000-0005-0000-0000-00009F880000}"/>
    <cellStyle name="Output 2" xfId="67" xr:uid="{00000000-0005-0000-0000-0000A0880000}"/>
    <cellStyle name="Output 2 2" xfId="302" xr:uid="{00000000-0005-0000-0000-0000A1880000}"/>
    <cellStyle name="Output 2 2 2" xfId="1593" xr:uid="{00000000-0005-0000-0000-0000A2880000}"/>
    <cellStyle name="Output 2 2 2 2" xfId="1636" xr:uid="{00000000-0005-0000-0000-0000A3880000}"/>
    <cellStyle name="Output 2 2 2 3" xfId="1655" xr:uid="{00000000-0005-0000-0000-0000A4880000}"/>
    <cellStyle name="Output 2 2 3" xfId="11116" xr:uid="{00000000-0005-0000-0000-0000A5880000}"/>
    <cellStyle name="Output 2 3" xfId="1587" xr:uid="{00000000-0005-0000-0000-0000A6880000}"/>
    <cellStyle name="Output 2 3 2" xfId="1630" xr:uid="{00000000-0005-0000-0000-0000A7880000}"/>
    <cellStyle name="Output 2 3 3" xfId="1649" xr:uid="{00000000-0005-0000-0000-0000A8880000}"/>
    <cellStyle name="Output 2 4" xfId="1610" xr:uid="{00000000-0005-0000-0000-0000A9880000}"/>
    <cellStyle name="Output 2 5" xfId="11115" xr:uid="{00000000-0005-0000-0000-0000AA880000}"/>
    <cellStyle name="Output 20" xfId="11566" xr:uid="{00000000-0005-0000-0000-0000AB880000}"/>
    <cellStyle name="Output 21" xfId="11582" xr:uid="{00000000-0005-0000-0000-0000AC880000}"/>
    <cellStyle name="Output 22" xfId="11598" xr:uid="{00000000-0005-0000-0000-0000AD880000}"/>
    <cellStyle name="Output 23" xfId="11613" xr:uid="{00000000-0005-0000-0000-0000AE880000}"/>
    <cellStyle name="Output 24" xfId="11630" xr:uid="{00000000-0005-0000-0000-0000AF880000}"/>
    <cellStyle name="Output 25" xfId="11645" xr:uid="{00000000-0005-0000-0000-0000B0880000}"/>
    <cellStyle name="Output 26" xfId="11661" xr:uid="{00000000-0005-0000-0000-0000B1880000}"/>
    <cellStyle name="Output 27" xfId="11675" xr:uid="{00000000-0005-0000-0000-0000B2880000}"/>
    <cellStyle name="Output 28" xfId="11690" xr:uid="{00000000-0005-0000-0000-0000B3880000}"/>
    <cellStyle name="Output 29" xfId="11705" xr:uid="{00000000-0005-0000-0000-0000B4880000}"/>
    <cellStyle name="Output 3" xfId="1161" xr:uid="{00000000-0005-0000-0000-0000B5880000}"/>
    <cellStyle name="Output 3 2" xfId="1600" xr:uid="{00000000-0005-0000-0000-0000B6880000}"/>
    <cellStyle name="Output 3 2 2" xfId="1642" xr:uid="{00000000-0005-0000-0000-0000B7880000}"/>
    <cellStyle name="Output 3 2 3" xfId="1661" xr:uid="{00000000-0005-0000-0000-0000B8880000}"/>
    <cellStyle name="Output 3 3" xfId="1625" xr:uid="{00000000-0005-0000-0000-0000B9880000}"/>
    <cellStyle name="Output 3 4" xfId="1620" xr:uid="{00000000-0005-0000-0000-0000BA880000}"/>
    <cellStyle name="Output 3 5" xfId="11133" xr:uid="{00000000-0005-0000-0000-0000BB880000}"/>
    <cellStyle name="Output 30" xfId="11720" xr:uid="{00000000-0005-0000-0000-0000BC880000}"/>
    <cellStyle name="Output 31" xfId="11735" xr:uid="{00000000-0005-0000-0000-0000BD880000}"/>
    <cellStyle name="Output 32" xfId="11750" xr:uid="{00000000-0005-0000-0000-0000BE880000}"/>
    <cellStyle name="Output 33" xfId="11767" xr:uid="{00000000-0005-0000-0000-0000BF880000}"/>
    <cellStyle name="Output 34" xfId="19644" xr:uid="{00000000-0005-0000-0000-0000C0880000}"/>
    <cellStyle name="Output 35" xfId="19661" xr:uid="{00000000-0005-0000-0000-0000C1880000}"/>
    <cellStyle name="Output 36" xfId="19676" xr:uid="{00000000-0005-0000-0000-0000C2880000}"/>
    <cellStyle name="Output 37" xfId="19694" xr:uid="{00000000-0005-0000-0000-0000C3880000}"/>
    <cellStyle name="Output 38" xfId="19718" xr:uid="{00000000-0005-0000-0000-0000C4880000}"/>
    <cellStyle name="Output 39" xfId="19734" xr:uid="{00000000-0005-0000-0000-0000C5880000}"/>
    <cellStyle name="Output 4" xfId="11149" xr:uid="{00000000-0005-0000-0000-0000C6880000}"/>
    <cellStyle name="Output 40" xfId="19702" xr:uid="{00000000-0005-0000-0000-0000C7880000}"/>
    <cellStyle name="Output 41" xfId="19756" xr:uid="{00000000-0005-0000-0000-0000C8880000}"/>
    <cellStyle name="Output 42" xfId="19773" xr:uid="{00000000-0005-0000-0000-0000C9880000}"/>
    <cellStyle name="Output 43" xfId="19792" xr:uid="{00000000-0005-0000-0000-0000CA880000}"/>
    <cellStyle name="Output 44" xfId="19917" xr:uid="{00000000-0005-0000-0000-0000CB880000}"/>
    <cellStyle name="Output 45" xfId="19807" xr:uid="{00000000-0005-0000-0000-0000CC880000}"/>
    <cellStyle name="Output 46" xfId="19955" xr:uid="{00000000-0005-0000-0000-0000CD880000}"/>
    <cellStyle name="Output 47" xfId="19971" xr:uid="{00000000-0005-0000-0000-0000CE880000}"/>
    <cellStyle name="Output 48" xfId="19986" xr:uid="{00000000-0005-0000-0000-0000CF880000}"/>
    <cellStyle name="Output 49" xfId="20002" xr:uid="{00000000-0005-0000-0000-0000D0880000}"/>
    <cellStyle name="Output 5" xfId="11175" xr:uid="{00000000-0005-0000-0000-0000D1880000}"/>
    <cellStyle name="Output 50" xfId="20017" xr:uid="{00000000-0005-0000-0000-0000D2880000}"/>
    <cellStyle name="Output 51" xfId="20033" xr:uid="{00000000-0005-0000-0000-0000D3880000}"/>
    <cellStyle name="Output 52" xfId="20048" xr:uid="{00000000-0005-0000-0000-0000D4880000}"/>
    <cellStyle name="Output 53" xfId="20063" xr:uid="{00000000-0005-0000-0000-0000D5880000}"/>
    <cellStyle name="Output 54" xfId="20077" xr:uid="{00000000-0005-0000-0000-0000D6880000}"/>
    <cellStyle name="Output 55" xfId="20093" xr:uid="{00000000-0005-0000-0000-0000D7880000}"/>
    <cellStyle name="Output 56" xfId="20107" xr:uid="{00000000-0005-0000-0000-0000D8880000}"/>
    <cellStyle name="Output 57" xfId="20122" xr:uid="{00000000-0005-0000-0000-0000D9880000}"/>
    <cellStyle name="Output 58" xfId="20135" xr:uid="{00000000-0005-0000-0000-0000DA880000}"/>
    <cellStyle name="Output 59" xfId="20149" xr:uid="{00000000-0005-0000-0000-0000DB880000}"/>
    <cellStyle name="Output 6" xfId="11194" xr:uid="{00000000-0005-0000-0000-0000DC880000}"/>
    <cellStyle name="Output 60" xfId="20164" xr:uid="{00000000-0005-0000-0000-0000DD880000}"/>
    <cellStyle name="Output 61" xfId="20179" xr:uid="{00000000-0005-0000-0000-0000DE880000}"/>
    <cellStyle name="Output 62" xfId="20195" xr:uid="{00000000-0005-0000-0000-0000DF880000}"/>
    <cellStyle name="Output 63" xfId="20210" xr:uid="{00000000-0005-0000-0000-0000E0880000}"/>
    <cellStyle name="Output 64" xfId="20227" xr:uid="{00000000-0005-0000-0000-0000E1880000}"/>
    <cellStyle name="Output 7" xfId="11223" xr:uid="{00000000-0005-0000-0000-0000E2880000}"/>
    <cellStyle name="Output 8" xfId="11239" xr:uid="{00000000-0005-0000-0000-0000E3880000}"/>
    <cellStyle name="Output 9" xfId="11202" xr:uid="{00000000-0005-0000-0000-0000E4880000}"/>
    <cellStyle name="Page" xfId="1162" xr:uid="{00000000-0005-0000-0000-0000E5880000}"/>
    <cellStyle name="Palatino" xfId="1163" xr:uid="{00000000-0005-0000-0000-0000E6880000}"/>
    <cellStyle name="pe" xfId="1164" xr:uid="{00000000-0005-0000-0000-0000E7880000}"/>
    <cellStyle name="PEG" xfId="1165" xr:uid="{00000000-0005-0000-0000-0000E8880000}"/>
    <cellStyle name="Percent" xfId="3" builtinId="5"/>
    <cellStyle name="Percent % Long Underline" xfId="6629" xr:uid="{00000000-0005-0000-0000-0000EA880000}"/>
    <cellStyle name="Percent [0]" xfId="1166" xr:uid="{00000000-0005-0000-0000-0000EB880000}"/>
    <cellStyle name="Percent [1]" xfId="1167" xr:uid="{00000000-0005-0000-0000-0000EC880000}"/>
    <cellStyle name="Percent [1][]" xfId="1168" xr:uid="{00000000-0005-0000-0000-0000ED880000}"/>
    <cellStyle name="Percent [1]_LANCE_Model_v0.6.DCF.MASTER.Name" xfId="1169" xr:uid="{00000000-0005-0000-0000-0000EE880000}"/>
    <cellStyle name="Percent [2]" xfId="1170" xr:uid="{00000000-0005-0000-0000-0000EF880000}"/>
    <cellStyle name="Percent [2] 2" xfId="1941" xr:uid="{00000000-0005-0000-0000-0000F0880000}"/>
    <cellStyle name="Percent 0.00% Long Underline" xfId="6630" xr:uid="{00000000-0005-0000-0000-0000F1880000}"/>
    <cellStyle name="Percent 1" xfId="387" xr:uid="{00000000-0005-0000-0000-0000F2880000}"/>
    <cellStyle name="Percent 1 2" xfId="388" xr:uid="{00000000-0005-0000-0000-0000F3880000}"/>
    <cellStyle name="Percent 10" xfId="389" xr:uid="{00000000-0005-0000-0000-0000F4880000}"/>
    <cellStyle name="Percent 10 2" xfId="390" xr:uid="{00000000-0005-0000-0000-0000F5880000}"/>
    <cellStyle name="Percent 10 2 2" xfId="10362" xr:uid="{00000000-0005-0000-0000-0000F6880000}"/>
    <cellStyle name="Percent 10 2 2 2" xfId="36109" xr:uid="{00000000-0005-0000-0000-0000F7880000}"/>
    <cellStyle name="Percent 10 2 3" xfId="28062" xr:uid="{00000000-0005-0000-0000-0000F8880000}"/>
    <cellStyle name="Percent 10 3" xfId="391" xr:uid="{00000000-0005-0000-0000-0000F9880000}"/>
    <cellStyle name="Percent 10 3 2" xfId="32380" xr:uid="{00000000-0005-0000-0000-0000FA880000}"/>
    <cellStyle name="Percent 10 3 3" xfId="15814" xr:uid="{00000000-0005-0000-0000-0000FB880000}"/>
    <cellStyle name="Percent 10 4" xfId="1685" xr:uid="{00000000-0005-0000-0000-0000FC880000}"/>
    <cellStyle name="Percent 100" xfId="10663" xr:uid="{00000000-0005-0000-0000-0000FD880000}"/>
    <cellStyle name="Percent 101" xfId="10666" xr:uid="{00000000-0005-0000-0000-0000FE880000}"/>
    <cellStyle name="Percent 102" xfId="10669" xr:uid="{00000000-0005-0000-0000-0000FF880000}"/>
    <cellStyle name="Percent 103" xfId="10672" xr:uid="{00000000-0005-0000-0000-000000890000}"/>
    <cellStyle name="Percent 104" xfId="10675" xr:uid="{00000000-0005-0000-0000-000001890000}"/>
    <cellStyle name="Percent 105" xfId="10678" xr:uid="{00000000-0005-0000-0000-000002890000}"/>
    <cellStyle name="Percent 106" xfId="10681" xr:uid="{00000000-0005-0000-0000-000003890000}"/>
    <cellStyle name="Percent 107" xfId="10684" xr:uid="{00000000-0005-0000-0000-000004890000}"/>
    <cellStyle name="Percent 108" xfId="10687" xr:uid="{00000000-0005-0000-0000-000005890000}"/>
    <cellStyle name="Percent 109" xfId="10690" xr:uid="{00000000-0005-0000-0000-000006890000}"/>
    <cellStyle name="Percent 11" xfId="392" xr:uid="{00000000-0005-0000-0000-000007890000}"/>
    <cellStyle name="Percent 11 2" xfId="393" xr:uid="{00000000-0005-0000-0000-000008890000}"/>
    <cellStyle name="Percent 11 3" xfId="394" xr:uid="{00000000-0005-0000-0000-000009890000}"/>
    <cellStyle name="Percent 11 4" xfId="1726" xr:uid="{00000000-0005-0000-0000-00000A890000}"/>
    <cellStyle name="Percent 11 5" xfId="36197" xr:uid="{00000000-0005-0000-0000-00000B890000}"/>
    <cellStyle name="Percent 110" xfId="10693" xr:uid="{00000000-0005-0000-0000-00000C890000}"/>
    <cellStyle name="Percent 111" xfId="10696" xr:uid="{00000000-0005-0000-0000-00000D890000}"/>
    <cellStyle name="Percent 112" xfId="10699" xr:uid="{00000000-0005-0000-0000-00000E890000}"/>
    <cellStyle name="Percent 113" xfId="10702" xr:uid="{00000000-0005-0000-0000-00000F890000}"/>
    <cellStyle name="Percent 114" xfId="10705" xr:uid="{00000000-0005-0000-0000-000010890000}"/>
    <cellStyle name="Percent 115" xfId="10708" xr:uid="{00000000-0005-0000-0000-000011890000}"/>
    <cellStyle name="Percent 116" xfId="10711" xr:uid="{00000000-0005-0000-0000-000012890000}"/>
    <cellStyle name="Percent 117" xfId="10714" xr:uid="{00000000-0005-0000-0000-000013890000}"/>
    <cellStyle name="Percent 118" xfId="10717" xr:uid="{00000000-0005-0000-0000-000014890000}"/>
    <cellStyle name="Percent 119" xfId="10720" xr:uid="{00000000-0005-0000-0000-000015890000}"/>
    <cellStyle name="Percent 12" xfId="1578" xr:uid="{00000000-0005-0000-0000-000016890000}"/>
    <cellStyle name="Percent 12 2" xfId="6569" xr:uid="{00000000-0005-0000-0000-000017890000}"/>
    <cellStyle name="Percent 12 3" xfId="10363" xr:uid="{00000000-0005-0000-0000-000018890000}"/>
    <cellStyle name="Percent 12 3 2" xfId="19533" xr:uid="{00000000-0005-0000-0000-000019890000}"/>
    <cellStyle name="Percent 12 3 2 2" xfId="36110" xr:uid="{00000000-0005-0000-0000-00001A890000}"/>
    <cellStyle name="Percent 12 3 3" xfId="28063" xr:uid="{00000000-0005-0000-0000-00001B890000}"/>
    <cellStyle name="Percent 120" xfId="10723" xr:uid="{00000000-0005-0000-0000-00001C890000}"/>
    <cellStyle name="Percent 121" xfId="10726" xr:uid="{00000000-0005-0000-0000-00001D890000}"/>
    <cellStyle name="Percent 122" xfId="10729" xr:uid="{00000000-0005-0000-0000-00001E890000}"/>
    <cellStyle name="Percent 123" xfId="10732" xr:uid="{00000000-0005-0000-0000-00001F890000}"/>
    <cellStyle name="Percent 124" xfId="10735" xr:uid="{00000000-0005-0000-0000-000020890000}"/>
    <cellStyle name="Percent 125" xfId="10738" xr:uid="{00000000-0005-0000-0000-000021890000}"/>
    <cellStyle name="Percent 126" xfId="10741" xr:uid="{00000000-0005-0000-0000-000022890000}"/>
    <cellStyle name="Percent 127" xfId="10744" xr:uid="{00000000-0005-0000-0000-000023890000}"/>
    <cellStyle name="Percent 128" xfId="10747" xr:uid="{00000000-0005-0000-0000-000024890000}"/>
    <cellStyle name="Percent 129" xfId="10750" xr:uid="{00000000-0005-0000-0000-000025890000}"/>
    <cellStyle name="Percent 13" xfId="1580" xr:uid="{00000000-0005-0000-0000-000026890000}"/>
    <cellStyle name="Percent 130" xfId="10753" xr:uid="{00000000-0005-0000-0000-000027890000}"/>
    <cellStyle name="Percent 131" xfId="10756" xr:uid="{00000000-0005-0000-0000-000028890000}"/>
    <cellStyle name="Percent 132" xfId="10759" xr:uid="{00000000-0005-0000-0000-000029890000}"/>
    <cellStyle name="Percent 133" xfId="10762" xr:uid="{00000000-0005-0000-0000-00002A890000}"/>
    <cellStyle name="Percent 134" xfId="10765" xr:uid="{00000000-0005-0000-0000-00002B890000}"/>
    <cellStyle name="Percent 135" xfId="10768" xr:uid="{00000000-0005-0000-0000-00002C890000}"/>
    <cellStyle name="Percent 136" xfId="10771" xr:uid="{00000000-0005-0000-0000-00002D890000}"/>
    <cellStyle name="Percent 137" xfId="10774" xr:uid="{00000000-0005-0000-0000-00002E890000}"/>
    <cellStyle name="Percent 138" xfId="10777" xr:uid="{00000000-0005-0000-0000-00002F890000}"/>
    <cellStyle name="Percent 139" xfId="10780" xr:uid="{00000000-0005-0000-0000-000030890000}"/>
    <cellStyle name="Percent 14" xfId="1582" xr:uid="{00000000-0005-0000-0000-000031890000}"/>
    <cellStyle name="Percent 140" xfId="10783" xr:uid="{00000000-0005-0000-0000-000032890000}"/>
    <cellStyle name="Percent 141" xfId="10786" xr:uid="{00000000-0005-0000-0000-000033890000}"/>
    <cellStyle name="Percent 142" xfId="10789" xr:uid="{00000000-0005-0000-0000-000034890000}"/>
    <cellStyle name="Percent 143" xfId="10792" xr:uid="{00000000-0005-0000-0000-000035890000}"/>
    <cellStyle name="Percent 144" xfId="10795" xr:uid="{00000000-0005-0000-0000-000036890000}"/>
    <cellStyle name="Percent 145" xfId="10798" xr:uid="{00000000-0005-0000-0000-000037890000}"/>
    <cellStyle name="Percent 146" xfId="10801" xr:uid="{00000000-0005-0000-0000-000038890000}"/>
    <cellStyle name="Percent 147" xfId="10804" xr:uid="{00000000-0005-0000-0000-000039890000}"/>
    <cellStyle name="Percent 148" xfId="10807" xr:uid="{00000000-0005-0000-0000-00003A890000}"/>
    <cellStyle name="Percent 149" xfId="10810" xr:uid="{00000000-0005-0000-0000-00003B890000}"/>
    <cellStyle name="Percent 15" xfId="1725" xr:uid="{00000000-0005-0000-0000-00003C890000}"/>
    <cellStyle name="Percent 15 2" xfId="6619" xr:uid="{00000000-0005-0000-0000-00003D890000}"/>
    <cellStyle name="Percent 150" xfId="10813" xr:uid="{00000000-0005-0000-0000-00003E890000}"/>
    <cellStyle name="Percent 151" xfId="10816" xr:uid="{00000000-0005-0000-0000-00003F890000}"/>
    <cellStyle name="Percent 152" xfId="10819" xr:uid="{00000000-0005-0000-0000-000040890000}"/>
    <cellStyle name="Percent 153" xfId="10822" xr:uid="{00000000-0005-0000-0000-000041890000}"/>
    <cellStyle name="Percent 154" xfId="10825" xr:uid="{00000000-0005-0000-0000-000042890000}"/>
    <cellStyle name="Percent 155" xfId="10828" xr:uid="{00000000-0005-0000-0000-000043890000}"/>
    <cellStyle name="Percent 156" xfId="10831" xr:uid="{00000000-0005-0000-0000-000044890000}"/>
    <cellStyle name="Percent 157" xfId="10834" xr:uid="{00000000-0005-0000-0000-000045890000}"/>
    <cellStyle name="Percent 158" xfId="10837" xr:uid="{00000000-0005-0000-0000-000046890000}"/>
    <cellStyle name="Percent 159" xfId="10840" xr:uid="{00000000-0005-0000-0000-000047890000}"/>
    <cellStyle name="Percent 16" xfId="1733" xr:uid="{00000000-0005-0000-0000-000048890000}"/>
    <cellStyle name="Percent 16 2" xfId="2129" xr:uid="{00000000-0005-0000-0000-000049890000}"/>
    <cellStyle name="Percent 16 2 2" xfId="28259" xr:uid="{00000000-0005-0000-0000-00004A890000}"/>
    <cellStyle name="Percent 16 3" xfId="20175" xr:uid="{00000000-0005-0000-0000-00004B890000}"/>
    <cellStyle name="Percent 160" xfId="10843" xr:uid="{00000000-0005-0000-0000-00004C890000}"/>
    <cellStyle name="Percent 161" xfId="10846" xr:uid="{00000000-0005-0000-0000-00004D890000}"/>
    <cellStyle name="Percent 162" xfId="10849" xr:uid="{00000000-0005-0000-0000-00004E890000}"/>
    <cellStyle name="Percent 163" xfId="10852" xr:uid="{00000000-0005-0000-0000-00004F890000}"/>
    <cellStyle name="Percent 164" xfId="10855" xr:uid="{00000000-0005-0000-0000-000050890000}"/>
    <cellStyle name="Percent 165" xfId="10858" xr:uid="{00000000-0005-0000-0000-000051890000}"/>
    <cellStyle name="Percent 166" xfId="10861" xr:uid="{00000000-0005-0000-0000-000052890000}"/>
    <cellStyle name="Percent 167" xfId="10864" xr:uid="{00000000-0005-0000-0000-000053890000}"/>
    <cellStyle name="Percent 168" xfId="10867" xr:uid="{00000000-0005-0000-0000-000054890000}"/>
    <cellStyle name="Percent 169" xfId="10870" xr:uid="{00000000-0005-0000-0000-000055890000}"/>
    <cellStyle name="Percent 17" xfId="1681" xr:uid="{00000000-0005-0000-0000-000056890000}"/>
    <cellStyle name="Percent 17 2" xfId="10414" xr:uid="{00000000-0005-0000-0000-000057890000}"/>
    <cellStyle name="Percent 17 3" xfId="19634" xr:uid="{00000000-0005-0000-0000-000058890000}"/>
    <cellStyle name="Percent 170" xfId="10873" xr:uid="{00000000-0005-0000-0000-000059890000}"/>
    <cellStyle name="Percent 171" xfId="10876" xr:uid="{00000000-0005-0000-0000-00005A890000}"/>
    <cellStyle name="Percent 172" xfId="10945" xr:uid="{00000000-0005-0000-0000-00005B890000}"/>
    <cellStyle name="Percent 173" xfId="10948" xr:uid="{00000000-0005-0000-0000-00005C890000}"/>
    <cellStyle name="Percent 174" xfId="10951" xr:uid="{00000000-0005-0000-0000-00005D890000}"/>
    <cellStyle name="Percent 175" xfId="10954" xr:uid="{00000000-0005-0000-0000-00005E890000}"/>
    <cellStyle name="Percent 176" xfId="10957" xr:uid="{00000000-0005-0000-0000-00005F890000}"/>
    <cellStyle name="Percent 177" xfId="10960" xr:uid="{00000000-0005-0000-0000-000060890000}"/>
    <cellStyle name="Percent 178" xfId="10963" xr:uid="{00000000-0005-0000-0000-000061890000}"/>
    <cellStyle name="Percent 179" xfId="10966" xr:uid="{00000000-0005-0000-0000-000062890000}"/>
    <cellStyle name="Percent 18" xfId="1690" xr:uid="{00000000-0005-0000-0000-000063890000}"/>
    <cellStyle name="Percent 18 2" xfId="10417" xr:uid="{00000000-0005-0000-0000-000064890000}"/>
    <cellStyle name="Percent 180" xfId="10969" xr:uid="{00000000-0005-0000-0000-000065890000}"/>
    <cellStyle name="Percent 181" xfId="10972" xr:uid="{00000000-0005-0000-0000-000066890000}"/>
    <cellStyle name="Percent 182" xfId="10975" xr:uid="{00000000-0005-0000-0000-000067890000}"/>
    <cellStyle name="Percent 183" xfId="10978" xr:uid="{00000000-0005-0000-0000-000068890000}"/>
    <cellStyle name="Percent 184" xfId="10981" xr:uid="{00000000-0005-0000-0000-000069890000}"/>
    <cellStyle name="Percent 185" xfId="10984" xr:uid="{00000000-0005-0000-0000-00006A890000}"/>
    <cellStyle name="Percent 186" xfId="10987" xr:uid="{00000000-0005-0000-0000-00006B890000}"/>
    <cellStyle name="Percent 187" xfId="10990" xr:uid="{00000000-0005-0000-0000-00006C890000}"/>
    <cellStyle name="Percent 188" xfId="10993" xr:uid="{00000000-0005-0000-0000-00006D890000}"/>
    <cellStyle name="Percent 189" xfId="10996" xr:uid="{00000000-0005-0000-0000-00006E890000}"/>
    <cellStyle name="Percent 19" xfId="1737" xr:uid="{00000000-0005-0000-0000-00006F890000}"/>
    <cellStyle name="Percent 19 2" xfId="10420" xr:uid="{00000000-0005-0000-0000-000070890000}"/>
    <cellStyle name="Percent 190" xfId="10999" xr:uid="{00000000-0005-0000-0000-000071890000}"/>
    <cellStyle name="Percent 191" xfId="11002" xr:uid="{00000000-0005-0000-0000-000072890000}"/>
    <cellStyle name="Percent 192" xfId="11005" xr:uid="{00000000-0005-0000-0000-000073890000}"/>
    <cellStyle name="Percent 193" xfId="11008" xr:uid="{00000000-0005-0000-0000-000074890000}"/>
    <cellStyle name="Percent 194" xfId="11011" xr:uid="{00000000-0005-0000-0000-000075890000}"/>
    <cellStyle name="Percent 195" xfId="11014" xr:uid="{00000000-0005-0000-0000-000076890000}"/>
    <cellStyle name="Percent 196" xfId="11017" xr:uid="{00000000-0005-0000-0000-000077890000}"/>
    <cellStyle name="Percent 197" xfId="11020" xr:uid="{00000000-0005-0000-0000-000078890000}"/>
    <cellStyle name="Percent 198" xfId="11023" xr:uid="{00000000-0005-0000-0000-000079890000}"/>
    <cellStyle name="Percent 199" xfId="11026" xr:uid="{00000000-0005-0000-0000-00007A890000}"/>
    <cellStyle name="Percent 2" xfId="21" xr:uid="{00000000-0005-0000-0000-00007B890000}"/>
    <cellStyle name="Percent 2 2" xfId="27" xr:uid="{00000000-0005-0000-0000-00007C890000}"/>
    <cellStyle name="Percent 2 2 2" xfId="73" xr:uid="{00000000-0005-0000-0000-00007D890000}"/>
    <cellStyle name="Percent 2 2 2 2" xfId="303" xr:uid="{00000000-0005-0000-0000-00007E890000}"/>
    <cellStyle name="Percent 2 2 2 2 2" xfId="10364" xr:uid="{00000000-0005-0000-0000-00007F890000}"/>
    <cellStyle name="Percent 2 2 3" xfId="304" xr:uid="{00000000-0005-0000-0000-000080890000}"/>
    <cellStyle name="Percent 2 2 3 2" xfId="6571" xr:uid="{00000000-0005-0000-0000-000081890000}"/>
    <cellStyle name="Percent 2 3" xfId="79" xr:uid="{00000000-0005-0000-0000-000082890000}"/>
    <cellStyle name="Percent 2 3 2" xfId="305" xr:uid="{00000000-0005-0000-0000-000083890000}"/>
    <cellStyle name="Percent 2 3 2 2" xfId="6572" xr:uid="{00000000-0005-0000-0000-000084890000}"/>
    <cellStyle name="Percent 2 3 2 2 2" xfId="32381" xr:uid="{00000000-0005-0000-0000-000085890000}"/>
    <cellStyle name="Percent 2 3 2 3" xfId="24334" xr:uid="{00000000-0005-0000-0000-000086890000}"/>
    <cellStyle name="Percent 2 3 3" xfId="1686" xr:uid="{00000000-0005-0000-0000-000087890000}"/>
    <cellStyle name="Percent 2 4" xfId="306" xr:uid="{00000000-0005-0000-0000-000088890000}"/>
    <cellStyle name="Percent 2 4 2" xfId="6573" xr:uid="{00000000-0005-0000-0000-000089890000}"/>
    <cellStyle name="Percent 2 5" xfId="1682" xr:uid="{00000000-0005-0000-0000-00008A890000}"/>
    <cellStyle name="Percent 2 6" xfId="6570" xr:uid="{00000000-0005-0000-0000-00008B890000}"/>
    <cellStyle name="Percent 2 7" xfId="2136" xr:uid="{00000000-0005-0000-0000-00008C890000}"/>
    <cellStyle name="Percent 2 7 2" xfId="11745" xr:uid="{00000000-0005-0000-0000-00008D890000}"/>
    <cellStyle name="Percent 2 7 2 2" xfId="28265" xr:uid="{00000000-0005-0000-0000-00008E890000}"/>
    <cellStyle name="Percent 2 7 3" xfId="20205" xr:uid="{00000000-0005-0000-0000-00008F890000}"/>
    <cellStyle name="Percent 2 8" xfId="10904" xr:uid="{00000000-0005-0000-0000-000090890000}"/>
    <cellStyle name="Percent 2 9" xfId="1783" xr:uid="{00000000-0005-0000-0000-000091890000}"/>
    <cellStyle name="Percent 20" xfId="10423" xr:uid="{00000000-0005-0000-0000-000092890000}"/>
    <cellStyle name="Percent 200" xfId="11029" xr:uid="{00000000-0005-0000-0000-000093890000}"/>
    <cellStyle name="Percent 201" xfId="11032" xr:uid="{00000000-0005-0000-0000-000094890000}"/>
    <cellStyle name="Percent 202" xfId="11035" xr:uid="{00000000-0005-0000-0000-000095890000}"/>
    <cellStyle name="Percent 203" xfId="11038" xr:uid="{00000000-0005-0000-0000-000096890000}"/>
    <cellStyle name="Percent 204" xfId="11041" xr:uid="{00000000-0005-0000-0000-000097890000}"/>
    <cellStyle name="Percent 205" xfId="11044" xr:uid="{00000000-0005-0000-0000-000098890000}"/>
    <cellStyle name="Percent 206" xfId="11047" xr:uid="{00000000-0005-0000-0000-000099890000}"/>
    <cellStyle name="Percent 207" xfId="1781" xr:uid="{00000000-0005-0000-0000-00009A890000}"/>
    <cellStyle name="Percent 208" xfId="10939" xr:uid="{00000000-0005-0000-0000-00009B890000}"/>
    <cellStyle name="Percent 209" xfId="11079" xr:uid="{00000000-0005-0000-0000-00009C890000}"/>
    <cellStyle name="Percent 21" xfId="10426" xr:uid="{00000000-0005-0000-0000-00009D890000}"/>
    <cellStyle name="Percent 210" xfId="11104" xr:uid="{00000000-0005-0000-0000-00009E890000}"/>
    <cellStyle name="Percent 22" xfId="10429" xr:uid="{00000000-0005-0000-0000-00009F890000}"/>
    <cellStyle name="Percent 23" xfId="10432" xr:uid="{00000000-0005-0000-0000-0000A0890000}"/>
    <cellStyle name="Percent 24" xfId="10435" xr:uid="{00000000-0005-0000-0000-0000A1890000}"/>
    <cellStyle name="Percent 25" xfId="10438" xr:uid="{00000000-0005-0000-0000-0000A2890000}"/>
    <cellStyle name="Percent 26" xfId="10441" xr:uid="{00000000-0005-0000-0000-0000A3890000}"/>
    <cellStyle name="Percent 27" xfId="10444" xr:uid="{00000000-0005-0000-0000-0000A4890000}"/>
    <cellStyle name="Percent 28" xfId="10447" xr:uid="{00000000-0005-0000-0000-0000A5890000}"/>
    <cellStyle name="Percent 29" xfId="10450" xr:uid="{00000000-0005-0000-0000-0000A6890000}"/>
    <cellStyle name="Percent 3" xfId="10" xr:uid="{00000000-0005-0000-0000-0000A7890000}"/>
    <cellStyle name="Percent 3 2" xfId="72" xr:uid="{00000000-0005-0000-0000-0000A8890000}"/>
    <cellStyle name="Percent 3 2 2" xfId="307" xr:uid="{00000000-0005-0000-0000-0000A9890000}"/>
    <cellStyle name="Percent 3 2 3" xfId="6575" xr:uid="{00000000-0005-0000-0000-0000AA890000}"/>
    <cellStyle name="Percent 3 3" xfId="308" xr:uid="{00000000-0005-0000-0000-0000AB890000}"/>
    <cellStyle name="Percent 3 3 2" xfId="6574" xr:uid="{00000000-0005-0000-0000-0000AC890000}"/>
    <cellStyle name="Percent 3 4" xfId="10365" xr:uid="{00000000-0005-0000-0000-0000AD890000}"/>
    <cellStyle name="Percent 3 5" xfId="10905" xr:uid="{00000000-0005-0000-0000-0000AE890000}"/>
    <cellStyle name="Percent 3 6" xfId="2155" xr:uid="{00000000-0005-0000-0000-0000AF890000}"/>
    <cellStyle name="Percent 30" xfId="10453" xr:uid="{00000000-0005-0000-0000-0000B0890000}"/>
    <cellStyle name="Percent 31" xfId="10456" xr:uid="{00000000-0005-0000-0000-0000B1890000}"/>
    <cellStyle name="Percent 32" xfId="10459" xr:uid="{00000000-0005-0000-0000-0000B2890000}"/>
    <cellStyle name="Percent 33" xfId="10462" xr:uid="{00000000-0005-0000-0000-0000B3890000}"/>
    <cellStyle name="Percent 34" xfId="10465" xr:uid="{00000000-0005-0000-0000-0000B4890000}"/>
    <cellStyle name="Percent 35" xfId="10468" xr:uid="{00000000-0005-0000-0000-0000B5890000}"/>
    <cellStyle name="Percent 36" xfId="10471" xr:uid="{00000000-0005-0000-0000-0000B6890000}"/>
    <cellStyle name="Percent 37" xfId="10474" xr:uid="{00000000-0005-0000-0000-0000B7890000}"/>
    <cellStyle name="Percent 38" xfId="10477" xr:uid="{00000000-0005-0000-0000-0000B8890000}"/>
    <cellStyle name="Percent 39" xfId="10480" xr:uid="{00000000-0005-0000-0000-0000B9890000}"/>
    <cellStyle name="Percent 4" xfId="309" xr:uid="{00000000-0005-0000-0000-0000BA890000}"/>
    <cellStyle name="Percent 4 2" xfId="310" xr:uid="{00000000-0005-0000-0000-0000BB890000}"/>
    <cellStyle name="Percent 4 2 2" xfId="6577" xr:uid="{00000000-0005-0000-0000-0000BC890000}"/>
    <cellStyle name="Percent 4 2 2 2" xfId="6578" xr:uid="{00000000-0005-0000-0000-0000BD890000}"/>
    <cellStyle name="Percent 4 2 2 2 2" xfId="10366" xr:uid="{00000000-0005-0000-0000-0000BE890000}"/>
    <cellStyle name="Percent 4 2 2 2 2 2" xfId="19534" xr:uid="{00000000-0005-0000-0000-0000BF890000}"/>
    <cellStyle name="Percent 4 2 2 2 2 2 2" xfId="36111" xr:uid="{00000000-0005-0000-0000-0000C0890000}"/>
    <cellStyle name="Percent 4 2 2 2 2 3" xfId="28064" xr:uid="{00000000-0005-0000-0000-0000C1890000}"/>
    <cellStyle name="Percent 4 2 2 2 3" xfId="15816" xr:uid="{00000000-0005-0000-0000-0000C2890000}"/>
    <cellStyle name="Percent 4 2 2 2 3 2" xfId="32384" xr:uid="{00000000-0005-0000-0000-0000C3890000}"/>
    <cellStyle name="Percent 4 2 2 2 4" xfId="24337" xr:uid="{00000000-0005-0000-0000-0000C4890000}"/>
    <cellStyle name="Percent 4 2 2 3" xfId="10367" xr:uid="{00000000-0005-0000-0000-0000C5890000}"/>
    <cellStyle name="Percent 4 2 2 3 2" xfId="19535" xr:uid="{00000000-0005-0000-0000-0000C6890000}"/>
    <cellStyle name="Percent 4 2 2 3 2 2" xfId="36112" xr:uid="{00000000-0005-0000-0000-0000C7890000}"/>
    <cellStyle name="Percent 4 2 2 3 3" xfId="28065" xr:uid="{00000000-0005-0000-0000-0000C8890000}"/>
    <cellStyle name="Percent 4 2 2 4" xfId="15815" xr:uid="{00000000-0005-0000-0000-0000C9890000}"/>
    <cellStyle name="Percent 4 2 2 4 2" xfId="32383" xr:uid="{00000000-0005-0000-0000-0000CA890000}"/>
    <cellStyle name="Percent 4 2 2 5" xfId="24336" xr:uid="{00000000-0005-0000-0000-0000CB890000}"/>
    <cellStyle name="Percent 4 2 3" xfId="6579" xr:uid="{00000000-0005-0000-0000-0000CC890000}"/>
    <cellStyle name="Percent 4 2 3 2" xfId="10368" xr:uid="{00000000-0005-0000-0000-0000CD890000}"/>
    <cellStyle name="Percent 4 2 3 2 2" xfId="19536" xr:uid="{00000000-0005-0000-0000-0000CE890000}"/>
    <cellStyle name="Percent 4 2 3 2 2 2" xfId="36113" xr:uid="{00000000-0005-0000-0000-0000CF890000}"/>
    <cellStyle name="Percent 4 2 3 2 3" xfId="28066" xr:uid="{00000000-0005-0000-0000-0000D0890000}"/>
    <cellStyle name="Percent 4 2 3 3" xfId="15817" xr:uid="{00000000-0005-0000-0000-0000D1890000}"/>
    <cellStyle name="Percent 4 2 3 3 2" xfId="32385" xr:uid="{00000000-0005-0000-0000-0000D2890000}"/>
    <cellStyle name="Percent 4 2 3 4" xfId="24338" xr:uid="{00000000-0005-0000-0000-0000D3890000}"/>
    <cellStyle name="Percent 4 2 4" xfId="10369" xr:uid="{00000000-0005-0000-0000-0000D4890000}"/>
    <cellStyle name="Percent 4 2 4 2" xfId="19537" xr:uid="{00000000-0005-0000-0000-0000D5890000}"/>
    <cellStyle name="Percent 4 2 4 2 2" xfId="36114" xr:uid="{00000000-0005-0000-0000-0000D6890000}"/>
    <cellStyle name="Percent 4 2 4 3" xfId="28067" xr:uid="{00000000-0005-0000-0000-0000D7890000}"/>
    <cellStyle name="Percent 4 2 5" xfId="6576" xr:uid="{00000000-0005-0000-0000-0000D8890000}"/>
    <cellStyle name="Percent 4 2 5 2" xfId="32382" xr:uid="{00000000-0005-0000-0000-0000D9890000}"/>
    <cellStyle name="Percent 4 2 6" xfId="24335" xr:uid="{00000000-0005-0000-0000-0000DA890000}"/>
    <cellStyle name="Percent 4 3" xfId="6580" xr:uid="{00000000-0005-0000-0000-0000DB890000}"/>
    <cellStyle name="Percent 4 3 2" xfId="6581" xr:uid="{00000000-0005-0000-0000-0000DC890000}"/>
    <cellStyle name="Percent 4 3 2 2" xfId="10370" xr:uid="{00000000-0005-0000-0000-0000DD890000}"/>
    <cellStyle name="Percent 4 3 2 2 2" xfId="19538" xr:uid="{00000000-0005-0000-0000-0000DE890000}"/>
    <cellStyle name="Percent 4 3 2 2 2 2" xfId="36115" xr:uid="{00000000-0005-0000-0000-0000DF890000}"/>
    <cellStyle name="Percent 4 3 2 2 3" xfId="28068" xr:uid="{00000000-0005-0000-0000-0000E0890000}"/>
    <cellStyle name="Percent 4 3 2 3" xfId="15819" xr:uid="{00000000-0005-0000-0000-0000E1890000}"/>
    <cellStyle name="Percent 4 3 2 3 2" xfId="32387" xr:uid="{00000000-0005-0000-0000-0000E2890000}"/>
    <cellStyle name="Percent 4 3 2 4" xfId="24340" xr:uid="{00000000-0005-0000-0000-0000E3890000}"/>
    <cellStyle name="Percent 4 3 3" xfId="10371" xr:uid="{00000000-0005-0000-0000-0000E4890000}"/>
    <cellStyle name="Percent 4 3 3 2" xfId="19539" xr:uid="{00000000-0005-0000-0000-0000E5890000}"/>
    <cellStyle name="Percent 4 3 3 2 2" xfId="36116" xr:uid="{00000000-0005-0000-0000-0000E6890000}"/>
    <cellStyle name="Percent 4 3 3 3" xfId="28069" xr:uid="{00000000-0005-0000-0000-0000E7890000}"/>
    <cellStyle name="Percent 4 3 4" xfId="15818" xr:uid="{00000000-0005-0000-0000-0000E8890000}"/>
    <cellStyle name="Percent 4 3 4 2" xfId="32386" xr:uid="{00000000-0005-0000-0000-0000E9890000}"/>
    <cellStyle name="Percent 4 3 5" xfId="24339" xr:uid="{00000000-0005-0000-0000-0000EA890000}"/>
    <cellStyle name="Percent 4 4" xfId="6582" xr:uid="{00000000-0005-0000-0000-0000EB890000}"/>
    <cellStyle name="Percent 4 4 2" xfId="10372" xr:uid="{00000000-0005-0000-0000-0000EC890000}"/>
    <cellStyle name="Percent 4 4 2 2" xfId="19540" xr:uid="{00000000-0005-0000-0000-0000ED890000}"/>
    <cellStyle name="Percent 4 4 2 2 2" xfId="36117" xr:uid="{00000000-0005-0000-0000-0000EE890000}"/>
    <cellStyle name="Percent 4 4 2 3" xfId="28070" xr:uid="{00000000-0005-0000-0000-0000EF890000}"/>
    <cellStyle name="Percent 4 4 3" xfId="15820" xr:uid="{00000000-0005-0000-0000-0000F0890000}"/>
    <cellStyle name="Percent 4 4 3 2" xfId="32388" xr:uid="{00000000-0005-0000-0000-0000F1890000}"/>
    <cellStyle name="Percent 4 4 4" xfId="24341" xr:uid="{00000000-0005-0000-0000-0000F2890000}"/>
    <cellStyle name="Percent 4 5" xfId="6583" xr:uid="{00000000-0005-0000-0000-0000F3890000}"/>
    <cellStyle name="Percent 4 5 2" xfId="15821" xr:uid="{00000000-0005-0000-0000-0000F4890000}"/>
    <cellStyle name="Percent 4 5 2 2" xfId="32389" xr:uid="{00000000-0005-0000-0000-0000F5890000}"/>
    <cellStyle name="Percent 4 5 3" xfId="24342" xr:uid="{00000000-0005-0000-0000-0000F6890000}"/>
    <cellStyle name="Percent 4 6" xfId="10373" xr:uid="{00000000-0005-0000-0000-0000F7890000}"/>
    <cellStyle name="Percent 4 6 2" xfId="19541" xr:uid="{00000000-0005-0000-0000-0000F8890000}"/>
    <cellStyle name="Percent 4 6 2 2" xfId="36118" xr:uid="{00000000-0005-0000-0000-0000F9890000}"/>
    <cellStyle name="Percent 4 6 3" xfId="28071" xr:uid="{00000000-0005-0000-0000-0000FA890000}"/>
    <cellStyle name="Percent 4 7" xfId="10906" xr:uid="{00000000-0005-0000-0000-0000FB890000}"/>
    <cellStyle name="Percent 40" xfId="10483" xr:uid="{00000000-0005-0000-0000-0000FC890000}"/>
    <cellStyle name="Percent 41" xfId="10486" xr:uid="{00000000-0005-0000-0000-0000FD890000}"/>
    <cellStyle name="Percent 42" xfId="10489" xr:uid="{00000000-0005-0000-0000-0000FE890000}"/>
    <cellStyle name="Percent 43" xfId="10492" xr:uid="{00000000-0005-0000-0000-0000FF890000}"/>
    <cellStyle name="Percent 44" xfId="10495" xr:uid="{00000000-0005-0000-0000-0000008A0000}"/>
    <cellStyle name="Percent 45" xfId="10498" xr:uid="{00000000-0005-0000-0000-0000018A0000}"/>
    <cellStyle name="Percent 46" xfId="10501" xr:uid="{00000000-0005-0000-0000-0000028A0000}"/>
    <cellStyle name="Percent 47" xfId="10504" xr:uid="{00000000-0005-0000-0000-0000038A0000}"/>
    <cellStyle name="Percent 48" xfId="10507" xr:uid="{00000000-0005-0000-0000-0000048A0000}"/>
    <cellStyle name="Percent 49" xfId="10510" xr:uid="{00000000-0005-0000-0000-0000058A0000}"/>
    <cellStyle name="Percent 5" xfId="311" xr:uid="{00000000-0005-0000-0000-0000068A0000}"/>
    <cellStyle name="Percent 5 2" xfId="1727" xr:uid="{00000000-0005-0000-0000-0000078A0000}"/>
    <cellStyle name="Percent 5 2 2" xfId="6584" xr:uid="{00000000-0005-0000-0000-0000088A0000}"/>
    <cellStyle name="Percent 5 2 2 2" xfId="6585" xr:uid="{00000000-0005-0000-0000-0000098A0000}"/>
    <cellStyle name="Percent 5 2 2 2 2" xfId="10374" xr:uid="{00000000-0005-0000-0000-00000A8A0000}"/>
    <cellStyle name="Percent 5 2 2 2 2 2" xfId="19542" xr:uid="{00000000-0005-0000-0000-00000B8A0000}"/>
    <cellStyle name="Percent 5 2 2 2 2 2 2" xfId="36119" xr:uid="{00000000-0005-0000-0000-00000C8A0000}"/>
    <cellStyle name="Percent 5 2 2 2 2 3" xfId="28072" xr:uid="{00000000-0005-0000-0000-00000D8A0000}"/>
    <cellStyle name="Percent 5 2 2 2 3" xfId="15823" xr:uid="{00000000-0005-0000-0000-00000E8A0000}"/>
    <cellStyle name="Percent 5 2 2 2 3 2" xfId="32391" xr:uid="{00000000-0005-0000-0000-00000F8A0000}"/>
    <cellStyle name="Percent 5 2 2 2 4" xfId="24344" xr:uid="{00000000-0005-0000-0000-0000108A0000}"/>
    <cellStyle name="Percent 5 2 2 3" xfId="10375" xr:uid="{00000000-0005-0000-0000-0000118A0000}"/>
    <cellStyle name="Percent 5 2 2 3 2" xfId="19543" xr:uid="{00000000-0005-0000-0000-0000128A0000}"/>
    <cellStyle name="Percent 5 2 2 3 2 2" xfId="36120" xr:uid="{00000000-0005-0000-0000-0000138A0000}"/>
    <cellStyle name="Percent 5 2 2 3 3" xfId="28073" xr:uid="{00000000-0005-0000-0000-0000148A0000}"/>
    <cellStyle name="Percent 5 2 2 4" xfId="15822" xr:uid="{00000000-0005-0000-0000-0000158A0000}"/>
    <cellStyle name="Percent 5 2 2 4 2" xfId="32390" xr:uid="{00000000-0005-0000-0000-0000168A0000}"/>
    <cellStyle name="Percent 5 2 2 5" xfId="24343" xr:uid="{00000000-0005-0000-0000-0000178A0000}"/>
    <cellStyle name="Percent 5 2 3" xfId="6586" xr:uid="{00000000-0005-0000-0000-0000188A0000}"/>
    <cellStyle name="Percent 5 2 3 2" xfId="10376" xr:uid="{00000000-0005-0000-0000-0000198A0000}"/>
    <cellStyle name="Percent 5 2 3 2 2" xfId="19544" xr:uid="{00000000-0005-0000-0000-00001A8A0000}"/>
    <cellStyle name="Percent 5 2 3 2 2 2" xfId="36121" xr:uid="{00000000-0005-0000-0000-00001B8A0000}"/>
    <cellStyle name="Percent 5 2 3 2 3" xfId="28074" xr:uid="{00000000-0005-0000-0000-00001C8A0000}"/>
    <cellStyle name="Percent 5 2 3 3" xfId="15824" xr:uid="{00000000-0005-0000-0000-00001D8A0000}"/>
    <cellStyle name="Percent 5 2 3 3 2" xfId="32392" xr:uid="{00000000-0005-0000-0000-00001E8A0000}"/>
    <cellStyle name="Percent 5 2 3 4" xfId="24345" xr:uid="{00000000-0005-0000-0000-00001F8A0000}"/>
    <cellStyle name="Percent 5 2 4" xfId="6587" xr:uid="{00000000-0005-0000-0000-0000208A0000}"/>
    <cellStyle name="Percent 5 2 4 2" xfId="15825" xr:uid="{00000000-0005-0000-0000-0000218A0000}"/>
    <cellStyle name="Percent 5 2 4 2 2" xfId="32393" xr:uid="{00000000-0005-0000-0000-0000228A0000}"/>
    <cellStyle name="Percent 5 2 4 3" xfId="24346" xr:uid="{00000000-0005-0000-0000-0000238A0000}"/>
    <cellStyle name="Percent 5 3" xfId="6588" xr:uid="{00000000-0005-0000-0000-0000248A0000}"/>
    <cellStyle name="Percent 5 3 2" xfId="6589" xr:uid="{00000000-0005-0000-0000-0000258A0000}"/>
    <cellStyle name="Percent 5 3 2 2" xfId="10377" xr:uid="{00000000-0005-0000-0000-0000268A0000}"/>
    <cellStyle name="Percent 5 3 2 2 2" xfId="19545" xr:uid="{00000000-0005-0000-0000-0000278A0000}"/>
    <cellStyle name="Percent 5 3 2 2 2 2" xfId="36122" xr:uid="{00000000-0005-0000-0000-0000288A0000}"/>
    <cellStyle name="Percent 5 3 2 2 3" xfId="28075" xr:uid="{00000000-0005-0000-0000-0000298A0000}"/>
    <cellStyle name="Percent 5 3 2 3" xfId="15827" xr:uid="{00000000-0005-0000-0000-00002A8A0000}"/>
    <cellStyle name="Percent 5 3 2 3 2" xfId="32395" xr:uid="{00000000-0005-0000-0000-00002B8A0000}"/>
    <cellStyle name="Percent 5 3 2 4" xfId="24348" xr:uid="{00000000-0005-0000-0000-00002C8A0000}"/>
    <cellStyle name="Percent 5 3 3" xfId="10378" xr:uid="{00000000-0005-0000-0000-00002D8A0000}"/>
    <cellStyle name="Percent 5 3 3 2" xfId="19546" xr:uid="{00000000-0005-0000-0000-00002E8A0000}"/>
    <cellStyle name="Percent 5 3 3 2 2" xfId="36123" xr:uid="{00000000-0005-0000-0000-00002F8A0000}"/>
    <cellStyle name="Percent 5 3 3 3" xfId="28076" xr:uid="{00000000-0005-0000-0000-0000308A0000}"/>
    <cellStyle name="Percent 5 3 4" xfId="15826" xr:uid="{00000000-0005-0000-0000-0000318A0000}"/>
    <cellStyle name="Percent 5 3 4 2" xfId="32394" xr:uid="{00000000-0005-0000-0000-0000328A0000}"/>
    <cellStyle name="Percent 5 3 5" xfId="24347" xr:uid="{00000000-0005-0000-0000-0000338A0000}"/>
    <cellStyle name="Percent 5 4" xfId="6590" xr:uid="{00000000-0005-0000-0000-0000348A0000}"/>
    <cellStyle name="Percent 5 4 2" xfId="10379" xr:uid="{00000000-0005-0000-0000-0000358A0000}"/>
    <cellStyle name="Percent 5 4 2 2" xfId="19547" xr:uid="{00000000-0005-0000-0000-0000368A0000}"/>
    <cellStyle name="Percent 5 4 2 2 2" xfId="36124" xr:uid="{00000000-0005-0000-0000-0000378A0000}"/>
    <cellStyle name="Percent 5 4 2 3" xfId="28077" xr:uid="{00000000-0005-0000-0000-0000388A0000}"/>
    <cellStyle name="Percent 5 4 3" xfId="15828" xr:uid="{00000000-0005-0000-0000-0000398A0000}"/>
    <cellStyle name="Percent 5 4 3 2" xfId="32396" xr:uid="{00000000-0005-0000-0000-00003A8A0000}"/>
    <cellStyle name="Percent 5 4 4" xfId="24349" xr:uid="{00000000-0005-0000-0000-00003B8A0000}"/>
    <cellStyle name="Percent 5 5" xfId="6591" xr:uid="{00000000-0005-0000-0000-00003C8A0000}"/>
    <cellStyle name="Percent 5 5 2" xfId="15829" xr:uid="{00000000-0005-0000-0000-00003D8A0000}"/>
    <cellStyle name="Percent 5 5 2 2" xfId="32397" xr:uid="{00000000-0005-0000-0000-00003E8A0000}"/>
    <cellStyle name="Percent 5 5 3" xfId="24350" xr:uid="{00000000-0005-0000-0000-00003F8A0000}"/>
    <cellStyle name="Percent 50" xfId="10513" xr:uid="{00000000-0005-0000-0000-0000408A0000}"/>
    <cellStyle name="Percent 51" xfId="10516" xr:uid="{00000000-0005-0000-0000-0000418A0000}"/>
    <cellStyle name="Percent 52" xfId="10519" xr:uid="{00000000-0005-0000-0000-0000428A0000}"/>
    <cellStyle name="Percent 53" xfId="10522" xr:uid="{00000000-0005-0000-0000-0000438A0000}"/>
    <cellStyle name="Percent 54" xfId="10525" xr:uid="{00000000-0005-0000-0000-0000448A0000}"/>
    <cellStyle name="Percent 55" xfId="10528" xr:uid="{00000000-0005-0000-0000-0000458A0000}"/>
    <cellStyle name="Percent 56" xfId="10531" xr:uid="{00000000-0005-0000-0000-0000468A0000}"/>
    <cellStyle name="Percent 57" xfId="10534" xr:uid="{00000000-0005-0000-0000-0000478A0000}"/>
    <cellStyle name="Percent 58" xfId="10537" xr:uid="{00000000-0005-0000-0000-0000488A0000}"/>
    <cellStyle name="Percent 59" xfId="10540" xr:uid="{00000000-0005-0000-0000-0000498A0000}"/>
    <cellStyle name="Percent 6" xfId="20" xr:uid="{00000000-0005-0000-0000-00004A8A0000}"/>
    <cellStyle name="Percent 6 2" xfId="1728" xr:uid="{00000000-0005-0000-0000-00004B8A0000}"/>
    <cellStyle name="Percent 6 2 2" xfId="6594" xr:uid="{00000000-0005-0000-0000-00004C8A0000}"/>
    <cellStyle name="Percent 6 2 2 2" xfId="6595" xr:uid="{00000000-0005-0000-0000-00004D8A0000}"/>
    <cellStyle name="Percent 6 2 2 2 2" xfId="10380" xr:uid="{00000000-0005-0000-0000-00004E8A0000}"/>
    <cellStyle name="Percent 6 2 2 2 2 2" xfId="19548" xr:uid="{00000000-0005-0000-0000-00004F8A0000}"/>
    <cellStyle name="Percent 6 2 2 2 2 2 2" xfId="36125" xr:uid="{00000000-0005-0000-0000-0000508A0000}"/>
    <cellStyle name="Percent 6 2 2 2 2 3" xfId="28078" xr:uid="{00000000-0005-0000-0000-0000518A0000}"/>
    <cellStyle name="Percent 6 2 2 2 3" xfId="15831" xr:uid="{00000000-0005-0000-0000-0000528A0000}"/>
    <cellStyle name="Percent 6 2 2 2 3 2" xfId="32401" xr:uid="{00000000-0005-0000-0000-0000538A0000}"/>
    <cellStyle name="Percent 6 2 2 2 4" xfId="24354" xr:uid="{00000000-0005-0000-0000-0000548A0000}"/>
    <cellStyle name="Percent 6 2 2 3" xfId="10381" xr:uid="{00000000-0005-0000-0000-0000558A0000}"/>
    <cellStyle name="Percent 6 2 2 3 2" xfId="19549" xr:uid="{00000000-0005-0000-0000-0000568A0000}"/>
    <cellStyle name="Percent 6 2 2 3 2 2" xfId="36126" xr:uid="{00000000-0005-0000-0000-0000578A0000}"/>
    <cellStyle name="Percent 6 2 2 3 3" xfId="28079" xr:uid="{00000000-0005-0000-0000-0000588A0000}"/>
    <cellStyle name="Percent 6 2 2 4" xfId="15830" xr:uid="{00000000-0005-0000-0000-0000598A0000}"/>
    <cellStyle name="Percent 6 2 2 4 2" xfId="32400" xr:uid="{00000000-0005-0000-0000-00005A8A0000}"/>
    <cellStyle name="Percent 6 2 2 5" xfId="24353" xr:uid="{00000000-0005-0000-0000-00005B8A0000}"/>
    <cellStyle name="Percent 6 2 3" xfId="6596" xr:uid="{00000000-0005-0000-0000-00005C8A0000}"/>
    <cellStyle name="Percent 6 2 3 2" xfId="10382" xr:uid="{00000000-0005-0000-0000-00005D8A0000}"/>
    <cellStyle name="Percent 6 2 3 2 2" xfId="19550" xr:uid="{00000000-0005-0000-0000-00005E8A0000}"/>
    <cellStyle name="Percent 6 2 3 2 2 2" xfId="36127" xr:uid="{00000000-0005-0000-0000-00005F8A0000}"/>
    <cellStyle name="Percent 6 2 3 2 3" xfId="28080" xr:uid="{00000000-0005-0000-0000-0000608A0000}"/>
    <cellStyle name="Percent 6 2 3 3" xfId="15832" xr:uid="{00000000-0005-0000-0000-0000618A0000}"/>
    <cellStyle name="Percent 6 2 3 3 2" xfId="32402" xr:uid="{00000000-0005-0000-0000-0000628A0000}"/>
    <cellStyle name="Percent 6 2 3 4" xfId="24355" xr:uid="{00000000-0005-0000-0000-0000638A0000}"/>
    <cellStyle name="Percent 6 2 4" xfId="10383" xr:uid="{00000000-0005-0000-0000-0000648A0000}"/>
    <cellStyle name="Percent 6 2 4 2" xfId="19551" xr:uid="{00000000-0005-0000-0000-0000658A0000}"/>
    <cellStyle name="Percent 6 2 4 2 2" xfId="36128" xr:uid="{00000000-0005-0000-0000-0000668A0000}"/>
    <cellStyle name="Percent 6 2 4 3" xfId="28081" xr:uid="{00000000-0005-0000-0000-0000678A0000}"/>
    <cellStyle name="Percent 6 2 5" xfId="6593" xr:uid="{00000000-0005-0000-0000-0000688A0000}"/>
    <cellStyle name="Percent 6 2 5 2" xfId="32399" xr:uid="{00000000-0005-0000-0000-0000698A0000}"/>
    <cellStyle name="Percent 6 2 6" xfId="24352" xr:uid="{00000000-0005-0000-0000-00006A8A0000}"/>
    <cellStyle name="Percent 6 3" xfId="6597" xr:uid="{00000000-0005-0000-0000-00006B8A0000}"/>
    <cellStyle name="Percent 6 3 2" xfId="6598" xr:uid="{00000000-0005-0000-0000-00006C8A0000}"/>
    <cellStyle name="Percent 6 3 2 2" xfId="10384" xr:uid="{00000000-0005-0000-0000-00006D8A0000}"/>
    <cellStyle name="Percent 6 3 2 2 2" xfId="19552" xr:uid="{00000000-0005-0000-0000-00006E8A0000}"/>
    <cellStyle name="Percent 6 3 2 2 2 2" xfId="36129" xr:uid="{00000000-0005-0000-0000-00006F8A0000}"/>
    <cellStyle name="Percent 6 3 2 2 3" xfId="28082" xr:uid="{00000000-0005-0000-0000-0000708A0000}"/>
    <cellStyle name="Percent 6 3 2 3" xfId="15834" xr:uid="{00000000-0005-0000-0000-0000718A0000}"/>
    <cellStyle name="Percent 6 3 2 3 2" xfId="32404" xr:uid="{00000000-0005-0000-0000-0000728A0000}"/>
    <cellStyle name="Percent 6 3 2 4" xfId="24357" xr:uid="{00000000-0005-0000-0000-0000738A0000}"/>
    <cellStyle name="Percent 6 3 3" xfId="10385" xr:uid="{00000000-0005-0000-0000-0000748A0000}"/>
    <cellStyle name="Percent 6 3 3 2" xfId="19553" xr:uid="{00000000-0005-0000-0000-0000758A0000}"/>
    <cellStyle name="Percent 6 3 3 2 2" xfId="36130" xr:uid="{00000000-0005-0000-0000-0000768A0000}"/>
    <cellStyle name="Percent 6 3 3 3" xfId="28083" xr:uid="{00000000-0005-0000-0000-0000778A0000}"/>
    <cellStyle name="Percent 6 3 4" xfId="15833" xr:uid="{00000000-0005-0000-0000-0000788A0000}"/>
    <cellStyle name="Percent 6 3 4 2" xfId="32403" xr:uid="{00000000-0005-0000-0000-0000798A0000}"/>
    <cellStyle name="Percent 6 3 5" xfId="24356" xr:uid="{00000000-0005-0000-0000-00007A8A0000}"/>
    <cellStyle name="Percent 6 4" xfId="6599" xr:uid="{00000000-0005-0000-0000-00007B8A0000}"/>
    <cellStyle name="Percent 6 4 2" xfId="10386" xr:uid="{00000000-0005-0000-0000-00007C8A0000}"/>
    <cellStyle name="Percent 6 4 2 2" xfId="19554" xr:uid="{00000000-0005-0000-0000-00007D8A0000}"/>
    <cellStyle name="Percent 6 4 2 2 2" xfId="36131" xr:uid="{00000000-0005-0000-0000-00007E8A0000}"/>
    <cellStyle name="Percent 6 4 2 3" xfId="28084" xr:uid="{00000000-0005-0000-0000-00007F8A0000}"/>
    <cellStyle name="Percent 6 4 3" xfId="15835" xr:uid="{00000000-0005-0000-0000-0000808A0000}"/>
    <cellStyle name="Percent 6 4 3 2" xfId="32405" xr:uid="{00000000-0005-0000-0000-0000818A0000}"/>
    <cellStyle name="Percent 6 4 4" xfId="24358" xr:uid="{00000000-0005-0000-0000-0000828A0000}"/>
    <cellStyle name="Percent 6 5" xfId="10387" xr:uid="{00000000-0005-0000-0000-0000838A0000}"/>
    <cellStyle name="Percent 6 5 2" xfId="19555" xr:uid="{00000000-0005-0000-0000-0000848A0000}"/>
    <cellStyle name="Percent 6 5 2 2" xfId="36132" xr:uid="{00000000-0005-0000-0000-0000858A0000}"/>
    <cellStyle name="Percent 6 5 3" xfId="28085" xr:uid="{00000000-0005-0000-0000-0000868A0000}"/>
    <cellStyle name="Percent 6 6" xfId="6592" xr:uid="{00000000-0005-0000-0000-0000878A0000}"/>
    <cellStyle name="Percent 6 6 2" xfId="32398" xr:uid="{00000000-0005-0000-0000-0000888A0000}"/>
    <cellStyle name="Percent 6 7" xfId="24351" xr:uid="{00000000-0005-0000-0000-0000898A0000}"/>
    <cellStyle name="Percent 60" xfId="10543" xr:uid="{00000000-0005-0000-0000-00008A8A0000}"/>
    <cellStyle name="Percent 61" xfId="10546" xr:uid="{00000000-0005-0000-0000-00008B8A0000}"/>
    <cellStyle name="Percent 62" xfId="10549" xr:uid="{00000000-0005-0000-0000-00008C8A0000}"/>
    <cellStyle name="Percent 63" xfId="10552" xr:uid="{00000000-0005-0000-0000-00008D8A0000}"/>
    <cellStyle name="Percent 64" xfId="10555" xr:uid="{00000000-0005-0000-0000-00008E8A0000}"/>
    <cellStyle name="Percent 65" xfId="10558" xr:uid="{00000000-0005-0000-0000-00008F8A0000}"/>
    <cellStyle name="Percent 66" xfId="10561" xr:uid="{00000000-0005-0000-0000-0000908A0000}"/>
    <cellStyle name="Percent 67" xfId="10564" xr:uid="{00000000-0005-0000-0000-0000918A0000}"/>
    <cellStyle name="Percent 68" xfId="10567" xr:uid="{00000000-0005-0000-0000-0000928A0000}"/>
    <cellStyle name="Percent 69" xfId="10570" xr:uid="{00000000-0005-0000-0000-0000938A0000}"/>
    <cellStyle name="Percent 7" xfId="395" xr:uid="{00000000-0005-0000-0000-0000948A0000}"/>
    <cellStyle name="Percent 7 2" xfId="1729" xr:uid="{00000000-0005-0000-0000-0000958A0000}"/>
    <cellStyle name="Percent 7 2 2" xfId="6602" xr:uid="{00000000-0005-0000-0000-0000968A0000}"/>
    <cellStyle name="Percent 7 2 2 2" xfId="6603" xr:uid="{00000000-0005-0000-0000-0000978A0000}"/>
    <cellStyle name="Percent 7 2 2 2 2" xfId="10388" xr:uid="{00000000-0005-0000-0000-0000988A0000}"/>
    <cellStyle name="Percent 7 2 2 2 2 2" xfId="19556" xr:uid="{00000000-0005-0000-0000-0000998A0000}"/>
    <cellStyle name="Percent 7 2 2 2 2 2 2" xfId="36133" xr:uid="{00000000-0005-0000-0000-00009A8A0000}"/>
    <cellStyle name="Percent 7 2 2 2 2 3" xfId="28086" xr:uid="{00000000-0005-0000-0000-00009B8A0000}"/>
    <cellStyle name="Percent 7 2 2 2 3" xfId="15837" xr:uid="{00000000-0005-0000-0000-00009C8A0000}"/>
    <cellStyle name="Percent 7 2 2 2 3 2" xfId="32409" xr:uid="{00000000-0005-0000-0000-00009D8A0000}"/>
    <cellStyle name="Percent 7 2 2 2 4" xfId="24362" xr:uid="{00000000-0005-0000-0000-00009E8A0000}"/>
    <cellStyle name="Percent 7 2 2 3" xfId="10389" xr:uid="{00000000-0005-0000-0000-00009F8A0000}"/>
    <cellStyle name="Percent 7 2 2 3 2" xfId="19557" xr:uid="{00000000-0005-0000-0000-0000A08A0000}"/>
    <cellStyle name="Percent 7 2 2 3 2 2" xfId="36134" xr:uid="{00000000-0005-0000-0000-0000A18A0000}"/>
    <cellStyle name="Percent 7 2 2 3 3" xfId="28087" xr:uid="{00000000-0005-0000-0000-0000A28A0000}"/>
    <cellStyle name="Percent 7 2 2 4" xfId="15836" xr:uid="{00000000-0005-0000-0000-0000A38A0000}"/>
    <cellStyle name="Percent 7 2 2 4 2" xfId="32408" xr:uid="{00000000-0005-0000-0000-0000A48A0000}"/>
    <cellStyle name="Percent 7 2 2 5" xfId="24361" xr:uid="{00000000-0005-0000-0000-0000A58A0000}"/>
    <cellStyle name="Percent 7 2 3" xfId="6604" xr:uid="{00000000-0005-0000-0000-0000A68A0000}"/>
    <cellStyle name="Percent 7 2 3 2" xfId="10390" xr:uid="{00000000-0005-0000-0000-0000A78A0000}"/>
    <cellStyle name="Percent 7 2 3 2 2" xfId="19558" xr:uid="{00000000-0005-0000-0000-0000A88A0000}"/>
    <cellStyle name="Percent 7 2 3 2 2 2" xfId="36135" xr:uid="{00000000-0005-0000-0000-0000A98A0000}"/>
    <cellStyle name="Percent 7 2 3 2 3" xfId="28088" xr:uid="{00000000-0005-0000-0000-0000AA8A0000}"/>
    <cellStyle name="Percent 7 2 3 3" xfId="15838" xr:uid="{00000000-0005-0000-0000-0000AB8A0000}"/>
    <cellStyle name="Percent 7 2 3 3 2" xfId="32410" xr:uid="{00000000-0005-0000-0000-0000AC8A0000}"/>
    <cellStyle name="Percent 7 2 3 4" xfId="24363" xr:uid="{00000000-0005-0000-0000-0000AD8A0000}"/>
    <cellStyle name="Percent 7 2 4" xfId="10391" xr:uid="{00000000-0005-0000-0000-0000AE8A0000}"/>
    <cellStyle name="Percent 7 2 4 2" xfId="19559" xr:uid="{00000000-0005-0000-0000-0000AF8A0000}"/>
    <cellStyle name="Percent 7 2 4 2 2" xfId="36136" xr:uid="{00000000-0005-0000-0000-0000B08A0000}"/>
    <cellStyle name="Percent 7 2 4 3" xfId="28089" xr:uid="{00000000-0005-0000-0000-0000B18A0000}"/>
    <cellStyle name="Percent 7 2 5" xfId="6601" xr:uid="{00000000-0005-0000-0000-0000B28A0000}"/>
    <cellStyle name="Percent 7 2 5 2" xfId="32407" xr:uid="{00000000-0005-0000-0000-0000B38A0000}"/>
    <cellStyle name="Percent 7 2 6" xfId="24360" xr:uid="{00000000-0005-0000-0000-0000B48A0000}"/>
    <cellStyle name="Percent 7 3" xfId="6605" xr:uid="{00000000-0005-0000-0000-0000B58A0000}"/>
    <cellStyle name="Percent 7 3 2" xfId="6606" xr:uid="{00000000-0005-0000-0000-0000B68A0000}"/>
    <cellStyle name="Percent 7 3 2 2" xfId="10392" xr:uid="{00000000-0005-0000-0000-0000B78A0000}"/>
    <cellStyle name="Percent 7 3 2 2 2" xfId="19560" xr:uid="{00000000-0005-0000-0000-0000B88A0000}"/>
    <cellStyle name="Percent 7 3 2 2 2 2" xfId="36137" xr:uid="{00000000-0005-0000-0000-0000B98A0000}"/>
    <cellStyle name="Percent 7 3 2 2 3" xfId="28090" xr:uid="{00000000-0005-0000-0000-0000BA8A0000}"/>
    <cellStyle name="Percent 7 3 2 3" xfId="15840" xr:uid="{00000000-0005-0000-0000-0000BB8A0000}"/>
    <cellStyle name="Percent 7 3 2 3 2" xfId="32412" xr:uid="{00000000-0005-0000-0000-0000BC8A0000}"/>
    <cellStyle name="Percent 7 3 2 4" xfId="24365" xr:uid="{00000000-0005-0000-0000-0000BD8A0000}"/>
    <cellStyle name="Percent 7 3 3" xfId="10393" xr:uid="{00000000-0005-0000-0000-0000BE8A0000}"/>
    <cellStyle name="Percent 7 3 3 2" xfId="19561" xr:uid="{00000000-0005-0000-0000-0000BF8A0000}"/>
    <cellStyle name="Percent 7 3 3 2 2" xfId="36138" xr:uid="{00000000-0005-0000-0000-0000C08A0000}"/>
    <cellStyle name="Percent 7 3 3 3" xfId="28091" xr:uid="{00000000-0005-0000-0000-0000C18A0000}"/>
    <cellStyle name="Percent 7 3 4" xfId="15839" xr:uid="{00000000-0005-0000-0000-0000C28A0000}"/>
    <cellStyle name="Percent 7 3 4 2" xfId="32411" xr:uid="{00000000-0005-0000-0000-0000C38A0000}"/>
    <cellStyle name="Percent 7 3 5" xfId="24364" xr:uid="{00000000-0005-0000-0000-0000C48A0000}"/>
    <cellStyle name="Percent 7 4" xfId="6607" xr:uid="{00000000-0005-0000-0000-0000C58A0000}"/>
    <cellStyle name="Percent 7 4 2" xfId="10394" xr:uid="{00000000-0005-0000-0000-0000C68A0000}"/>
    <cellStyle name="Percent 7 4 2 2" xfId="19562" xr:uid="{00000000-0005-0000-0000-0000C78A0000}"/>
    <cellStyle name="Percent 7 4 2 2 2" xfId="36139" xr:uid="{00000000-0005-0000-0000-0000C88A0000}"/>
    <cellStyle name="Percent 7 4 2 3" xfId="28092" xr:uid="{00000000-0005-0000-0000-0000C98A0000}"/>
    <cellStyle name="Percent 7 4 3" xfId="15841" xr:uid="{00000000-0005-0000-0000-0000CA8A0000}"/>
    <cellStyle name="Percent 7 4 3 2" xfId="32413" xr:uid="{00000000-0005-0000-0000-0000CB8A0000}"/>
    <cellStyle name="Percent 7 4 4" xfId="24366" xr:uid="{00000000-0005-0000-0000-0000CC8A0000}"/>
    <cellStyle name="Percent 7 5" xfId="10395" xr:uid="{00000000-0005-0000-0000-0000CD8A0000}"/>
    <cellStyle name="Percent 7 5 2" xfId="19563" xr:uid="{00000000-0005-0000-0000-0000CE8A0000}"/>
    <cellStyle name="Percent 7 5 2 2" xfId="36140" xr:uid="{00000000-0005-0000-0000-0000CF8A0000}"/>
    <cellStyle name="Percent 7 5 3" xfId="28093" xr:uid="{00000000-0005-0000-0000-0000D08A0000}"/>
    <cellStyle name="Percent 7 6" xfId="6600" xr:uid="{00000000-0005-0000-0000-0000D18A0000}"/>
    <cellStyle name="Percent 7 6 2" xfId="32406" xr:uid="{00000000-0005-0000-0000-0000D28A0000}"/>
    <cellStyle name="Percent 7 7" xfId="24359" xr:uid="{00000000-0005-0000-0000-0000D38A0000}"/>
    <cellStyle name="Percent 70" xfId="10573" xr:uid="{00000000-0005-0000-0000-0000D48A0000}"/>
    <cellStyle name="Percent 71" xfId="10576" xr:uid="{00000000-0005-0000-0000-0000D58A0000}"/>
    <cellStyle name="Percent 72" xfId="10579" xr:uid="{00000000-0005-0000-0000-0000D68A0000}"/>
    <cellStyle name="Percent 73" xfId="10582" xr:uid="{00000000-0005-0000-0000-0000D78A0000}"/>
    <cellStyle name="Percent 74" xfId="10585" xr:uid="{00000000-0005-0000-0000-0000D88A0000}"/>
    <cellStyle name="Percent 75" xfId="10588" xr:uid="{00000000-0005-0000-0000-0000D98A0000}"/>
    <cellStyle name="Percent 76" xfId="10591" xr:uid="{00000000-0005-0000-0000-0000DA8A0000}"/>
    <cellStyle name="Percent 77" xfId="10594" xr:uid="{00000000-0005-0000-0000-0000DB8A0000}"/>
    <cellStyle name="Percent 78" xfId="10597" xr:uid="{00000000-0005-0000-0000-0000DC8A0000}"/>
    <cellStyle name="Percent 79" xfId="10600" xr:uid="{00000000-0005-0000-0000-0000DD8A0000}"/>
    <cellStyle name="Percent 8" xfId="396" xr:uid="{00000000-0005-0000-0000-0000DE8A0000}"/>
    <cellStyle name="Percent 8 2" xfId="1730" xr:uid="{00000000-0005-0000-0000-0000DF8A0000}"/>
    <cellStyle name="Percent 80" xfId="10603" xr:uid="{00000000-0005-0000-0000-0000E08A0000}"/>
    <cellStyle name="Percent 81" xfId="10606" xr:uid="{00000000-0005-0000-0000-0000E18A0000}"/>
    <cellStyle name="Percent 82" xfId="10609" xr:uid="{00000000-0005-0000-0000-0000E28A0000}"/>
    <cellStyle name="Percent 83" xfId="10612" xr:uid="{00000000-0005-0000-0000-0000E38A0000}"/>
    <cellStyle name="Percent 84" xfId="10615" xr:uid="{00000000-0005-0000-0000-0000E48A0000}"/>
    <cellStyle name="Percent 85" xfId="10618" xr:uid="{00000000-0005-0000-0000-0000E58A0000}"/>
    <cellStyle name="Percent 86" xfId="10621" xr:uid="{00000000-0005-0000-0000-0000E68A0000}"/>
    <cellStyle name="Percent 87" xfId="10624" xr:uid="{00000000-0005-0000-0000-0000E78A0000}"/>
    <cellStyle name="Percent 88" xfId="10627" xr:uid="{00000000-0005-0000-0000-0000E88A0000}"/>
    <cellStyle name="Percent 89" xfId="10630" xr:uid="{00000000-0005-0000-0000-0000E98A0000}"/>
    <cellStyle name="Percent 9" xfId="397" xr:uid="{00000000-0005-0000-0000-0000EA8A0000}"/>
    <cellStyle name="Percent 9 2" xfId="1731" xr:uid="{00000000-0005-0000-0000-0000EB8A0000}"/>
    <cellStyle name="Percent 9 2 2" xfId="10396" xr:uid="{00000000-0005-0000-0000-0000EC8A0000}"/>
    <cellStyle name="Percent 9 3" xfId="6608" xr:uid="{00000000-0005-0000-0000-0000ED8A0000}"/>
    <cellStyle name="Percent 90" xfId="10633" xr:uid="{00000000-0005-0000-0000-0000EE8A0000}"/>
    <cellStyle name="Percent 91" xfId="10636" xr:uid="{00000000-0005-0000-0000-0000EF8A0000}"/>
    <cellStyle name="Percent 92" xfId="10639" xr:uid="{00000000-0005-0000-0000-0000F08A0000}"/>
    <cellStyle name="Percent 93" xfId="10642" xr:uid="{00000000-0005-0000-0000-0000F18A0000}"/>
    <cellStyle name="Percent 94" xfId="10645" xr:uid="{00000000-0005-0000-0000-0000F28A0000}"/>
    <cellStyle name="Percent 95" xfId="10648" xr:uid="{00000000-0005-0000-0000-0000F38A0000}"/>
    <cellStyle name="Percent 96" xfId="10651" xr:uid="{00000000-0005-0000-0000-0000F48A0000}"/>
    <cellStyle name="Percent 97" xfId="10654" xr:uid="{00000000-0005-0000-0000-0000F58A0000}"/>
    <cellStyle name="Percent 98" xfId="10657" xr:uid="{00000000-0005-0000-0000-0000F68A0000}"/>
    <cellStyle name="Percent 99" xfId="10660" xr:uid="{00000000-0005-0000-0000-0000F78A0000}"/>
    <cellStyle name="Percent Comma" xfId="1171" xr:uid="{00000000-0005-0000-0000-0000F88A0000}"/>
    <cellStyle name="Percent1" xfId="1942" xr:uid="{00000000-0005-0000-0000-0000F98A0000}"/>
    <cellStyle name="Percent2" xfId="1943" xr:uid="{00000000-0005-0000-0000-0000FA8A0000}"/>
    <cellStyle name="percentage" xfId="1944" xr:uid="{00000000-0005-0000-0000-0000FB8A0000}"/>
    <cellStyle name="PercentChange" xfId="1945" xr:uid="{00000000-0005-0000-0000-0000FC8A0000}"/>
    <cellStyle name="PO BORDER" xfId="312" xr:uid="{00000000-0005-0000-0000-0000FD8A0000}"/>
    <cellStyle name="PO BORDER 2" xfId="1594" xr:uid="{00000000-0005-0000-0000-0000FE8A0000}"/>
    <cellStyle name="PO BORDER 2 2" xfId="1637" xr:uid="{00000000-0005-0000-0000-0000FF8A0000}"/>
    <cellStyle name="PO BORDER 2 3" xfId="1656" xr:uid="{00000000-0005-0000-0000-0000008B0000}"/>
    <cellStyle name="PO BORDER 3" xfId="1738" xr:uid="{00000000-0005-0000-0000-0000018B0000}"/>
    <cellStyle name="PO BORDER 4" xfId="11117" xr:uid="{00000000-0005-0000-0000-0000028B0000}"/>
    <cellStyle name="Porcentagem_Cenário Básico" xfId="1946" xr:uid="{00000000-0005-0000-0000-0000038B0000}"/>
    <cellStyle name="Porcentual_mov_dolar" xfId="1947" xr:uid="{00000000-0005-0000-0000-0000048B0000}"/>
    <cellStyle name="price" xfId="1172" xr:uid="{00000000-0005-0000-0000-0000058B0000}"/>
    <cellStyle name="PSChar" xfId="313" xr:uid="{00000000-0005-0000-0000-0000068B0000}"/>
    <cellStyle name="PSChar 2" xfId="314" xr:uid="{00000000-0005-0000-0000-0000078B0000}"/>
    <cellStyle name="PSDate" xfId="315" xr:uid="{00000000-0005-0000-0000-0000088B0000}"/>
    <cellStyle name="PSDate 2" xfId="316" xr:uid="{00000000-0005-0000-0000-0000098B0000}"/>
    <cellStyle name="PSDec" xfId="317" xr:uid="{00000000-0005-0000-0000-00000A8B0000}"/>
    <cellStyle name="PSDec 2" xfId="318" xr:uid="{00000000-0005-0000-0000-00000B8B0000}"/>
    <cellStyle name="PSHeading" xfId="319" xr:uid="{00000000-0005-0000-0000-00000C8B0000}"/>
    <cellStyle name="PSHeading 2" xfId="329" xr:uid="{00000000-0005-0000-0000-00000D8B0000}"/>
    <cellStyle name="PSHeading 2 2" xfId="398" xr:uid="{00000000-0005-0000-0000-00000E8B0000}"/>
    <cellStyle name="PSHeading 2 2 2" xfId="1689" xr:uid="{00000000-0005-0000-0000-00000F8B0000}"/>
    <cellStyle name="PSHeading 2 3" xfId="1688" xr:uid="{00000000-0005-0000-0000-0000108B0000}"/>
    <cellStyle name="PSInt" xfId="320" xr:uid="{00000000-0005-0000-0000-0000118B0000}"/>
    <cellStyle name="PSInt 2" xfId="321" xr:uid="{00000000-0005-0000-0000-0000128B0000}"/>
    <cellStyle name="PSSpacer" xfId="322" xr:uid="{00000000-0005-0000-0000-0000138B0000}"/>
    <cellStyle name="PSSpacer 2" xfId="323" xr:uid="{00000000-0005-0000-0000-0000148B0000}"/>
    <cellStyle name="PutnamPh#" xfId="324" xr:uid="{00000000-0005-0000-0000-0000158B0000}"/>
    <cellStyle name="q" xfId="1173" xr:uid="{00000000-0005-0000-0000-0000168B0000}"/>
    <cellStyle name="q_1 FM_101_Examples_v7.31McIntire" xfId="1174" xr:uid="{00000000-0005-0000-0000-0000178B0000}"/>
    <cellStyle name="q_1 FM_101_Examples_v7.31McIntire_1 FM_101_Examples_TWO-Day_v7.31" xfId="1175" xr:uid="{00000000-0005-0000-0000-0000188B0000}"/>
    <cellStyle name="q_AVP" xfId="1176" xr:uid="{00000000-0005-0000-0000-0000198B0000}"/>
    <cellStyle name="q_AVP_1 FM_101_Examples_v7.31McIntire" xfId="1177" xr:uid="{00000000-0005-0000-0000-00001A8B0000}"/>
    <cellStyle name="q_AVP_1 FM_101_Examples_v7.31McIntire_1 FM_101_Examples_TWO-Day_v7.31" xfId="1178" xr:uid="{00000000-0005-0000-0000-00001B8B0000}"/>
    <cellStyle name="q_AVP_Graphic Depiction - NO DEV" xfId="1179" xr:uid="{00000000-0005-0000-0000-00001C8B0000}"/>
    <cellStyle name="q_AVP_Graphic Depiction - NO DEV_1 FM_101_Examples_v7.31McIntire" xfId="1180" xr:uid="{00000000-0005-0000-0000-00001D8B0000}"/>
    <cellStyle name="q_AVP_Graphic Depiction - NO DEV_1 FM_101_Examples_v7.31McIntire_1 FM_101_Examples_TWO-Day_v7.31" xfId="1181" xr:uid="{00000000-0005-0000-0000-00001E8B0000}"/>
    <cellStyle name="q_AVP_Graphic Depiction - NO DEV_Val_1_Book_Lecture_Notes_v3.06" xfId="1182" xr:uid="{00000000-0005-0000-0000-00001F8B0000}"/>
    <cellStyle name="q_AVP_THEsumPage (2)" xfId="1183" xr:uid="{00000000-0005-0000-0000-0000208B0000}"/>
    <cellStyle name="q_AVP_THEsumPage (2)_1 FM_101_Examples_v7.31McIntire" xfId="1184" xr:uid="{00000000-0005-0000-0000-0000218B0000}"/>
    <cellStyle name="q_AVP_THEsumPage (2)_1 FM_101_Examples_v7.31McIntire_1 FM_101_Examples_TWO-Day_v7.31" xfId="1185" xr:uid="{00000000-0005-0000-0000-0000228B0000}"/>
    <cellStyle name="q_AVP_THEsumPage (2)_Val_1_Book_Lecture_Notes_v3.06" xfId="1186" xr:uid="{00000000-0005-0000-0000-0000238B0000}"/>
    <cellStyle name="q_AVP_Val_1_Book_Lecture_Notes_v3.06" xfId="1187" xr:uid="{00000000-0005-0000-0000-0000248B0000}"/>
    <cellStyle name="q_AVP_Valuation Summary Graphics" xfId="1188" xr:uid="{00000000-0005-0000-0000-0000258B0000}"/>
    <cellStyle name="q_AVP_Valuation Summary Graphics_1 FM_101_Examples_v7.31McIntire" xfId="1189" xr:uid="{00000000-0005-0000-0000-0000268B0000}"/>
    <cellStyle name="q_AVP_Valuation Summary Graphics_1 FM_101_Examples_v7.31McIntire_1 FM_101_Examples_TWO-Day_v7.31" xfId="1190" xr:uid="{00000000-0005-0000-0000-0000278B0000}"/>
    <cellStyle name="q_AVP_Valuation Summary Graphics_Val_1_Book_Lecture_Notes_v3.06" xfId="1191" xr:uid="{00000000-0005-0000-0000-0000288B0000}"/>
    <cellStyle name="q_CompSheet" xfId="1192" xr:uid="{00000000-0005-0000-0000-0000298B0000}"/>
    <cellStyle name="q_CompSheet_Val_1_Book_Lecture_Notes_v3.06" xfId="1193" xr:uid="{00000000-0005-0000-0000-00002A8B0000}"/>
    <cellStyle name="q_Disc Analysis" xfId="1194" xr:uid="{00000000-0005-0000-0000-00002B8B0000}"/>
    <cellStyle name="q_Disc Analysis_1 FM_101_Examples_v7.31McIntire" xfId="1195" xr:uid="{00000000-0005-0000-0000-00002C8B0000}"/>
    <cellStyle name="q_Disc Analysis_1 FM_101_Examples_v7.31McIntire_1 FM_101_Examples_TWO-Day_v7.31" xfId="1196" xr:uid="{00000000-0005-0000-0000-00002D8B0000}"/>
    <cellStyle name="q_Disc Analysis_CompSheet" xfId="1197" xr:uid="{00000000-0005-0000-0000-00002E8B0000}"/>
    <cellStyle name="q_Disc Analysis_CompSheet_1 FM_101_Examples_v7.31McIntire" xfId="1198" xr:uid="{00000000-0005-0000-0000-00002F8B0000}"/>
    <cellStyle name="q_Disc Analysis_CompSheet_1 FM_101_Examples_v7.31McIntire_1 FM_101_Examples_TWO-Day_v7.31" xfId="1199" xr:uid="{00000000-0005-0000-0000-0000308B0000}"/>
    <cellStyle name="q_Disc Analysis_CompSheet_Val_1_Book_Lecture_Notes_v3.06" xfId="1200" xr:uid="{00000000-0005-0000-0000-0000318B0000}"/>
    <cellStyle name="q_Disc Analysis_Fairness Opinion Valuation 4-23a.xls Chart 1" xfId="1201" xr:uid="{00000000-0005-0000-0000-0000328B0000}"/>
    <cellStyle name="q_Disc Analysis_Fairness Opinion Valuation 4-23a.xls Chart 1_1 FM_101_Examples_v7.31McIntire" xfId="1202" xr:uid="{00000000-0005-0000-0000-0000338B0000}"/>
    <cellStyle name="q_Disc Analysis_Fairness Opinion Valuation 4-23a.xls Chart 1_1 FM_101_Examples_v7.31McIntire_1 FM_101_Examples_TWO-Day_v7.31" xfId="1203" xr:uid="{00000000-0005-0000-0000-0000348B0000}"/>
    <cellStyle name="q_Disc Analysis_Fairness Opinion Valuation 4-23a.xls Chart 1_Val_1_Book_Lecture_Notes_v3.06" xfId="1204" xr:uid="{00000000-0005-0000-0000-0000358B0000}"/>
    <cellStyle name="q_Disc Analysis_PowerValuation.xls Chart 21" xfId="1205" xr:uid="{00000000-0005-0000-0000-0000368B0000}"/>
    <cellStyle name="q_Disc Analysis_PowerValuation.xls Chart 21_1 FM_101_Examples_v7.31McIntire" xfId="1206" xr:uid="{00000000-0005-0000-0000-0000378B0000}"/>
    <cellStyle name="q_Disc Analysis_PowerValuation.xls Chart 21_1 FM_101_Examples_v7.31McIntire_1 FM_101_Examples_TWO-Day_v7.31" xfId="1207" xr:uid="{00000000-0005-0000-0000-0000388B0000}"/>
    <cellStyle name="q_Disc Analysis_PowerValuation.xls Chart 21_Val_1_Book_Lecture_Notes_v3.06" xfId="1208" xr:uid="{00000000-0005-0000-0000-0000398B0000}"/>
    <cellStyle name="q_Disc Analysis_PowerValuation.xls Chart 28" xfId="1209" xr:uid="{00000000-0005-0000-0000-00003A8B0000}"/>
    <cellStyle name="q_Disc Analysis_PowerValuation.xls Chart 28_1 FM_101_Examples_v7.31McIntire" xfId="1210" xr:uid="{00000000-0005-0000-0000-00003B8B0000}"/>
    <cellStyle name="q_Disc Analysis_PowerValuation.xls Chart 28_1 FM_101_Examples_v7.31McIntire_1 FM_101_Examples_TWO-Day_v7.31" xfId="1211" xr:uid="{00000000-0005-0000-0000-00003C8B0000}"/>
    <cellStyle name="q_Disc Analysis_PowerValuation.xls Chart 28_Val_1_Book_Lecture_Notes_v3.06" xfId="1212" xr:uid="{00000000-0005-0000-0000-00003D8B0000}"/>
    <cellStyle name="q_Disc Analysis_THEsumPage (2)" xfId="1213" xr:uid="{00000000-0005-0000-0000-00003E8B0000}"/>
    <cellStyle name="q_Disc Analysis_THEsumPage (2)_1 FM_101_Examples_v7.31McIntire" xfId="1214" xr:uid="{00000000-0005-0000-0000-00003F8B0000}"/>
    <cellStyle name="q_Disc Analysis_THEsumPage (2)_1 FM_101_Examples_v7.31McIntire_1 FM_101_Examples_TWO-Day_v7.31" xfId="1215" xr:uid="{00000000-0005-0000-0000-0000408B0000}"/>
    <cellStyle name="q_Disc Analysis_THEsumPage (2)_Val_1_Book_Lecture_Notes_v3.06" xfId="1216" xr:uid="{00000000-0005-0000-0000-0000418B0000}"/>
    <cellStyle name="q_Disc Analysis_Val_1_Book_Lecture_Notes_v3.06" xfId="1217" xr:uid="{00000000-0005-0000-0000-0000428B0000}"/>
    <cellStyle name="q_Disc Analysis_Valuation summaries" xfId="1218" xr:uid="{00000000-0005-0000-0000-0000438B0000}"/>
    <cellStyle name="q_Disc Analysis_Valuation summaries_1 FM_101_Examples_v7.31McIntire" xfId="1219" xr:uid="{00000000-0005-0000-0000-0000448B0000}"/>
    <cellStyle name="q_Disc Analysis_Valuation summaries_1 FM_101_Examples_v7.31McIntire_1 FM_101_Examples_TWO-Day_v7.31" xfId="1220" xr:uid="{00000000-0005-0000-0000-0000458B0000}"/>
    <cellStyle name="q_Disc Analysis_Valuation summaries_Val_1_Book_Lecture_Notes_v3.06" xfId="1221" xr:uid="{00000000-0005-0000-0000-0000468B0000}"/>
    <cellStyle name="q_Fairness Opinion Valuation 4-23a.xls Chart 1" xfId="1222" xr:uid="{00000000-0005-0000-0000-0000478B0000}"/>
    <cellStyle name="q_Fairness Opinion Valuation 4-23a.xls Chart 1_Val_1_Book_Lecture_Notes_v3.06" xfId="1223" xr:uid="{00000000-0005-0000-0000-0000488B0000}"/>
    <cellStyle name="q_Merg Cons" xfId="1224" xr:uid="{00000000-0005-0000-0000-0000498B0000}"/>
    <cellStyle name="q_Merg Cons_1 FM_101_Examples_v7.31McIntire" xfId="1225" xr:uid="{00000000-0005-0000-0000-00004A8B0000}"/>
    <cellStyle name="q_Merg Cons_1 FM_101_Examples_v7.31McIntire_1 FM_101_Examples_TWO-Day_v7.31" xfId="1226" xr:uid="{00000000-0005-0000-0000-00004B8B0000}"/>
    <cellStyle name="q_Merg Cons_CompSheet" xfId="1227" xr:uid="{00000000-0005-0000-0000-00004C8B0000}"/>
    <cellStyle name="q_Merg Cons_CompSheet_1 FM_101_Examples_v7.31McIntire" xfId="1228" xr:uid="{00000000-0005-0000-0000-00004D8B0000}"/>
    <cellStyle name="q_Merg Cons_CompSheet_1 FM_101_Examples_v7.31McIntire_1 FM_101_Examples_TWO-Day_v7.31" xfId="1229" xr:uid="{00000000-0005-0000-0000-00004E8B0000}"/>
    <cellStyle name="q_Merg Cons_CompSheet_Val_1_Book_Lecture_Notes_v3.06" xfId="1230" xr:uid="{00000000-0005-0000-0000-00004F8B0000}"/>
    <cellStyle name="q_Merg Cons_Fairness Opinion Valuation 4-23a.xls Chart 1" xfId="1231" xr:uid="{00000000-0005-0000-0000-0000508B0000}"/>
    <cellStyle name="q_Merg Cons_Fairness Opinion Valuation 4-23a.xls Chart 1_1 FM_101_Examples_v7.31McIntire" xfId="1232" xr:uid="{00000000-0005-0000-0000-0000518B0000}"/>
    <cellStyle name="q_Merg Cons_Fairness Opinion Valuation 4-23a.xls Chart 1_1 FM_101_Examples_v7.31McIntire_1 FM_101_Examples_TWO-Day_v7.31" xfId="1233" xr:uid="{00000000-0005-0000-0000-0000528B0000}"/>
    <cellStyle name="q_Merg Cons_Fairness Opinion Valuation 4-23a.xls Chart 1_Val_1_Book_Lecture_Notes_v3.06" xfId="1234" xr:uid="{00000000-0005-0000-0000-0000538B0000}"/>
    <cellStyle name="q_Merg Cons_PowerValuation.xls Chart 21" xfId="1235" xr:uid="{00000000-0005-0000-0000-0000548B0000}"/>
    <cellStyle name="q_Merg Cons_PowerValuation.xls Chart 21_1 FM_101_Examples_v7.31McIntire" xfId="1236" xr:uid="{00000000-0005-0000-0000-0000558B0000}"/>
    <cellStyle name="q_Merg Cons_PowerValuation.xls Chart 21_1 FM_101_Examples_v7.31McIntire_1 FM_101_Examples_TWO-Day_v7.31" xfId="1237" xr:uid="{00000000-0005-0000-0000-0000568B0000}"/>
    <cellStyle name="q_Merg Cons_PowerValuation.xls Chart 21_Val_1_Book_Lecture_Notes_v3.06" xfId="1238" xr:uid="{00000000-0005-0000-0000-0000578B0000}"/>
    <cellStyle name="q_Merg Cons_PowerValuation.xls Chart 28" xfId="1239" xr:uid="{00000000-0005-0000-0000-0000588B0000}"/>
    <cellStyle name="q_Merg Cons_PowerValuation.xls Chart 28_1 FM_101_Examples_v7.31McIntire" xfId="1240" xr:uid="{00000000-0005-0000-0000-0000598B0000}"/>
    <cellStyle name="q_Merg Cons_PowerValuation.xls Chart 28_1 FM_101_Examples_v7.31McIntire_1 FM_101_Examples_TWO-Day_v7.31" xfId="1241" xr:uid="{00000000-0005-0000-0000-00005A8B0000}"/>
    <cellStyle name="q_Merg Cons_PowerValuation.xls Chart 28_Val_1_Book_Lecture_Notes_v3.06" xfId="1242" xr:uid="{00000000-0005-0000-0000-00005B8B0000}"/>
    <cellStyle name="q_Merg Cons_THEsumPage (2)" xfId="1243" xr:uid="{00000000-0005-0000-0000-00005C8B0000}"/>
    <cellStyle name="q_Merg Cons_THEsumPage (2)_1 FM_101_Examples_v7.31McIntire" xfId="1244" xr:uid="{00000000-0005-0000-0000-00005D8B0000}"/>
    <cellStyle name="q_Merg Cons_THEsumPage (2)_1 FM_101_Examples_v7.31McIntire_1 FM_101_Examples_TWO-Day_v7.31" xfId="1245" xr:uid="{00000000-0005-0000-0000-00005E8B0000}"/>
    <cellStyle name="q_Merg Cons_THEsumPage (2)_Val_1_Book_Lecture_Notes_v3.06" xfId="1246" xr:uid="{00000000-0005-0000-0000-00005F8B0000}"/>
    <cellStyle name="q_Merg Cons_Val_1_Book_Lecture_Notes_v3.06" xfId="1247" xr:uid="{00000000-0005-0000-0000-0000608B0000}"/>
    <cellStyle name="q_Merg Cons_Valuation summaries" xfId="1248" xr:uid="{00000000-0005-0000-0000-0000618B0000}"/>
    <cellStyle name="q_Merg Cons_Valuation summaries_1 FM_101_Examples_v7.31McIntire" xfId="1249" xr:uid="{00000000-0005-0000-0000-0000628B0000}"/>
    <cellStyle name="q_Merg Cons_Valuation summaries_1 FM_101_Examples_v7.31McIntire_1 FM_101_Examples_TWO-Day_v7.31" xfId="1250" xr:uid="{00000000-0005-0000-0000-0000638B0000}"/>
    <cellStyle name="q_Merg Cons_Valuation summaries_Val_1_Book_Lecture_Notes_v3.06" xfId="1251" xr:uid="{00000000-0005-0000-0000-0000648B0000}"/>
    <cellStyle name="q_PowerValuation.xls Chart 21" xfId="1252" xr:uid="{00000000-0005-0000-0000-0000658B0000}"/>
    <cellStyle name="q_PowerValuation.xls Chart 21_Val_1_Book_Lecture_Notes_v3.06" xfId="1253" xr:uid="{00000000-0005-0000-0000-0000668B0000}"/>
    <cellStyle name="q_PowerValuation.xls Chart 28" xfId="1254" xr:uid="{00000000-0005-0000-0000-0000678B0000}"/>
    <cellStyle name="q_PowerValuation.xls Chart 28_Val_1_Book_Lecture_Notes_v3.06" xfId="1255" xr:uid="{00000000-0005-0000-0000-0000688B0000}"/>
    <cellStyle name="q_Proj10" xfId="1256" xr:uid="{00000000-0005-0000-0000-0000698B0000}"/>
    <cellStyle name="q_Proj10_1 FM_101_Examples_v7.31McIntire" xfId="1257" xr:uid="{00000000-0005-0000-0000-00006A8B0000}"/>
    <cellStyle name="q_Proj10_1 FM_101_Examples_v7.31McIntire_1 FM_101_Examples_TWO-Day_v7.31" xfId="1258" xr:uid="{00000000-0005-0000-0000-00006B8B0000}"/>
    <cellStyle name="q_Proj10_AVP" xfId="1259" xr:uid="{00000000-0005-0000-0000-00006C8B0000}"/>
    <cellStyle name="q_Proj10_AVP_1 FM_101_Examples_v7.31McIntire" xfId="1260" xr:uid="{00000000-0005-0000-0000-00006D8B0000}"/>
    <cellStyle name="q_Proj10_AVP_1 FM_101_Examples_v7.31McIntire_1 FM_101_Examples_TWO-Day_v7.31" xfId="1261" xr:uid="{00000000-0005-0000-0000-00006E8B0000}"/>
    <cellStyle name="q_Proj10_AVP_Graphic Depiction - NO DEV" xfId="1262" xr:uid="{00000000-0005-0000-0000-00006F8B0000}"/>
    <cellStyle name="q_Proj10_AVP_Graphic Depiction - NO DEV_1 FM_101_Examples_v7.31McIntire" xfId="1263" xr:uid="{00000000-0005-0000-0000-0000708B0000}"/>
    <cellStyle name="q_Proj10_AVP_Graphic Depiction - NO DEV_1 FM_101_Examples_v7.31McIntire_1 FM_101_Examples_TWO-Day_v7.31" xfId="1264" xr:uid="{00000000-0005-0000-0000-0000718B0000}"/>
    <cellStyle name="q_Proj10_AVP_Graphic Depiction - NO DEV_Val_1_Book_Lecture_Notes_v3.06" xfId="1265" xr:uid="{00000000-0005-0000-0000-0000728B0000}"/>
    <cellStyle name="q_Proj10_AVP_THEsumPage (2)" xfId="1266" xr:uid="{00000000-0005-0000-0000-0000738B0000}"/>
    <cellStyle name="q_Proj10_AVP_THEsumPage (2)_1 FM_101_Examples_v7.31McIntire" xfId="1267" xr:uid="{00000000-0005-0000-0000-0000748B0000}"/>
    <cellStyle name="q_Proj10_AVP_THEsumPage (2)_1 FM_101_Examples_v7.31McIntire_1 FM_101_Examples_TWO-Day_v7.31" xfId="1268" xr:uid="{00000000-0005-0000-0000-0000758B0000}"/>
    <cellStyle name="q_Proj10_AVP_THEsumPage (2)_Val_1_Book_Lecture_Notes_v3.06" xfId="1269" xr:uid="{00000000-0005-0000-0000-0000768B0000}"/>
    <cellStyle name="q_Proj10_AVP_Val_1_Book_Lecture_Notes_v3.06" xfId="1270" xr:uid="{00000000-0005-0000-0000-0000778B0000}"/>
    <cellStyle name="q_Proj10_AVP_Valuation Summary Graphics" xfId="1271" xr:uid="{00000000-0005-0000-0000-0000788B0000}"/>
    <cellStyle name="q_Proj10_AVP_Valuation Summary Graphics_1 FM_101_Examples_v7.31McIntire" xfId="1272" xr:uid="{00000000-0005-0000-0000-0000798B0000}"/>
    <cellStyle name="q_Proj10_AVP_Valuation Summary Graphics_1 FM_101_Examples_v7.31McIntire_1 FM_101_Examples_TWO-Day_v7.31" xfId="1273" xr:uid="{00000000-0005-0000-0000-00007A8B0000}"/>
    <cellStyle name="q_Proj10_AVP_Valuation Summary Graphics_Val_1_Book_Lecture_Notes_v3.06" xfId="1274" xr:uid="{00000000-0005-0000-0000-00007B8B0000}"/>
    <cellStyle name="q_Proj10_CompSheet" xfId="1275" xr:uid="{00000000-0005-0000-0000-00007C8B0000}"/>
    <cellStyle name="q_Proj10_CompSheet_Val_1_Book_Lecture_Notes_v3.06" xfId="1276" xr:uid="{00000000-0005-0000-0000-00007D8B0000}"/>
    <cellStyle name="q_Proj10_Disc Analysis" xfId="1277" xr:uid="{00000000-0005-0000-0000-00007E8B0000}"/>
    <cellStyle name="q_Proj10_Disc Analysis_1 FM_101_Examples_v7.31McIntire" xfId="1278" xr:uid="{00000000-0005-0000-0000-00007F8B0000}"/>
    <cellStyle name="q_Proj10_Disc Analysis_1 FM_101_Examples_v7.31McIntire_1 FM_101_Examples_TWO-Day_v7.31" xfId="1279" xr:uid="{00000000-0005-0000-0000-0000808B0000}"/>
    <cellStyle name="q_Proj10_Disc Analysis_CompSheet" xfId="1280" xr:uid="{00000000-0005-0000-0000-0000818B0000}"/>
    <cellStyle name="q_Proj10_Disc Analysis_CompSheet_1 FM_101_Examples_v7.31McIntire" xfId="1281" xr:uid="{00000000-0005-0000-0000-0000828B0000}"/>
    <cellStyle name="q_Proj10_Disc Analysis_CompSheet_1 FM_101_Examples_v7.31McIntire_1 FM_101_Examples_TWO-Day_v7.31" xfId="1282" xr:uid="{00000000-0005-0000-0000-0000838B0000}"/>
    <cellStyle name="q_Proj10_Disc Analysis_CompSheet_Val_1_Book_Lecture_Notes_v3.06" xfId="1283" xr:uid="{00000000-0005-0000-0000-0000848B0000}"/>
    <cellStyle name="q_Proj10_Disc Analysis_Fairness Opinion Valuation 4-23a.xls Chart 1" xfId="1284" xr:uid="{00000000-0005-0000-0000-0000858B0000}"/>
    <cellStyle name="q_Proj10_Disc Analysis_Fairness Opinion Valuation 4-23a.xls Chart 1_1 FM_101_Examples_v7.31McIntire" xfId="1285" xr:uid="{00000000-0005-0000-0000-0000868B0000}"/>
    <cellStyle name="q_Proj10_Disc Analysis_Fairness Opinion Valuation 4-23a.xls Chart 1_1 FM_101_Examples_v7.31McIntire_1 FM_101_Examples_TWO-Day_v7.31" xfId="1286" xr:uid="{00000000-0005-0000-0000-0000878B0000}"/>
    <cellStyle name="q_Proj10_Disc Analysis_Fairness Opinion Valuation 4-23a.xls Chart 1_Val_1_Book_Lecture_Notes_v3.06" xfId="1287" xr:uid="{00000000-0005-0000-0000-0000888B0000}"/>
    <cellStyle name="q_Proj10_Disc Analysis_PowerValuation.xls Chart 21" xfId="1288" xr:uid="{00000000-0005-0000-0000-0000898B0000}"/>
    <cellStyle name="q_Proj10_Disc Analysis_PowerValuation.xls Chart 21_1 FM_101_Examples_v7.31McIntire" xfId="1289" xr:uid="{00000000-0005-0000-0000-00008A8B0000}"/>
    <cellStyle name="q_Proj10_Disc Analysis_PowerValuation.xls Chart 21_1 FM_101_Examples_v7.31McIntire_1 FM_101_Examples_TWO-Day_v7.31" xfId="1290" xr:uid="{00000000-0005-0000-0000-00008B8B0000}"/>
    <cellStyle name="q_Proj10_Disc Analysis_PowerValuation.xls Chart 21_Val_1_Book_Lecture_Notes_v3.06" xfId="1291" xr:uid="{00000000-0005-0000-0000-00008C8B0000}"/>
    <cellStyle name="q_Proj10_Disc Analysis_PowerValuation.xls Chart 28" xfId="1292" xr:uid="{00000000-0005-0000-0000-00008D8B0000}"/>
    <cellStyle name="q_Proj10_Disc Analysis_PowerValuation.xls Chart 28_1 FM_101_Examples_v7.31McIntire" xfId="1293" xr:uid="{00000000-0005-0000-0000-00008E8B0000}"/>
    <cellStyle name="q_Proj10_Disc Analysis_PowerValuation.xls Chart 28_1 FM_101_Examples_v7.31McIntire_1 FM_101_Examples_TWO-Day_v7.31" xfId="1294" xr:uid="{00000000-0005-0000-0000-00008F8B0000}"/>
    <cellStyle name="q_Proj10_Disc Analysis_PowerValuation.xls Chart 28_Val_1_Book_Lecture_Notes_v3.06" xfId="1295" xr:uid="{00000000-0005-0000-0000-0000908B0000}"/>
    <cellStyle name="q_Proj10_Disc Analysis_THEsumPage (2)" xfId="1296" xr:uid="{00000000-0005-0000-0000-0000918B0000}"/>
    <cellStyle name="q_Proj10_Disc Analysis_THEsumPage (2)_1 FM_101_Examples_v7.31McIntire" xfId="1297" xr:uid="{00000000-0005-0000-0000-0000928B0000}"/>
    <cellStyle name="q_Proj10_Disc Analysis_THEsumPage (2)_1 FM_101_Examples_v7.31McIntire_1 FM_101_Examples_TWO-Day_v7.31" xfId="1298" xr:uid="{00000000-0005-0000-0000-0000938B0000}"/>
    <cellStyle name="q_Proj10_Disc Analysis_THEsumPage (2)_Val_1_Book_Lecture_Notes_v3.06" xfId="1299" xr:uid="{00000000-0005-0000-0000-0000948B0000}"/>
    <cellStyle name="q_Proj10_Disc Analysis_Val_1_Book_Lecture_Notes_v3.06" xfId="1300" xr:uid="{00000000-0005-0000-0000-0000958B0000}"/>
    <cellStyle name="q_Proj10_Disc Analysis_Valuation summaries" xfId="1301" xr:uid="{00000000-0005-0000-0000-0000968B0000}"/>
    <cellStyle name="q_Proj10_Disc Analysis_Valuation summaries_1 FM_101_Examples_v7.31McIntire" xfId="1302" xr:uid="{00000000-0005-0000-0000-0000978B0000}"/>
    <cellStyle name="q_Proj10_Disc Analysis_Valuation summaries_1 FM_101_Examples_v7.31McIntire_1 FM_101_Examples_TWO-Day_v7.31" xfId="1303" xr:uid="{00000000-0005-0000-0000-0000988B0000}"/>
    <cellStyle name="q_Proj10_Disc Analysis_Valuation summaries_Val_1_Book_Lecture_Notes_v3.06" xfId="1304" xr:uid="{00000000-0005-0000-0000-0000998B0000}"/>
    <cellStyle name="q_Proj10_Fairness Opinion Valuation 4-23a.xls Chart 1" xfId="1305" xr:uid="{00000000-0005-0000-0000-00009A8B0000}"/>
    <cellStyle name="q_Proj10_Fairness Opinion Valuation 4-23a.xls Chart 1_Val_1_Book_Lecture_Notes_v3.06" xfId="1306" xr:uid="{00000000-0005-0000-0000-00009B8B0000}"/>
    <cellStyle name="q_Proj10_Merg Cons" xfId="1307" xr:uid="{00000000-0005-0000-0000-00009C8B0000}"/>
    <cellStyle name="q_Proj10_Merg Cons_1 FM_101_Examples_v7.31McIntire" xfId="1308" xr:uid="{00000000-0005-0000-0000-00009D8B0000}"/>
    <cellStyle name="q_Proj10_Merg Cons_1 FM_101_Examples_v7.31McIntire_1 FM_101_Examples_TWO-Day_v7.31" xfId="1309" xr:uid="{00000000-0005-0000-0000-00009E8B0000}"/>
    <cellStyle name="q_Proj10_Merg Cons_CompSheet" xfId="1310" xr:uid="{00000000-0005-0000-0000-00009F8B0000}"/>
    <cellStyle name="q_Proj10_Merg Cons_CompSheet_1 FM_101_Examples_v7.31McIntire" xfId="1311" xr:uid="{00000000-0005-0000-0000-0000A08B0000}"/>
    <cellStyle name="q_Proj10_Merg Cons_CompSheet_1 FM_101_Examples_v7.31McIntire_1 FM_101_Examples_TWO-Day_v7.31" xfId="1312" xr:uid="{00000000-0005-0000-0000-0000A18B0000}"/>
    <cellStyle name="q_Proj10_Merg Cons_CompSheet_Val_1_Book_Lecture_Notes_v3.06" xfId="1313" xr:uid="{00000000-0005-0000-0000-0000A28B0000}"/>
    <cellStyle name="q_Proj10_Merg Cons_Fairness Opinion Valuation 4-23a.xls Chart 1" xfId="1314" xr:uid="{00000000-0005-0000-0000-0000A38B0000}"/>
    <cellStyle name="q_Proj10_Merg Cons_Fairness Opinion Valuation 4-23a.xls Chart 1_1 FM_101_Examples_v7.31McIntire" xfId="1315" xr:uid="{00000000-0005-0000-0000-0000A48B0000}"/>
    <cellStyle name="q_Proj10_Merg Cons_Fairness Opinion Valuation 4-23a.xls Chart 1_1 FM_101_Examples_v7.31McIntire_1 FM_101_Examples_TWO-Day_v7.31" xfId="1316" xr:uid="{00000000-0005-0000-0000-0000A58B0000}"/>
    <cellStyle name="q_Proj10_Merg Cons_Fairness Opinion Valuation 4-23a.xls Chart 1_Val_1_Book_Lecture_Notes_v3.06" xfId="1317" xr:uid="{00000000-0005-0000-0000-0000A68B0000}"/>
    <cellStyle name="q_Proj10_Merg Cons_PowerValuation.xls Chart 21" xfId="1318" xr:uid="{00000000-0005-0000-0000-0000A78B0000}"/>
    <cellStyle name="q_Proj10_Merg Cons_PowerValuation.xls Chart 21_1 FM_101_Examples_v7.31McIntire" xfId="1319" xr:uid="{00000000-0005-0000-0000-0000A88B0000}"/>
    <cellStyle name="q_Proj10_Merg Cons_PowerValuation.xls Chart 21_1 FM_101_Examples_v7.31McIntire_1 FM_101_Examples_TWO-Day_v7.31" xfId="1320" xr:uid="{00000000-0005-0000-0000-0000A98B0000}"/>
    <cellStyle name="q_Proj10_Merg Cons_PowerValuation.xls Chart 21_Val_1_Book_Lecture_Notes_v3.06" xfId="1321" xr:uid="{00000000-0005-0000-0000-0000AA8B0000}"/>
    <cellStyle name="q_Proj10_Merg Cons_PowerValuation.xls Chart 28" xfId="1322" xr:uid="{00000000-0005-0000-0000-0000AB8B0000}"/>
    <cellStyle name="q_Proj10_Merg Cons_PowerValuation.xls Chart 28_1 FM_101_Examples_v7.31McIntire" xfId="1323" xr:uid="{00000000-0005-0000-0000-0000AC8B0000}"/>
    <cellStyle name="q_Proj10_Merg Cons_PowerValuation.xls Chart 28_1 FM_101_Examples_v7.31McIntire_1 FM_101_Examples_TWO-Day_v7.31" xfId="1324" xr:uid="{00000000-0005-0000-0000-0000AD8B0000}"/>
    <cellStyle name="q_Proj10_Merg Cons_PowerValuation.xls Chart 28_Val_1_Book_Lecture_Notes_v3.06" xfId="1325" xr:uid="{00000000-0005-0000-0000-0000AE8B0000}"/>
    <cellStyle name="q_Proj10_Merg Cons_THEsumPage (2)" xfId="1326" xr:uid="{00000000-0005-0000-0000-0000AF8B0000}"/>
    <cellStyle name="q_Proj10_Merg Cons_THEsumPage (2)_1 FM_101_Examples_v7.31McIntire" xfId="1327" xr:uid="{00000000-0005-0000-0000-0000B08B0000}"/>
    <cellStyle name="q_Proj10_Merg Cons_THEsumPage (2)_1 FM_101_Examples_v7.31McIntire_1 FM_101_Examples_TWO-Day_v7.31" xfId="1328" xr:uid="{00000000-0005-0000-0000-0000B18B0000}"/>
    <cellStyle name="q_Proj10_Merg Cons_THEsumPage (2)_Val_1_Book_Lecture_Notes_v3.06" xfId="1329" xr:uid="{00000000-0005-0000-0000-0000B28B0000}"/>
    <cellStyle name="q_Proj10_Merg Cons_Val_1_Book_Lecture_Notes_v3.06" xfId="1330" xr:uid="{00000000-0005-0000-0000-0000B38B0000}"/>
    <cellStyle name="q_Proj10_Merg Cons_Valuation summaries" xfId="1331" xr:uid="{00000000-0005-0000-0000-0000B48B0000}"/>
    <cellStyle name="q_Proj10_Merg Cons_Valuation summaries_1 FM_101_Examples_v7.31McIntire" xfId="1332" xr:uid="{00000000-0005-0000-0000-0000B58B0000}"/>
    <cellStyle name="q_Proj10_Merg Cons_Valuation summaries_1 FM_101_Examples_v7.31McIntire_1 FM_101_Examples_TWO-Day_v7.31" xfId="1333" xr:uid="{00000000-0005-0000-0000-0000B68B0000}"/>
    <cellStyle name="q_Proj10_Merg Cons_Valuation summaries_Val_1_Book_Lecture_Notes_v3.06" xfId="1334" xr:uid="{00000000-0005-0000-0000-0000B78B0000}"/>
    <cellStyle name="q_Proj10_PowerValuation.xls Chart 21" xfId="1335" xr:uid="{00000000-0005-0000-0000-0000B88B0000}"/>
    <cellStyle name="q_Proj10_PowerValuation.xls Chart 21_Val_1_Book_Lecture_Notes_v3.06" xfId="1336" xr:uid="{00000000-0005-0000-0000-0000B98B0000}"/>
    <cellStyle name="q_Proj10_PowerValuation.xls Chart 28" xfId="1337" xr:uid="{00000000-0005-0000-0000-0000BA8B0000}"/>
    <cellStyle name="q_Proj10_PowerValuation.xls Chart 28_Val_1_Book_Lecture_Notes_v3.06" xfId="1338" xr:uid="{00000000-0005-0000-0000-0000BB8B0000}"/>
    <cellStyle name="q_Proj10_Sensitivity" xfId="1339" xr:uid="{00000000-0005-0000-0000-0000BC8B0000}"/>
    <cellStyle name="q_Proj10_Sensitivity_1 FM_101_Examples_v7.31McIntire" xfId="1340" xr:uid="{00000000-0005-0000-0000-0000BD8B0000}"/>
    <cellStyle name="q_Proj10_Sensitivity_1 FM_101_Examples_v7.31McIntire_1 FM_101_Examples_TWO-Day_v7.31" xfId="1341" xr:uid="{00000000-0005-0000-0000-0000BE8B0000}"/>
    <cellStyle name="q_Proj10_Sensitivity_CompSheet" xfId="1342" xr:uid="{00000000-0005-0000-0000-0000BF8B0000}"/>
    <cellStyle name="q_Proj10_Sensitivity_CompSheet_1 FM_101_Examples_v7.31McIntire" xfId="1343" xr:uid="{00000000-0005-0000-0000-0000C08B0000}"/>
    <cellStyle name="q_Proj10_Sensitivity_CompSheet_1 FM_101_Examples_v7.31McIntire_1 FM_101_Examples_TWO-Day_v7.31" xfId="1344" xr:uid="{00000000-0005-0000-0000-0000C18B0000}"/>
    <cellStyle name="q_Proj10_Sensitivity_CompSheet_Val_1_Book_Lecture_Notes_v3.06" xfId="1345" xr:uid="{00000000-0005-0000-0000-0000C28B0000}"/>
    <cellStyle name="q_Proj10_Sensitivity_Fairness Opinion Valuation 4-23a.xls Chart 1" xfId="1346" xr:uid="{00000000-0005-0000-0000-0000C38B0000}"/>
    <cellStyle name="q_Proj10_Sensitivity_Fairness Opinion Valuation 4-23a.xls Chart 1_1 FM_101_Examples_v7.31McIntire" xfId="1347" xr:uid="{00000000-0005-0000-0000-0000C48B0000}"/>
    <cellStyle name="q_Proj10_Sensitivity_Fairness Opinion Valuation 4-23a.xls Chart 1_1 FM_101_Examples_v7.31McIntire_1 FM_101_Examples_TWO-Day_v7.31" xfId="1348" xr:uid="{00000000-0005-0000-0000-0000C58B0000}"/>
    <cellStyle name="q_Proj10_Sensitivity_Fairness Opinion Valuation 4-23a.xls Chart 1_Val_1_Book_Lecture_Notes_v3.06" xfId="1349" xr:uid="{00000000-0005-0000-0000-0000C68B0000}"/>
    <cellStyle name="q_Proj10_Sensitivity_PowerValuation.xls Chart 21" xfId="1350" xr:uid="{00000000-0005-0000-0000-0000C78B0000}"/>
    <cellStyle name="q_Proj10_Sensitivity_PowerValuation.xls Chart 21_1 FM_101_Examples_v7.31McIntire" xfId="1351" xr:uid="{00000000-0005-0000-0000-0000C88B0000}"/>
    <cellStyle name="q_Proj10_Sensitivity_PowerValuation.xls Chart 21_1 FM_101_Examples_v7.31McIntire_1 FM_101_Examples_TWO-Day_v7.31" xfId="1352" xr:uid="{00000000-0005-0000-0000-0000C98B0000}"/>
    <cellStyle name="q_Proj10_Sensitivity_PowerValuation.xls Chart 21_Val_1_Book_Lecture_Notes_v3.06" xfId="1353" xr:uid="{00000000-0005-0000-0000-0000CA8B0000}"/>
    <cellStyle name="q_Proj10_Sensitivity_PowerValuation.xls Chart 28" xfId="1354" xr:uid="{00000000-0005-0000-0000-0000CB8B0000}"/>
    <cellStyle name="q_Proj10_Sensitivity_PowerValuation.xls Chart 28_1 FM_101_Examples_v7.31McIntire" xfId="1355" xr:uid="{00000000-0005-0000-0000-0000CC8B0000}"/>
    <cellStyle name="q_Proj10_Sensitivity_PowerValuation.xls Chart 28_1 FM_101_Examples_v7.31McIntire_1 FM_101_Examples_TWO-Day_v7.31" xfId="1356" xr:uid="{00000000-0005-0000-0000-0000CD8B0000}"/>
    <cellStyle name="q_Proj10_Sensitivity_PowerValuation.xls Chart 28_Val_1_Book_Lecture_Notes_v3.06" xfId="1357" xr:uid="{00000000-0005-0000-0000-0000CE8B0000}"/>
    <cellStyle name="q_Proj10_Sensitivity_THEsumPage (2)" xfId="1358" xr:uid="{00000000-0005-0000-0000-0000CF8B0000}"/>
    <cellStyle name="q_Proj10_Sensitivity_THEsumPage (2)_1 FM_101_Examples_v7.31McIntire" xfId="1359" xr:uid="{00000000-0005-0000-0000-0000D08B0000}"/>
    <cellStyle name="q_Proj10_Sensitivity_THEsumPage (2)_1 FM_101_Examples_v7.31McIntire_1 FM_101_Examples_TWO-Day_v7.31" xfId="1360" xr:uid="{00000000-0005-0000-0000-0000D18B0000}"/>
    <cellStyle name="q_Proj10_Sensitivity_THEsumPage (2)_Val_1_Book_Lecture_Notes_v3.06" xfId="1361" xr:uid="{00000000-0005-0000-0000-0000D28B0000}"/>
    <cellStyle name="q_Proj10_Sensitivity_Val_1_Book_Lecture_Notes_v3.06" xfId="1362" xr:uid="{00000000-0005-0000-0000-0000D38B0000}"/>
    <cellStyle name="q_Proj10_Sensitivity_Valuation summaries" xfId="1363" xr:uid="{00000000-0005-0000-0000-0000D48B0000}"/>
    <cellStyle name="q_Proj10_Sensitivity_Valuation summaries_1 FM_101_Examples_v7.31McIntire" xfId="1364" xr:uid="{00000000-0005-0000-0000-0000D58B0000}"/>
    <cellStyle name="q_Proj10_Sensitivity_Valuation summaries_1 FM_101_Examples_v7.31McIntire_1 FM_101_Examples_TWO-Day_v7.31" xfId="1365" xr:uid="{00000000-0005-0000-0000-0000D68B0000}"/>
    <cellStyle name="q_Proj10_Sensitivity_Valuation summaries_Val_1_Book_Lecture_Notes_v3.06" xfId="1366" xr:uid="{00000000-0005-0000-0000-0000D78B0000}"/>
    <cellStyle name="q_Proj10_show-hold" xfId="1367" xr:uid="{00000000-0005-0000-0000-0000D88B0000}"/>
    <cellStyle name="q_Proj10_show-hold_1 FM_101_Examples_v7.31McIntire" xfId="1368" xr:uid="{00000000-0005-0000-0000-0000D98B0000}"/>
    <cellStyle name="q_Proj10_show-hold_1 FM_101_Examples_v7.31McIntire_1 FM_101_Examples_TWO-Day_v7.31" xfId="1369" xr:uid="{00000000-0005-0000-0000-0000DA8B0000}"/>
    <cellStyle name="q_Proj10_show-hold_Graphic Depiction - NO DEV" xfId="1370" xr:uid="{00000000-0005-0000-0000-0000DB8B0000}"/>
    <cellStyle name="q_Proj10_show-hold_Graphic Depiction - NO DEV_1 FM_101_Examples_v7.31McIntire" xfId="1371" xr:uid="{00000000-0005-0000-0000-0000DC8B0000}"/>
    <cellStyle name="q_Proj10_show-hold_Graphic Depiction - NO DEV_1 FM_101_Examples_v7.31McIntire_1 FM_101_Examples_TWO-Day_v7.31" xfId="1372" xr:uid="{00000000-0005-0000-0000-0000DD8B0000}"/>
    <cellStyle name="q_Proj10_show-hold_Graphic Depiction - NO DEV_Val_1_Book_Lecture_Notes_v3.06" xfId="1373" xr:uid="{00000000-0005-0000-0000-0000DE8B0000}"/>
    <cellStyle name="q_Proj10_show-hold_THEsumPage (2)" xfId="1374" xr:uid="{00000000-0005-0000-0000-0000DF8B0000}"/>
    <cellStyle name="q_Proj10_show-hold_THEsumPage (2)_1 FM_101_Examples_v7.31McIntire" xfId="1375" xr:uid="{00000000-0005-0000-0000-0000E08B0000}"/>
    <cellStyle name="q_Proj10_show-hold_THEsumPage (2)_1 FM_101_Examples_v7.31McIntire_1 FM_101_Examples_TWO-Day_v7.31" xfId="1376" xr:uid="{00000000-0005-0000-0000-0000E18B0000}"/>
    <cellStyle name="q_Proj10_show-hold_THEsumPage (2)_Val_1_Book_Lecture_Notes_v3.06" xfId="1377" xr:uid="{00000000-0005-0000-0000-0000E28B0000}"/>
    <cellStyle name="q_Proj10_show-hold_Val_1_Book_Lecture_Notes_v3.06" xfId="1378" xr:uid="{00000000-0005-0000-0000-0000E38B0000}"/>
    <cellStyle name="q_Proj10_show-hold_Valuation Summary Graphics" xfId="1379" xr:uid="{00000000-0005-0000-0000-0000E48B0000}"/>
    <cellStyle name="q_Proj10_show-hold_Valuation Summary Graphics_1 FM_101_Examples_v7.31McIntire" xfId="1380" xr:uid="{00000000-0005-0000-0000-0000E58B0000}"/>
    <cellStyle name="q_Proj10_show-hold_Valuation Summary Graphics_1 FM_101_Examples_v7.31McIntire_1 FM_101_Examples_TWO-Day_v7.31" xfId="1381" xr:uid="{00000000-0005-0000-0000-0000E68B0000}"/>
    <cellStyle name="q_Proj10_show-hold_Valuation Summary Graphics_Val_1_Book_Lecture_Notes_v3.06" xfId="1382" xr:uid="{00000000-0005-0000-0000-0000E78B0000}"/>
    <cellStyle name="q_Proj10_THEsumPage (2)" xfId="1383" xr:uid="{00000000-0005-0000-0000-0000E88B0000}"/>
    <cellStyle name="q_Proj10_THEsumPage (2)_Val_1_Book_Lecture_Notes_v3.06" xfId="1384" xr:uid="{00000000-0005-0000-0000-0000E98B0000}"/>
    <cellStyle name="q_Proj10_Val_1_Book_Lecture_Notes_v3.06" xfId="1385" xr:uid="{00000000-0005-0000-0000-0000EA8B0000}"/>
    <cellStyle name="q_Proj10_Valuation summaries" xfId="1386" xr:uid="{00000000-0005-0000-0000-0000EB8B0000}"/>
    <cellStyle name="q_Proj10_Valuation summaries_Val_1_Book_Lecture_Notes_v3.06" xfId="1387" xr:uid="{00000000-0005-0000-0000-0000EC8B0000}"/>
    <cellStyle name="q_Proj10_WACC-CableCar" xfId="1388" xr:uid="{00000000-0005-0000-0000-0000ED8B0000}"/>
    <cellStyle name="q_Proj10_WACC-CableCar_LANCE_Model_v0.6.DCF.MASTER.Name" xfId="1389" xr:uid="{00000000-0005-0000-0000-0000EE8B0000}"/>
    <cellStyle name="q_Proj10_WACC-CableCar_LANCE_Model_v0.6.DCF.MASTER.Name_Campbell_MBA_HALF_v2.2" xfId="1390" xr:uid="{00000000-0005-0000-0000-0000EF8B0000}"/>
    <cellStyle name="q_Proj10_WACC-CableCar_LANCE_Model_v0.6.DCF.MASTER.Name_Key Info_WACC" xfId="1391" xr:uid="{00000000-0005-0000-0000-0000F08B0000}"/>
    <cellStyle name="q_Proj10_WACC-CableCar_LANCE_Model_v0.6.DCF.MASTER.Name_Tootsie_TWO_DAY_TTS_Solution_v1.34" xfId="1392" xr:uid="{00000000-0005-0000-0000-0000F18B0000}"/>
    <cellStyle name="q_Proj10_WACC-CableCar_LANCE_Model_v0.6.DCF.MASTER.Name_Val_1_Book_Lecture_Notes_v3.06" xfId="1393" xr:uid="{00000000-0005-0000-0000-0000F28B0000}"/>
    <cellStyle name="q_Proj10_WACC-CableCar_THEsumPage (2)" xfId="1394" xr:uid="{00000000-0005-0000-0000-0000F38B0000}"/>
    <cellStyle name="q_Proj10_WACC-CableCar_THEsumPage (2)_LANCE_Model_v0.6.DCF.MASTER.Name" xfId="1395" xr:uid="{00000000-0005-0000-0000-0000F48B0000}"/>
    <cellStyle name="q_Proj10_WACC-CableCar_THEsumPage (2)_LANCE_Model_v0.6.DCF.MASTER.Name_Campbell_MBA_HALF_v2.2" xfId="1396" xr:uid="{00000000-0005-0000-0000-0000F58B0000}"/>
    <cellStyle name="q_Proj10_WACC-CableCar_THEsumPage (2)_LANCE_Model_v0.6.DCF.MASTER.Name_Key Info_WACC" xfId="1397" xr:uid="{00000000-0005-0000-0000-0000F68B0000}"/>
    <cellStyle name="q_Proj10_WACC-CableCar_THEsumPage (2)_LANCE_Model_v0.6.DCF.MASTER.Name_Tootsie_TWO_DAY_TTS_Solution_v1.34" xfId="1398" xr:uid="{00000000-0005-0000-0000-0000F78B0000}"/>
    <cellStyle name="q_Proj10_WACC-CableCar_THEsumPage (2)_LANCE_Model_v0.6.DCF.MASTER.Name_Val_1_Book_Lecture_Notes_v3.06" xfId="1399" xr:uid="{00000000-0005-0000-0000-0000F88B0000}"/>
    <cellStyle name="q_Proj10_WACC-CableCar_THEsumPage (2)_Val_1_Book_Lecture_Notes_v3.06" xfId="1400" xr:uid="{00000000-0005-0000-0000-0000F98B0000}"/>
    <cellStyle name="q_Proj10_WACC-CableCar_Val_1_Book_Lecture_Notes_v3.06" xfId="1401" xr:uid="{00000000-0005-0000-0000-0000FA8B0000}"/>
    <cellStyle name="q_Sensitivity" xfId="1402" xr:uid="{00000000-0005-0000-0000-0000FB8B0000}"/>
    <cellStyle name="q_Sensitivity_1 FM_101_Examples_v7.31McIntire" xfId="1403" xr:uid="{00000000-0005-0000-0000-0000FC8B0000}"/>
    <cellStyle name="q_Sensitivity_1 FM_101_Examples_v7.31McIntire_1 FM_101_Examples_TWO-Day_v7.31" xfId="1404" xr:uid="{00000000-0005-0000-0000-0000FD8B0000}"/>
    <cellStyle name="q_Sensitivity_CompSheet" xfId="1405" xr:uid="{00000000-0005-0000-0000-0000FE8B0000}"/>
    <cellStyle name="q_Sensitivity_CompSheet_1 FM_101_Examples_v7.31McIntire" xfId="1406" xr:uid="{00000000-0005-0000-0000-0000FF8B0000}"/>
    <cellStyle name="q_Sensitivity_CompSheet_1 FM_101_Examples_v7.31McIntire_1 FM_101_Examples_TWO-Day_v7.31" xfId="1407" xr:uid="{00000000-0005-0000-0000-0000008C0000}"/>
    <cellStyle name="q_Sensitivity_CompSheet_Val_1_Book_Lecture_Notes_v3.06" xfId="1408" xr:uid="{00000000-0005-0000-0000-0000018C0000}"/>
    <cellStyle name="q_Sensitivity_Fairness Opinion Valuation 4-23a.xls Chart 1" xfId="1409" xr:uid="{00000000-0005-0000-0000-0000028C0000}"/>
    <cellStyle name="q_Sensitivity_Fairness Opinion Valuation 4-23a.xls Chart 1_1 FM_101_Examples_v7.31McIntire" xfId="1410" xr:uid="{00000000-0005-0000-0000-0000038C0000}"/>
    <cellStyle name="q_Sensitivity_Fairness Opinion Valuation 4-23a.xls Chart 1_1 FM_101_Examples_v7.31McIntire_1 FM_101_Examples_TWO-Day_v7.31" xfId="1411" xr:uid="{00000000-0005-0000-0000-0000048C0000}"/>
    <cellStyle name="q_Sensitivity_Fairness Opinion Valuation 4-23a.xls Chart 1_Val_1_Book_Lecture_Notes_v3.06" xfId="1412" xr:uid="{00000000-0005-0000-0000-0000058C0000}"/>
    <cellStyle name="q_Sensitivity_PowerValuation.xls Chart 21" xfId="1413" xr:uid="{00000000-0005-0000-0000-0000068C0000}"/>
    <cellStyle name="q_Sensitivity_PowerValuation.xls Chart 21_1 FM_101_Examples_v7.31McIntire" xfId="1414" xr:uid="{00000000-0005-0000-0000-0000078C0000}"/>
    <cellStyle name="q_Sensitivity_PowerValuation.xls Chart 21_1 FM_101_Examples_v7.31McIntire_1 FM_101_Examples_TWO-Day_v7.31" xfId="1415" xr:uid="{00000000-0005-0000-0000-0000088C0000}"/>
    <cellStyle name="q_Sensitivity_PowerValuation.xls Chart 21_Val_1_Book_Lecture_Notes_v3.06" xfId="1416" xr:uid="{00000000-0005-0000-0000-0000098C0000}"/>
    <cellStyle name="q_Sensitivity_PowerValuation.xls Chart 28" xfId="1417" xr:uid="{00000000-0005-0000-0000-00000A8C0000}"/>
    <cellStyle name="q_Sensitivity_PowerValuation.xls Chart 28_1 FM_101_Examples_v7.31McIntire" xfId="1418" xr:uid="{00000000-0005-0000-0000-00000B8C0000}"/>
    <cellStyle name="q_Sensitivity_PowerValuation.xls Chart 28_1 FM_101_Examples_v7.31McIntire_1 FM_101_Examples_TWO-Day_v7.31" xfId="1419" xr:uid="{00000000-0005-0000-0000-00000C8C0000}"/>
    <cellStyle name="q_Sensitivity_PowerValuation.xls Chart 28_Val_1_Book_Lecture_Notes_v3.06" xfId="1420" xr:uid="{00000000-0005-0000-0000-00000D8C0000}"/>
    <cellStyle name="q_Sensitivity_THEsumPage (2)" xfId="1421" xr:uid="{00000000-0005-0000-0000-00000E8C0000}"/>
    <cellStyle name="q_Sensitivity_THEsumPage (2)_1 FM_101_Examples_v7.31McIntire" xfId="1422" xr:uid="{00000000-0005-0000-0000-00000F8C0000}"/>
    <cellStyle name="q_Sensitivity_THEsumPage (2)_1 FM_101_Examples_v7.31McIntire_1 FM_101_Examples_TWO-Day_v7.31" xfId="1423" xr:uid="{00000000-0005-0000-0000-0000108C0000}"/>
    <cellStyle name="q_Sensitivity_THEsumPage (2)_Val_1_Book_Lecture_Notes_v3.06" xfId="1424" xr:uid="{00000000-0005-0000-0000-0000118C0000}"/>
    <cellStyle name="q_Sensitivity_Val_1_Book_Lecture_Notes_v3.06" xfId="1425" xr:uid="{00000000-0005-0000-0000-0000128C0000}"/>
    <cellStyle name="q_Sensitivity_Valuation summaries" xfId="1426" xr:uid="{00000000-0005-0000-0000-0000138C0000}"/>
    <cellStyle name="q_Sensitivity_Valuation summaries_1 FM_101_Examples_v7.31McIntire" xfId="1427" xr:uid="{00000000-0005-0000-0000-0000148C0000}"/>
    <cellStyle name="q_Sensitivity_Valuation summaries_1 FM_101_Examples_v7.31McIntire_1 FM_101_Examples_TWO-Day_v7.31" xfId="1428" xr:uid="{00000000-0005-0000-0000-0000158C0000}"/>
    <cellStyle name="q_Sensitivity_Valuation summaries_Val_1_Book_Lecture_Notes_v3.06" xfId="1429" xr:uid="{00000000-0005-0000-0000-0000168C0000}"/>
    <cellStyle name="q_show-hold" xfId="1430" xr:uid="{00000000-0005-0000-0000-0000178C0000}"/>
    <cellStyle name="q_show-hold_1 FM_101_Examples_v7.31McIntire" xfId="1431" xr:uid="{00000000-0005-0000-0000-0000188C0000}"/>
    <cellStyle name="q_show-hold_1 FM_101_Examples_v7.31McIntire_1 FM_101_Examples_TWO-Day_v7.31" xfId="1432" xr:uid="{00000000-0005-0000-0000-0000198C0000}"/>
    <cellStyle name="q_show-hold_CompSheet" xfId="1433" xr:uid="{00000000-0005-0000-0000-00001A8C0000}"/>
    <cellStyle name="q_show-hold_CompSheet_1 FM_101_Examples_v7.31McIntire" xfId="1434" xr:uid="{00000000-0005-0000-0000-00001B8C0000}"/>
    <cellStyle name="q_show-hold_CompSheet_1 FM_101_Examples_v7.31McIntire_1 FM_101_Examples_TWO-Day_v7.31" xfId="1435" xr:uid="{00000000-0005-0000-0000-00001C8C0000}"/>
    <cellStyle name="q_show-hold_CompSheet_Val_1_Book_Lecture_Notes_v3.06" xfId="1436" xr:uid="{00000000-0005-0000-0000-00001D8C0000}"/>
    <cellStyle name="q_show-hold_Fairness Opinion Valuation 4-23a.xls Chart 1" xfId="1437" xr:uid="{00000000-0005-0000-0000-00001E8C0000}"/>
    <cellStyle name="q_show-hold_Fairness Opinion Valuation 4-23a.xls Chart 1_1 FM_101_Examples_v7.31McIntire" xfId="1438" xr:uid="{00000000-0005-0000-0000-00001F8C0000}"/>
    <cellStyle name="q_show-hold_Fairness Opinion Valuation 4-23a.xls Chart 1_1 FM_101_Examples_v7.31McIntire_1 FM_101_Examples_TWO-Day_v7.31" xfId="1439" xr:uid="{00000000-0005-0000-0000-0000208C0000}"/>
    <cellStyle name="q_show-hold_Fairness Opinion Valuation 4-23a.xls Chart 1_Val_1_Book_Lecture_Notes_v3.06" xfId="1440" xr:uid="{00000000-0005-0000-0000-0000218C0000}"/>
    <cellStyle name="q_show-hold_PowerValuation.xls Chart 21" xfId="1441" xr:uid="{00000000-0005-0000-0000-0000228C0000}"/>
    <cellStyle name="q_show-hold_PowerValuation.xls Chart 21_1 FM_101_Examples_v7.31McIntire" xfId="1442" xr:uid="{00000000-0005-0000-0000-0000238C0000}"/>
    <cellStyle name="q_show-hold_PowerValuation.xls Chart 21_1 FM_101_Examples_v7.31McIntire_1 FM_101_Examples_TWO-Day_v7.31" xfId="1443" xr:uid="{00000000-0005-0000-0000-0000248C0000}"/>
    <cellStyle name="q_show-hold_PowerValuation.xls Chart 21_Val_1_Book_Lecture_Notes_v3.06" xfId="1444" xr:uid="{00000000-0005-0000-0000-0000258C0000}"/>
    <cellStyle name="q_show-hold_PowerValuation.xls Chart 28" xfId="1445" xr:uid="{00000000-0005-0000-0000-0000268C0000}"/>
    <cellStyle name="q_show-hold_PowerValuation.xls Chart 28_1 FM_101_Examples_v7.31McIntire" xfId="1446" xr:uid="{00000000-0005-0000-0000-0000278C0000}"/>
    <cellStyle name="q_show-hold_PowerValuation.xls Chart 28_1 FM_101_Examples_v7.31McIntire_1 FM_101_Examples_TWO-Day_v7.31" xfId="1447" xr:uid="{00000000-0005-0000-0000-0000288C0000}"/>
    <cellStyle name="q_show-hold_PowerValuation.xls Chart 28_Val_1_Book_Lecture_Notes_v3.06" xfId="1448" xr:uid="{00000000-0005-0000-0000-0000298C0000}"/>
    <cellStyle name="q_show-hold_THEsumPage (2)" xfId="1449" xr:uid="{00000000-0005-0000-0000-00002A8C0000}"/>
    <cellStyle name="q_show-hold_THEsumPage (2)_1 FM_101_Examples_v7.31McIntire" xfId="1450" xr:uid="{00000000-0005-0000-0000-00002B8C0000}"/>
    <cellStyle name="q_show-hold_THEsumPage (2)_1 FM_101_Examples_v7.31McIntire_1 FM_101_Examples_TWO-Day_v7.31" xfId="1451" xr:uid="{00000000-0005-0000-0000-00002C8C0000}"/>
    <cellStyle name="q_show-hold_THEsumPage (2)_Val_1_Book_Lecture_Notes_v3.06" xfId="1452" xr:uid="{00000000-0005-0000-0000-00002D8C0000}"/>
    <cellStyle name="q_show-hold_Val_1_Book_Lecture_Notes_v3.06" xfId="1453" xr:uid="{00000000-0005-0000-0000-00002E8C0000}"/>
    <cellStyle name="q_show-hold_Valuation summaries" xfId="1454" xr:uid="{00000000-0005-0000-0000-00002F8C0000}"/>
    <cellStyle name="q_show-hold_Valuation summaries_1 FM_101_Examples_v7.31McIntire" xfId="1455" xr:uid="{00000000-0005-0000-0000-0000308C0000}"/>
    <cellStyle name="q_show-hold_Valuation summaries_1 FM_101_Examples_v7.31McIntire_1 FM_101_Examples_TWO-Day_v7.31" xfId="1456" xr:uid="{00000000-0005-0000-0000-0000318C0000}"/>
    <cellStyle name="q_show-hold_Valuation summaries_Val_1_Book_Lecture_Notes_v3.06" xfId="1457" xr:uid="{00000000-0005-0000-0000-0000328C0000}"/>
    <cellStyle name="q_THEsumPage (2)" xfId="1458" xr:uid="{00000000-0005-0000-0000-0000338C0000}"/>
    <cellStyle name="q_THEsumPage (2)_Val_1_Book_Lecture_Notes_v3.06" xfId="1459" xr:uid="{00000000-0005-0000-0000-0000348C0000}"/>
    <cellStyle name="q_Val_1_Book_Lecture_Notes_v3.06" xfId="1460" xr:uid="{00000000-0005-0000-0000-0000358C0000}"/>
    <cellStyle name="q_Valuation summaries" xfId="1461" xr:uid="{00000000-0005-0000-0000-0000368C0000}"/>
    <cellStyle name="q_Valuation summaries_Val_1_Book_Lecture_Notes_v3.06" xfId="1462" xr:uid="{00000000-0005-0000-0000-0000378C0000}"/>
    <cellStyle name="q_WACC-CableCar" xfId="1463" xr:uid="{00000000-0005-0000-0000-0000388C0000}"/>
    <cellStyle name="q_WACC-CableCar_LANCE_Model_v0.6.DCF.MASTER.Name" xfId="1464" xr:uid="{00000000-0005-0000-0000-0000398C0000}"/>
    <cellStyle name="q_WACC-CableCar_LANCE_Model_v0.6.DCF.MASTER.Name_Campbell_MBA_HALF_v2.2" xfId="1465" xr:uid="{00000000-0005-0000-0000-00003A8C0000}"/>
    <cellStyle name="q_WACC-CableCar_LANCE_Model_v0.6.DCF.MASTER.Name_Key Info_WACC" xfId="1466" xr:uid="{00000000-0005-0000-0000-00003B8C0000}"/>
    <cellStyle name="q_WACC-CableCar_LANCE_Model_v0.6.DCF.MASTER.Name_Tootsie_TWO_DAY_TTS_Solution_v1.34" xfId="1467" xr:uid="{00000000-0005-0000-0000-00003C8C0000}"/>
    <cellStyle name="q_WACC-CableCar_LANCE_Model_v0.6.DCF.MASTER.Name_Val_1_Book_Lecture_Notes_v3.06" xfId="1468" xr:uid="{00000000-0005-0000-0000-00003D8C0000}"/>
    <cellStyle name="q_WACC-CableCar_THEsumPage (2)" xfId="1469" xr:uid="{00000000-0005-0000-0000-00003E8C0000}"/>
    <cellStyle name="q_WACC-CableCar_THEsumPage (2)_LANCE_Model_v0.6.DCF.MASTER.Name" xfId="1470" xr:uid="{00000000-0005-0000-0000-00003F8C0000}"/>
    <cellStyle name="q_WACC-CableCar_THEsumPage (2)_LANCE_Model_v0.6.DCF.MASTER.Name_Campbell_MBA_HALF_v2.2" xfId="1471" xr:uid="{00000000-0005-0000-0000-0000408C0000}"/>
    <cellStyle name="q_WACC-CableCar_THEsumPage (2)_LANCE_Model_v0.6.DCF.MASTER.Name_Key Info_WACC" xfId="1472" xr:uid="{00000000-0005-0000-0000-0000418C0000}"/>
    <cellStyle name="q_WACC-CableCar_THEsumPage (2)_LANCE_Model_v0.6.DCF.MASTER.Name_Tootsie_TWO_DAY_TTS_Solution_v1.34" xfId="1473" xr:uid="{00000000-0005-0000-0000-0000428C0000}"/>
    <cellStyle name="q_WACC-CableCar_THEsumPage (2)_LANCE_Model_v0.6.DCF.MASTER.Name_Val_1_Book_Lecture_Notes_v3.06" xfId="1474" xr:uid="{00000000-0005-0000-0000-0000438C0000}"/>
    <cellStyle name="q_WACC-CableCar_THEsumPage (2)_Val_1_Book_Lecture_Notes_v3.06" xfId="1475" xr:uid="{00000000-0005-0000-0000-0000448C0000}"/>
    <cellStyle name="q_WACC-CableCar_Val_1_Book_Lecture_Notes_v3.06" xfId="1476" xr:uid="{00000000-0005-0000-0000-0000458C0000}"/>
    <cellStyle name="QEPS-h" xfId="1477" xr:uid="{00000000-0005-0000-0000-0000468C0000}"/>
    <cellStyle name="QEPS-H1" xfId="1478" xr:uid="{00000000-0005-0000-0000-0000478C0000}"/>
    <cellStyle name="qRange" xfId="1479" xr:uid="{00000000-0005-0000-0000-0000488C0000}"/>
    <cellStyle name="r" xfId="1480" xr:uid="{00000000-0005-0000-0000-0000498C0000}"/>
    <cellStyle name="range" xfId="1481" xr:uid="{00000000-0005-0000-0000-00004A8C0000}"/>
    <cellStyle name="rate" xfId="1482" xr:uid="{00000000-0005-0000-0000-00004B8C0000}"/>
    <cellStyle name="Ratio" xfId="1483" xr:uid="{00000000-0005-0000-0000-00004C8C0000}"/>
    <cellStyle name="Ratio 2" xfId="1948" xr:uid="{00000000-0005-0000-0000-00004D8C0000}"/>
    <cellStyle name="Ratio Comma" xfId="1484" xr:uid="{00000000-0005-0000-0000-00004E8C0000}"/>
    <cellStyle name="Ratio_1 FM_101_Examples_v7.3 McIntire" xfId="1485" xr:uid="{00000000-0005-0000-0000-00004F8C0000}"/>
    <cellStyle name="RatioX" xfId="1949" xr:uid="{00000000-0005-0000-0000-0000508C0000}"/>
    <cellStyle name="Red" xfId="325" xr:uid="{00000000-0005-0000-0000-0000518C0000}"/>
    <cellStyle name="Red Text" xfId="1950" xr:uid="{00000000-0005-0000-0000-0000528C0000}"/>
    <cellStyle name="rh" xfId="10397" xr:uid="{00000000-0005-0000-0000-0000538C0000}"/>
    <cellStyle name="s_HardInc " xfId="1486" xr:uid="{00000000-0005-0000-0000-0000548C0000}"/>
    <cellStyle name="s_HardInc _1 Cadbury_&amp;_Kraft_Model_v11.0" xfId="1487" xr:uid="{00000000-0005-0000-0000-0000558C0000}"/>
    <cellStyle name="s_HardInc _2 HNZ_CPB_v11.0" xfId="1488" xr:uid="{00000000-0005-0000-0000-0000568C0000}"/>
    <cellStyle name="s_HardInc _2 HNZ_CPB_v11.0.2" xfId="1489" xr:uid="{00000000-0005-0000-0000-0000578C0000}"/>
    <cellStyle name="s_HardInc _Book2" xfId="1490" xr:uid="{00000000-0005-0000-0000-0000588C0000}"/>
    <cellStyle name="s_HardInc _CBRY_Case_v2.0 DRAFT4.0_AL" xfId="1491" xr:uid="{00000000-0005-0000-0000-0000598C0000}"/>
    <cellStyle name="s_HardInc _CBRY_Case_v2.0 DRAFT4.0_AL_MBA_Val_101_CAD_2009_BACKUP_v1.0_Draft_10" xfId="1492" xr:uid="{00000000-0005-0000-0000-00005A8C0000}"/>
    <cellStyle name="s_HardInc _CBRY_Case_v2.0 DRAFT4.0_AL_MBA_Val_101_CAD_2009_BACKUP_v1.0_Draft_15" xfId="1493" xr:uid="{00000000-0005-0000-0000-00005B8C0000}"/>
    <cellStyle name="s_HardInc _COH_Merger_Model_Analysts_SOLUTION_v1.88" xfId="1494" xr:uid="{00000000-0005-0000-0000-00005C8C0000}"/>
    <cellStyle name="s_HardInc _Copy of COH_2008_FM_SOLUTION_DCF_v1.05" xfId="1495" xr:uid="{00000000-0005-0000-0000-00005D8C0000}"/>
    <cellStyle name="s_HardInc _MBA_Val_CAD_DCFv2.0" xfId="1496" xr:uid="{00000000-0005-0000-0000-00005E8C0000}"/>
    <cellStyle name="s_HardInc _MBA_Val_CAD_DCFv2.0_MBA_Val_101_CAD_2009_BACKUP_v1.0_Draft_10" xfId="1497" xr:uid="{00000000-0005-0000-0000-00005F8C0000}"/>
    <cellStyle name="s_HardInc _MBA_Val_CAD_DCFv2.0_MBA_Val_101_CAD_2009_BACKUP_v1.0_Draft_15" xfId="1498" xr:uid="{00000000-0005-0000-0000-0000608C0000}"/>
    <cellStyle name="s_HardInc _MBA_Val_CAD_DCFv2.0_MBA_Val_101_CAD_2009_BACKUP_v1.0_Draft_9" xfId="1499" xr:uid="{00000000-0005-0000-0000-0000618C0000}"/>
    <cellStyle name="s_Valuation " xfId="1500" xr:uid="{00000000-0005-0000-0000-0000628C0000}"/>
    <cellStyle name="s_Valuation _Book2" xfId="1501" xr:uid="{00000000-0005-0000-0000-0000638C0000}"/>
    <cellStyle name="s_Valuation _MBA_Val_CAD_DCFv2.0" xfId="1502" xr:uid="{00000000-0005-0000-0000-0000648C0000}"/>
    <cellStyle name="s_Valuation _TTS" xfId="1503" xr:uid="{00000000-0005-0000-0000-0000658C0000}"/>
    <cellStyle name="s_Valuation _TTS_Worksheet_2010-5-5" xfId="1504" xr:uid="{00000000-0005-0000-0000-0000668C0000}"/>
    <cellStyle name="s_Valuation _TTS_Worksheet_2010-5-6" xfId="1505" xr:uid="{00000000-0005-0000-0000-0000678C0000}"/>
    <cellStyle name="s_Valuation _TTS_Worksheet_v3.00" xfId="1506" xr:uid="{00000000-0005-0000-0000-0000688C0000}"/>
    <cellStyle name="s_Valuation _TTS-LBO_TEMPLATE_v1.0d" xfId="1507" xr:uid="{00000000-0005-0000-0000-0000698C0000}"/>
    <cellStyle name="Saída" xfId="1951" xr:uid="{00000000-0005-0000-0000-00006A8C0000}"/>
    <cellStyle name="Saída 2" xfId="11091" xr:uid="{00000000-0005-0000-0000-00006B8C0000}"/>
    <cellStyle name="Salida" xfId="1952" xr:uid="{00000000-0005-0000-0000-00006C8C0000}"/>
    <cellStyle name="Salida 2" xfId="11092" xr:uid="{00000000-0005-0000-0000-00006D8C0000}"/>
    <cellStyle name="ScripFactor" xfId="1953" xr:uid="{00000000-0005-0000-0000-00006E8C0000}"/>
    <cellStyle name="Section" xfId="1508" xr:uid="{00000000-0005-0000-0000-00006F8C0000}"/>
    <cellStyle name="SectionHeaderNormal" xfId="399" xr:uid="{00000000-0005-0000-0000-0000708C0000}"/>
    <cellStyle name="SectionHeaderNormal 2" xfId="1509" xr:uid="{00000000-0005-0000-0000-0000718C0000}"/>
    <cellStyle name="SectionHeading" xfId="1954" xr:uid="{00000000-0005-0000-0000-0000728C0000}"/>
    <cellStyle name="Sep. milhar [0]" xfId="1955" xr:uid="{00000000-0005-0000-0000-0000738C0000}"/>
    <cellStyle name="Separador de milhares [0]_ANALISE_backup 14_08_1345" xfId="1956" xr:uid="{00000000-0005-0000-0000-0000748C0000}"/>
    <cellStyle name="Separador de milhares_ANALISE_backup 14_08_1345" xfId="1957" xr:uid="{00000000-0005-0000-0000-0000758C0000}"/>
    <cellStyle name="Shading" xfId="1958" xr:uid="{00000000-0005-0000-0000-0000768C0000}"/>
    <cellStyle name="srh" xfId="10398" xr:uid="{00000000-0005-0000-0000-0000778C0000}"/>
    <cellStyle name="ssp " xfId="1510" xr:uid="{00000000-0005-0000-0000-0000788C0000}"/>
    <cellStyle name="Standard" xfId="1959" xr:uid="{00000000-0005-0000-0000-0000798C0000}"/>
    <cellStyle name="Stock Comma" xfId="1511" xr:uid="{00000000-0005-0000-0000-00007A8C0000}"/>
    <cellStyle name="Stock Price" xfId="1512" xr:uid="{00000000-0005-0000-0000-00007B8C0000}"/>
    <cellStyle name="Style 1" xfId="400" xr:uid="{00000000-0005-0000-0000-00007C8C0000}"/>
    <cellStyle name="Style 1 2" xfId="1513" xr:uid="{00000000-0005-0000-0000-00007D8C0000}"/>
    <cellStyle name="Style 21" xfId="1514" xr:uid="{00000000-0005-0000-0000-00007E8C0000}"/>
    <cellStyle name="Style 22" xfId="1515" xr:uid="{00000000-0005-0000-0000-00007F8C0000}"/>
    <cellStyle name="Style 23" xfId="1516" xr:uid="{00000000-0005-0000-0000-0000808C0000}"/>
    <cellStyle name="Style 24" xfId="1517" xr:uid="{00000000-0005-0000-0000-0000818C0000}"/>
    <cellStyle name="Style 25" xfId="1518" xr:uid="{00000000-0005-0000-0000-0000828C0000}"/>
    <cellStyle name="Style 26" xfId="1519" xr:uid="{00000000-0005-0000-0000-0000838C0000}"/>
    <cellStyle name="Style 27" xfId="1520" xr:uid="{00000000-0005-0000-0000-0000848C0000}"/>
    <cellStyle name="Style 28" xfId="1521" xr:uid="{00000000-0005-0000-0000-0000858C0000}"/>
    <cellStyle name="Style 29" xfId="1522" xr:uid="{00000000-0005-0000-0000-0000868C0000}"/>
    <cellStyle name="Style 30" xfId="1523" xr:uid="{00000000-0005-0000-0000-0000878C0000}"/>
    <cellStyle name="Style 31" xfId="1524" xr:uid="{00000000-0005-0000-0000-0000888C0000}"/>
    <cellStyle name="Style 32" xfId="1525" xr:uid="{00000000-0005-0000-0000-0000898C0000}"/>
    <cellStyle name="Style 33" xfId="1526" xr:uid="{00000000-0005-0000-0000-00008A8C0000}"/>
    <cellStyle name="Style 34" xfId="1527" xr:uid="{00000000-0005-0000-0000-00008B8C0000}"/>
    <cellStyle name="Style 35" xfId="1528" xr:uid="{00000000-0005-0000-0000-00008C8C0000}"/>
    <cellStyle name="Style 36" xfId="1529" xr:uid="{00000000-0005-0000-0000-00008D8C0000}"/>
    <cellStyle name="Style 37" xfId="1530" xr:uid="{00000000-0005-0000-0000-00008E8C0000}"/>
    <cellStyle name="Style 38" xfId="1531" xr:uid="{00000000-0005-0000-0000-00008F8C0000}"/>
    <cellStyle name="Style 39" xfId="1532" xr:uid="{00000000-0005-0000-0000-0000908C0000}"/>
    <cellStyle name="Style 40" xfId="1533" xr:uid="{00000000-0005-0000-0000-0000918C0000}"/>
    <cellStyle name="Style 41" xfId="1534" xr:uid="{00000000-0005-0000-0000-0000928C0000}"/>
    <cellStyle name="Style 42" xfId="1535" xr:uid="{00000000-0005-0000-0000-0000938C0000}"/>
    <cellStyle name="Style 43" xfId="1536" xr:uid="{00000000-0005-0000-0000-0000948C0000}"/>
    <cellStyle name="Style 44" xfId="1537" xr:uid="{00000000-0005-0000-0000-0000958C0000}"/>
    <cellStyle name="Style 45" xfId="1538" xr:uid="{00000000-0005-0000-0000-0000968C0000}"/>
    <cellStyle name="Style 46" xfId="1539" xr:uid="{00000000-0005-0000-0000-0000978C0000}"/>
    <cellStyle name="Style 47" xfId="1540" xr:uid="{00000000-0005-0000-0000-0000988C0000}"/>
    <cellStyle name="Style 48" xfId="1541" xr:uid="{00000000-0005-0000-0000-0000998C0000}"/>
    <cellStyle name="Style 67" xfId="1542" xr:uid="{00000000-0005-0000-0000-00009A8C0000}"/>
    <cellStyle name="Style 74" xfId="1543" xr:uid="{00000000-0005-0000-0000-00009B8C0000}"/>
    <cellStyle name="Style 79" xfId="1544" xr:uid="{00000000-0005-0000-0000-00009C8C0000}"/>
    <cellStyle name="Style 83" xfId="1545" xr:uid="{00000000-0005-0000-0000-00009D8C0000}"/>
    <cellStyle name="STYLE2" xfId="11122" xr:uid="{00000000-0005-0000-0000-00009E8C0000}"/>
    <cellStyle name="SubScript" xfId="401" xr:uid="{00000000-0005-0000-0000-00009F8C0000}"/>
    <cellStyle name="SubScript 2" xfId="1546" xr:uid="{00000000-0005-0000-0000-0000A08C0000}"/>
    <cellStyle name="Sum" xfId="1547" xr:uid="{00000000-0005-0000-0000-0000A18C0000}"/>
    <cellStyle name="SuperScript" xfId="402" xr:uid="{00000000-0005-0000-0000-0000A28C0000}"/>
    <cellStyle name="SuperScript 2" xfId="1548" xr:uid="{00000000-0005-0000-0000-0000A38C0000}"/>
    <cellStyle name="Table_Header" xfId="1549" xr:uid="{00000000-0005-0000-0000-0000A48C0000}"/>
    <cellStyle name="TableName" xfId="1960" xr:uid="{00000000-0005-0000-0000-0000A58C0000}"/>
    <cellStyle name="tcn" xfId="1550" xr:uid="{00000000-0005-0000-0000-0000A68C0000}"/>
    <cellStyle name="Test" xfId="1551" xr:uid="{00000000-0005-0000-0000-0000A78C0000}"/>
    <cellStyle name="Text Wrap" xfId="1961" xr:uid="{00000000-0005-0000-0000-0000A88C0000}"/>
    <cellStyle name="Text Wrap 2" xfId="1985" xr:uid="{00000000-0005-0000-0000-0000A98C0000}"/>
    <cellStyle name="Text Wrap 2 2" xfId="11178" xr:uid="{00000000-0005-0000-0000-0000AA8C0000}"/>
    <cellStyle name="Text Wrap 3" xfId="2068" xr:uid="{00000000-0005-0000-0000-0000AB8C0000}"/>
    <cellStyle name="Text Wrap 3 2" xfId="11447" xr:uid="{00000000-0005-0000-0000-0000AC8C0000}"/>
    <cellStyle name="TextBold" xfId="403" xr:uid="{00000000-0005-0000-0000-0000AD8C0000}"/>
    <cellStyle name="TextBold 2" xfId="1552" xr:uid="{00000000-0005-0000-0000-0000AE8C0000}"/>
    <cellStyle name="TextItalic" xfId="404" xr:uid="{00000000-0005-0000-0000-0000AF8C0000}"/>
    <cellStyle name="TextItalic 2" xfId="405" xr:uid="{00000000-0005-0000-0000-0000B08C0000}"/>
    <cellStyle name="TextItalic 3" xfId="1553" xr:uid="{00000000-0005-0000-0000-0000B18C0000}"/>
    <cellStyle name="TextNormal" xfId="406" xr:uid="{00000000-0005-0000-0000-0000B28C0000}"/>
    <cellStyle name="TextNormal 2" xfId="1554" xr:uid="{00000000-0005-0000-0000-0000B38C0000}"/>
    <cellStyle name="Texto de advertencia" xfId="1962" xr:uid="{00000000-0005-0000-0000-0000B48C0000}"/>
    <cellStyle name="Texto de Aviso" xfId="1963" xr:uid="{00000000-0005-0000-0000-0000B58C0000}"/>
    <cellStyle name="Texto explicativo" xfId="1964" xr:uid="{00000000-0005-0000-0000-0000B68C0000}"/>
    <cellStyle name="Time" xfId="1555" xr:uid="{00000000-0005-0000-0000-0000B78C0000}"/>
    <cellStyle name="Tina" xfId="1556" xr:uid="{00000000-0005-0000-0000-0000B88C0000}"/>
    <cellStyle name="Title 2" xfId="68" xr:uid="{00000000-0005-0000-0000-0000B98C0000}"/>
    <cellStyle name="Title 2 2" xfId="326" xr:uid="{00000000-0005-0000-0000-0000BA8C0000}"/>
    <cellStyle name="Title 2 3" xfId="2251" xr:uid="{00000000-0005-0000-0000-0000BB8C0000}"/>
    <cellStyle name="Title1" xfId="1558" xr:uid="{00000000-0005-0000-0000-0000BC8C0000}"/>
    <cellStyle name="Title2" xfId="1559" xr:uid="{00000000-0005-0000-0000-0000BD8C0000}"/>
    <cellStyle name="TitleNormal" xfId="407" xr:uid="{00000000-0005-0000-0000-0000BE8C0000}"/>
    <cellStyle name="TitleNormal 2" xfId="1560" xr:uid="{00000000-0005-0000-0000-0000BF8C0000}"/>
    <cellStyle name="Titles" xfId="1965" xr:uid="{00000000-0005-0000-0000-0000C08C0000}"/>
    <cellStyle name="Título" xfId="1966" xr:uid="{00000000-0005-0000-0000-0000C18C0000}"/>
    <cellStyle name="Título 1" xfId="1967" xr:uid="{00000000-0005-0000-0000-0000C28C0000}"/>
    <cellStyle name="Título 2" xfId="1968" xr:uid="{00000000-0005-0000-0000-0000C38C0000}"/>
    <cellStyle name="Título 3" xfId="1969" xr:uid="{00000000-0005-0000-0000-0000C48C0000}"/>
    <cellStyle name="Título 4" xfId="1970" xr:uid="{00000000-0005-0000-0000-0000C58C0000}"/>
    <cellStyle name="tn" xfId="1561" xr:uid="{00000000-0005-0000-0000-0000C68C0000}"/>
    <cellStyle name="Top Edge" xfId="1562" xr:uid="{00000000-0005-0000-0000-0000C78C0000}"/>
    <cellStyle name="Total" xfId="1754" builtinId="25" customBuiltin="1"/>
    <cellStyle name="Total 10" xfId="11254" xr:uid="{00000000-0005-0000-0000-0000C98C0000}"/>
    <cellStyle name="Total 11" xfId="11285" xr:uid="{00000000-0005-0000-0000-0000CA8C0000}"/>
    <cellStyle name="Total 12" xfId="11317" xr:uid="{00000000-0005-0000-0000-0000CB8C0000}"/>
    <cellStyle name="Total 13" xfId="11437" xr:uid="{00000000-0005-0000-0000-0000CC8C0000}"/>
    <cellStyle name="Total 14" xfId="11333" xr:uid="{00000000-0005-0000-0000-0000CD8C0000}"/>
    <cellStyle name="Total 15" xfId="11478" xr:uid="{00000000-0005-0000-0000-0000CE8C0000}"/>
    <cellStyle name="Total 16" xfId="11340" xr:uid="{00000000-0005-0000-0000-0000CF8C0000}"/>
    <cellStyle name="Total 17" xfId="11472" xr:uid="{00000000-0005-0000-0000-0000D08C0000}"/>
    <cellStyle name="Total 18" xfId="11348" xr:uid="{00000000-0005-0000-0000-0000D18C0000}"/>
    <cellStyle name="Total 19" xfId="11466" xr:uid="{00000000-0005-0000-0000-0000D28C0000}"/>
    <cellStyle name="Total 2" xfId="69" xr:uid="{00000000-0005-0000-0000-0000D38C0000}"/>
    <cellStyle name="Total 2 2" xfId="327" xr:uid="{00000000-0005-0000-0000-0000D48C0000}"/>
    <cellStyle name="Total 2 2 2" xfId="1595" xr:uid="{00000000-0005-0000-0000-0000D58C0000}"/>
    <cellStyle name="Total 2 2 2 2" xfId="1638" xr:uid="{00000000-0005-0000-0000-0000D68C0000}"/>
    <cellStyle name="Total 2 2 2 3" xfId="1657" xr:uid="{00000000-0005-0000-0000-0000D78C0000}"/>
    <cellStyle name="Total 2 2 3" xfId="11119" xr:uid="{00000000-0005-0000-0000-0000D88C0000}"/>
    <cellStyle name="Total 2 3" xfId="1588" xr:uid="{00000000-0005-0000-0000-0000D98C0000}"/>
    <cellStyle name="Total 2 3 2" xfId="1631" xr:uid="{00000000-0005-0000-0000-0000DA8C0000}"/>
    <cellStyle name="Total 2 3 3" xfId="1650" xr:uid="{00000000-0005-0000-0000-0000DB8C0000}"/>
    <cellStyle name="Total 2 4" xfId="1611" xr:uid="{00000000-0005-0000-0000-0000DC8C0000}"/>
    <cellStyle name="Total 2 5" xfId="11118" xr:uid="{00000000-0005-0000-0000-0000DD8C0000}"/>
    <cellStyle name="Total 20" xfId="11354" xr:uid="{00000000-0005-0000-0000-0000DE8C0000}"/>
    <cellStyle name="Total 21" xfId="11457" xr:uid="{00000000-0005-0000-0000-0000DF8C0000}"/>
    <cellStyle name="Total 22" xfId="11495" xr:uid="{00000000-0005-0000-0000-0000E08C0000}"/>
    <cellStyle name="Total 23" xfId="11511" xr:uid="{00000000-0005-0000-0000-0000E18C0000}"/>
    <cellStyle name="Total 24" xfId="11527" xr:uid="{00000000-0005-0000-0000-0000E28C0000}"/>
    <cellStyle name="Total 25" xfId="11544" xr:uid="{00000000-0005-0000-0000-0000E38C0000}"/>
    <cellStyle name="Total 26" xfId="11560" xr:uid="{00000000-0005-0000-0000-0000E48C0000}"/>
    <cellStyle name="Total 27" xfId="11576" xr:uid="{00000000-0005-0000-0000-0000E58C0000}"/>
    <cellStyle name="Total 28" xfId="11591" xr:uid="{00000000-0005-0000-0000-0000E68C0000}"/>
    <cellStyle name="Total 29" xfId="11607" xr:uid="{00000000-0005-0000-0000-0000E78C0000}"/>
    <cellStyle name="Total 3" xfId="1563" xr:uid="{00000000-0005-0000-0000-0000E88C0000}"/>
    <cellStyle name="Total 3 2" xfId="1603" xr:uid="{00000000-0005-0000-0000-0000E98C0000}"/>
    <cellStyle name="Total 3 2 2" xfId="1645" xr:uid="{00000000-0005-0000-0000-0000EA8C0000}"/>
    <cellStyle name="Total 3 2 3" xfId="1664" xr:uid="{00000000-0005-0000-0000-0000EB8C0000}"/>
    <cellStyle name="Total 3 3" xfId="1626" xr:uid="{00000000-0005-0000-0000-0000EC8C0000}"/>
    <cellStyle name="Total 3 4" xfId="1617" xr:uid="{00000000-0005-0000-0000-0000ED8C0000}"/>
    <cellStyle name="Total 3 5" xfId="11140" xr:uid="{00000000-0005-0000-0000-0000EE8C0000}"/>
    <cellStyle name="Total 30" xfId="11623" xr:uid="{00000000-0005-0000-0000-0000EF8C0000}"/>
    <cellStyle name="Total 31" xfId="11639" xr:uid="{00000000-0005-0000-0000-0000F08C0000}"/>
    <cellStyle name="Total 32" xfId="11655" xr:uid="{00000000-0005-0000-0000-0000F18C0000}"/>
    <cellStyle name="Total 33" xfId="11670" xr:uid="{00000000-0005-0000-0000-0000F28C0000}"/>
    <cellStyle name="Total 34" xfId="19651" xr:uid="{00000000-0005-0000-0000-0000F38C0000}"/>
    <cellStyle name="Total 35" xfId="19668" xr:uid="{00000000-0005-0000-0000-0000F48C0000}"/>
    <cellStyle name="Total 36" xfId="19669" xr:uid="{00000000-0005-0000-0000-0000F58C0000}"/>
    <cellStyle name="Total 37" xfId="19701" xr:uid="{00000000-0005-0000-0000-0000F68C0000}"/>
    <cellStyle name="Total 38" xfId="19711" xr:uid="{00000000-0005-0000-0000-0000F78C0000}"/>
    <cellStyle name="Total 39" xfId="19727" xr:uid="{00000000-0005-0000-0000-0000F88C0000}"/>
    <cellStyle name="Total 4" xfId="11156" xr:uid="{00000000-0005-0000-0000-0000F98C0000}"/>
    <cellStyle name="Total 40" xfId="19703" xr:uid="{00000000-0005-0000-0000-0000FA8C0000}"/>
    <cellStyle name="Total 41" xfId="19749" xr:uid="{00000000-0005-0000-0000-0000FB8C0000}"/>
    <cellStyle name="Total 42" xfId="19780" xr:uid="{00000000-0005-0000-0000-0000FC8C0000}"/>
    <cellStyle name="Total 43" xfId="19799" xr:uid="{00000000-0005-0000-0000-0000FD8C0000}"/>
    <cellStyle name="Total 44" xfId="19910" xr:uid="{00000000-0005-0000-0000-0000FE8C0000}"/>
    <cellStyle name="Total 45" xfId="19811" xr:uid="{00000000-0005-0000-0000-0000FF8C0000}"/>
    <cellStyle name="Total 46" xfId="19948" xr:uid="{00000000-0005-0000-0000-0000008D0000}"/>
    <cellStyle name="Total 47" xfId="19817" xr:uid="{00000000-0005-0000-0000-0000018D0000}"/>
    <cellStyle name="Total 48" xfId="19943" xr:uid="{00000000-0005-0000-0000-0000028D0000}"/>
    <cellStyle name="Total 49" xfId="19824" xr:uid="{00000000-0005-0000-0000-0000038D0000}"/>
    <cellStyle name="Total 5" xfId="11168" xr:uid="{00000000-0005-0000-0000-0000048D0000}"/>
    <cellStyle name="Total 50" xfId="19937" xr:uid="{00000000-0005-0000-0000-0000058D0000}"/>
    <cellStyle name="Total 51" xfId="19830" xr:uid="{00000000-0005-0000-0000-0000068D0000}"/>
    <cellStyle name="Total 52" xfId="19929" xr:uid="{00000000-0005-0000-0000-0000078D0000}"/>
    <cellStyle name="Total 53" xfId="19965" xr:uid="{00000000-0005-0000-0000-0000088D0000}"/>
    <cellStyle name="Total 54" xfId="19980" xr:uid="{00000000-0005-0000-0000-0000098D0000}"/>
    <cellStyle name="Total 55" xfId="19996" xr:uid="{00000000-0005-0000-0000-00000A8D0000}"/>
    <cellStyle name="Total 56" xfId="20012" xr:uid="{00000000-0005-0000-0000-00000B8D0000}"/>
    <cellStyle name="Total 57" xfId="20027" xr:uid="{00000000-0005-0000-0000-00000C8D0000}"/>
    <cellStyle name="Total 58" xfId="20043" xr:uid="{00000000-0005-0000-0000-00000D8D0000}"/>
    <cellStyle name="Total 59" xfId="20057" xr:uid="{00000000-0005-0000-0000-00000E8D0000}"/>
    <cellStyle name="Total 6" xfId="11201" xr:uid="{00000000-0005-0000-0000-00000F8D0000}"/>
    <cellStyle name="Total 60" xfId="20072" xr:uid="{00000000-0005-0000-0000-0000108D0000}"/>
    <cellStyle name="Total 61" xfId="20087" xr:uid="{00000000-0005-0000-0000-0000118D0000}"/>
    <cellStyle name="Total 62" xfId="20102" xr:uid="{00000000-0005-0000-0000-0000128D0000}"/>
    <cellStyle name="Total 63" xfId="20117" xr:uid="{00000000-0005-0000-0000-0000138D0000}"/>
    <cellStyle name="Total 64" xfId="20131" xr:uid="{00000000-0005-0000-0000-0000148D0000}"/>
    <cellStyle name="Total 7" xfId="11216" xr:uid="{00000000-0005-0000-0000-0000158D0000}"/>
    <cellStyle name="Total 8" xfId="11232" xr:uid="{00000000-0005-0000-0000-0000168D0000}"/>
    <cellStyle name="Total 9" xfId="11207" xr:uid="{00000000-0005-0000-0000-0000178D0000}"/>
    <cellStyle name="TTS" xfId="1564" xr:uid="{00000000-0005-0000-0000-0000188D0000}"/>
    <cellStyle name="TTS 2" xfId="1565" xr:uid="{00000000-0005-0000-0000-0000198D0000}"/>
    <cellStyle name="TTS 3" xfId="1566" xr:uid="{00000000-0005-0000-0000-00001A8D0000}"/>
    <cellStyle name="TTS_1 Cadbury_&amp;_Kraft_Model_v11.0" xfId="1567" xr:uid="{00000000-0005-0000-0000-00001B8D0000}"/>
    <cellStyle name="ubordinated Debt" xfId="1568" xr:uid="{00000000-0005-0000-0000-00001C8D0000}"/>
    <cellStyle name="UnderlineNormal" xfId="1971" xr:uid="{00000000-0005-0000-0000-00001D8D0000}"/>
    <cellStyle name="vaca" xfId="1972" xr:uid="{00000000-0005-0000-0000-00001E8D0000}"/>
    <cellStyle name="ValueConstant" xfId="1569" xr:uid="{00000000-0005-0000-0000-00001F8D0000}"/>
    <cellStyle name="Warning Text" xfId="1751" builtinId="11" customBuiltin="1"/>
    <cellStyle name="Warning Text 10" xfId="11257" xr:uid="{00000000-0005-0000-0000-0000218D0000}"/>
    <cellStyle name="Warning Text 11" xfId="11282" xr:uid="{00000000-0005-0000-0000-0000228D0000}"/>
    <cellStyle name="Warning Text 12" xfId="11314" xr:uid="{00000000-0005-0000-0000-0000238D0000}"/>
    <cellStyle name="Warning Text 13" xfId="11440" xr:uid="{00000000-0005-0000-0000-0000248D0000}"/>
    <cellStyle name="Warning Text 14" xfId="11435" xr:uid="{00000000-0005-0000-0000-0000258D0000}"/>
    <cellStyle name="Warning Text 15" xfId="11481" xr:uid="{00000000-0005-0000-0000-0000268D0000}"/>
    <cellStyle name="Warning Text 16" xfId="11336" xr:uid="{00000000-0005-0000-0000-0000278D0000}"/>
    <cellStyle name="Warning Text 17" xfId="11476" xr:uid="{00000000-0005-0000-0000-0000288D0000}"/>
    <cellStyle name="Warning Text 18" xfId="11344" xr:uid="{00000000-0005-0000-0000-0000298D0000}"/>
    <cellStyle name="Warning Text 19" xfId="11469" xr:uid="{00000000-0005-0000-0000-00002A8D0000}"/>
    <cellStyle name="Warning Text 2" xfId="70" xr:uid="{00000000-0005-0000-0000-00002B8D0000}"/>
    <cellStyle name="Warning Text 20" xfId="11351" xr:uid="{00000000-0005-0000-0000-00002C8D0000}"/>
    <cellStyle name="Warning Text 21" xfId="11464" xr:uid="{00000000-0005-0000-0000-00002D8D0000}"/>
    <cellStyle name="Warning Text 22" xfId="11356" xr:uid="{00000000-0005-0000-0000-00002E8D0000}"/>
    <cellStyle name="Warning Text 23" xfId="11461" xr:uid="{00000000-0005-0000-0000-00002F8D0000}"/>
    <cellStyle name="Warning Text 24" xfId="11359" xr:uid="{00000000-0005-0000-0000-0000308D0000}"/>
    <cellStyle name="Warning Text 25" xfId="11431" xr:uid="{00000000-0005-0000-0000-0000318D0000}"/>
    <cellStyle name="Warning Text 26" xfId="11361" xr:uid="{00000000-0005-0000-0000-0000328D0000}"/>
    <cellStyle name="Warning Text 27" xfId="11429" xr:uid="{00000000-0005-0000-0000-0000338D0000}"/>
    <cellStyle name="Warning Text 28" xfId="11363" xr:uid="{00000000-0005-0000-0000-0000348D0000}"/>
    <cellStyle name="Warning Text 29" xfId="11318" xr:uid="{00000000-0005-0000-0000-0000358D0000}"/>
    <cellStyle name="Warning Text 3" xfId="1570" xr:uid="{00000000-0005-0000-0000-0000368D0000}"/>
    <cellStyle name="Warning Text 3 2" xfId="11137" xr:uid="{00000000-0005-0000-0000-0000378D0000}"/>
    <cellStyle name="Warning Text 30" xfId="11365" xr:uid="{00000000-0005-0000-0000-0000388D0000}"/>
    <cellStyle name="Warning Text 31" xfId="11300" xr:uid="{00000000-0005-0000-0000-0000398D0000}"/>
    <cellStyle name="Warning Text 32" xfId="11367" xr:uid="{00000000-0005-0000-0000-00003A8D0000}"/>
    <cellStyle name="Warning Text 33" xfId="11425" xr:uid="{00000000-0005-0000-0000-00003B8D0000}"/>
    <cellStyle name="Warning Text 34" xfId="19648" xr:uid="{00000000-0005-0000-0000-00003C8D0000}"/>
    <cellStyle name="Warning Text 35" xfId="19665" xr:uid="{00000000-0005-0000-0000-00003D8D0000}"/>
    <cellStyle name="Warning Text 36" xfId="19672" xr:uid="{00000000-0005-0000-0000-00003E8D0000}"/>
    <cellStyle name="Warning Text 37" xfId="19698" xr:uid="{00000000-0005-0000-0000-00003F8D0000}"/>
    <cellStyle name="Warning Text 38" xfId="19714" xr:uid="{00000000-0005-0000-0000-0000408D0000}"/>
    <cellStyle name="Warning Text 39" xfId="19730" xr:uid="{00000000-0005-0000-0000-0000418D0000}"/>
    <cellStyle name="Warning Text 4" xfId="11153" xr:uid="{00000000-0005-0000-0000-0000428D0000}"/>
    <cellStyle name="Warning Text 40" xfId="19706" xr:uid="{00000000-0005-0000-0000-0000438D0000}"/>
    <cellStyle name="Warning Text 41" xfId="19752" xr:uid="{00000000-0005-0000-0000-0000448D0000}"/>
    <cellStyle name="Warning Text 42" xfId="19777" xr:uid="{00000000-0005-0000-0000-0000458D0000}"/>
    <cellStyle name="Warning Text 43" xfId="19796" xr:uid="{00000000-0005-0000-0000-0000468D0000}"/>
    <cellStyle name="Warning Text 44" xfId="19913" xr:uid="{00000000-0005-0000-0000-0000478D0000}"/>
    <cellStyle name="Warning Text 45" xfId="19908" xr:uid="{00000000-0005-0000-0000-0000488D0000}"/>
    <cellStyle name="Warning Text 46" xfId="19951" xr:uid="{00000000-0005-0000-0000-0000498D0000}"/>
    <cellStyle name="Warning Text 47" xfId="19814" xr:uid="{00000000-0005-0000-0000-00004A8D0000}"/>
    <cellStyle name="Warning Text 48" xfId="19946" xr:uid="{00000000-0005-0000-0000-00004B8D0000}"/>
    <cellStyle name="Warning Text 49" xfId="19821" xr:uid="{00000000-0005-0000-0000-00004C8D0000}"/>
    <cellStyle name="Warning Text 5" xfId="11171" xr:uid="{00000000-0005-0000-0000-00004D8D0000}"/>
    <cellStyle name="Warning Text 50" xfId="19940" xr:uid="{00000000-0005-0000-0000-00004E8D0000}"/>
    <cellStyle name="Warning Text 51" xfId="19827" xr:uid="{00000000-0005-0000-0000-00004F8D0000}"/>
    <cellStyle name="Warning Text 52" xfId="19935" xr:uid="{00000000-0005-0000-0000-0000508D0000}"/>
    <cellStyle name="Warning Text 53" xfId="19832" xr:uid="{00000000-0005-0000-0000-0000518D0000}"/>
    <cellStyle name="Warning Text 54" xfId="19932" xr:uid="{00000000-0005-0000-0000-0000528D0000}"/>
    <cellStyle name="Warning Text 55" xfId="19835" xr:uid="{00000000-0005-0000-0000-0000538D0000}"/>
    <cellStyle name="Warning Text 56" xfId="19905" xr:uid="{00000000-0005-0000-0000-0000548D0000}"/>
    <cellStyle name="Warning Text 57" xfId="19837" xr:uid="{00000000-0005-0000-0000-0000558D0000}"/>
    <cellStyle name="Warning Text 58" xfId="19903" xr:uid="{00000000-0005-0000-0000-0000568D0000}"/>
    <cellStyle name="Warning Text 59" xfId="19839" xr:uid="{00000000-0005-0000-0000-0000578D0000}"/>
    <cellStyle name="Warning Text 6" xfId="11198" xr:uid="{00000000-0005-0000-0000-0000588D0000}"/>
    <cellStyle name="Warning Text 60" xfId="19800" xr:uid="{00000000-0005-0000-0000-0000598D0000}"/>
    <cellStyle name="Warning Text 61" xfId="19841" xr:uid="{00000000-0005-0000-0000-00005A8D0000}"/>
    <cellStyle name="Warning Text 62" xfId="19782" xr:uid="{00000000-0005-0000-0000-00005B8D0000}"/>
    <cellStyle name="Warning Text 63" xfId="19843" xr:uid="{00000000-0005-0000-0000-00005C8D0000}"/>
    <cellStyle name="Warning Text 64" xfId="19899" xr:uid="{00000000-0005-0000-0000-00005D8D0000}"/>
    <cellStyle name="Warning Text 7" xfId="11219" xr:uid="{00000000-0005-0000-0000-00005E8D0000}"/>
    <cellStyle name="Warning Text 8" xfId="11235" xr:uid="{00000000-0005-0000-0000-00005F8D0000}"/>
    <cellStyle name="Warning Text 9" xfId="11210" xr:uid="{00000000-0005-0000-0000-0000608D0000}"/>
    <cellStyle name="wheat merger's and acquisitions" xfId="1571" xr:uid="{00000000-0005-0000-0000-0000618D0000}"/>
    <cellStyle name="WorkbookFormula" xfId="1572" xr:uid="{00000000-0005-0000-0000-0000628D0000}"/>
    <cellStyle name="Years" xfId="1573" xr:uid="{00000000-0005-0000-0000-0000638D0000}"/>
    <cellStyle name="yellow" xfId="1574" xr:uid="{00000000-0005-0000-0000-0000648D0000}"/>
    <cellStyle name="Yellow 2" xfId="1973" xr:uid="{00000000-0005-0000-0000-0000658D0000}"/>
  </cellStyles>
  <dxfs count="0"/>
  <tableStyles count="0" defaultTableStyle="TableStyleMedium2" defaultPivotStyle="PivotStyleLight16"/>
  <colors>
    <mruColors>
      <color rgb="FF005BE2"/>
      <color rgb="FF0156FF"/>
      <color rgb="FFB3110D"/>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sharedStrings" Target="sharedStrings.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Metrics!$E$91</c:f>
              <c:strCache>
                <c:ptCount val="1"/>
              </c:strCache>
            </c:strRef>
          </c:tx>
          <c:spPr>
            <a:solidFill>
              <a:schemeClr val="accent1"/>
            </a:solidFill>
            <a:ln>
              <a:noFill/>
            </a:ln>
            <a:effectLst/>
          </c:spPr>
          <c:invertIfNegative val="0"/>
          <c:cat>
            <c:numRef>
              <c:f>Metrics!$F$90:$J$90</c:f>
              <c:numCache>
                <c:formatCode>General</c:formatCode>
                <c:ptCount val="1"/>
              </c:numCache>
            </c:numRef>
          </c:cat>
          <c:val>
            <c:numRef>
              <c:f>Metrics!$F$91:$J$91</c:f>
              <c:numCache>
                <c:formatCode>General</c:formatCode>
                <c:ptCount val="1"/>
              </c:numCache>
            </c:numRef>
          </c:val>
          <c:extLst>
            <c:ext xmlns:c16="http://schemas.microsoft.com/office/drawing/2014/chart" uri="{C3380CC4-5D6E-409C-BE32-E72D297353CC}">
              <c16:uniqueId val="{00000000-9467-4C05-8784-C97ECC9D5548}"/>
            </c:ext>
          </c:extLst>
        </c:ser>
        <c:dLbls>
          <c:showLegendKey val="0"/>
          <c:showVal val="0"/>
          <c:showCatName val="0"/>
          <c:showSerName val="0"/>
          <c:showPercent val="0"/>
          <c:showBubbleSize val="0"/>
        </c:dLbls>
        <c:gapWidth val="219"/>
        <c:overlap val="-27"/>
        <c:axId val="1190964160"/>
        <c:axId val="824474352"/>
      </c:barChart>
      <c:lineChart>
        <c:grouping val="standard"/>
        <c:varyColors val="0"/>
        <c:ser>
          <c:idx val="1"/>
          <c:order val="1"/>
          <c:tx>
            <c:strRef>
              <c:f>Metrics!$E$92</c:f>
              <c:strCache>
                <c:ptCount val="1"/>
              </c:strCache>
            </c:strRef>
          </c:tx>
          <c:spPr>
            <a:ln w="28575" cap="rnd">
              <a:solidFill>
                <a:schemeClr val="accent2"/>
              </a:solidFill>
              <a:round/>
            </a:ln>
            <a:effectLst/>
          </c:spPr>
          <c:marker>
            <c:symbol val="none"/>
          </c:marker>
          <c:cat>
            <c:numRef>
              <c:f>Metrics!$F$90:$J$90</c:f>
              <c:numCache>
                <c:formatCode>General</c:formatCode>
                <c:ptCount val="1"/>
              </c:numCache>
            </c:numRef>
          </c:cat>
          <c:val>
            <c:numRef>
              <c:f>Metrics!$F$92:$J$92</c:f>
              <c:numCache>
                <c:formatCode>0%</c:formatCode>
                <c:ptCount val="1"/>
              </c:numCache>
            </c:numRef>
          </c:val>
          <c:smooth val="0"/>
          <c:extLst>
            <c:ext xmlns:c16="http://schemas.microsoft.com/office/drawing/2014/chart" uri="{C3380CC4-5D6E-409C-BE32-E72D297353CC}">
              <c16:uniqueId val="{00000001-9467-4C05-8784-C97ECC9D5548}"/>
            </c:ext>
          </c:extLst>
        </c:ser>
        <c:dLbls>
          <c:showLegendKey val="0"/>
          <c:showVal val="0"/>
          <c:showCatName val="0"/>
          <c:showSerName val="0"/>
          <c:showPercent val="0"/>
          <c:showBubbleSize val="0"/>
        </c:dLbls>
        <c:marker val="1"/>
        <c:smooth val="0"/>
        <c:axId val="1190976960"/>
        <c:axId val="824476016"/>
      </c:lineChart>
      <c:catAx>
        <c:axId val="11909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474352"/>
        <c:crosses val="autoZero"/>
        <c:auto val="1"/>
        <c:lblAlgn val="ctr"/>
        <c:lblOffset val="100"/>
        <c:noMultiLvlLbl val="0"/>
      </c:catAx>
      <c:valAx>
        <c:axId val="82447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4160"/>
        <c:crosses val="autoZero"/>
        <c:crossBetween val="between"/>
      </c:valAx>
      <c:valAx>
        <c:axId val="82447601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76960"/>
        <c:crosses val="max"/>
        <c:crossBetween val="between"/>
      </c:valAx>
      <c:catAx>
        <c:axId val="1190976960"/>
        <c:scaling>
          <c:orientation val="minMax"/>
        </c:scaling>
        <c:delete val="1"/>
        <c:axPos val="b"/>
        <c:numFmt formatCode="General" sourceLinked="1"/>
        <c:majorTickMark val="none"/>
        <c:minorTickMark val="none"/>
        <c:tickLblPos val="nextTo"/>
        <c:crossAx val="8244760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Metrics!$E$91</c:f>
              <c:strCache>
                <c:ptCount val="1"/>
              </c:strCache>
            </c:strRef>
          </c:tx>
          <c:spPr>
            <a:solidFill>
              <a:srgbClr val="0070C0"/>
            </a:solidFill>
            <a:ln>
              <a:noFill/>
            </a:ln>
            <a:effectLst/>
          </c:spPr>
          <c:invertIfNegative val="0"/>
          <c:dLbls>
            <c:dLbl>
              <c:idx val="0"/>
              <c:tx>
                <c:rich>
                  <a:bodyPr/>
                  <a:lstStyle/>
                  <a:p>
                    <a:r>
                      <a:rPr lang="en-US"/>
                      <a:t>88B</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189-4332-8806-90F314168754}"/>
                </c:ext>
              </c:extLst>
            </c:dLbl>
            <c:dLbl>
              <c:idx val="1"/>
              <c:tx>
                <c:rich>
                  <a:bodyPr/>
                  <a:lstStyle/>
                  <a:p>
                    <a:r>
                      <a:rPr lang="en-US"/>
                      <a:t>2.04T</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189-4332-8806-90F314168754}"/>
                </c:ext>
              </c:extLst>
            </c:dLbl>
            <c:dLbl>
              <c:idx val="2"/>
              <c:tx>
                <c:rich>
                  <a:bodyPr/>
                  <a:lstStyle/>
                  <a:p>
                    <a:r>
                      <a:rPr lang="en-US"/>
                      <a:t>3.5T</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189-4332-8806-90F314168754}"/>
                </c:ext>
              </c:extLst>
            </c:dLbl>
            <c:dLbl>
              <c:idx val="3"/>
              <c:tx>
                <c:rich>
                  <a:bodyPr/>
                  <a:lstStyle/>
                  <a:p>
                    <a:r>
                      <a:rPr lang="en-US"/>
                      <a:t>4.9T</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189-4332-8806-90F314168754}"/>
                </c:ext>
              </c:extLst>
            </c:dLbl>
            <c:dLbl>
              <c:idx val="4"/>
              <c:tx>
                <c:rich>
                  <a:bodyPr/>
                  <a:lstStyle/>
                  <a:p>
                    <a:r>
                      <a:rPr lang="en-US"/>
                      <a:t>7.1T</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189-4332-8806-90F3141687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Metrics!$F$90:$J$90</c:f>
              <c:numCache>
                <c:formatCode>General</c:formatCode>
                <c:ptCount val="1"/>
              </c:numCache>
            </c:numRef>
          </c:cat>
          <c:val>
            <c:numRef>
              <c:f>Metrics!$F$91:$J$91</c:f>
              <c:numCache>
                <c:formatCode>General</c:formatCode>
                <c:ptCount val="1"/>
              </c:numCache>
            </c:numRef>
          </c:val>
          <c:extLst>
            <c:ext xmlns:c16="http://schemas.microsoft.com/office/drawing/2014/chart" uri="{C3380CC4-5D6E-409C-BE32-E72D297353CC}">
              <c16:uniqueId val="{00000005-5189-4332-8806-90F314168754}"/>
            </c:ext>
          </c:extLst>
        </c:ser>
        <c:dLbls>
          <c:showLegendKey val="0"/>
          <c:showVal val="0"/>
          <c:showCatName val="0"/>
          <c:showSerName val="0"/>
          <c:showPercent val="0"/>
          <c:showBubbleSize val="0"/>
        </c:dLbls>
        <c:gapWidth val="219"/>
        <c:overlap val="-27"/>
        <c:axId val="911228256"/>
        <c:axId val="916879984"/>
      </c:barChart>
      <c:catAx>
        <c:axId val="91122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16879984"/>
        <c:crosses val="autoZero"/>
        <c:auto val="1"/>
        <c:lblAlgn val="ctr"/>
        <c:lblOffset val="100"/>
        <c:noMultiLvlLbl val="0"/>
      </c:catAx>
      <c:valAx>
        <c:axId val="91687998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911228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398462</xdr:colOff>
      <xdr:row>123</xdr:row>
      <xdr:rowOff>20637</xdr:rowOff>
    </xdr:from>
    <xdr:to>
      <xdr:col>31</xdr:col>
      <xdr:colOff>93662</xdr:colOff>
      <xdr:row>140</xdr:row>
      <xdr:rowOff>17462</xdr:rowOff>
    </xdr:to>
    <xdr:graphicFrame macro="">
      <xdr:nvGraphicFramePr>
        <xdr:cNvPr id="5" name="Chart 4">
          <a:extLst>
            <a:ext uri="{FF2B5EF4-FFF2-40B4-BE49-F238E27FC236}">
              <a16:creationId xmlns:a16="http://schemas.microsoft.com/office/drawing/2014/main" id="{81E2675A-726B-4C1E-B626-329431E1C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163512</xdr:colOff>
      <xdr:row>122</xdr:row>
      <xdr:rowOff>122236</xdr:rowOff>
    </xdr:from>
    <xdr:to>
      <xdr:col>15</xdr:col>
      <xdr:colOff>171450</xdr:colOff>
      <xdr:row>141</xdr:row>
      <xdr:rowOff>142874</xdr:rowOff>
    </xdr:to>
    <xdr:graphicFrame macro="">
      <xdr:nvGraphicFramePr>
        <xdr:cNvPr id="7" name="Chart 6">
          <a:extLst>
            <a:ext uri="{FF2B5EF4-FFF2-40B4-BE49-F238E27FC236}">
              <a16:creationId xmlns:a16="http://schemas.microsoft.com/office/drawing/2014/main" id="{EFC6DA72-D6A5-4CF9-B4B9-6529EB6FD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123\Plan2001\FSSEP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23\FORECAST\2001\WeeklyCashFlo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zetacorporate-my.sharepoint.com/Accounting/Corporate%20Accountant/CSF's/AgriStats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zetacorporate-my.sharepoint.com/Accounting/Finance/FY%202004/Month%20End/1004%20Oct/0410FI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123\Plan2001\BUDG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4604640\Shipping%20data%20by%20country_MM_updated%20by%20K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TERRACO\SYS\EXCEL\YEAR\ACCO197.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Monthly%20Telco%20Expense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yc01fs01\Finance\Users\rbarnette\Library\Caches\TemporaryItems\Outlook%20Temp\Reuibd01\ibdshare2\corpfin\EMPLOYEE\Frazzo\Projects\French%20M&amp;A\Decaux\Update%20Valo%2019%2006%2000\Valuation%20Model%20Decaux%2019%2006%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SSBexempt2001%20%20%20%20%20%20%20%20%20%20%20%20%20%20%20%20%20%20%20%20%20%20%20%20%20%20%20%20note%20asked%20need%20mgmt%20reoprt%20&amp;%201099%20may%20b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U"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Documents%20and%20Settings\bbukhar\Local%20Settings\Temporary%20Internet%20Files\OLK1B5\Res\Transfer\Schneider\PVF\Economic%20&amp;%20Industry%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Documents%20and%20Settings\jkaplan\Local%20Settings\Temporary%20Internet%20Files\OLKC7\CB%20Consumer%20Confidence.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2010CommissionPlans-Final2x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HOME\research\GOLDRES\MODELS\GLG\GLAMIS_Q2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nymail.thinkequity.com/Documents%20and%20Settings/tmadda/Local%20Settings/Temporary%20Internet%20Files/OLK2/Companies/cmrc/Model/cmr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zetacorporate-my.sharepoint.com/Volumes/dept/Finance/Accounting/Close_Process/Journal%20Entries/2013/2013-05%20May/FB-US-640-Accrual%20-%20Partnerships%20and%20Platform%20Marketing.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EARNING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plfile01\Users\Documents%20and%20Settings\admin\My%20Documents\Stew's%20Portfolio\Suresh\XPRT\AMAT%20-%20XP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plfile01\Users\Research\Sbalaraman\Stks\NVL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Defer%20Revenue%20Dec-01V2.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7131%20Nonemployee%20Stock%20Option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C)%207115%20Stock%20Options%20Testing%20&amp;%20Disclosure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51228;&#54408;&#4832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erprise%20Software%20work\Coverage\BRZE\BRZE%203%2031%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TECH AID"/>
      <sheetName val="TAC STAFFING SERVICES"/>
      <sheetName val="TAC AUTO"/>
      <sheetName val="EDP TEMPS"/>
      <sheetName val="TAC ENGIN. RES."/>
      <sheetName val="THIRD PARTY"/>
      <sheetName val="TAC NATIONWIDE"/>
      <sheetName val="TAC ENTERT."/>
      <sheetName val="INTL"/>
      <sheetName val="SMD"/>
      <sheetName val="TOTAL CORP."/>
      <sheetName val="PAV"/>
      <sheetName val="AREA SALES"/>
      <sheetName val="TOTAL FEE (2)"/>
      <sheetName val="SMD FEE (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 (2)"/>
      <sheetName val="Sheet1"/>
      <sheetName val="Fleet Debits"/>
      <sheetName val="wells fargo"/>
      <sheetName val="Wires"/>
      <sheetName val="Interrest"/>
      <sheetName val="ORIG"/>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put"/>
      <sheetName val="Jan-00 New"/>
      <sheetName val="Graphs"/>
      <sheetName val="History Graphs"/>
      <sheetName val="History"/>
      <sheetName val="Sheet1"/>
      <sheetName val="Variance Sum "/>
      <sheetName val="Avg Var Sum"/>
      <sheetName val="Avg Co Report"/>
      <sheetName val="Input New"/>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BS"/>
      <sheetName val="Notes"/>
      <sheetName val="CFmthlynew"/>
      <sheetName val="CFYTD"/>
      <sheetName val="EQUITY"/>
      <sheetName val="8"/>
      <sheetName val="9&amp;10"/>
      <sheetName val="GM Analysis Draft"/>
      <sheetName val="13"/>
      <sheetName val="13a"/>
      <sheetName val="14"/>
      <sheetName val="14a"/>
      <sheetName val="15"/>
      <sheetName val="16"/>
      <sheetName val="Page 18A"/>
      <sheetName val="Page 18B"/>
      <sheetName val="Page 18C"/>
      <sheetName val="19"/>
      <sheetName val="Agri Stats"/>
      <sheetName val="12"/>
      <sheetName val="12a"/>
      <sheetName val="12b"/>
      <sheetName val="12c"/>
      <sheetName val="12d"/>
      <sheetName val="17"/>
      <sheetName val="17a"/>
      <sheetName val="17b"/>
      <sheetName val="17c"/>
      <sheetName val="CFAA"/>
      <sheetName val="icr"/>
      <sheetName val="icrdet"/>
      <sheetName val="ICRNEW"/>
      <sheetName val="BANKIS"/>
      <sheetName val="02 BANK IS SALES bud"/>
      <sheetName val="FCSinterim"/>
      <sheetName val="EBITDA AgStar"/>
      <sheetName val="EBITDA"/>
      <sheetName val="USBank-oLD"/>
      <sheetName val="USBank2004"/>
      <sheetName val="JF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SALARY INPUT"/>
      <sheetName val="AUTOMATION"/>
      <sheetName val="OPERATING EXPS."/>
      <sheetName val="SUMMARY"/>
      <sheetName val="MONTHLY SALARY"/>
      <sheetName val="Oracle"/>
      <sheetName val="Module1"/>
      <sheetName val="Module2"/>
      <sheetName val="Module3"/>
      <sheetName val="Module4"/>
      <sheetName val="Module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 resul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고용BS"/>
      <sheetName val="대차대조"/>
      <sheetName val="손익계산"/>
      <sheetName val="잉 여 금"/>
      <sheetName val="제조원가"/>
      <sheetName val="시 산 표"/>
      <sheetName val="시산표(2)"/>
      <sheetName val="현금예금"/>
      <sheetName val="유가증권"/>
      <sheetName val="외상매출"/>
      <sheetName val="받을어음"/>
      <sheetName val="받을어음(2)"/>
      <sheetName val="받을어음(3)"/>
      <sheetName val="당좌자산"/>
      <sheetName val="상품수불"/>
      <sheetName val="원 재 료"/>
      <sheetName val="미 착 품"/>
      <sheetName val="기타유동"/>
      <sheetName val="투자기타"/>
      <sheetName val="유형고정"/>
      <sheetName val="지급어음"/>
      <sheetName val="유동부채"/>
      <sheetName val="고정부채"/>
      <sheetName val="자 본 금"/>
      <sheetName val="매 출 액"/>
      <sheetName val="매출원가"/>
      <sheetName val="영업외수"/>
      <sheetName val="영업외비"/>
      <sheetName val="특별이익"/>
      <sheetName val="특별손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taCom wan order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 Comps"/>
      <sheetName val="Model"/>
      <sheetName val="Graph Valo Theoretical"/>
      <sheetName val="Graph Full Value"/>
      <sheetName val="Graph Strategique"/>
      <sheetName val="Graphs EBITDA"/>
      <sheetName val="Graphs EBITDA-Capex"/>
      <sheetName val="Summary Valuation"/>
      <sheetName val="__FDSCACHE__"/>
      <sheetName val="EU Notes"/>
      <sheetName val="US Comps"/>
      <sheetName val="Notes US"/>
      <sheetName val="Historical Multiples"/>
      <sheetName val="US Deals"/>
      <sheetName val="EU Deals"/>
      <sheetName val="Assumptions"/>
      <sheetName val="Sales"/>
      <sheetName val="EBITDA"/>
      <sheetName val="Capex &amp; Depr."/>
      <sheetName val="DCF"/>
      <sheetName val="WACC"/>
      <sheetName val="Debt capacity "/>
      <sheetName val="Implied Multiples"/>
      <sheetName val="Summary Valuation ALL"/>
      <sheetName val="PV Data"/>
      <sheetName val="EU_Comps"/>
      <sheetName val="Graph_Valo_Theoretical"/>
      <sheetName val="Graph_Full_Value"/>
      <sheetName val="Graph_Strategique"/>
      <sheetName val="Graphs_EBITDA"/>
      <sheetName val="Graphs_EBITDA-Capex"/>
      <sheetName val="Summary_Valuation"/>
      <sheetName val="EU_Notes"/>
      <sheetName val="US_Comps"/>
      <sheetName val="Notes_US"/>
      <sheetName val="Historical_Multiples"/>
      <sheetName val="US_Deals"/>
      <sheetName val="EU_Deals"/>
      <sheetName val="Capex_&amp;_Depr_"/>
      <sheetName val="Debt_capacity_"/>
      <sheetName val="Implied_Multiples"/>
      <sheetName val="Summary_Valuation_ALL"/>
      <sheetName val="3. Contribution Analysis"/>
      <sheetName val="Valuation Model Decaux 19 06 00"/>
      <sheetName val="CW"/>
      <sheetName val="Master"/>
      <sheetName val="Reserves"/>
      <sheetName val="Gross Sales"/>
      <sheetName val="Interest Cover"/>
      <sheetName val="COMBINED"/>
      <sheetName val="VALSTAT"/>
      <sheetName val="MC CHRZ"/>
      <sheetName val="PPT Output"/>
      <sheetName val="Brokers"/>
      <sheetName val="Target Prices"/>
      <sheetName val="Goodwill"/>
      <sheetName val="Input"/>
      <sheetName val="#REF"/>
      <sheetName val="SVB Warrant Amort 10-23-01"/>
      <sheetName val="Details"/>
      <sheetName val="OH"/>
      <sheetName val="K1DB"/>
      <sheetName val=".2 PPV Summary"/>
      <sheetName val="SVB_Warrant_Amort_10-23-01"/>
      <sheetName val="_2_PPV_Summary"/>
      <sheetName val="Binning Q208"/>
      <sheetName val="Sheet2"/>
      <sheetName val="Cash Flow"/>
      <sheetName val="Sheet1"/>
    </sheetNames>
    <sheetDataSet>
      <sheetData sheetId="0" refreshError="1">
        <row r="326">
          <cell r="DK326" t="str">
            <v>Comparable Company Analysis</v>
          </cell>
          <cell r="FQ326" t="str">
            <v>Comparable Company Analysis</v>
          </cell>
        </row>
        <row r="328">
          <cell r="DK328" t="str">
            <v>Selected European Companies in the Outdoor Advertising Industry</v>
          </cell>
          <cell r="FQ328" t="str">
            <v>Selected European Companies in the Outdoor Advertising Industry</v>
          </cell>
        </row>
        <row r="329">
          <cell r="DK329" t="str">
            <v>(figures in Local Currency Millions except per share data)</v>
          </cell>
          <cell r="FQ329" t="str">
            <v>(figures in Local Currency Millions except per share data)</v>
          </cell>
        </row>
        <row r="330">
          <cell r="GF330" t="str">
            <v>Market Value +</v>
          </cell>
          <cell r="GV330" t="str">
            <v>Market Value as</v>
          </cell>
        </row>
        <row r="331">
          <cell r="DS331" t="str">
            <v>Latest Twelve Months</v>
          </cell>
          <cell r="FB331" t="str">
            <v>Assets</v>
          </cell>
          <cell r="FL331" t="str">
            <v>Stock</v>
          </cell>
          <cell r="FY331" t="str">
            <v>5 YR</v>
          </cell>
          <cell r="GC331" t="str">
            <v>Market</v>
          </cell>
          <cell r="GF331" t="str">
            <v>Net Debt</v>
          </cell>
          <cell r="GV331" t="str">
            <v>a Multiple of:</v>
          </cell>
        </row>
        <row r="332">
          <cell r="DO332" t="str">
            <v>LTM</v>
          </cell>
          <cell r="DQ332" t="str">
            <v>Order</v>
          </cell>
          <cell r="DU332" t="str">
            <v>EBITDA -</v>
          </cell>
          <cell r="DY332" t="str">
            <v>Free</v>
          </cell>
          <cell r="EA332" t="str">
            <v>FCF</v>
          </cell>
          <cell r="EC332" t="str">
            <v>Gross</v>
          </cell>
          <cell r="EE332" t="str">
            <v xml:space="preserve">Gross </v>
          </cell>
          <cell r="EI332" t="str">
            <v>EBITDA</v>
          </cell>
          <cell r="EM332" t="str">
            <v>EBITA</v>
          </cell>
          <cell r="EQ332" t="str">
            <v>EBIT</v>
          </cell>
          <cell r="ET332" t="str">
            <v>Net</v>
          </cell>
          <cell r="EX332" t="str">
            <v>Consensus</v>
          </cell>
          <cell r="EZ332" t="str">
            <v>Cash</v>
          </cell>
          <cell r="FB332" t="str">
            <v>Less</v>
          </cell>
          <cell r="FD332" t="str">
            <v>Net</v>
          </cell>
          <cell r="FF332" t="str">
            <v>Book</v>
          </cell>
          <cell r="FH332" t="str">
            <v>EPS (a)</v>
          </cell>
          <cell r="FL332" t="str">
            <v>Price</v>
          </cell>
          <cell r="FN332" t="str">
            <v xml:space="preserve">Shares </v>
          </cell>
          <cell r="FS332" t="str">
            <v>Net</v>
          </cell>
          <cell r="FU332" t="str">
            <v>Net</v>
          </cell>
          <cell r="FW332" t="str">
            <v>Div.</v>
          </cell>
          <cell r="FY332" t="str">
            <v>Rev</v>
          </cell>
          <cell r="GA332" t="str">
            <v>Market</v>
          </cell>
          <cell r="GC332" t="str">
            <v xml:space="preserve"> Value +</v>
          </cell>
          <cell r="GM332" t="str">
            <v>as a Multiple of:</v>
          </cell>
          <cell r="GV332" t="str">
            <v>Consensus</v>
          </cell>
          <cell r="GX332" t="str">
            <v>Cash</v>
          </cell>
          <cell r="HA332" t="str">
            <v>FY1</v>
          </cell>
          <cell r="HD332" t="str">
            <v>FY2</v>
          </cell>
          <cell r="HG332" t="str">
            <v>Book</v>
          </cell>
          <cell r="HJ332" t="str">
            <v>Net Inc.</v>
          </cell>
        </row>
        <row r="333">
          <cell r="DN333" t="str">
            <v>LC</v>
          </cell>
          <cell r="DO333" t="str">
            <v>as of</v>
          </cell>
          <cell r="DQ333" t="str">
            <v>Backlog</v>
          </cell>
          <cell r="DS333" t="str">
            <v>Revenue</v>
          </cell>
          <cell r="DU333" t="str">
            <v>Capex</v>
          </cell>
          <cell r="DW333" t="str">
            <v>Marg.</v>
          </cell>
          <cell r="DY333" t="str">
            <v>Cash Flow</v>
          </cell>
          <cell r="EA333" t="str">
            <v>Marg.</v>
          </cell>
          <cell r="EC333" t="str">
            <v>Profit</v>
          </cell>
          <cell r="EE333" t="str">
            <v>Marg.</v>
          </cell>
          <cell r="EG333" t="str">
            <v xml:space="preserve">EBITDA </v>
          </cell>
          <cell r="EI333" t="str">
            <v>Marg.</v>
          </cell>
          <cell r="EK333" t="str">
            <v xml:space="preserve">EBITA </v>
          </cell>
          <cell r="EM333" t="str">
            <v>Marg.</v>
          </cell>
          <cell r="EO333" t="str">
            <v>EBIT</v>
          </cell>
          <cell r="EQ333" t="str">
            <v>Marg.</v>
          </cell>
          <cell r="ET333" t="str">
            <v>Inc.</v>
          </cell>
          <cell r="EV333" t="str">
            <v>EPS</v>
          </cell>
          <cell r="EX333" t="str">
            <v>EPS</v>
          </cell>
          <cell r="EZ333" t="str">
            <v>EPS</v>
          </cell>
          <cell r="FB333" t="str">
            <v>Cash</v>
          </cell>
          <cell r="FD333" t="str">
            <v>Cap</v>
          </cell>
          <cell r="FF333" t="str">
            <v>Value</v>
          </cell>
          <cell r="FH333" t="str">
            <v>FY1</v>
          </cell>
          <cell r="FJ333" t="str">
            <v>FY2</v>
          </cell>
          <cell r="FL333">
            <v>36696</v>
          </cell>
          <cell r="FN333" t="str">
            <v>Outs. (m)</v>
          </cell>
          <cell r="FS333" t="str">
            <v xml:space="preserve">Debt </v>
          </cell>
          <cell r="FU333" t="str">
            <v>Gearing</v>
          </cell>
          <cell r="FW333" t="str">
            <v>Yield</v>
          </cell>
          <cell r="FY333" t="str">
            <v>Grwth</v>
          </cell>
          <cell r="GA333" t="str">
            <v>Value</v>
          </cell>
          <cell r="GC333" t="str">
            <v>Net Debt</v>
          </cell>
          <cell r="GF333" t="str">
            <v>Rev.</v>
          </cell>
          <cell r="GH333" t="str">
            <v>EBITDA - Capex</v>
          </cell>
          <cell r="GJ333" t="str">
            <v>FCF</v>
          </cell>
          <cell r="GL333" t="str">
            <v>EBITDA</v>
          </cell>
          <cell r="GN333" t="str">
            <v>EBITA</v>
          </cell>
          <cell r="GP333" t="str">
            <v>EBIT</v>
          </cell>
          <cell r="GT333" t="str">
            <v>EPS</v>
          </cell>
          <cell r="GV333" t="str">
            <v>EPS</v>
          </cell>
          <cell r="GX333" t="str">
            <v>EPS</v>
          </cell>
          <cell r="HA333" t="str">
            <v>EPS</v>
          </cell>
          <cell r="HD333" t="str">
            <v>EPS</v>
          </cell>
          <cell r="HG333" t="str">
            <v>Value</v>
          </cell>
          <cell r="HJ333" t="str">
            <v>+ DA</v>
          </cell>
        </row>
        <row r="335">
          <cell r="DK335" t="str">
            <v>Giraudy</v>
          </cell>
          <cell r="DM335" t="str">
            <v>option</v>
          </cell>
          <cell r="DN335" t="str">
            <v>FRF</v>
          </cell>
          <cell r="DO335">
            <v>35338</v>
          </cell>
          <cell r="DQ335">
            <v>0</v>
          </cell>
          <cell r="DS335">
            <v>1221.7639999999999</v>
          </cell>
          <cell r="EC335" t="e">
            <v>#VALUE!</v>
          </cell>
          <cell r="EE335" t="e">
            <v>#VALUE!</v>
          </cell>
          <cell r="EG335">
            <v>136.42500000000001</v>
          </cell>
          <cell r="EI335">
            <v>0.11166231776349608</v>
          </cell>
          <cell r="EK335">
            <v>0</v>
          </cell>
          <cell r="EM335">
            <v>0</v>
          </cell>
          <cell r="EO335">
            <v>71.548000000000002</v>
          </cell>
          <cell r="EQ335">
            <v>5.8561227863973733E-2</v>
          </cell>
          <cell r="ET335">
            <v>35.148492506459945</v>
          </cell>
          <cell r="EV335">
            <v>18.394339484821241</v>
          </cell>
          <cell r="EX335">
            <v>0</v>
          </cell>
          <cell r="EZ335">
            <v>0</v>
          </cell>
          <cell r="FB335">
            <v>1124.452</v>
          </cell>
          <cell r="FD335">
            <v>596.90899999999999</v>
          </cell>
          <cell r="FF335">
            <v>510.41</v>
          </cell>
          <cell r="FH335" t="str">
            <v>NA</v>
          </cell>
          <cell r="FJ335">
            <v>28.2</v>
          </cell>
          <cell r="FL335">
            <v>390</v>
          </cell>
          <cell r="FN335">
            <v>1.910852</v>
          </cell>
          <cell r="FQ335" t="str">
            <v>Giraudy</v>
          </cell>
          <cell r="FS335">
            <v>86.498999999999995</v>
          </cell>
          <cell r="FU335">
            <v>0.14491153592926223</v>
          </cell>
          <cell r="FW335" t="e">
            <v>#VALUE!</v>
          </cell>
          <cell r="FY335" t="e">
            <v>#VALUE!</v>
          </cell>
          <cell r="GA335">
            <v>745.23227999999995</v>
          </cell>
          <cell r="GC335">
            <v>831.73127999999997</v>
          </cell>
          <cell r="GF335">
            <v>0.68076263500970735</v>
          </cell>
          <cell r="GG335" t="str">
            <v>x</v>
          </cell>
          <cell r="GL335">
            <v>6.0966192413413953</v>
          </cell>
          <cell r="GM335" t="str">
            <v>x</v>
          </cell>
          <cell r="GN335" t="e">
            <v>#DIV/0!</v>
          </cell>
          <cell r="GO335" t="str">
            <v>x</v>
          </cell>
          <cell r="GP335">
            <v>11.624801252306144</v>
          </cell>
          <cell r="GQ335" t="str">
            <v>x</v>
          </cell>
          <cell r="GT335">
            <v>21.202174740866486</v>
          </cell>
          <cell r="GU335" t="str">
            <v>x</v>
          </cell>
          <cell r="GV335" t="e">
            <v>#DIV/0!</v>
          </cell>
          <cell r="GW335" t="str">
            <v>x</v>
          </cell>
          <cell r="HA335" t="str">
            <v>NA</v>
          </cell>
          <cell r="HD335">
            <v>13.829787234042554</v>
          </cell>
          <cell r="HE335" t="str">
            <v>x</v>
          </cell>
          <cell r="HG335">
            <v>1.4600659861679823</v>
          </cell>
          <cell r="HH335" t="str">
            <v>x</v>
          </cell>
          <cell r="HJ335">
            <v>7.2416985406060537</v>
          </cell>
          <cell r="HK335" t="str">
            <v>x</v>
          </cell>
        </row>
        <row r="336">
          <cell r="DK336" t="str">
            <v xml:space="preserve"> -</v>
          </cell>
          <cell r="DL336" t="str">
            <v>French second largest outdoor advertising operator</v>
          </cell>
          <cell r="ET336" t="str">
            <v xml:space="preserve"> </v>
          </cell>
          <cell r="EW336">
            <v>0</v>
          </cell>
          <cell r="EY336">
            <v>0</v>
          </cell>
          <cell r="FA336">
            <v>0</v>
          </cell>
          <cell r="FL336">
            <v>0</v>
          </cell>
          <cell r="FN336">
            <v>0</v>
          </cell>
          <cell r="FQ336" t="str">
            <v xml:space="preserve"> -</v>
          </cell>
          <cell r="FR336" t="str">
            <v>French second largest outdoor advertising operator</v>
          </cell>
        </row>
        <row r="337">
          <cell r="DL337">
            <v>0</v>
          </cell>
          <cell r="EW337">
            <v>0</v>
          </cell>
          <cell r="EY337">
            <v>0</v>
          </cell>
          <cell r="FA337">
            <v>0</v>
          </cell>
          <cell r="FL337">
            <v>0</v>
          </cell>
          <cell r="FN337">
            <v>0</v>
          </cell>
          <cell r="FR337">
            <v>0</v>
          </cell>
        </row>
        <row r="338">
          <cell r="EW338">
            <v>0</v>
          </cell>
          <cell r="EY338">
            <v>0</v>
          </cell>
          <cell r="FA338">
            <v>0</v>
          </cell>
          <cell r="FL338">
            <v>0</v>
          </cell>
          <cell r="FN338">
            <v>0</v>
          </cell>
        </row>
        <row r="339">
          <cell r="DO339" t="str">
            <v>FY1</v>
          </cell>
          <cell r="DS339">
            <v>1270</v>
          </cell>
          <cell r="EG339">
            <v>143.87700000000001</v>
          </cell>
          <cell r="EI339">
            <v>0.11328897637795277</v>
          </cell>
          <cell r="EK339">
            <v>0</v>
          </cell>
          <cell r="EM339">
            <v>0</v>
          </cell>
          <cell r="EO339">
            <v>79</v>
          </cell>
          <cell r="EQ339">
            <v>6.2204724409448818E-2</v>
          </cell>
          <cell r="ET339">
            <v>44</v>
          </cell>
          <cell r="FH339" t="str">
            <v>NA</v>
          </cell>
          <cell r="GF339">
            <v>0.65490651968503932</v>
          </cell>
          <cell r="GL339">
            <v>5.7808494755937359</v>
          </cell>
          <cell r="GN339">
            <v>0</v>
          </cell>
          <cell r="GP339">
            <v>10.52824405063291</v>
          </cell>
          <cell r="GT339" t="str">
            <v>NA</v>
          </cell>
          <cell r="GV339" t="str">
            <v>NA</v>
          </cell>
        </row>
        <row r="340">
          <cell r="DO340" t="str">
            <v>FY2</v>
          </cell>
          <cell r="DS340">
            <v>1320</v>
          </cell>
          <cell r="EG340">
            <v>156.87700000000001</v>
          </cell>
          <cell r="EI340">
            <v>0.11884621212121213</v>
          </cell>
          <cell r="EK340">
            <v>0</v>
          </cell>
          <cell r="EM340">
            <v>0</v>
          </cell>
          <cell r="EO340">
            <v>92</v>
          </cell>
          <cell r="EQ340">
            <v>6.9696969696969702E-2</v>
          </cell>
          <cell r="ET340">
            <v>52</v>
          </cell>
          <cell r="FJ340">
            <v>28.2</v>
          </cell>
          <cell r="GF340">
            <v>0.63009945454545457</v>
          </cell>
          <cell r="GL340">
            <v>5.3018051084607682</v>
          </cell>
          <cell r="GN340">
            <v>1.3697098451389276</v>
          </cell>
          <cell r="GP340">
            <v>9.0405573913043469</v>
          </cell>
          <cell r="GT340">
            <v>13.829787234042554</v>
          </cell>
          <cell r="GV340">
            <v>0</v>
          </cell>
        </row>
        <row r="342">
          <cell r="DK342" t="str">
            <v>Dauphin  O.T.A.</v>
          </cell>
          <cell r="DM342" t="str">
            <v>option</v>
          </cell>
          <cell r="DN342" t="str">
            <v>FRF</v>
          </cell>
          <cell r="DO342">
            <v>35611</v>
          </cell>
          <cell r="DQ342">
            <v>0</v>
          </cell>
          <cell r="DS342">
            <v>1410.9905429999999</v>
          </cell>
          <cell r="EC342" t="e">
            <v>#VALUE!</v>
          </cell>
          <cell r="EE342" t="e">
            <v>#VALUE!</v>
          </cell>
          <cell r="EG342">
            <v>250.51607800000005</v>
          </cell>
          <cell r="EI342">
            <v>0.1775462487986357</v>
          </cell>
          <cell r="EK342">
            <v>0</v>
          </cell>
          <cell r="EM342">
            <v>0</v>
          </cell>
          <cell r="EO342">
            <v>187.85408400000006</v>
          </cell>
          <cell r="EQ342">
            <v>0.13313631684631361</v>
          </cell>
          <cell r="ET342">
            <v>69.937694433668995</v>
          </cell>
          <cell r="EV342">
            <v>21.979162298450341</v>
          </cell>
          <cell r="EX342">
            <v>0</v>
          </cell>
          <cell r="EZ342">
            <v>0</v>
          </cell>
          <cell r="FB342" t="e">
            <v>#VALUE!</v>
          </cell>
          <cell r="FD342">
            <v>750.73310500000002</v>
          </cell>
          <cell r="FF342">
            <v>567.54972199999997</v>
          </cell>
          <cell r="FH342">
            <v>20.73</v>
          </cell>
          <cell r="FJ342">
            <v>24.03</v>
          </cell>
          <cell r="FL342">
            <v>610</v>
          </cell>
          <cell r="FN342">
            <v>3.1819999999999999</v>
          </cell>
          <cell r="FQ342" t="str">
            <v>Dauphin  O.T.A.</v>
          </cell>
          <cell r="FS342">
            <v>183.18338299999999</v>
          </cell>
          <cell r="FU342">
            <v>0.24400600130721556</v>
          </cell>
          <cell r="FW342" t="e">
            <v>#VALUE!</v>
          </cell>
          <cell r="FY342">
            <v>0.40790857019100812</v>
          </cell>
          <cell r="GA342">
            <v>1941.02</v>
          </cell>
          <cell r="GC342">
            <v>2124.203383</v>
          </cell>
          <cell r="GF342">
            <v>1.5054696103657728</v>
          </cell>
          <cell r="GL342">
            <v>8.4793095914586356</v>
          </cell>
          <cell r="GN342" t="e">
            <v>#DIV/0!</v>
          </cell>
          <cell r="GP342">
            <v>11.307730648006563</v>
          </cell>
          <cell r="GT342">
            <v>27.75356001820909</v>
          </cell>
          <cell r="GV342" t="e">
            <v>#DIV/0!</v>
          </cell>
          <cell r="HA342">
            <v>29.42595272551857</v>
          </cell>
          <cell r="HD342">
            <v>25.384935497295047</v>
          </cell>
          <cell r="HG342">
            <v>3.4199999132410817</v>
          </cell>
          <cell r="HJ342">
            <v>12.871822021776817</v>
          </cell>
        </row>
        <row r="343">
          <cell r="DK343" t="str">
            <v xml:space="preserve"> -</v>
          </cell>
          <cell r="DL343" t="str">
            <v>French largest outdoor advertising operator</v>
          </cell>
          <cell r="FL343">
            <v>0</v>
          </cell>
          <cell r="FN343">
            <v>0</v>
          </cell>
          <cell r="FQ343" t="str">
            <v xml:space="preserve"> -</v>
          </cell>
          <cell r="FR343" t="str">
            <v>French largest outdoor advertising operator</v>
          </cell>
        </row>
        <row r="344">
          <cell r="DL344">
            <v>0</v>
          </cell>
          <cell r="EV344" t="str">
            <v xml:space="preserve"> </v>
          </cell>
          <cell r="EX344" t="str">
            <v xml:space="preserve"> </v>
          </cell>
          <cell r="EZ344" t="str">
            <v xml:space="preserve"> </v>
          </cell>
          <cell r="FL344">
            <v>0</v>
          </cell>
          <cell r="FN344">
            <v>0</v>
          </cell>
          <cell r="FR344">
            <v>0</v>
          </cell>
        </row>
        <row r="345">
          <cell r="FL345">
            <v>0</v>
          </cell>
          <cell r="FN345">
            <v>0</v>
          </cell>
        </row>
        <row r="346">
          <cell r="DO346" t="str">
            <v>FY1</v>
          </cell>
          <cell r="DS346">
            <v>1419</v>
          </cell>
          <cell r="EG346">
            <v>217</v>
          </cell>
          <cell r="EI346">
            <v>0.1529245947850599</v>
          </cell>
          <cell r="EK346">
            <v>0</v>
          </cell>
          <cell r="EM346">
            <v>0</v>
          </cell>
          <cell r="EO346">
            <v>148</v>
          </cell>
          <cell r="EQ346">
            <v>0.10429880197322058</v>
          </cell>
          <cell r="ET346">
            <v>76</v>
          </cell>
          <cell r="FH346">
            <v>20.73</v>
          </cell>
          <cell r="GF346">
            <v>1.4969720810429881</v>
          </cell>
          <cell r="GL346">
            <v>9.78895568202765</v>
          </cell>
          <cell r="GN346">
            <v>0</v>
          </cell>
          <cell r="GP346">
            <v>14.352725560810811</v>
          </cell>
          <cell r="GT346">
            <v>29.42595272551857</v>
          </cell>
          <cell r="GV346">
            <v>0</v>
          </cell>
        </row>
        <row r="347">
          <cell r="DO347" t="str">
            <v>FY2</v>
          </cell>
          <cell r="DS347">
            <v>1569</v>
          </cell>
          <cell r="EG347">
            <v>255</v>
          </cell>
          <cell r="EI347">
            <v>0.16252390057361377</v>
          </cell>
          <cell r="EK347">
            <v>0</v>
          </cell>
          <cell r="EM347">
            <v>0</v>
          </cell>
          <cell r="EO347">
            <v>178</v>
          </cell>
          <cell r="EQ347">
            <v>0.11344805608667942</v>
          </cell>
          <cell r="ET347">
            <v>86</v>
          </cell>
          <cell r="FJ347">
            <v>24.03</v>
          </cell>
          <cell r="GF347">
            <v>1.3538581153601019</v>
          </cell>
          <cell r="GL347">
            <v>8.330209345098039</v>
          </cell>
          <cell r="GN347" t="str">
            <v>NM</v>
          </cell>
          <cell r="GP347">
            <v>11.933726870786517</v>
          </cell>
          <cell r="GT347">
            <v>25.384935497295047</v>
          </cell>
          <cell r="GV347">
            <v>0</v>
          </cell>
        </row>
        <row r="349">
          <cell r="DK349" t="str">
            <v>Affichage Holding</v>
          </cell>
          <cell r="DN349" t="str">
            <v>CHF</v>
          </cell>
          <cell r="DO349">
            <v>36160</v>
          </cell>
          <cell r="DQ349" t="e">
            <v>#VALUE!</v>
          </cell>
          <cell r="DS349">
            <v>246.7</v>
          </cell>
          <cell r="DU349" t="str">
            <v>n.a.</v>
          </cell>
          <cell r="DW349" t="str">
            <v>n.a.</v>
          </cell>
          <cell r="DY349" t="str">
            <v>n.a.</v>
          </cell>
          <cell r="EA349" t="str">
            <v>n.a.</v>
          </cell>
          <cell r="EC349" t="e">
            <v>#VALUE!</v>
          </cell>
          <cell r="EE349" t="e">
            <v>#VALUE!</v>
          </cell>
          <cell r="EG349">
            <v>49.108850000000004</v>
          </cell>
          <cell r="EI349">
            <v>0.19906303202269965</v>
          </cell>
          <cell r="EK349">
            <v>29.208850000000002</v>
          </cell>
          <cell r="EM349">
            <v>0.11839825699229835</v>
          </cell>
          <cell r="EO349">
            <v>29.05</v>
          </cell>
          <cell r="EQ349">
            <v>0.11775435751925416</v>
          </cell>
          <cell r="ET349">
            <v>22.8</v>
          </cell>
          <cell r="EV349">
            <v>30</v>
          </cell>
          <cell r="EZ349">
            <v>75.199999999999989</v>
          </cell>
          <cell r="FB349">
            <v>0</v>
          </cell>
          <cell r="FD349">
            <v>46.300000000000011</v>
          </cell>
          <cell r="FF349">
            <v>186.3</v>
          </cell>
          <cell r="FH349">
            <v>0</v>
          </cell>
          <cell r="FJ349">
            <v>0</v>
          </cell>
          <cell r="FL349">
            <v>780</v>
          </cell>
          <cell r="FN349">
            <v>0.75</v>
          </cell>
          <cell r="FQ349" t="str">
            <v>Affichage Holding</v>
          </cell>
          <cell r="FS349">
            <v>-140</v>
          </cell>
          <cell r="FU349">
            <v>-3.023758099352051</v>
          </cell>
          <cell r="FW349" t="e">
            <v>#VALUE!</v>
          </cell>
          <cell r="FY349">
            <v>-0.20704938559910802</v>
          </cell>
          <cell r="GA349">
            <v>585</v>
          </cell>
          <cell r="GC349">
            <v>445</v>
          </cell>
          <cell r="GE349" t="str">
            <v>LTM</v>
          </cell>
          <cell r="GF349">
            <v>1.8038102959059588</v>
          </cell>
          <cell r="GH349" t="str">
            <v>n.m.</v>
          </cell>
          <cell r="GJ349" t="str">
            <v>n.m.</v>
          </cell>
          <cell r="GL349">
            <v>9.0615031710170353</v>
          </cell>
          <cell r="GN349">
            <v>15.235108537309753</v>
          </cell>
          <cell r="GP349">
            <v>15.3184165232358</v>
          </cell>
          <cell r="GT349">
            <v>26</v>
          </cell>
          <cell r="GX349">
            <v>10.372340425531917</v>
          </cell>
          <cell r="HA349" t="e">
            <v>#DIV/0!</v>
          </cell>
          <cell r="HB349" t="str">
            <v>x (a)</v>
          </cell>
          <cell r="HD349" t="e">
            <v>#DIV/0!</v>
          </cell>
          <cell r="HE349" t="str">
            <v>x (a)</v>
          </cell>
          <cell r="HG349">
            <v>3.1400966183574877</v>
          </cell>
          <cell r="HH349" t="str">
            <v>x</v>
          </cell>
          <cell r="HJ349">
            <v>13.649456296657515</v>
          </cell>
        </row>
        <row r="350">
          <cell r="DK350" t="str">
            <v xml:space="preserve"> -</v>
          </cell>
          <cell r="DL350" t="str">
            <v>Swiss outdoor advertising operator</v>
          </cell>
          <cell r="FL350">
            <v>0</v>
          </cell>
          <cell r="FN350">
            <v>0</v>
          </cell>
        </row>
        <row r="351">
          <cell r="DL351">
            <v>0</v>
          </cell>
          <cell r="FL351">
            <v>0</v>
          </cell>
          <cell r="FN351">
            <v>0</v>
          </cell>
          <cell r="FR351">
            <v>0</v>
          </cell>
        </row>
        <row r="352">
          <cell r="FL352">
            <v>0</v>
          </cell>
          <cell r="FN352">
            <v>0</v>
          </cell>
        </row>
        <row r="353">
          <cell r="DO353" t="str">
            <v>FY1</v>
          </cell>
          <cell r="DS353">
            <v>268.66000000000003</v>
          </cell>
          <cell r="DU353" t="str">
            <v>n.a.</v>
          </cell>
          <cell r="DW353" t="str">
            <v>n.a.</v>
          </cell>
          <cell r="DY353" t="str">
            <v>n.a.</v>
          </cell>
          <cell r="EA353" t="str">
            <v>n.a.</v>
          </cell>
          <cell r="EG353">
            <v>53.856898459667612</v>
          </cell>
          <cell r="EI353">
            <v>0.20046489414005661</v>
          </cell>
          <cell r="EK353">
            <v>32.185499999999998</v>
          </cell>
          <cell r="EM353">
            <v>0.11980011910965531</v>
          </cell>
          <cell r="EO353">
            <v>32.01</v>
          </cell>
          <cell r="EQ353">
            <v>0.11914687709372439</v>
          </cell>
          <cell r="ET353">
            <v>25.4</v>
          </cell>
          <cell r="EV353">
            <v>33.200000000000003</v>
          </cell>
          <cell r="EX353">
            <v>32.6</v>
          </cell>
          <cell r="EZ353">
            <v>62.329197946223488</v>
          </cell>
          <cell r="GE353" t="str">
            <v>FY1</v>
          </cell>
          <cell r="GF353">
            <v>1.6563686443832351</v>
          </cell>
          <cell r="GH353" t="str">
            <v>n.m.</v>
          </cell>
          <cell r="GJ353" t="str">
            <v>n.m.</v>
          </cell>
          <cell r="GL353">
            <v>8.2626369643853863</v>
          </cell>
          <cell r="GN353">
            <v>13.826101816035171</v>
          </cell>
          <cell r="GP353">
            <v>13.901905654482976</v>
          </cell>
          <cell r="GT353">
            <v>23.493975903614455</v>
          </cell>
          <cell r="GV353">
            <v>23.926380368098158</v>
          </cell>
          <cell r="GX353">
            <v>12.514199214836198</v>
          </cell>
        </row>
        <row r="354">
          <cell r="DO354" t="str">
            <v>FY2</v>
          </cell>
          <cell r="DS354">
            <v>293.14999999999998</v>
          </cell>
          <cell r="DU354" t="str">
            <v>n.a.</v>
          </cell>
          <cell r="DW354" t="str">
            <v>n.a.</v>
          </cell>
          <cell r="DY354" t="str">
            <v>n.a.</v>
          </cell>
          <cell r="EA354" t="str">
            <v>n.a.</v>
          </cell>
          <cell r="EG354">
            <v>59.872378800162139</v>
          </cell>
          <cell r="EI354">
            <v>0.20423803104268171</v>
          </cell>
          <cell r="EK354">
            <v>36.225499999999997</v>
          </cell>
          <cell r="EM354">
            <v>0.12357325601228041</v>
          </cell>
          <cell r="EO354">
            <v>36.049999999999997</v>
          </cell>
          <cell r="EQ354">
            <v>0.12297458638922054</v>
          </cell>
          <cell r="ET354">
            <v>27.1</v>
          </cell>
          <cell r="EV354">
            <v>35.299999999999997</v>
          </cell>
          <cell r="EX354">
            <v>36.1</v>
          </cell>
          <cell r="EZ354">
            <v>67.06317173354951</v>
          </cell>
          <cell r="GE354" t="str">
            <v>FY2</v>
          </cell>
          <cell r="GF354">
            <v>1.5179942009210303</v>
          </cell>
          <cell r="GH354" t="str">
            <v>n.m.</v>
          </cell>
          <cell r="GJ354" t="str">
            <v>n.m.</v>
          </cell>
          <cell r="GL354">
            <v>7.4324756910910459</v>
          </cell>
          <cell r="GN354">
            <v>12.284164469779576</v>
          </cell>
          <cell r="GP354">
            <v>12.343966712898753</v>
          </cell>
          <cell r="GT354">
            <v>22.09631728045326</v>
          </cell>
          <cell r="GV354">
            <v>21.606648199445981</v>
          </cell>
          <cell r="GX354">
            <v>11.630824785607203</v>
          </cell>
        </row>
        <row r="355">
          <cell r="DO355" t="str">
            <v>FY3</v>
          </cell>
          <cell r="DS355">
            <v>280.2</v>
          </cell>
          <cell r="DW355">
            <v>0</v>
          </cell>
          <cell r="EG355">
            <v>58.775500000000001</v>
          </cell>
          <cell r="EI355">
            <v>0.20976266952177017</v>
          </cell>
          <cell r="EK355">
            <v>36.775500000000001</v>
          </cell>
          <cell r="EM355">
            <v>0.13124732334047109</v>
          </cell>
          <cell r="EO355">
            <v>36.6</v>
          </cell>
          <cell r="EQ355">
            <v>0.13062098501070665</v>
          </cell>
          <cell r="ET355">
            <v>28.8</v>
          </cell>
          <cell r="EV355">
            <v>37.5</v>
          </cell>
          <cell r="EX355">
            <v>34.799999999999997</v>
          </cell>
          <cell r="EZ355">
            <v>67.067333333333337</v>
          </cell>
          <cell r="GE355" t="str">
            <v>FY3</v>
          </cell>
          <cell r="GF355">
            <v>1.5881513204853677</v>
          </cell>
          <cell r="GL355">
            <v>7.5711818699968525</v>
          </cell>
          <cell r="GN355">
            <v>12.100447308670175</v>
          </cell>
          <cell r="GP355">
            <v>12.158469945355192</v>
          </cell>
          <cell r="GT355">
            <v>20.8</v>
          </cell>
          <cell r="GV355">
            <v>22.413793103448278</v>
          </cell>
          <cell r="GX355">
            <v>11.630103080486277</v>
          </cell>
        </row>
        <row r="357">
          <cell r="DK357" t="str">
            <v>Primesight Plc</v>
          </cell>
          <cell r="DM357" t="str">
            <v>option</v>
          </cell>
          <cell r="DN357" t="str">
            <v>GBP</v>
          </cell>
          <cell r="DO357">
            <v>35611</v>
          </cell>
          <cell r="DQ357" t="e">
            <v>#VALUE!</v>
          </cell>
          <cell r="DS357">
            <v>12.302000000000001</v>
          </cell>
          <cell r="EC357" t="e">
            <v>#VALUE!</v>
          </cell>
          <cell r="EE357" t="e">
            <v>#VALUE!</v>
          </cell>
          <cell r="EG357">
            <v>1.1850000000000001</v>
          </cell>
          <cell r="EI357">
            <v>9.6325800682815793E-2</v>
          </cell>
          <cell r="EK357">
            <v>0</v>
          </cell>
          <cell r="EM357">
            <v>0</v>
          </cell>
          <cell r="EO357">
            <v>0.80700000000000016</v>
          </cell>
          <cell r="EQ357">
            <v>6.5599089578930264E-2</v>
          </cell>
          <cell r="ET357">
            <v>0.48000000000000009</v>
          </cell>
          <cell r="EV357">
            <v>8.8764605155419798E-2</v>
          </cell>
          <cell r="EX357">
            <v>0</v>
          </cell>
          <cell r="FB357" t="e">
            <v>#VALUE!</v>
          </cell>
          <cell r="FD357">
            <v>0.95799999999999985</v>
          </cell>
          <cell r="FF357">
            <v>-0.78700000000000003</v>
          </cell>
          <cell r="FH357">
            <v>9.2999999999999999E-2</v>
          </cell>
          <cell r="FJ357">
            <v>0.1673</v>
          </cell>
          <cell r="FL357">
            <v>2.2999999999999998</v>
          </cell>
          <cell r="FN357">
            <v>6.0750000000000002</v>
          </cell>
          <cell r="FQ357" t="str">
            <v>Primesight Plc</v>
          </cell>
          <cell r="FS357">
            <v>1.7449999999999999</v>
          </cell>
          <cell r="FU357">
            <v>1.8215031315240084</v>
          </cell>
          <cell r="FW357" t="e">
            <v>#VALUE!</v>
          </cell>
          <cell r="FY357">
            <v>-0.59886822486581148</v>
          </cell>
          <cell r="GA357">
            <v>13.9725</v>
          </cell>
          <cell r="GC357">
            <v>15.717499999999999</v>
          </cell>
          <cell r="GF357">
            <v>1.2776377824743943</v>
          </cell>
          <cell r="GL357">
            <v>13.263713080168776</v>
          </cell>
          <cell r="GN357" t="e">
            <v>#DIV/0!</v>
          </cell>
          <cell r="GP357">
            <v>19.476456009913253</v>
          </cell>
          <cell r="GT357">
            <v>25.911228872959914</v>
          </cell>
          <cell r="GV357" t="e">
            <v>#DIV/0!</v>
          </cell>
          <cell r="HA357">
            <v>24.731182795698924</v>
          </cell>
          <cell r="HD357">
            <v>13.747758517632994</v>
          </cell>
          <cell r="HG357" t="str">
            <v>NM</v>
          </cell>
          <cell r="HJ357">
            <v>15.80599547511312</v>
          </cell>
        </row>
        <row r="358">
          <cell r="DK358" t="str">
            <v xml:space="preserve"> -</v>
          </cell>
          <cell r="DL358" t="str">
            <v>UK illuminated advertising panel operator</v>
          </cell>
          <cell r="FL358">
            <v>0</v>
          </cell>
          <cell r="FN358">
            <v>0</v>
          </cell>
          <cell r="FQ358" t="str">
            <v xml:space="preserve"> -</v>
          </cell>
          <cell r="FR358" t="str">
            <v>UK illuminated advertising panel operator</v>
          </cell>
        </row>
        <row r="359">
          <cell r="DL359">
            <v>0</v>
          </cell>
          <cell r="FL359">
            <v>0</v>
          </cell>
          <cell r="FN359">
            <v>0</v>
          </cell>
          <cell r="FR359">
            <v>0</v>
          </cell>
        </row>
        <row r="360">
          <cell r="FL360">
            <v>0</v>
          </cell>
          <cell r="FN360">
            <v>0</v>
          </cell>
        </row>
        <row r="361">
          <cell r="DO361" t="str">
            <v>FY1</v>
          </cell>
          <cell r="DS361">
            <v>0</v>
          </cell>
          <cell r="EG361">
            <v>0</v>
          </cell>
          <cell r="EI361">
            <v>0</v>
          </cell>
          <cell r="EK361">
            <v>0</v>
          </cell>
          <cell r="EM361" t="str">
            <v>n.a.</v>
          </cell>
          <cell r="EO361">
            <v>0</v>
          </cell>
          <cell r="EQ361">
            <v>0</v>
          </cell>
          <cell r="ET361">
            <v>0</v>
          </cell>
          <cell r="FH361">
            <v>9.2999999999999999E-2</v>
          </cell>
          <cell r="GF361">
            <v>0</v>
          </cell>
          <cell r="GL361">
            <v>0</v>
          </cell>
          <cell r="GN361">
            <v>0</v>
          </cell>
          <cell r="GP361">
            <v>0</v>
          </cell>
          <cell r="GT361">
            <v>24.731182795698924</v>
          </cell>
          <cell r="GV361" t="str">
            <v>NM</v>
          </cell>
        </row>
        <row r="362">
          <cell r="DO362" t="str">
            <v>FY2</v>
          </cell>
          <cell r="DS362">
            <v>0</v>
          </cell>
          <cell r="EG362">
            <v>0</v>
          </cell>
          <cell r="EI362">
            <v>0</v>
          </cell>
          <cell r="EK362">
            <v>0</v>
          </cell>
          <cell r="EM362" t="str">
            <v>n.a.</v>
          </cell>
          <cell r="EO362">
            <v>0</v>
          </cell>
          <cell r="EQ362">
            <v>0</v>
          </cell>
          <cell r="ET362">
            <v>0</v>
          </cell>
          <cell r="FJ362">
            <v>0.1673</v>
          </cell>
          <cell r="GF362">
            <v>0</v>
          </cell>
          <cell r="GL362">
            <v>0</v>
          </cell>
          <cell r="GN362" t="str">
            <v>NM</v>
          </cell>
          <cell r="GP362">
            <v>0</v>
          </cell>
          <cell r="GT362">
            <v>13.747758517632994</v>
          </cell>
          <cell r="GV362">
            <v>0</v>
          </cell>
        </row>
        <row r="364">
          <cell r="DK364" t="str">
            <v>Maiden Group Plc</v>
          </cell>
          <cell r="DN364" t="str">
            <v>GBP</v>
          </cell>
          <cell r="DO364">
            <v>36160</v>
          </cell>
          <cell r="DQ364" t="e">
            <v>#VALUE!</v>
          </cell>
          <cell r="DS364">
            <v>65.323999999999998</v>
          </cell>
          <cell r="DU364">
            <v>6.8250000000000002</v>
          </cell>
          <cell r="DW364">
            <v>0.10447921131590228</v>
          </cell>
          <cell r="DY364">
            <v>6.3410000000000002</v>
          </cell>
          <cell r="EA364">
            <v>9.7069989590349653E-2</v>
          </cell>
          <cell r="EC364" t="e">
            <v>#VALUE!</v>
          </cell>
          <cell r="EE364" t="e">
            <v>#VALUE!</v>
          </cell>
          <cell r="EG364">
            <v>12.022</v>
          </cell>
          <cell r="EI364">
            <v>0.18403649500949115</v>
          </cell>
          <cell r="EK364">
            <v>8.875</v>
          </cell>
          <cell r="EM364">
            <v>0.13586124548404874</v>
          </cell>
          <cell r="EO364">
            <v>6.8390000000000004</v>
          </cell>
          <cell r="EQ364">
            <v>0.1046935276468067</v>
          </cell>
          <cell r="ET364">
            <v>2.39</v>
          </cell>
          <cell r="EV364">
            <v>6.0804166393069126E-2</v>
          </cell>
          <cell r="EZ364">
            <v>0.18404396302719361</v>
          </cell>
          <cell r="FB364" t="e">
            <v>#VALUE!</v>
          </cell>
          <cell r="FD364">
            <v>13.186999999999998</v>
          </cell>
          <cell r="FF364">
            <v>-10.111000000000001</v>
          </cell>
          <cell r="FH364">
            <v>0.11334</v>
          </cell>
          <cell r="FJ364">
            <v>0.14530000000000001</v>
          </cell>
          <cell r="FL364">
            <v>4.5</v>
          </cell>
          <cell r="FN364">
            <v>42.056220000000003</v>
          </cell>
          <cell r="FQ364" t="str">
            <v>Maiden Group Plc</v>
          </cell>
          <cell r="FS364">
            <v>23.297999999999998</v>
          </cell>
          <cell r="FU364">
            <v>1.7667399711837417</v>
          </cell>
          <cell r="FW364" t="e">
            <v>#VALUE!</v>
          </cell>
          <cell r="FY364">
            <v>-0.47474394807597475</v>
          </cell>
          <cell r="GA364">
            <v>189.25299000000001</v>
          </cell>
          <cell r="GC364">
            <v>212.55099000000001</v>
          </cell>
          <cell r="GE364" t="str">
            <v>LTM</v>
          </cell>
          <cell r="GF364">
            <v>3.2537963076357852</v>
          </cell>
          <cell r="GH364">
            <v>31.1430021978022</v>
          </cell>
          <cell r="GJ364">
            <v>33.520105661567577</v>
          </cell>
          <cell r="GL364">
            <v>17.680168857095325</v>
          </cell>
          <cell r="GN364">
            <v>23.949407323943664</v>
          </cell>
          <cell r="GP364">
            <v>31.079249890334843</v>
          </cell>
          <cell r="GT364">
            <v>74.008086401673637</v>
          </cell>
          <cell r="GX364">
            <v>24.450679750550133</v>
          </cell>
          <cell r="HA364">
            <v>39.703546850185283</v>
          </cell>
          <cell r="HB364" t="str">
            <v>(a)</v>
          </cell>
          <cell r="HD364">
            <v>30.97040605643496</v>
          </cell>
          <cell r="HE364" t="str">
            <v>(a)</v>
          </cell>
          <cell r="HG364" t="str">
            <v>NM</v>
          </cell>
          <cell r="HJ364">
            <v>24.990491218803644</v>
          </cell>
        </row>
        <row r="365">
          <cell r="DK365" t="str">
            <v xml:space="preserve"> -</v>
          </cell>
          <cell r="DL365" t="str">
            <v>UK main large advertising panel operator</v>
          </cell>
          <cell r="FL365">
            <v>0</v>
          </cell>
          <cell r="FN365">
            <v>0</v>
          </cell>
        </row>
        <row r="366">
          <cell r="DL366">
            <v>0</v>
          </cell>
          <cell r="FL366">
            <v>0</v>
          </cell>
          <cell r="FN366">
            <v>0</v>
          </cell>
          <cell r="FR366">
            <v>0</v>
          </cell>
        </row>
        <row r="367">
          <cell r="FL367">
            <v>0</v>
          </cell>
          <cell r="FN367">
            <v>0</v>
          </cell>
        </row>
        <row r="368">
          <cell r="DO368" t="str">
            <v>FY1</v>
          </cell>
          <cell r="DS368">
            <v>67</v>
          </cell>
          <cell r="DU368">
            <v>5.2696619925295458</v>
          </cell>
          <cell r="DW368">
            <v>7.8651671530291734E-2</v>
          </cell>
          <cell r="DY368">
            <v>5.2696619925295458</v>
          </cell>
          <cell r="EA368">
            <v>7.8651671530291734E-2</v>
          </cell>
          <cell r="EG368">
            <v>10.600000000000001</v>
          </cell>
          <cell r="EI368">
            <v>0.15820895522388062</v>
          </cell>
          <cell r="EK368">
            <v>6.9</v>
          </cell>
          <cell r="EM368">
            <v>0.10298507462686568</v>
          </cell>
          <cell r="EO368">
            <v>3.4</v>
          </cell>
          <cell r="EQ368">
            <v>5.0746268656716415E-2</v>
          </cell>
          <cell r="ET368">
            <v>5.0999999999999996</v>
          </cell>
          <cell r="EV368">
            <v>8.1097829930434143E-2</v>
          </cell>
          <cell r="EX368">
            <v>8.6959999999999996E-2</v>
          </cell>
          <cell r="EZ368">
            <v>0.25229723872180909</v>
          </cell>
          <cell r="GE368" t="str">
            <v>FY1</v>
          </cell>
          <cell r="GF368">
            <v>3.1724028358208956</v>
          </cell>
          <cell r="GH368">
            <v>40.334843164764571</v>
          </cell>
          <cell r="GJ368">
            <v>40.334843164764571</v>
          </cell>
          <cell r="GL368">
            <v>20.051980188679245</v>
          </cell>
          <cell r="GN368">
            <v>30.804491304347827</v>
          </cell>
          <cell r="GP368">
            <v>62.514997058823532</v>
          </cell>
          <cell r="GT368">
            <v>55.488537780358705</v>
          </cell>
          <cell r="GV368">
            <v>51.747930082796692</v>
          </cell>
          <cell r="GX368">
            <v>17.836104837286157</v>
          </cell>
        </row>
        <row r="369">
          <cell r="DO369" t="str">
            <v>FY2</v>
          </cell>
          <cell r="DS369">
            <v>79.599999999999994</v>
          </cell>
          <cell r="DU369">
            <v>5.6024640985873395</v>
          </cell>
          <cell r="DW369">
            <v>7.038271480637362E-2</v>
          </cell>
          <cell r="DY369">
            <v>5.6024640985873395</v>
          </cell>
          <cell r="EA369">
            <v>7.038271480637362E-2</v>
          </cell>
          <cell r="EG369">
            <v>11.935223880597015</v>
          </cell>
          <cell r="EI369">
            <v>0.15820895522388062</v>
          </cell>
          <cell r="EK369">
            <v>7.5394029850746263</v>
          </cell>
          <cell r="EM369">
            <v>9.4716117902947566E-2</v>
          </cell>
          <cell r="EO369">
            <v>4.0394029850746263</v>
          </cell>
          <cell r="EQ369">
            <v>5.0746268656716415E-2</v>
          </cell>
          <cell r="ET369">
            <v>5.9</v>
          </cell>
          <cell r="EV369">
            <v>0.10015582364001235</v>
          </cell>
          <cell r="EX369">
            <v>0.1273</v>
          </cell>
          <cell r="EZ369">
            <v>0.28790024992279256</v>
          </cell>
          <cell r="GE369" t="str">
            <v>FY2</v>
          </cell>
          <cell r="GF369">
            <v>2.6702385678391964</v>
          </cell>
          <cell r="GH369">
            <v>37.93884017098739</v>
          </cell>
          <cell r="GJ369">
            <v>37.93884017098739</v>
          </cell>
          <cell r="GL369">
            <v>17.808714115999301</v>
          </cell>
          <cell r="GN369">
            <v>28.192018707685001</v>
          </cell>
          <cell r="GP369">
            <v>52.619407072125341</v>
          </cell>
          <cell r="GT369">
            <v>44.929988456529905</v>
          </cell>
          <cell r="GV369">
            <v>35.349567949725056</v>
          </cell>
          <cell r="GX369">
            <v>15.630413663089158</v>
          </cell>
        </row>
        <row r="370">
          <cell r="DO370" t="str">
            <v>FY3</v>
          </cell>
          <cell r="DS370" t="e">
            <v>#REF!</v>
          </cell>
          <cell r="EG370">
            <v>11.935223880597015</v>
          </cell>
          <cell r="EI370">
            <v>0</v>
          </cell>
          <cell r="EK370" t="e">
            <v>#REF!</v>
          </cell>
          <cell r="EM370">
            <v>9.4716117902947566E-2</v>
          </cell>
          <cell r="EO370" t="e">
            <v>#REF!</v>
          </cell>
          <cell r="EQ370" t="e">
            <v>#REF!</v>
          </cell>
          <cell r="ET370">
            <v>5.9</v>
          </cell>
          <cell r="EV370">
            <v>0.10015582364001235</v>
          </cell>
          <cell r="EX370">
            <v>0.1182</v>
          </cell>
          <cell r="EZ370" t="e">
            <v>#REF!</v>
          </cell>
          <cell r="GE370" t="str">
            <v>FY3</v>
          </cell>
          <cell r="GF370" t="e">
            <v>#REF!</v>
          </cell>
          <cell r="GL370">
            <v>17.808714115999301</v>
          </cell>
          <cell r="GN370" t="e">
            <v>#REF!</v>
          </cell>
          <cell r="GP370" t="e">
            <v>#REF!</v>
          </cell>
          <cell r="GT370">
            <v>44.929988456529905</v>
          </cell>
          <cell r="GV370">
            <v>38.071065989847718</v>
          </cell>
          <cell r="GX370" t="e">
            <v>#REF!</v>
          </cell>
        </row>
        <row r="372">
          <cell r="DK372" t="str">
            <v>More Group Plc</v>
          </cell>
          <cell r="DM372" t="str">
            <v>option</v>
          </cell>
          <cell r="DN372" t="str">
            <v>GBP</v>
          </cell>
          <cell r="DO372">
            <v>35795</v>
          </cell>
          <cell r="DQ372" t="e">
            <v>#VALUE!</v>
          </cell>
          <cell r="DS372">
            <v>145.649</v>
          </cell>
          <cell r="EC372" t="e">
            <v>#VALUE!</v>
          </cell>
          <cell r="EE372" t="e">
            <v>#VALUE!</v>
          </cell>
          <cell r="EG372">
            <v>39.027000000000001</v>
          </cell>
          <cell r="EI372">
            <v>0.2679524061270589</v>
          </cell>
          <cell r="EK372">
            <v>0</v>
          </cell>
          <cell r="EM372">
            <v>0</v>
          </cell>
          <cell r="EO372">
            <v>28.427</v>
          </cell>
          <cell r="EQ372">
            <v>0.1951747008218388</v>
          </cell>
          <cell r="ET372">
            <v>18.015000000000001</v>
          </cell>
          <cell r="EV372">
            <v>0.4330203976764147</v>
          </cell>
          <cell r="EX372">
            <v>0</v>
          </cell>
          <cell r="EZ372">
            <v>0</v>
          </cell>
          <cell r="FB372" t="e">
            <v>#VALUE!</v>
          </cell>
          <cell r="FD372">
            <v>60.052999999999997</v>
          </cell>
          <cell r="FF372">
            <v>23.481999999999999</v>
          </cell>
          <cell r="FH372">
            <v>0.50749999999999995</v>
          </cell>
          <cell r="FJ372">
            <v>0.58650000000000002</v>
          </cell>
          <cell r="FL372">
            <v>11.1</v>
          </cell>
          <cell r="FN372">
            <v>42.352004000000001</v>
          </cell>
          <cell r="FQ372" t="str">
            <v>More Group Plc</v>
          </cell>
          <cell r="FS372">
            <v>36.570999999999998</v>
          </cell>
          <cell r="FU372">
            <v>0.60897873545035219</v>
          </cell>
          <cell r="FW372" t="e">
            <v>#VALUE!</v>
          </cell>
          <cell r="FY372" t="e">
            <v>#VALUE!</v>
          </cell>
          <cell r="GA372">
            <v>470.10724440000001</v>
          </cell>
          <cell r="GC372">
            <v>506.67824440000004</v>
          </cell>
          <cell r="GF372">
            <v>3.4787622599537245</v>
          </cell>
          <cell r="GL372">
            <v>12.982761790555257</v>
          </cell>
          <cell r="GN372" t="e">
            <v>#DIV/0!</v>
          </cell>
          <cell r="GP372">
            <v>17.823838055369897</v>
          </cell>
          <cell r="GT372">
            <v>25.633896369691922</v>
          </cell>
          <cell r="GV372" t="e">
            <v>#DIV/0!</v>
          </cell>
          <cell r="HA372">
            <v>21.871921182266011</v>
          </cell>
          <cell r="HD372">
            <v>18.925831202046034</v>
          </cell>
          <cell r="HG372">
            <v>20.019897981432589</v>
          </cell>
          <cell r="HJ372">
            <v>16.428699786825092</v>
          </cell>
        </row>
        <row r="373">
          <cell r="DK373" t="str">
            <v xml:space="preserve"> -</v>
          </cell>
          <cell r="DL373" t="str">
            <v>UK  andd international outdoor advertising operator</v>
          </cell>
          <cell r="FL373">
            <v>0</v>
          </cell>
          <cell r="FN373">
            <v>0</v>
          </cell>
          <cell r="FQ373" t="str">
            <v xml:space="preserve"> -</v>
          </cell>
          <cell r="FR373" t="str">
            <v>UK  andd international outdoor advertising operator</v>
          </cell>
        </row>
        <row r="374">
          <cell r="DL374">
            <v>0</v>
          </cell>
          <cell r="FL374">
            <v>0</v>
          </cell>
          <cell r="FN374">
            <v>0</v>
          </cell>
          <cell r="FR374">
            <v>0</v>
          </cell>
        </row>
        <row r="375">
          <cell r="FL375">
            <v>0</v>
          </cell>
          <cell r="FN375">
            <v>0</v>
          </cell>
        </row>
        <row r="376">
          <cell r="DO376" t="str">
            <v>FY1</v>
          </cell>
          <cell r="DS376">
            <v>172.6</v>
          </cell>
          <cell r="EG376">
            <v>48.400000000000006</v>
          </cell>
          <cell r="EI376">
            <v>0.28041714947856322</v>
          </cell>
          <cell r="EK376">
            <v>0</v>
          </cell>
          <cell r="EM376">
            <v>0</v>
          </cell>
          <cell r="EO376">
            <v>35.200000000000003</v>
          </cell>
          <cell r="EQ376">
            <v>0.20393974507531867</v>
          </cell>
          <cell r="ET376">
            <v>23.9</v>
          </cell>
          <cell r="FH376">
            <v>0.50749999999999995</v>
          </cell>
          <cell r="GF376">
            <v>2.935563409038239</v>
          </cell>
          <cell r="GL376">
            <v>10.468558768595042</v>
          </cell>
          <cell r="GN376">
            <v>0</v>
          </cell>
          <cell r="GP376">
            <v>14.394268306818182</v>
          </cell>
          <cell r="GT376">
            <v>21.871921182266011</v>
          </cell>
          <cell r="GV376">
            <v>0</v>
          </cell>
        </row>
        <row r="377">
          <cell r="DO377" t="str">
            <v>FY2</v>
          </cell>
          <cell r="DS377">
            <v>199</v>
          </cell>
          <cell r="EG377">
            <v>54.7</v>
          </cell>
          <cell r="EI377">
            <v>0.27487437185929647</v>
          </cell>
          <cell r="EK377">
            <v>0</v>
          </cell>
          <cell r="EM377">
            <v>0</v>
          </cell>
          <cell r="EO377">
            <v>40.200000000000003</v>
          </cell>
          <cell r="EQ377">
            <v>0.20201005025125629</v>
          </cell>
          <cell r="ET377">
            <v>27.1</v>
          </cell>
          <cell r="FJ377">
            <v>0.58650000000000002</v>
          </cell>
          <cell r="GF377">
            <v>2.5461218311557792</v>
          </cell>
          <cell r="GL377">
            <v>9.2628563875685561</v>
          </cell>
          <cell r="GN377" t="str">
            <v>NM</v>
          </cell>
          <cell r="GP377">
            <v>12.603936427860697</v>
          </cell>
          <cell r="GT377">
            <v>18.925831202046034</v>
          </cell>
          <cell r="GV377">
            <v>0</v>
          </cell>
        </row>
        <row r="379">
          <cell r="DK379">
            <v>0</v>
          </cell>
          <cell r="DM379" t="str">
            <v>option</v>
          </cell>
          <cell r="DO379">
            <v>0</v>
          </cell>
          <cell r="DQ379">
            <v>0</v>
          </cell>
          <cell r="DS379">
            <v>0</v>
          </cell>
          <cell r="EC379" t="e">
            <v>#VALUE!</v>
          </cell>
          <cell r="EE379" t="e">
            <v>#VALUE!</v>
          </cell>
          <cell r="EG379">
            <v>0</v>
          </cell>
          <cell r="EI379" t="e">
            <v>#DIV/0!</v>
          </cell>
          <cell r="EK379">
            <v>0</v>
          </cell>
          <cell r="EM379">
            <v>0</v>
          </cell>
          <cell r="EO379">
            <v>0</v>
          </cell>
          <cell r="EQ379" t="e">
            <v>#DIV/0!</v>
          </cell>
          <cell r="ET379">
            <v>0</v>
          </cell>
          <cell r="FB379">
            <v>0</v>
          </cell>
          <cell r="FD379">
            <v>0</v>
          </cell>
          <cell r="FF379">
            <v>0</v>
          </cell>
          <cell r="FJ379">
            <v>0</v>
          </cell>
          <cell r="FL379">
            <v>0</v>
          </cell>
          <cell r="FN379">
            <v>0</v>
          </cell>
          <cell r="FQ379">
            <v>0</v>
          </cell>
          <cell r="FS379">
            <v>0</v>
          </cell>
          <cell r="FU379" t="e">
            <v>#DIV/0!</v>
          </cell>
          <cell r="FW379" t="e">
            <v>#DIV/0!</v>
          </cell>
          <cell r="FY379" t="e">
            <v>#DIV/0!</v>
          </cell>
          <cell r="GA379">
            <v>0</v>
          </cell>
          <cell r="GC379">
            <v>0</v>
          </cell>
          <cell r="GF379" t="e">
            <v>#DIV/0!</v>
          </cell>
          <cell r="GL379" t="e">
            <v>#DIV/0!</v>
          </cell>
          <cell r="GN379" t="e">
            <v>#DIV/0!</v>
          </cell>
          <cell r="GP379" t="e">
            <v>#DIV/0!</v>
          </cell>
          <cell r="GT379" t="e">
            <v>#DIV/0!</v>
          </cell>
          <cell r="GV379" t="e">
            <v>#DIV/0!</v>
          </cell>
          <cell r="HA379" t="e">
            <v>#DIV/0!</v>
          </cell>
          <cell r="HD379" t="e">
            <v>#DIV/0!</v>
          </cell>
          <cell r="HG379" t="e">
            <v>#DIV/0!</v>
          </cell>
          <cell r="HJ379" t="e">
            <v>#DIV/0!</v>
          </cell>
        </row>
        <row r="380">
          <cell r="DK380" t="str">
            <v xml:space="preserve"> -</v>
          </cell>
          <cell r="DL380">
            <v>0</v>
          </cell>
          <cell r="FL380">
            <v>0</v>
          </cell>
          <cell r="FN380">
            <v>0</v>
          </cell>
          <cell r="FQ380" t="str">
            <v xml:space="preserve"> -</v>
          </cell>
          <cell r="FR380">
            <v>0</v>
          </cell>
        </row>
        <row r="381">
          <cell r="DL381">
            <v>0</v>
          </cell>
          <cell r="FL381">
            <v>0</v>
          </cell>
          <cell r="FN381">
            <v>0</v>
          </cell>
          <cell r="FR381">
            <v>0</v>
          </cell>
        </row>
        <row r="382">
          <cell r="FL382">
            <v>0</v>
          </cell>
          <cell r="FN382">
            <v>0</v>
          </cell>
        </row>
        <row r="383">
          <cell r="DO383" t="str">
            <v>FY1</v>
          </cell>
          <cell r="DS383">
            <v>0</v>
          </cell>
          <cell r="EG383">
            <v>0</v>
          </cell>
          <cell r="EI383">
            <v>0</v>
          </cell>
          <cell r="EK383">
            <v>0</v>
          </cell>
          <cell r="EM383">
            <v>0</v>
          </cell>
          <cell r="EO383">
            <v>0</v>
          </cell>
          <cell r="EQ383">
            <v>0</v>
          </cell>
          <cell r="ET383">
            <v>0</v>
          </cell>
          <cell r="GF383">
            <v>0</v>
          </cell>
          <cell r="GL383">
            <v>0</v>
          </cell>
          <cell r="GN383">
            <v>0</v>
          </cell>
          <cell r="GP383">
            <v>0</v>
          </cell>
          <cell r="GT383">
            <v>0</v>
          </cell>
          <cell r="GV383">
            <v>0</v>
          </cell>
        </row>
        <row r="384">
          <cell r="DO384" t="str">
            <v>FY2</v>
          </cell>
          <cell r="DS384">
            <v>0</v>
          </cell>
          <cell r="EG384">
            <v>0</v>
          </cell>
          <cell r="EI384">
            <v>0</v>
          </cell>
          <cell r="EK384">
            <v>0</v>
          </cell>
          <cell r="EM384">
            <v>0</v>
          </cell>
          <cell r="EO384">
            <v>0</v>
          </cell>
          <cell r="EQ384">
            <v>0</v>
          </cell>
          <cell r="ET384">
            <v>0</v>
          </cell>
          <cell r="FJ384">
            <v>0</v>
          </cell>
          <cell r="GF384">
            <v>0</v>
          </cell>
          <cell r="GL384">
            <v>0</v>
          </cell>
          <cell r="GN384">
            <v>0</v>
          </cell>
          <cell r="GP384">
            <v>0</v>
          </cell>
          <cell r="GT384">
            <v>0</v>
          </cell>
          <cell r="GV384">
            <v>0</v>
          </cell>
        </row>
        <row r="386">
          <cell r="DK386">
            <v>0</v>
          </cell>
          <cell r="DM386" t="str">
            <v>option</v>
          </cell>
          <cell r="DO386">
            <v>0</v>
          </cell>
          <cell r="DQ386" t="e">
            <v>#VALUE!</v>
          </cell>
          <cell r="DS386">
            <v>0</v>
          </cell>
          <cell r="EC386" t="e">
            <v>#VALUE!</v>
          </cell>
          <cell r="EE386" t="e">
            <v>#VALUE!</v>
          </cell>
          <cell r="EG386">
            <v>0</v>
          </cell>
          <cell r="EI386" t="e">
            <v>#DIV/0!</v>
          </cell>
          <cell r="EK386">
            <v>0</v>
          </cell>
          <cell r="EM386">
            <v>0</v>
          </cell>
          <cell r="EO386">
            <v>0</v>
          </cell>
          <cell r="EQ386" t="e">
            <v>#DIV/0!</v>
          </cell>
          <cell r="ET386">
            <v>0</v>
          </cell>
          <cell r="FB386" t="e">
            <v>#VALUE!</v>
          </cell>
          <cell r="FD386">
            <v>0</v>
          </cell>
          <cell r="FF386">
            <v>0</v>
          </cell>
          <cell r="FJ386">
            <v>0</v>
          </cell>
          <cell r="FL386">
            <v>0</v>
          </cell>
          <cell r="FN386">
            <v>0</v>
          </cell>
          <cell r="FQ386">
            <v>0</v>
          </cell>
          <cell r="FS386">
            <v>0</v>
          </cell>
          <cell r="FU386" t="e">
            <v>#DIV/0!</v>
          </cell>
          <cell r="FW386" t="e">
            <v>#DIV/0!</v>
          </cell>
          <cell r="FY386" t="e">
            <v>#VALUE!</v>
          </cell>
          <cell r="GA386">
            <v>0</v>
          </cell>
          <cell r="GC386">
            <v>0</v>
          </cell>
          <cell r="GF386" t="e">
            <v>#DIV/0!</v>
          </cell>
          <cell r="GL386" t="e">
            <v>#DIV/0!</v>
          </cell>
          <cell r="GN386" t="e">
            <v>#DIV/0!</v>
          </cell>
          <cell r="GP386" t="e">
            <v>#DIV/0!</v>
          </cell>
          <cell r="GT386" t="e">
            <v>#DIV/0!</v>
          </cell>
          <cell r="GV386" t="e">
            <v>#DIV/0!</v>
          </cell>
          <cell r="HA386" t="e">
            <v>#DIV/0!</v>
          </cell>
          <cell r="HB386" t="str">
            <v>x</v>
          </cell>
          <cell r="HD386" t="e">
            <v>#DIV/0!</v>
          </cell>
          <cell r="HE386" t="str">
            <v>x</v>
          </cell>
          <cell r="HG386" t="e">
            <v>#DIV/0!</v>
          </cell>
          <cell r="HH386" t="str">
            <v>x</v>
          </cell>
          <cell r="HJ386" t="e">
            <v>#DIV/0!</v>
          </cell>
          <cell r="HK386" t="str">
            <v>x</v>
          </cell>
        </row>
        <row r="387">
          <cell r="DK387" t="str">
            <v xml:space="preserve"> -</v>
          </cell>
          <cell r="DL387">
            <v>0</v>
          </cell>
          <cell r="FL387">
            <v>0</v>
          </cell>
          <cell r="FN387">
            <v>0</v>
          </cell>
          <cell r="FQ387" t="str">
            <v xml:space="preserve"> -</v>
          </cell>
          <cell r="FR387">
            <v>0</v>
          </cell>
        </row>
        <row r="388">
          <cell r="DL388">
            <v>0</v>
          </cell>
          <cell r="FL388">
            <v>0</v>
          </cell>
          <cell r="FN388">
            <v>0</v>
          </cell>
          <cell r="FR388">
            <v>0</v>
          </cell>
        </row>
        <row r="389">
          <cell r="FL389">
            <v>0</v>
          </cell>
          <cell r="FN389">
            <v>0</v>
          </cell>
        </row>
        <row r="390">
          <cell r="DO390" t="str">
            <v>FY1</v>
          </cell>
          <cell r="DS390">
            <v>0</v>
          </cell>
          <cell r="EG390">
            <v>0</v>
          </cell>
          <cell r="EI390">
            <v>0</v>
          </cell>
          <cell r="EK390">
            <v>0</v>
          </cell>
          <cell r="EM390">
            <v>0</v>
          </cell>
          <cell r="EO390">
            <v>0</v>
          </cell>
          <cell r="EQ390">
            <v>0</v>
          </cell>
          <cell r="ET390">
            <v>0</v>
          </cell>
          <cell r="GF390">
            <v>0</v>
          </cell>
          <cell r="GL390">
            <v>0</v>
          </cell>
          <cell r="GN390">
            <v>0</v>
          </cell>
          <cell r="GP390">
            <v>0</v>
          </cell>
          <cell r="GT390">
            <v>0</v>
          </cell>
          <cell r="GV390">
            <v>0</v>
          </cell>
        </row>
        <row r="391">
          <cell r="DO391" t="str">
            <v>FY2</v>
          </cell>
          <cell r="DS391">
            <v>0</v>
          </cell>
          <cell r="EG391">
            <v>0</v>
          </cell>
          <cell r="EI391">
            <v>0</v>
          </cell>
          <cell r="EK391">
            <v>0</v>
          </cell>
          <cell r="EM391">
            <v>0</v>
          </cell>
          <cell r="EO391">
            <v>0</v>
          </cell>
          <cell r="EQ391">
            <v>0</v>
          </cell>
          <cell r="ET391">
            <v>0</v>
          </cell>
          <cell r="FJ391">
            <v>0</v>
          </cell>
          <cell r="GF391">
            <v>0</v>
          </cell>
          <cell r="GL391">
            <v>0</v>
          </cell>
          <cell r="GN391">
            <v>0</v>
          </cell>
          <cell r="GP391">
            <v>0</v>
          </cell>
          <cell r="GT391">
            <v>0</v>
          </cell>
          <cell r="GV391">
            <v>0</v>
          </cell>
        </row>
        <row r="393">
          <cell r="DK393">
            <v>0</v>
          </cell>
          <cell r="DM393" t="str">
            <v>option</v>
          </cell>
          <cell r="DO393">
            <v>0</v>
          </cell>
          <cell r="DQ393" t="e">
            <v>#VALUE!</v>
          </cell>
          <cell r="DS393">
            <v>0</v>
          </cell>
          <cell r="EC393">
            <v>0</v>
          </cell>
          <cell r="EE393" t="e">
            <v>#DIV/0!</v>
          </cell>
          <cell r="EG393">
            <v>0</v>
          </cell>
          <cell r="EI393" t="e">
            <v>#DIV/0!</v>
          </cell>
          <cell r="EK393">
            <v>0</v>
          </cell>
          <cell r="EM393">
            <v>0</v>
          </cell>
          <cell r="EO393">
            <v>0</v>
          </cell>
          <cell r="EQ393" t="e">
            <v>#DIV/0!</v>
          </cell>
          <cell r="ET393">
            <v>0</v>
          </cell>
          <cell r="FB393" t="e">
            <v>#VALUE!</v>
          </cell>
          <cell r="FD393">
            <v>0</v>
          </cell>
          <cell r="FF393">
            <v>0</v>
          </cell>
          <cell r="FJ393">
            <v>0</v>
          </cell>
          <cell r="FL393">
            <v>0</v>
          </cell>
          <cell r="FN393">
            <v>0</v>
          </cell>
          <cell r="FQ393">
            <v>0</v>
          </cell>
          <cell r="FS393">
            <v>0</v>
          </cell>
          <cell r="FU393" t="e">
            <v>#DIV/0!</v>
          </cell>
          <cell r="FW393" t="e">
            <v>#VALUE!</v>
          </cell>
          <cell r="FY393" t="e">
            <v>#VALUE!</v>
          </cell>
          <cell r="GA393">
            <v>0</v>
          </cell>
          <cell r="GC393">
            <v>0</v>
          </cell>
          <cell r="GF393" t="e">
            <v>#DIV/0!</v>
          </cell>
          <cell r="GL393" t="e">
            <v>#DIV/0!</v>
          </cell>
          <cell r="GN393" t="e">
            <v>#DIV/0!</v>
          </cell>
          <cell r="GP393" t="e">
            <v>#DIV/0!</v>
          </cell>
          <cell r="GT393" t="e">
            <v>#DIV/0!</v>
          </cell>
          <cell r="GV393" t="e">
            <v>#DIV/0!</v>
          </cell>
          <cell r="HA393" t="e">
            <v>#DIV/0!</v>
          </cell>
          <cell r="HD393" t="e">
            <v>#DIV/0!</v>
          </cell>
          <cell r="HG393" t="e">
            <v>#DIV/0!</v>
          </cell>
          <cell r="HJ393" t="e">
            <v>#DIV/0!</v>
          </cell>
        </row>
        <row r="394">
          <cell r="DK394" t="str">
            <v xml:space="preserve"> -</v>
          </cell>
          <cell r="DL394">
            <v>0</v>
          </cell>
          <cell r="FL394">
            <v>0</v>
          </cell>
          <cell r="FN394">
            <v>0</v>
          </cell>
          <cell r="FQ394" t="str">
            <v xml:space="preserve"> -</v>
          </cell>
          <cell r="FR394">
            <v>0</v>
          </cell>
        </row>
        <row r="395">
          <cell r="DL395">
            <v>0</v>
          </cell>
          <cell r="FL395">
            <v>0</v>
          </cell>
          <cell r="FN395">
            <v>0</v>
          </cell>
          <cell r="FR395">
            <v>0</v>
          </cell>
        </row>
        <row r="396">
          <cell r="FL396">
            <v>0</v>
          </cell>
          <cell r="FN396">
            <v>0</v>
          </cell>
        </row>
        <row r="397">
          <cell r="DO397" t="str">
            <v>FY1</v>
          </cell>
          <cell r="DS397">
            <v>0</v>
          </cell>
          <cell r="EG397">
            <v>0</v>
          </cell>
          <cell r="EI397">
            <v>0</v>
          </cell>
          <cell r="EK397">
            <v>0</v>
          </cell>
          <cell r="EM397">
            <v>0</v>
          </cell>
          <cell r="EO397">
            <v>0</v>
          </cell>
          <cell r="EQ397">
            <v>0</v>
          </cell>
          <cell r="ET397">
            <v>0</v>
          </cell>
          <cell r="GF397">
            <v>0</v>
          </cell>
          <cell r="GL397">
            <v>0</v>
          </cell>
          <cell r="GN397">
            <v>0</v>
          </cell>
          <cell r="GP397">
            <v>0</v>
          </cell>
          <cell r="GT397">
            <v>0</v>
          </cell>
          <cell r="GV397">
            <v>0</v>
          </cell>
        </row>
        <row r="398">
          <cell r="DO398" t="str">
            <v>FY2</v>
          </cell>
          <cell r="DS398">
            <v>0</v>
          </cell>
          <cell r="EG398">
            <v>0</v>
          </cell>
          <cell r="EI398">
            <v>0</v>
          </cell>
          <cell r="EK398">
            <v>0</v>
          </cell>
          <cell r="EM398">
            <v>0</v>
          </cell>
          <cell r="EO398">
            <v>0</v>
          </cell>
          <cell r="EQ398">
            <v>0</v>
          </cell>
          <cell r="ET398">
            <v>0</v>
          </cell>
          <cell r="FJ398">
            <v>0</v>
          </cell>
          <cell r="GF398">
            <v>0</v>
          </cell>
          <cell r="GL398">
            <v>0</v>
          </cell>
          <cell r="GN398">
            <v>0</v>
          </cell>
          <cell r="GP398">
            <v>0</v>
          </cell>
          <cell r="GT398">
            <v>0</v>
          </cell>
          <cell r="GV398">
            <v>0</v>
          </cell>
        </row>
        <row r="400">
          <cell r="DK400">
            <v>0</v>
          </cell>
          <cell r="DM400" t="str">
            <v>option</v>
          </cell>
          <cell r="DO400">
            <v>0</v>
          </cell>
          <cell r="DQ400" t="e">
            <v>#VALUE!</v>
          </cell>
          <cell r="DS400">
            <v>0</v>
          </cell>
          <cell r="EC400" t="e">
            <v>#VALUE!</v>
          </cell>
          <cell r="EE400" t="e">
            <v>#VALUE!</v>
          </cell>
          <cell r="EG400">
            <v>0</v>
          </cell>
          <cell r="EI400" t="e">
            <v>#DIV/0!</v>
          </cell>
          <cell r="EK400">
            <v>0</v>
          </cell>
          <cell r="EM400">
            <v>0</v>
          </cell>
          <cell r="EO400">
            <v>0</v>
          </cell>
          <cell r="EQ400" t="e">
            <v>#DIV/0!</v>
          </cell>
          <cell r="ET400">
            <v>0</v>
          </cell>
          <cell r="FB400" t="e">
            <v>#VALUE!</v>
          </cell>
          <cell r="FD400">
            <v>0</v>
          </cell>
          <cell r="FF400">
            <v>0</v>
          </cell>
          <cell r="FJ400">
            <v>0</v>
          </cell>
          <cell r="FL400">
            <v>0</v>
          </cell>
          <cell r="FN400">
            <v>0</v>
          </cell>
          <cell r="FQ400">
            <v>0</v>
          </cell>
          <cell r="FS400">
            <v>0</v>
          </cell>
          <cell r="FU400" t="e">
            <v>#DIV/0!</v>
          </cell>
          <cell r="FW400" t="e">
            <v>#VALUE!</v>
          </cell>
          <cell r="FY400" t="e">
            <v>#VALUE!</v>
          </cell>
          <cell r="GA400">
            <v>0</v>
          </cell>
          <cell r="GC400">
            <v>0</v>
          </cell>
          <cell r="GF400" t="e">
            <v>#DIV/0!</v>
          </cell>
          <cell r="GL400" t="e">
            <v>#DIV/0!</v>
          </cell>
          <cell r="GN400" t="e">
            <v>#DIV/0!</v>
          </cell>
          <cell r="GP400" t="e">
            <v>#DIV/0!</v>
          </cell>
          <cell r="GT400" t="e">
            <v>#DIV/0!</v>
          </cell>
          <cell r="GV400" t="e">
            <v>#DIV/0!</v>
          </cell>
          <cell r="HA400" t="e">
            <v>#DIV/0!</v>
          </cell>
          <cell r="HD400" t="e">
            <v>#DIV/0!</v>
          </cell>
          <cell r="HG400" t="e">
            <v>#DIV/0!</v>
          </cell>
          <cell r="HJ400" t="e">
            <v>#DIV/0!</v>
          </cell>
        </row>
        <row r="401">
          <cell r="DK401" t="str">
            <v xml:space="preserve"> -</v>
          </cell>
          <cell r="DL401">
            <v>0</v>
          </cell>
          <cell r="FL401">
            <v>0</v>
          </cell>
          <cell r="FN401">
            <v>0</v>
          </cell>
          <cell r="FQ401" t="str">
            <v xml:space="preserve"> -</v>
          </cell>
          <cell r="FR401">
            <v>0</v>
          </cell>
        </row>
        <row r="402">
          <cell r="DL402">
            <v>0</v>
          </cell>
          <cell r="FL402">
            <v>0</v>
          </cell>
          <cell r="FN402">
            <v>0</v>
          </cell>
          <cell r="FR402">
            <v>0</v>
          </cell>
        </row>
        <row r="403">
          <cell r="FL403">
            <v>0</v>
          </cell>
          <cell r="FN403">
            <v>0</v>
          </cell>
        </row>
        <row r="404">
          <cell r="DO404" t="str">
            <v>FY1</v>
          </cell>
          <cell r="DS404">
            <v>0</v>
          </cell>
          <cell r="EG404">
            <v>0</v>
          </cell>
          <cell r="EI404">
            <v>0</v>
          </cell>
          <cell r="EK404">
            <v>0</v>
          </cell>
          <cell r="EM404">
            <v>0</v>
          </cell>
          <cell r="EO404">
            <v>0</v>
          </cell>
          <cell r="EQ404">
            <v>0</v>
          </cell>
          <cell r="ET404">
            <v>0</v>
          </cell>
          <cell r="GF404">
            <v>0</v>
          </cell>
          <cell r="GL404">
            <v>0</v>
          </cell>
          <cell r="GN404">
            <v>0</v>
          </cell>
          <cell r="GP404">
            <v>0</v>
          </cell>
          <cell r="GT404">
            <v>0</v>
          </cell>
          <cell r="GV404">
            <v>0</v>
          </cell>
        </row>
        <row r="405">
          <cell r="DO405" t="str">
            <v>FY2</v>
          </cell>
          <cell r="DS405">
            <v>0</v>
          </cell>
          <cell r="EG405">
            <v>0</v>
          </cell>
          <cell r="EI405">
            <v>0</v>
          </cell>
          <cell r="EK405">
            <v>0</v>
          </cell>
          <cell r="EM405">
            <v>0</v>
          </cell>
          <cell r="EO405">
            <v>0</v>
          </cell>
          <cell r="EQ405">
            <v>0</v>
          </cell>
          <cell r="ET405">
            <v>0</v>
          </cell>
          <cell r="FJ405">
            <v>0</v>
          </cell>
          <cell r="GF405">
            <v>0</v>
          </cell>
          <cell r="GL405">
            <v>0</v>
          </cell>
          <cell r="GN405">
            <v>0</v>
          </cell>
          <cell r="GP405">
            <v>0</v>
          </cell>
          <cell r="GT405">
            <v>0</v>
          </cell>
          <cell r="GV405">
            <v>0</v>
          </cell>
        </row>
        <row r="407">
          <cell r="DK407">
            <v>0</v>
          </cell>
          <cell r="DM407" t="str">
            <v>option</v>
          </cell>
          <cell r="DO407">
            <v>0</v>
          </cell>
          <cell r="DQ407" t="e">
            <v>#VALUE!</v>
          </cell>
          <cell r="DS407">
            <v>0</v>
          </cell>
          <cell r="EC407" t="e">
            <v>#VALUE!</v>
          </cell>
          <cell r="EE407" t="e">
            <v>#VALUE!</v>
          </cell>
          <cell r="EG407">
            <v>0</v>
          </cell>
          <cell r="EI407" t="e">
            <v>#DIV/0!</v>
          </cell>
          <cell r="EK407">
            <v>0</v>
          </cell>
          <cell r="EM407">
            <v>0</v>
          </cell>
          <cell r="EO407">
            <v>0</v>
          </cell>
          <cell r="EQ407" t="e">
            <v>#DIV/0!</v>
          </cell>
          <cell r="ET407">
            <v>0</v>
          </cell>
          <cell r="FB407" t="e">
            <v>#VALUE!</v>
          </cell>
          <cell r="FD407">
            <v>0</v>
          </cell>
          <cell r="FF407">
            <v>0</v>
          </cell>
          <cell r="FJ407">
            <v>0</v>
          </cell>
          <cell r="FL407">
            <v>0</v>
          </cell>
          <cell r="FN407">
            <v>0</v>
          </cell>
          <cell r="FQ407">
            <v>0</v>
          </cell>
          <cell r="FS407">
            <v>0</v>
          </cell>
          <cell r="FU407" t="e">
            <v>#DIV/0!</v>
          </cell>
          <cell r="FW407" t="e">
            <v>#VALUE!</v>
          </cell>
          <cell r="FY407" t="e">
            <v>#VALUE!</v>
          </cell>
          <cell r="GA407">
            <v>0</v>
          </cell>
          <cell r="GC407">
            <v>0</v>
          </cell>
          <cell r="GF407" t="e">
            <v>#DIV/0!</v>
          </cell>
          <cell r="GL407" t="e">
            <v>#DIV/0!</v>
          </cell>
          <cell r="GN407" t="e">
            <v>#DIV/0!</v>
          </cell>
          <cell r="GP407" t="e">
            <v>#DIV/0!</v>
          </cell>
          <cell r="GT407" t="e">
            <v>#DIV/0!</v>
          </cell>
          <cell r="GV407" t="e">
            <v>#DIV/0!</v>
          </cell>
          <cell r="HA407" t="e">
            <v>#DIV/0!</v>
          </cell>
          <cell r="HD407" t="e">
            <v>#DIV/0!</v>
          </cell>
          <cell r="HG407" t="e">
            <v>#DIV/0!</v>
          </cell>
          <cell r="HJ407" t="e">
            <v>#DIV/0!</v>
          </cell>
        </row>
        <row r="408">
          <cell r="DK408" t="str">
            <v xml:space="preserve"> -</v>
          </cell>
          <cell r="DL408">
            <v>0</v>
          </cell>
          <cell r="FL408">
            <v>0</v>
          </cell>
          <cell r="FN408">
            <v>0</v>
          </cell>
          <cell r="FQ408" t="str">
            <v xml:space="preserve"> -</v>
          </cell>
          <cell r="FR408">
            <v>0</v>
          </cell>
        </row>
        <row r="409">
          <cell r="DL409">
            <v>0</v>
          </cell>
          <cell r="FL409">
            <v>0</v>
          </cell>
          <cell r="FN409">
            <v>0</v>
          </cell>
          <cell r="FR409">
            <v>0</v>
          </cell>
        </row>
        <row r="410">
          <cell r="FL410">
            <v>0</v>
          </cell>
          <cell r="FN410">
            <v>0</v>
          </cell>
        </row>
        <row r="411">
          <cell r="DO411" t="str">
            <v>FY1</v>
          </cell>
          <cell r="DS411">
            <v>0</v>
          </cell>
          <cell r="EG411">
            <v>0</v>
          </cell>
          <cell r="EI411">
            <v>0</v>
          </cell>
          <cell r="EK411">
            <v>0</v>
          </cell>
          <cell r="EM411">
            <v>0</v>
          </cell>
          <cell r="EO411">
            <v>0</v>
          </cell>
          <cell r="EQ411">
            <v>0</v>
          </cell>
          <cell r="ET411">
            <v>0</v>
          </cell>
          <cell r="GF411">
            <v>0</v>
          </cell>
          <cell r="GL411">
            <v>0</v>
          </cell>
          <cell r="GN411">
            <v>0</v>
          </cell>
          <cell r="GP411">
            <v>0</v>
          </cell>
          <cell r="GT411">
            <v>0</v>
          </cell>
          <cell r="GV411">
            <v>0</v>
          </cell>
        </row>
        <row r="412">
          <cell r="DO412" t="str">
            <v>FY2</v>
          </cell>
          <cell r="DS412">
            <v>0</v>
          </cell>
          <cell r="EG412">
            <v>0</v>
          </cell>
          <cell r="EI412">
            <v>0</v>
          </cell>
          <cell r="EK412">
            <v>0</v>
          </cell>
          <cell r="EM412">
            <v>0</v>
          </cell>
          <cell r="EO412">
            <v>0</v>
          </cell>
          <cell r="EQ412">
            <v>0</v>
          </cell>
          <cell r="ET412">
            <v>0</v>
          </cell>
          <cell r="FJ412">
            <v>0</v>
          </cell>
          <cell r="GF412">
            <v>0</v>
          </cell>
          <cell r="GL412">
            <v>0</v>
          </cell>
          <cell r="GN412">
            <v>0</v>
          </cell>
          <cell r="GP412">
            <v>0</v>
          </cell>
          <cell r="GT412">
            <v>0</v>
          </cell>
          <cell r="GV412">
            <v>0</v>
          </cell>
        </row>
        <row r="414">
          <cell r="DK414">
            <v>0</v>
          </cell>
          <cell r="DM414" t="str">
            <v>option</v>
          </cell>
          <cell r="DO414">
            <v>0</v>
          </cell>
          <cell r="DQ414" t="e">
            <v>#VALUE!</v>
          </cell>
          <cell r="DS414">
            <v>0</v>
          </cell>
          <cell r="EC414" t="e">
            <v>#VALUE!</v>
          </cell>
          <cell r="EE414" t="e">
            <v>#VALUE!</v>
          </cell>
          <cell r="EG414">
            <v>0</v>
          </cell>
          <cell r="EI414" t="e">
            <v>#DIV/0!</v>
          </cell>
          <cell r="EK414">
            <v>0</v>
          </cell>
          <cell r="EM414">
            <v>0</v>
          </cell>
          <cell r="EO414">
            <v>0</v>
          </cell>
          <cell r="EQ414" t="e">
            <v>#DIV/0!</v>
          </cell>
          <cell r="ET414">
            <v>0</v>
          </cell>
          <cell r="FB414" t="e">
            <v>#VALUE!</v>
          </cell>
          <cell r="FD414">
            <v>0</v>
          </cell>
          <cell r="FF414">
            <v>0</v>
          </cell>
          <cell r="FJ414">
            <v>0</v>
          </cell>
          <cell r="FL414">
            <v>0</v>
          </cell>
          <cell r="FN414">
            <v>0</v>
          </cell>
          <cell r="FQ414">
            <v>0</v>
          </cell>
          <cell r="FS414">
            <v>0</v>
          </cell>
          <cell r="FU414" t="e">
            <v>#DIV/0!</v>
          </cell>
          <cell r="FW414" t="e">
            <v>#VALUE!</v>
          </cell>
          <cell r="FY414" t="e">
            <v>#VALUE!</v>
          </cell>
          <cell r="GA414">
            <v>0</v>
          </cell>
          <cell r="GC414">
            <v>0</v>
          </cell>
          <cell r="GF414" t="e">
            <v>#DIV/0!</v>
          </cell>
          <cell r="GL414" t="e">
            <v>#DIV/0!</v>
          </cell>
          <cell r="GN414" t="e">
            <v>#DIV/0!</v>
          </cell>
          <cell r="GP414" t="e">
            <v>#DIV/0!</v>
          </cell>
          <cell r="GT414" t="e">
            <v>#DIV/0!</v>
          </cell>
          <cell r="GV414" t="e">
            <v>#DIV/0!</v>
          </cell>
          <cell r="HA414" t="e">
            <v>#DIV/0!</v>
          </cell>
          <cell r="HD414" t="e">
            <v>#DIV/0!</v>
          </cell>
          <cell r="HG414" t="e">
            <v>#DIV/0!</v>
          </cell>
          <cell r="HJ414" t="e">
            <v>#DIV/0!</v>
          </cell>
        </row>
        <row r="415">
          <cell r="DK415" t="str">
            <v xml:space="preserve"> -</v>
          </cell>
          <cell r="DL415">
            <v>0</v>
          </cell>
          <cell r="FL415">
            <v>0</v>
          </cell>
          <cell r="FN415">
            <v>0</v>
          </cell>
          <cell r="FQ415" t="str">
            <v xml:space="preserve"> -</v>
          </cell>
          <cell r="FR415">
            <v>0</v>
          </cell>
        </row>
        <row r="416">
          <cell r="DL416">
            <v>0</v>
          </cell>
          <cell r="FL416">
            <v>0</v>
          </cell>
          <cell r="FN416">
            <v>0</v>
          </cell>
          <cell r="FR416">
            <v>0</v>
          </cell>
        </row>
        <row r="417">
          <cell r="FL417">
            <v>0</v>
          </cell>
          <cell r="FN417">
            <v>0</v>
          </cell>
        </row>
        <row r="418">
          <cell r="DO418" t="str">
            <v>FY1</v>
          </cell>
          <cell r="DS418">
            <v>0</v>
          </cell>
          <cell r="EG418">
            <v>0</v>
          </cell>
          <cell r="EI418">
            <v>0</v>
          </cell>
          <cell r="EK418">
            <v>0</v>
          </cell>
          <cell r="EM418">
            <v>0</v>
          </cell>
          <cell r="EO418">
            <v>0</v>
          </cell>
          <cell r="EQ418">
            <v>0</v>
          </cell>
          <cell r="ET418">
            <v>0</v>
          </cell>
          <cell r="GF418">
            <v>0</v>
          </cell>
          <cell r="GL418">
            <v>0</v>
          </cell>
          <cell r="GN418">
            <v>0</v>
          </cell>
          <cell r="GP418">
            <v>0</v>
          </cell>
          <cell r="GT418">
            <v>0</v>
          </cell>
          <cell r="GV418">
            <v>0</v>
          </cell>
        </row>
        <row r="419">
          <cell r="DO419" t="str">
            <v>FY2</v>
          </cell>
          <cell r="DS419">
            <v>0</v>
          </cell>
          <cell r="EG419">
            <v>0</v>
          </cell>
          <cell r="EI419">
            <v>0</v>
          </cell>
          <cell r="EK419">
            <v>0</v>
          </cell>
          <cell r="EM419">
            <v>0</v>
          </cell>
          <cell r="EO419">
            <v>0</v>
          </cell>
          <cell r="EQ419">
            <v>0</v>
          </cell>
          <cell r="ET419">
            <v>0</v>
          </cell>
          <cell r="FJ419">
            <v>0</v>
          </cell>
          <cell r="GF419">
            <v>0</v>
          </cell>
          <cell r="GL419">
            <v>0</v>
          </cell>
          <cell r="GN419">
            <v>0</v>
          </cell>
          <cell r="GP419">
            <v>0</v>
          </cell>
          <cell r="GT419">
            <v>0</v>
          </cell>
          <cell r="GV419">
            <v>0</v>
          </cell>
        </row>
        <row r="421">
          <cell r="DK421">
            <v>0</v>
          </cell>
          <cell r="DM421" t="str">
            <v>option</v>
          </cell>
          <cell r="DO421">
            <v>0</v>
          </cell>
          <cell r="DQ421" t="e">
            <v>#VALUE!</v>
          </cell>
          <cell r="DS421">
            <v>0</v>
          </cell>
          <cell r="EC421" t="e">
            <v>#VALUE!</v>
          </cell>
          <cell r="EE421" t="e">
            <v>#VALUE!</v>
          </cell>
          <cell r="EG421">
            <v>0</v>
          </cell>
          <cell r="EI421" t="e">
            <v>#DIV/0!</v>
          </cell>
          <cell r="EK421">
            <v>0</v>
          </cell>
          <cell r="EM421">
            <v>0</v>
          </cell>
          <cell r="EO421">
            <v>0</v>
          </cell>
          <cell r="EQ421" t="e">
            <v>#DIV/0!</v>
          </cell>
          <cell r="ET421">
            <v>0</v>
          </cell>
          <cell r="FB421" t="e">
            <v>#VALUE!</v>
          </cell>
          <cell r="FD421">
            <v>0</v>
          </cell>
          <cell r="FF421">
            <v>0</v>
          </cell>
          <cell r="FJ421">
            <v>0</v>
          </cell>
          <cell r="FL421">
            <v>0</v>
          </cell>
          <cell r="FN421">
            <v>0</v>
          </cell>
          <cell r="FQ421">
            <v>0</v>
          </cell>
          <cell r="FS421">
            <v>0</v>
          </cell>
          <cell r="FU421" t="e">
            <v>#DIV/0!</v>
          </cell>
          <cell r="FW421" t="e">
            <v>#VALUE!</v>
          </cell>
          <cell r="FY421" t="e">
            <v>#VALUE!</v>
          </cell>
          <cell r="GA421">
            <v>0</v>
          </cell>
          <cell r="GC421">
            <v>0</v>
          </cell>
          <cell r="GF421" t="e">
            <v>#DIV/0!</v>
          </cell>
          <cell r="GL421" t="e">
            <v>#DIV/0!</v>
          </cell>
          <cell r="GN421" t="e">
            <v>#DIV/0!</v>
          </cell>
          <cell r="GP421" t="e">
            <v>#DIV/0!</v>
          </cell>
          <cell r="GT421" t="e">
            <v>#DIV/0!</v>
          </cell>
          <cell r="GV421" t="e">
            <v>#DIV/0!</v>
          </cell>
          <cell r="HA421" t="e">
            <v>#DIV/0!</v>
          </cell>
          <cell r="HD421" t="e">
            <v>#DIV/0!</v>
          </cell>
          <cell r="HG421" t="e">
            <v>#DIV/0!</v>
          </cell>
          <cell r="HJ421" t="e">
            <v>#DIV/0!</v>
          </cell>
        </row>
        <row r="422">
          <cell r="DK422" t="str">
            <v xml:space="preserve"> -</v>
          </cell>
          <cell r="DL422">
            <v>0</v>
          </cell>
          <cell r="FL422">
            <v>0</v>
          </cell>
          <cell r="FN422">
            <v>0</v>
          </cell>
          <cell r="FQ422" t="str">
            <v xml:space="preserve"> -</v>
          </cell>
          <cell r="FR422">
            <v>0</v>
          </cell>
        </row>
        <row r="423">
          <cell r="DL423">
            <v>0</v>
          </cell>
          <cell r="FL423">
            <v>0</v>
          </cell>
          <cell r="FN423">
            <v>0</v>
          </cell>
          <cell r="FR423">
            <v>0</v>
          </cell>
        </row>
        <row r="424">
          <cell r="FL424">
            <v>0</v>
          </cell>
          <cell r="FN424">
            <v>0</v>
          </cell>
        </row>
        <row r="425">
          <cell r="DO425" t="str">
            <v>FY1</v>
          </cell>
          <cell r="DS425">
            <v>0</v>
          </cell>
          <cell r="EG425">
            <v>0</v>
          </cell>
          <cell r="EI425">
            <v>0</v>
          </cell>
          <cell r="EK425">
            <v>0</v>
          </cell>
          <cell r="EM425">
            <v>0</v>
          </cell>
          <cell r="EO425">
            <v>0</v>
          </cell>
          <cell r="EQ425">
            <v>0</v>
          </cell>
          <cell r="ET425">
            <v>0</v>
          </cell>
          <cell r="GF425">
            <v>0</v>
          </cell>
          <cell r="GL425">
            <v>0</v>
          </cell>
          <cell r="GN425">
            <v>0</v>
          </cell>
          <cell r="GP425">
            <v>0</v>
          </cell>
          <cell r="GT425">
            <v>0</v>
          </cell>
          <cell r="GV425">
            <v>0</v>
          </cell>
        </row>
        <row r="426">
          <cell r="DO426" t="str">
            <v>FY2</v>
          </cell>
          <cell r="DS426">
            <v>0</v>
          </cell>
          <cell r="EG426">
            <v>0</v>
          </cell>
          <cell r="EI426">
            <v>0</v>
          </cell>
          <cell r="EK426">
            <v>0</v>
          </cell>
          <cell r="EM426">
            <v>0</v>
          </cell>
          <cell r="EO426">
            <v>0</v>
          </cell>
          <cell r="EQ426">
            <v>0</v>
          </cell>
          <cell r="ET426">
            <v>0</v>
          </cell>
          <cell r="FJ426">
            <v>0</v>
          </cell>
          <cell r="GF426">
            <v>0</v>
          </cell>
          <cell r="GL426">
            <v>0</v>
          </cell>
          <cell r="GN426">
            <v>0</v>
          </cell>
          <cell r="GP426">
            <v>0</v>
          </cell>
          <cell r="GT426">
            <v>0</v>
          </cell>
          <cell r="GV426">
            <v>0</v>
          </cell>
        </row>
        <row r="428">
          <cell r="DK428">
            <v>0</v>
          </cell>
          <cell r="DM428" t="str">
            <v>option</v>
          </cell>
          <cell r="DO428">
            <v>0</v>
          </cell>
          <cell r="DQ428" t="e">
            <v>#VALUE!</v>
          </cell>
          <cell r="DS428">
            <v>0</v>
          </cell>
          <cell r="EC428" t="e">
            <v>#VALUE!</v>
          </cell>
          <cell r="EE428" t="e">
            <v>#VALUE!</v>
          </cell>
          <cell r="EG428">
            <v>0</v>
          </cell>
          <cell r="EI428" t="e">
            <v>#DIV/0!</v>
          </cell>
          <cell r="EK428">
            <v>0</v>
          </cell>
          <cell r="EM428">
            <v>0</v>
          </cell>
          <cell r="EO428">
            <v>0</v>
          </cell>
          <cell r="EQ428" t="e">
            <v>#DIV/0!</v>
          </cell>
          <cell r="ET428">
            <v>0</v>
          </cell>
          <cell r="FB428" t="e">
            <v>#VALUE!</v>
          </cell>
          <cell r="FD428">
            <v>0</v>
          </cell>
          <cell r="FF428">
            <v>0</v>
          </cell>
          <cell r="FJ428">
            <v>0</v>
          </cell>
          <cell r="FL428">
            <v>0</v>
          </cell>
          <cell r="FN428">
            <v>0</v>
          </cell>
          <cell r="FQ428">
            <v>0</v>
          </cell>
          <cell r="FS428">
            <v>0</v>
          </cell>
          <cell r="FU428" t="e">
            <v>#DIV/0!</v>
          </cell>
          <cell r="FW428" t="e">
            <v>#VALUE!</v>
          </cell>
          <cell r="FY428" t="e">
            <v>#VALUE!</v>
          </cell>
          <cell r="GA428">
            <v>0</v>
          </cell>
          <cell r="GC428">
            <v>0</v>
          </cell>
          <cell r="GF428" t="e">
            <v>#DIV/0!</v>
          </cell>
          <cell r="GL428" t="e">
            <v>#DIV/0!</v>
          </cell>
          <cell r="GN428" t="e">
            <v>#DIV/0!</v>
          </cell>
          <cell r="GP428" t="e">
            <v>#DIV/0!</v>
          </cell>
          <cell r="GT428" t="e">
            <v>#DIV/0!</v>
          </cell>
          <cell r="GV428" t="e">
            <v>#DIV/0!</v>
          </cell>
          <cell r="HA428" t="e">
            <v>#DIV/0!</v>
          </cell>
          <cell r="HD428" t="e">
            <v>#DIV/0!</v>
          </cell>
          <cell r="HG428" t="e">
            <v>#DIV/0!</v>
          </cell>
          <cell r="HJ428" t="e">
            <v>#DIV/0!</v>
          </cell>
        </row>
        <row r="429">
          <cell r="DK429" t="str">
            <v xml:space="preserve"> -</v>
          </cell>
          <cell r="DL429">
            <v>0</v>
          </cell>
          <cell r="FL429">
            <v>0</v>
          </cell>
          <cell r="FN429">
            <v>0</v>
          </cell>
          <cell r="FQ429" t="str">
            <v xml:space="preserve"> -</v>
          </cell>
          <cell r="FR429">
            <v>0</v>
          </cell>
        </row>
        <row r="430">
          <cell r="DL430">
            <v>0</v>
          </cell>
          <cell r="FL430">
            <v>0</v>
          </cell>
          <cell r="FN430">
            <v>0</v>
          </cell>
          <cell r="FR430">
            <v>0</v>
          </cell>
        </row>
        <row r="431">
          <cell r="FL431">
            <v>0</v>
          </cell>
          <cell r="FN431">
            <v>0</v>
          </cell>
        </row>
        <row r="432">
          <cell r="DO432" t="str">
            <v>FY1</v>
          </cell>
          <cell r="DS432">
            <v>0</v>
          </cell>
          <cell r="EG432">
            <v>0</v>
          </cell>
          <cell r="EI432">
            <v>0</v>
          </cell>
          <cell r="EK432">
            <v>0</v>
          </cell>
          <cell r="EM432">
            <v>0</v>
          </cell>
          <cell r="EO432">
            <v>0</v>
          </cell>
          <cell r="EQ432">
            <v>0</v>
          </cell>
          <cell r="ET432">
            <v>0</v>
          </cell>
          <cell r="GF432">
            <v>0</v>
          </cell>
          <cell r="GL432">
            <v>0</v>
          </cell>
          <cell r="GN432">
            <v>0</v>
          </cell>
          <cell r="GP432">
            <v>0</v>
          </cell>
          <cell r="GT432">
            <v>0</v>
          </cell>
          <cell r="GV432">
            <v>0</v>
          </cell>
        </row>
        <row r="433">
          <cell r="DO433" t="str">
            <v>FY2</v>
          </cell>
          <cell r="DS433">
            <v>0</v>
          </cell>
          <cell r="EG433">
            <v>0</v>
          </cell>
          <cell r="EI433">
            <v>0</v>
          </cell>
          <cell r="EK433">
            <v>0</v>
          </cell>
          <cell r="EM433">
            <v>0</v>
          </cell>
          <cell r="EO433">
            <v>0</v>
          </cell>
          <cell r="EQ433">
            <v>0</v>
          </cell>
          <cell r="ET433">
            <v>0</v>
          </cell>
          <cell r="FJ433">
            <v>0</v>
          </cell>
          <cell r="GF433">
            <v>0</v>
          </cell>
          <cell r="GL433">
            <v>0</v>
          </cell>
          <cell r="GN433">
            <v>0</v>
          </cell>
          <cell r="GP433">
            <v>0</v>
          </cell>
          <cell r="GT433">
            <v>0</v>
          </cell>
          <cell r="GV433">
            <v>0</v>
          </cell>
        </row>
        <row r="435">
          <cell r="DK435">
            <v>0</v>
          </cell>
          <cell r="DM435" t="str">
            <v>option</v>
          </cell>
          <cell r="DO435">
            <v>0</v>
          </cell>
          <cell r="DQ435" t="e">
            <v>#VALUE!</v>
          </cell>
          <cell r="DS435">
            <v>0</v>
          </cell>
          <cell r="EC435" t="e">
            <v>#VALUE!</v>
          </cell>
          <cell r="EE435" t="e">
            <v>#VALUE!</v>
          </cell>
          <cell r="EG435">
            <v>0</v>
          </cell>
          <cell r="EI435" t="e">
            <v>#DIV/0!</v>
          </cell>
          <cell r="EK435">
            <v>0</v>
          </cell>
          <cell r="EM435">
            <v>0</v>
          </cell>
          <cell r="EO435">
            <v>0</v>
          </cell>
          <cell r="EQ435" t="e">
            <v>#DIV/0!</v>
          </cell>
          <cell r="ET435">
            <v>0</v>
          </cell>
          <cell r="FB435" t="e">
            <v>#VALUE!</v>
          </cell>
          <cell r="FD435">
            <v>0</v>
          </cell>
          <cell r="FF435">
            <v>0</v>
          </cell>
          <cell r="FJ435">
            <v>0</v>
          </cell>
          <cell r="FL435">
            <v>0</v>
          </cell>
          <cell r="FN435">
            <v>0</v>
          </cell>
          <cell r="FQ435">
            <v>0</v>
          </cell>
          <cell r="FS435">
            <v>0</v>
          </cell>
          <cell r="FU435" t="e">
            <v>#DIV/0!</v>
          </cell>
          <cell r="FW435" t="e">
            <v>#VALUE!</v>
          </cell>
          <cell r="FY435" t="e">
            <v>#VALUE!</v>
          </cell>
          <cell r="GA435">
            <v>0</v>
          </cell>
          <cell r="GC435">
            <v>0</v>
          </cell>
          <cell r="GF435" t="e">
            <v>#DIV/0!</v>
          </cell>
          <cell r="GL435" t="e">
            <v>#DIV/0!</v>
          </cell>
          <cell r="GN435" t="e">
            <v>#DIV/0!</v>
          </cell>
          <cell r="GP435" t="e">
            <v>#DIV/0!</v>
          </cell>
          <cell r="GT435" t="e">
            <v>#DIV/0!</v>
          </cell>
          <cell r="GV435" t="e">
            <v>#DIV/0!</v>
          </cell>
          <cell r="HA435" t="e">
            <v>#DIV/0!</v>
          </cell>
          <cell r="HD435" t="e">
            <v>#DIV/0!</v>
          </cell>
          <cell r="HG435" t="e">
            <v>#DIV/0!</v>
          </cell>
          <cell r="HJ435" t="e">
            <v>#DIV/0!</v>
          </cell>
        </row>
        <row r="436">
          <cell r="DK436" t="str">
            <v xml:space="preserve"> -</v>
          </cell>
          <cell r="DL436">
            <v>0</v>
          </cell>
          <cell r="FL436">
            <v>0</v>
          </cell>
          <cell r="FN436">
            <v>0</v>
          </cell>
          <cell r="FQ436" t="str">
            <v xml:space="preserve"> -</v>
          </cell>
          <cell r="FR436">
            <v>0</v>
          </cell>
        </row>
        <row r="437">
          <cell r="DL437">
            <v>0</v>
          </cell>
          <cell r="FL437">
            <v>0</v>
          </cell>
          <cell r="FN437">
            <v>0</v>
          </cell>
          <cell r="FR437">
            <v>0</v>
          </cell>
        </row>
        <row r="438">
          <cell r="FL438">
            <v>0</v>
          </cell>
          <cell r="FN438">
            <v>0</v>
          </cell>
        </row>
        <row r="439">
          <cell r="DO439" t="str">
            <v>FY1</v>
          </cell>
          <cell r="DS439">
            <v>0</v>
          </cell>
          <cell r="EG439">
            <v>0</v>
          </cell>
          <cell r="EI439">
            <v>0</v>
          </cell>
          <cell r="EK439">
            <v>0</v>
          </cell>
          <cell r="EM439">
            <v>0</v>
          </cell>
          <cell r="EO439">
            <v>0</v>
          </cell>
          <cell r="EQ439">
            <v>0</v>
          </cell>
          <cell r="ET439">
            <v>0</v>
          </cell>
          <cell r="GF439">
            <v>0</v>
          </cell>
          <cell r="GL439">
            <v>0</v>
          </cell>
          <cell r="GN439">
            <v>0</v>
          </cell>
          <cell r="GP439">
            <v>0</v>
          </cell>
          <cell r="GT439">
            <v>0</v>
          </cell>
          <cell r="GV439">
            <v>0</v>
          </cell>
        </row>
        <row r="440">
          <cell r="DO440" t="str">
            <v>FY2</v>
          </cell>
          <cell r="DS440">
            <v>0</v>
          </cell>
          <cell r="EG440">
            <v>0</v>
          </cell>
          <cell r="EI440">
            <v>0</v>
          </cell>
          <cell r="EK440">
            <v>0</v>
          </cell>
          <cell r="EM440">
            <v>0</v>
          </cell>
          <cell r="EO440">
            <v>0</v>
          </cell>
          <cell r="EQ440">
            <v>0</v>
          </cell>
          <cell r="ET440">
            <v>0</v>
          </cell>
          <cell r="FJ440">
            <v>0</v>
          </cell>
          <cell r="GF440">
            <v>0</v>
          </cell>
          <cell r="GL440">
            <v>0</v>
          </cell>
          <cell r="GN440">
            <v>0</v>
          </cell>
          <cell r="GP440">
            <v>0</v>
          </cell>
          <cell r="GT440">
            <v>0</v>
          </cell>
          <cell r="GV440">
            <v>0</v>
          </cell>
        </row>
        <row r="443">
          <cell r="GC443" t="e">
            <v>#REF!</v>
          </cell>
        </row>
        <row r="444">
          <cell r="EB444" t="str">
            <v xml:space="preserve">     Mean:</v>
          </cell>
          <cell r="EE444" t="e">
            <v>#NAME?</v>
          </cell>
          <cell r="EI444">
            <v>0.1915497635160954</v>
          </cell>
          <cell r="EM444">
            <v>0.12712975123817355</v>
          </cell>
          <cell r="EQ444">
            <v>0.11122394258303042</v>
          </cell>
          <cell r="GC444" t="str">
            <v xml:space="preserve">     Mean:</v>
          </cell>
          <cell r="GF444">
            <v>2.5288033017708722</v>
          </cell>
          <cell r="GH444">
            <v>31.1430021978022</v>
          </cell>
          <cell r="GJ444">
            <v>33.520105661567577</v>
          </cell>
          <cell r="GL444">
            <v>13.370836014056181</v>
          </cell>
          <cell r="GN444">
            <v>19.592257930626708</v>
          </cell>
          <cell r="GP444">
            <v>23.198833206785324</v>
          </cell>
          <cell r="GT444">
            <v>50.004043200836819</v>
          </cell>
          <cell r="GX444">
            <v>17.411510088041027</v>
          </cell>
          <cell r="HA444" t="e">
            <v>#DIV/0!</v>
          </cell>
          <cell r="HB444" t="str">
            <v>x</v>
          </cell>
          <cell r="HD444" t="e">
            <v>#DIV/0!</v>
          </cell>
          <cell r="HE444" t="str">
            <v>x</v>
          </cell>
          <cell r="HG444">
            <v>3.1400966183574877</v>
          </cell>
          <cell r="HH444" t="str">
            <v>x</v>
          </cell>
          <cell r="HJ444" t="e">
            <v>#NAME?</v>
          </cell>
          <cell r="HK444" t="str">
            <v>x</v>
          </cell>
        </row>
        <row r="445">
          <cell r="EI445">
            <v>0.1793369246819686</v>
          </cell>
          <cell r="EM445">
            <v>0.1113925968682605</v>
          </cell>
          <cell r="EQ445">
            <v>8.4946572875220394E-2</v>
          </cell>
          <cell r="GF445">
            <v>2.4143857401020652</v>
          </cell>
          <cell r="GH445">
            <v>40.334843164764571</v>
          </cell>
          <cell r="GJ445">
            <v>40.334843164764571</v>
          </cell>
          <cell r="GL445">
            <v>14.157308576532316</v>
          </cell>
          <cell r="GN445">
            <v>22.315296560191499</v>
          </cell>
          <cell r="GP445">
            <v>38.208451356653256</v>
          </cell>
          <cell r="GT445">
            <v>39.491256841986583</v>
          </cell>
          <cell r="GV445">
            <v>37.837155225447425</v>
          </cell>
          <cell r="GX445">
            <v>15.175152026061177</v>
          </cell>
          <cell r="HA445">
            <v>39.491256841986583</v>
          </cell>
        </row>
        <row r="446">
          <cell r="EI446">
            <v>0.18122349313328118</v>
          </cell>
          <cell r="EM446">
            <v>0.10914468695761398</v>
          </cell>
          <cell r="EQ446">
            <v>8.6860427522968478E-2</v>
          </cell>
          <cell r="GF446">
            <v>2.0941163843801132</v>
          </cell>
          <cell r="GH446">
            <v>37.93884017098739</v>
          </cell>
          <cell r="GJ446">
            <v>37.93884017098739</v>
          </cell>
          <cell r="GL446">
            <v>12.620594903545173</v>
          </cell>
          <cell r="GN446">
            <v>20.238091588732289</v>
          </cell>
          <cell r="GP446">
            <v>32.481686892512045</v>
          </cell>
          <cell r="GT446">
            <v>33.513152868491581</v>
          </cell>
          <cell r="GV446">
            <v>28.478108074585521</v>
          </cell>
          <cell r="GX446">
            <v>13.63061922434818</v>
          </cell>
          <cell r="HD446">
            <v>33.513152868491581</v>
          </cell>
        </row>
        <row r="447">
          <cell r="EI447">
            <v>0.20976266952177017</v>
          </cell>
          <cell r="EM447">
            <v>0.11298172062170933</v>
          </cell>
          <cell r="EQ447" t="e">
            <v>#REF!</v>
          </cell>
          <cell r="GF447" t="e">
            <v>#REF!</v>
          </cell>
          <cell r="GL447">
            <v>12.689947992998077</v>
          </cell>
          <cell r="GN447" t="e">
            <v>#REF!</v>
          </cell>
          <cell r="GP447" t="e">
            <v>#REF!</v>
          </cell>
          <cell r="GT447">
            <v>32.864994228264955</v>
          </cell>
          <cell r="GV447">
            <v>30.242429546647998</v>
          </cell>
          <cell r="GX447" t="e">
            <v>#REF!</v>
          </cell>
        </row>
        <row r="449">
          <cell r="EE449" t="e">
            <v>#NAME?</v>
          </cell>
          <cell r="EI449" t="e">
            <v>#NAME?</v>
          </cell>
          <cell r="EM449" t="e">
            <v>#NAME?</v>
          </cell>
          <cell r="EO449" t="str">
            <v xml:space="preserve">     Median:</v>
          </cell>
          <cell r="EQ449" t="e">
            <v>#NAME?</v>
          </cell>
          <cell r="GC449" t="str">
            <v xml:space="preserve">     Median:</v>
          </cell>
          <cell r="GF449" t="e">
            <v>#NAME?</v>
          </cell>
          <cell r="GL449" t="e">
            <v>#NAME?</v>
          </cell>
          <cell r="GN449" t="e">
            <v>#NAME?</v>
          </cell>
          <cell r="GP449" t="e">
            <v>#NAME?</v>
          </cell>
          <cell r="GT449" t="e">
            <v>#NAME?</v>
          </cell>
          <cell r="GV449" t="e">
            <v>#NAME?</v>
          </cell>
          <cell r="HA449" t="e">
            <v>#NAME?</v>
          </cell>
          <cell r="HD449" t="e">
            <v>#NAME?</v>
          </cell>
          <cell r="HG449" t="e">
            <v>#NAME?</v>
          </cell>
          <cell r="HJ449" t="e">
            <v>#NAME?</v>
          </cell>
        </row>
        <row r="450">
          <cell r="EI450" t="e">
            <v>#NAME?</v>
          </cell>
          <cell r="EM450" t="e">
            <v>#NAME?</v>
          </cell>
          <cell r="EQ450" t="e">
            <v>#NAME?</v>
          </cell>
          <cell r="GF450" t="e">
            <v>#NAME?</v>
          </cell>
          <cell r="GL450" t="e">
            <v>#NAME?</v>
          </cell>
          <cell r="GN450" t="e">
            <v>#NAME?</v>
          </cell>
          <cell r="GP450" t="e">
            <v>#NAME?</v>
          </cell>
          <cell r="GT450" t="e">
            <v>#NAME?</v>
          </cell>
          <cell r="GV450" t="e">
            <v>#NAME?</v>
          </cell>
        </row>
        <row r="451">
          <cell r="EI451" t="e">
            <v>#NAME?</v>
          </cell>
          <cell r="EM451" t="e">
            <v>#NAME?</v>
          </cell>
          <cell r="EQ451" t="e">
            <v>#NAME?</v>
          </cell>
          <cell r="GF451" t="e">
            <v>#NAME?</v>
          </cell>
          <cell r="GL451" t="e">
            <v>#NAME?</v>
          </cell>
          <cell r="GN451" t="e">
            <v>#NAME?</v>
          </cell>
          <cell r="GP451" t="e">
            <v>#NAME?</v>
          </cell>
          <cell r="GT451" t="e">
            <v>#NAME?</v>
          </cell>
          <cell r="GV451" t="e">
            <v>#NAME?</v>
          </cell>
        </row>
        <row r="453">
          <cell r="EE453" t="e">
            <v>#NAME?</v>
          </cell>
          <cell r="EI453" t="e">
            <v>#NAME?</v>
          </cell>
          <cell r="EM453" t="e">
            <v>#NAME?</v>
          </cell>
          <cell r="EO453" t="str">
            <v xml:space="preserve">     High:</v>
          </cell>
          <cell r="EQ453" t="e">
            <v>#NAME?</v>
          </cell>
          <cell r="GC453" t="str">
            <v xml:space="preserve">     High:</v>
          </cell>
          <cell r="GF453" t="e">
            <v>#NAME?</v>
          </cell>
          <cell r="GL453" t="e">
            <v>#NAME?</v>
          </cell>
          <cell r="GN453" t="e">
            <v>#NAME?</v>
          </cell>
          <cell r="GP453" t="e">
            <v>#NAME?</v>
          </cell>
          <cell r="GT453" t="e">
            <v>#NAME?</v>
          </cell>
          <cell r="GV453" t="e">
            <v>#NAME?</v>
          </cell>
          <cell r="HA453" t="e">
            <v>#NAME?</v>
          </cell>
          <cell r="HD453" t="e">
            <v>#NAME?</v>
          </cell>
          <cell r="HG453" t="e">
            <v>#NAME?</v>
          </cell>
          <cell r="HJ453" t="e">
            <v>#NAME?</v>
          </cell>
        </row>
        <row r="455">
          <cell r="EE455" t="e">
            <v>#NAME?</v>
          </cell>
          <cell r="EI455" t="e">
            <v>#NAME?</v>
          </cell>
          <cell r="EM455" t="e">
            <v>#NAME?</v>
          </cell>
          <cell r="EO455" t="str">
            <v xml:space="preserve">     Low:</v>
          </cell>
          <cell r="EQ455" t="e">
            <v>#NAME?</v>
          </cell>
          <cell r="GC455" t="str">
            <v xml:space="preserve">     Low:</v>
          </cell>
          <cell r="GF455" t="e">
            <v>#NAME?</v>
          </cell>
          <cell r="GL455" t="e">
            <v>#NAME?</v>
          </cell>
          <cell r="GN455" t="e">
            <v>#NAME?</v>
          </cell>
          <cell r="GP455" t="e">
            <v>#NAME?</v>
          </cell>
          <cell r="GT455" t="e">
            <v>#NAME?</v>
          </cell>
          <cell r="GV455" t="e">
            <v>#NAME?</v>
          </cell>
          <cell r="HA455" t="e">
            <v>#NAME?</v>
          </cell>
          <cell r="HD455" t="e">
            <v>#NAME?</v>
          </cell>
          <cell r="HG455" t="e">
            <v>#NAME?</v>
          </cell>
          <cell r="HJ455" t="e">
            <v>#NAME?</v>
          </cell>
        </row>
        <row r="459">
          <cell r="GA459" t="str">
            <v>JCDecaux</v>
          </cell>
          <cell r="GM459" t="str">
            <v>Derived from</v>
          </cell>
        </row>
        <row r="460">
          <cell r="GA460" t="str">
            <v>Implied Firm Value</v>
          </cell>
          <cell r="GM460" t="str">
            <v>multiples of:</v>
          </cell>
          <cell r="HA460" t="str">
            <v>FY1</v>
          </cell>
          <cell r="HD460" t="str">
            <v>FY2</v>
          </cell>
          <cell r="HG460" t="str">
            <v>Book</v>
          </cell>
          <cell r="HJ460" t="str">
            <v>Net Inc.</v>
          </cell>
        </row>
        <row r="461">
          <cell r="GF461" t="str">
            <v>Rev.</v>
          </cell>
          <cell r="GH461" t="str">
            <v>EBITDA - Capex</v>
          </cell>
          <cell r="GJ461" t="str">
            <v>FCF</v>
          </cell>
          <cell r="GL461" t="str">
            <v>EBITDA</v>
          </cell>
          <cell r="GN461" t="str">
            <v>EBITA</v>
          </cell>
          <cell r="GP461" t="str">
            <v>EBIT</v>
          </cell>
          <cell r="HA461" t="str">
            <v>EPS</v>
          </cell>
          <cell r="HD461" t="str">
            <v>EPS</v>
          </cell>
          <cell r="HG461" t="str">
            <v>Value</v>
          </cell>
          <cell r="HJ461" t="str">
            <v>+ DA</v>
          </cell>
        </row>
        <row r="463">
          <cell r="DK463" t="str">
            <v>JCDecaux</v>
          </cell>
          <cell r="DM463">
            <v>0</v>
          </cell>
          <cell r="DN463" t="str">
            <v>FRF</v>
          </cell>
          <cell r="DO463">
            <v>36160</v>
          </cell>
          <cell r="DQ463">
            <v>0</v>
          </cell>
          <cell r="DS463">
            <v>7056</v>
          </cell>
          <cell r="DU463">
            <v>843</v>
          </cell>
          <cell r="DW463">
            <v>0.11947278911564625</v>
          </cell>
          <cell r="DY463">
            <v>432</v>
          </cell>
          <cell r="EA463">
            <v>6.1224489795918366E-2</v>
          </cell>
          <cell r="EC463">
            <v>0</v>
          </cell>
          <cell r="EE463">
            <v>0</v>
          </cell>
          <cell r="EG463">
            <v>1894</v>
          </cell>
          <cell r="EI463">
            <v>0.26842403628117911</v>
          </cell>
          <cell r="EK463">
            <v>1185.9000000000001</v>
          </cell>
          <cell r="EM463">
            <v>0.16806972789115648</v>
          </cell>
          <cell r="EO463">
            <v>1162.9000000000001</v>
          </cell>
          <cell r="EQ463">
            <v>0.16481009070294786</v>
          </cell>
          <cell r="ET463">
            <v>758.9362900000001</v>
          </cell>
          <cell r="FB463">
            <v>0</v>
          </cell>
          <cell r="FD463">
            <v>0</v>
          </cell>
          <cell r="FF463">
            <v>2528</v>
          </cell>
          <cell r="GE463" t="str">
            <v>LTM</v>
          </cell>
          <cell r="GF463">
            <v>17843.236097295274</v>
          </cell>
          <cell r="GH463">
            <v>26253.550852747256</v>
          </cell>
          <cell r="GJ463">
            <v>14480.685645797194</v>
          </cell>
          <cell r="GL463">
            <v>25324.363410622405</v>
          </cell>
          <cell r="GN463">
            <v>23234.458679930216</v>
          </cell>
          <cell r="GP463">
            <v>26977.923136170655</v>
          </cell>
          <cell r="HA463" t="e">
            <v>#DIV/0!</v>
          </cell>
          <cell r="HD463" t="e">
            <v>#DIV/0!</v>
          </cell>
          <cell r="HG463">
            <v>7938.1642512077287</v>
          </cell>
          <cell r="HJ463" t="e">
            <v>#DIV/0!</v>
          </cell>
        </row>
        <row r="464">
          <cell r="FL464">
            <v>0</v>
          </cell>
          <cell r="FN464">
            <v>0</v>
          </cell>
        </row>
        <row r="465">
          <cell r="DL465">
            <v>0</v>
          </cell>
          <cell r="FL465">
            <v>0</v>
          </cell>
          <cell r="FN465">
            <v>0</v>
          </cell>
        </row>
        <row r="466">
          <cell r="DK466" t="str">
            <v xml:space="preserve"> -  Pro forma financials</v>
          </cell>
          <cell r="FL466">
            <v>0</v>
          </cell>
          <cell r="FN466">
            <v>0</v>
          </cell>
        </row>
        <row r="467">
          <cell r="DO467" t="str">
            <v>FY1</v>
          </cell>
          <cell r="DS467">
            <v>7714</v>
          </cell>
          <cell r="DU467">
            <v>906.17324448301497</v>
          </cell>
          <cell r="DW467">
            <v>0.11747125284975564</v>
          </cell>
          <cell r="DY467">
            <v>867.17324448301497</v>
          </cell>
          <cell r="EA467">
            <v>0.11241551004446655</v>
          </cell>
          <cell r="EG467">
            <v>2031.415</v>
          </cell>
          <cell r="EI467">
            <v>0.26334132745657246</v>
          </cell>
          <cell r="EK467">
            <v>1203.237067939499</v>
          </cell>
          <cell r="EM467">
            <v>0.15598095254595526</v>
          </cell>
          <cell r="EO467">
            <v>1056.237067939499</v>
          </cell>
          <cell r="EQ467">
            <v>0.13692469120294257</v>
          </cell>
          <cell r="ET467">
            <v>471.00223330401769</v>
          </cell>
          <cell r="FF467">
            <v>2905.135500826229</v>
          </cell>
          <cell r="FH467">
            <v>0</v>
          </cell>
          <cell r="GE467" t="str">
            <v>FY1</v>
          </cell>
          <cell r="GF467">
            <v>18624.57159914733</v>
          </cell>
          <cell r="GH467">
            <v>36550.355696328268</v>
          </cell>
          <cell r="GJ467">
            <v>34977.296812902452</v>
          </cell>
          <cell r="GL467">
            <v>28759.369001996394</v>
          </cell>
          <cell r="GN467">
            <v>26850.592003285205</v>
          </cell>
          <cell r="GP467">
            <v>40357.182631460404</v>
          </cell>
          <cell r="HA467">
            <v>0</v>
          </cell>
        </row>
        <row r="468">
          <cell r="DO468" t="str">
            <v>FY2</v>
          </cell>
          <cell r="DS468">
            <v>8695</v>
          </cell>
          <cell r="DU468">
            <v>1641.2567281348788</v>
          </cell>
          <cell r="DW468">
            <v>0.18875868063655882</v>
          </cell>
          <cell r="DY468">
            <v>1574.2567281348788</v>
          </cell>
          <cell r="EA468">
            <v>0.18105310271821493</v>
          </cell>
          <cell r="EG468">
            <v>2592.415</v>
          </cell>
          <cell r="EI468">
            <v>0.29815008625646922</v>
          </cell>
          <cell r="EK468">
            <v>1715.2690437163919</v>
          </cell>
          <cell r="EM468">
            <v>0.197270735332535</v>
          </cell>
          <cell r="EO468">
            <v>1457.2690437163919</v>
          </cell>
          <cell r="EQ468">
            <v>0.16759850991562875</v>
          </cell>
          <cell r="ET468">
            <v>621.53240208059606</v>
          </cell>
          <cell r="FF468">
            <v>3337.4983764826657</v>
          </cell>
          <cell r="FJ468">
            <v>0</v>
          </cell>
          <cell r="GE468" t="str">
            <v>FY2</v>
          </cell>
          <cell r="GF468">
            <v>18208.341962185084</v>
          </cell>
          <cell r="GH468">
            <v>62267.376688266871</v>
          </cell>
          <cell r="GJ468">
            <v>59725.474396810714</v>
          </cell>
          <cell r="GL468">
            <v>32717.81953687406</v>
          </cell>
          <cell r="GN468">
            <v>34713.772006049585</v>
          </cell>
          <cell r="GP468">
            <v>47334.556796146288</v>
          </cell>
          <cell r="HD468">
            <v>0</v>
          </cell>
        </row>
        <row r="469">
          <cell r="DO469" t="str">
            <v>FY3</v>
          </cell>
          <cell r="DS469">
            <v>9543.7000000000007</v>
          </cell>
          <cell r="EG469">
            <v>3053.9155000000001</v>
          </cell>
          <cell r="EI469">
            <v>0.31999282249022915</v>
          </cell>
          <cell r="EK469">
            <v>1883.9997532181274</v>
          </cell>
          <cell r="EM469">
            <v>0.19740768813124127</v>
          </cell>
          <cell r="EO469">
            <v>1736.9997532181274</v>
          </cell>
          <cell r="EQ469">
            <v>0.18200485694417545</v>
          </cell>
          <cell r="ET469">
            <v>879.0676753320173</v>
          </cell>
          <cell r="GE469" t="str">
            <v>FY3</v>
          </cell>
          <cell r="GF469" t="e">
            <v>#REF!</v>
          </cell>
          <cell r="GL469">
            <v>38754.028870010719</v>
          </cell>
          <cell r="GN469" t="e">
            <v>#REF!</v>
          </cell>
          <cell r="GP469" t="e">
            <v>#REF!</v>
          </cell>
        </row>
        <row r="473">
          <cell r="GA473" t="str">
            <v>JCDecaux</v>
          </cell>
          <cell r="GP473" t="str">
            <v>Derived from</v>
          </cell>
        </row>
        <row r="474">
          <cell r="GA474" t="str">
            <v>Implied Equity Value</v>
          </cell>
          <cell r="GP474" t="str">
            <v>multiple of:</v>
          </cell>
          <cell r="HA474" t="str">
            <v>FY1</v>
          </cell>
          <cell r="HD474" t="str">
            <v>FY2</v>
          </cell>
          <cell r="HG474" t="str">
            <v>Book</v>
          </cell>
          <cell r="HJ474" t="str">
            <v>Net Inc.</v>
          </cell>
        </row>
        <row r="475">
          <cell r="GF475" t="str">
            <v>Rev.</v>
          </cell>
          <cell r="GH475" t="str">
            <v>EBITDA - Capex</v>
          </cell>
          <cell r="GJ475" t="str">
            <v>FCF</v>
          </cell>
          <cell r="GL475" t="str">
            <v>EBITDA</v>
          </cell>
          <cell r="GN475" t="str">
            <v>EBITA</v>
          </cell>
          <cell r="GP475" t="str">
            <v>EBIT</v>
          </cell>
          <cell r="GT475" t="str">
            <v>EPS</v>
          </cell>
          <cell r="GV475" t="str">
            <v>Consensus EPS</v>
          </cell>
          <cell r="HA475" t="str">
            <v>EPS</v>
          </cell>
          <cell r="HD475" t="str">
            <v>EPS</v>
          </cell>
          <cell r="HG475" t="str">
            <v>Value</v>
          </cell>
          <cell r="HJ475" t="str">
            <v>+ DA</v>
          </cell>
        </row>
        <row r="477">
          <cell r="FW477" t="e">
            <v>#DIV/0!</v>
          </cell>
          <cell r="FY477" t="e">
            <v>#DIV/0!</v>
          </cell>
          <cell r="GE477" t="str">
            <v>LTM</v>
          </cell>
          <cell r="GF477">
            <v>12081.207097295273</v>
          </cell>
          <cell r="GH477">
            <v>20491.521852747253</v>
          </cell>
          <cell r="GJ477">
            <v>8718.6566457971931</v>
          </cell>
          <cell r="GL477">
            <v>19562.334410622403</v>
          </cell>
          <cell r="GN477">
            <v>17472.429679930217</v>
          </cell>
          <cell r="GP477">
            <v>21215.894136170653</v>
          </cell>
          <cell r="GT477">
            <v>37949.883031842823</v>
          </cell>
          <cell r="HA477">
            <v>0</v>
          </cell>
          <cell r="HD477">
            <v>0</v>
          </cell>
          <cell r="HG477">
            <v>0</v>
          </cell>
          <cell r="HJ477" t="e">
            <v>#DIV/0!</v>
          </cell>
        </row>
        <row r="478">
          <cell r="GE478" t="str">
            <v>LTM</v>
          </cell>
        </row>
        <row r="481">
          <cell r="GE481" t="str">
            <v>FY1</v>
          </cell>
          <cell r="GF481">
            <v>12862.542599147329</v>
          </cell>
          <cell r="GH481">
            <v>30788.326696328266</v>
          </cell>
          <cell r="GJ481">
            <v>29215.26781290245</v>
          </cell>
          <cell r="GL481">
            <v>22997.340001996396</v>
          </cell>
          <cell r="GN481">
            <v>21088.563003285206</v>
          </cell>
          <cell r="GP481">
            <v>34595.153631460402</v>
          </cell>
          <cell r="GT481">
            <v>18600.470168558251</v>
          </cell>
          <cell r="GV481">
            <v>17821.384613056522</v>
          </cell>
          <cell r="HA481">
            <v>0</v>
          </cell>
        </row>
        <row r="482">
          <cell r="GE482" t="str">
            <v>FY2</v>
          </cell>
          <cell r="GF482">
            <v>12446.312962185084</v>
          </cell>
          <cell r="GH482">
            <v>56505.347688266869</v>
          </cell>
          <cell r="GJ482">
            <v>53963.445396810712</v>
          </cell>
          <cell r="GL482">
            <v>26955.790536874061</v>
          </cell>
          <cell r="GN482">
            <v>28951.743006049583</v>
          </cell>
          <cell r="GP482">
            <v>41572.527796146285</v>
          </cell>
          <cell r="GT482">
            <v>20829.51040364779</v>
          </cell>
          <cell r="GV482">
            <v>17700.066918307955</v>
          </cell>
          <cell r="HD482">
            <v>0</v>
          </cell>
        </row>
        <row r="483">
          <cell r="GE483" t="str">
            <v>FY3</v>
          </cell>
          <cell r="GF483" t="e">
            <v>#REF!</v>
          </cell>
          <cell r="GK483">
            <v>-5762.0290000000005</v>
          </cell>
          <cell r="GL483">
            <v>32991.999870010717</v>
          </cell>
          <cell r="GN483" t="e">
            <v>#REF!</v>
          </cell>
          <cell r="GP483" t="e">
            <v>#REF!</v>
          </cell>
          <cell r="GT483">
            <v>28890.55407604104</v>
          </cell>
          <cell r="GV483">
            <v>26585.14223796417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ow r="326">
          <cell r="DK326" t="str">
            <v>Comparable Company Analysis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Not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etail-budget run1_ Updated"/>
      <sheetName val="BBD Aggregate FY"/>
      <sheetName val="BBD Aggregate Q4"/>
      <sheetName val="BBD Aggregate Q3"/>
      <sheetName val="BBD Aggregate Q2"/>
      <sheetName val="BBD Aggregate Q1"/>
      <sheetName val="Product Metrics &amp; LTV Tmpl-July"/>
      <sheetName val="F03_09 Variance Analysis-Unit"/>
      <sheetName val="F03_09 Variance Analysis_Agg"/>
      <sheetName val="LTV Table"/>
      <sheetName val="Allocations"/>
      <sheetName val="Executive Summary-Unit"/>
      <sheetName val="Executive Summary-2002,2003 UN"/>
      <sheetName val="Executive Summary-Aggregate"/>
      <sheetName val="Fcst Product P&amp;Ls"/>
      <sheetName val="Prod Profit - Unit"/>
      <sheetName val="Access Input-V.1_Updated"/>
      <sheetName val="Revenue Discount"/>
      <sheetName val="BD &amp; PP"/>
      <sheetName val="Variance Analysis"/>
      <sheetName val="Prod Profit - Aggregate-2002 "/>
      <sheetName val="Prod Profit - Aggregate-2003"/>
      <sheetName val="MAC Analysis Reconciliation"/>
      <sheetName val="MAC Analysis"/>
      <sheetName val="Fcst Product P&amp;Ls-2002 a"/>
      <sheetName val="BBD Aggregate FY OLD"/>
      <sheetName val="SAM Package"/>
      <sheetName val="Cust Supp-Version One"/>
      <sheetName val="SAM Calculations"/>
      <sheetName val="Pre-Post-Install"/>
      <sheetName val="Contigency to take out"/>
    </sheetNames>
    <sheetDataSet>
      <sheetData sheetId="0" refreshError="1">
        <row r="4">
          <cell r="E4" t="str">
            <v>B04_r1</v>
          </cell>
          <cell r="F4" t="str">
            <v>B04_r1</v>
          </cell>
          <cell r="G4" t="str">
            <v>B04_r1</v>
          </cell>
          <cell r="H4" t="str">
            <v>B04_r1</v>
          </cell>
          <cell r="I4" t="str">
            <v>B04_r1</v>
          </cell>
          <cell r="J4" t="str">
            <v>B04_r1</v>
          </cell>
          <cell r="K4" t="str">
            <v>B04_r1</v>
          </cell>
          <cell r="L4" t="str">
            <v>B04_r1</v>
          </cell>
          <cell r="M4" t="str">
            <v>B04_r1</v>
          </cell>
          <cell r="N4" t="str">
            <v>B04_r1</v>
          </cell>
        </row>
        <row r="5">
          <cell r="E5" t="str">
            <v>Jan 04</v>
          </cell>
          <cell r="F5" t="str">
            <v>Feb 04</v>
          </cell>
          <cell r="G5" t="str">
            <v>Mar 04</v>
          </cell>
          <cell r="H5" t="str">
            <v>Apr 04</v>
          </cell>
          <cell r="I5" t="str">
            <v>May 04</v>
          </cell>
          <cell r="J5" t="str">
            <v>Jun 04</v>
          </cell>
          <cell r="K5" t="str">
            <v>Jul 04</v>
          </cell>
          <cell r="L5" t="str">
            <v>Aug 04</v>
          </cell>
          <cell r="M5" t="str">
            <v>Sep 04</v>
          </cell>
          <cell r="N5" t="str">
            <v>Oct 04</v>
          </cell>
        </row>
        <row r="8">
          <cell r="E8">
            <v>3238319.7459</v>
          </cell>
          <cell r="F8">
            <v>3251494.9308000002</v>
          </cell>
          <cell r="G8">
            <v>3261293.3023000001</v>
          </cell>
          <cell r="H8">
            <v>3248902.8442000002</v>
          </cell>
          <cell r="I8">
            <v>3236867.3968000002</v>
          </cell>
          <cell r="J8">
            <v>3222754.9015000002</v>
          </cell>
          <cell r="K8">
            <v>3199583.8627999998</v>
          </cell>
          <cell r="L8">
            <v>3171520.3147999998</v>
          </cell>
          <cell r="M8">
            <v>3150878.1420999998</v>
          </cell>
          <cell r="N8">
            <v>3151436.7601000001</v>
          </cell>
        </row>
        <row r="9">
          <cell r="E9">
            <v>182047.962</v>
          </cell>
          <cell r="F9">
            <v>181360.7292</v>
          </cell>
          <cell r="G9">
            <v>180703.0901</v>
          </cell>
          <cell r="H9">
            <v>178881.74489999999</v>
          </cell>
          <cell r="I9">
            <v>177138.8309</v>
          </cell>
          <cell r="J9">
            <v>175470.9705</v>
          </cell>
          <cell r="K9">
            <v>172682.90640000001</v>
          </cell>
          <cell r="L9">
            <v>170014.9025</v>
          </cell>
          <cell r="M9">
            <v>167461.7886</v>
          </cell>
          <cell r="N9">
            <v>166210.64300000001</v>
          </cell>
        </row>
        <row r="10">
          <cell r="E10">
            <v>486303.27929999999</v>
          </cell>
          <cell r="F10">
            <v>549964.52110000001</v>
          </cell>
          <cell r="G10">
            <v>614099.79709999997</v>
          </cell>
          <cell r="H10">
            <v>693559.34950000001</v>
          </cell>
          <cell r="I10">
            <v>726454.06700000004</v>
          </cell>
          <cell r="J10">
            <v>768586.69700000004</v>
          </cell>
          <cell r="K10">
            <v>800443.82209999999</v>
          </cell>
          <cell r="L10">
            <v>833174.44180000003</v>
          </cell>
          <cell r="M10">
            <v>870459.47979999997</v>
          </cell>
          <cell r="N10">
            <v>914905.69720000005</v>
          </cell>
        </row>
        <row r="11">
          <cell r="E11">
            <v>138881.4639</v>
          </cell>
          <cell r="F11">
            <v>133539.86919999999</v>
          </cell>
          <cell r="G11">
            <v>128403.7203</v>
          </cell>
          <cell r="H11">
            <v>123465.11569999999</v>
          </cell>
          <cell r="I11">
            <v>118716.4574</v>
          </cell>
          <cell r="J11">
            <v>114150.43979999999</v>
          </cell>
          <cell r="K11">
            <v>109760.0383</v>
          </cell>
          <cell r="L11">
            <v>105538.4984</v>
          </cell>
          <cell r="M11">
            <v>101479.3253</v>
          </cell>
          <cell r="N11">
            <v>97576.274399999995</v>
          </cell>
        </row>
        <row r="12">
          <cell r="E12">
            <v>4045552.4511000002</v>
          </cell>
          <cell r="F12">
            <v>4116360.0502999998</v>
          </cell>
          <cell r="G12">
            <v>4184499.9098</v>
          </cell>
          <cell r="H12">
            <v>4244809.0543</v>
          </cell>
          <cell r="I12">
            <v>4259176.7521000002</v>
          </cell>
          <cell r="J12">
            <v>4280963.0088</v>
          </cell>
          <cell r="K12">
            <v>4282470.6295999996</v>
          </cell>
          <cell r="L12">
            <v>4280248.1574999997</v>
          </cell>
          <cell r="M12">
            <v>4290278.7357999999</v>
          </cell>
          <cell r="N12">
            <v>4330129.3746999996</v>
          </cell>
        </row>
        <row r="14">
          <cell r="E14">
            <v>342553.74959999998</v>
          </cell>
          <cell r="F14">
            <v>345579.06829999998</v>
          </cell>
          <cell r="G14">
            <v>348643.2475</v>
          </cell>
          <cell r="H14">
            <v>351580.88650000002</v>
          </cell>
          <cell r="I14">
            <v>354177.0808</v>
          </cell>
          <cell r="J14">
            <v>356670.07010000001</v>
          </cell>
          <cell r="K14">
            <v>359255.99560000002</v>
          </cell>
          <cell r="L14">
            <v>361637.77990000002</v>
          </cell>
          <cell r="M14">
            <v>364016.48859999998</v>
          </cell>
          <cell r="N14">
            <v>366592.71879999997</v>
          </cell>
        </row>
        <row r="15">
          <cell r="E15">
            <v>3343.0853000000002</v>
          </cell>
          <cell r="F15">
            <v>3357.9985999999999</v>
          </cell>
          <cell r="G15">
            <v>3372.7375000000002</v>
          </cell>
          <cell r="H15">
            <v>3386.9576999999999</v>
          </cell>
          <cell r="I15">
            <v>3399.2892000000002</v>
          </cell>
          <cell r="J15">
            <v>3410.8984</v>
          </cell>
          <cell r="K15">
            <v>3421.8220000000001</v>
          </cell>
          <cell r="L15">
            <v>3431.9184</v>
          </cell>
          <cell r="M15">
            <v>3441.0998</v>
          </cell>
          <cell r="N15">
            <v>3449.6100999999999</v>
          </cell>
        </row>
        <row r="16">
          <cell r="E16">
            <v>358323.91249999998</v>
          </cell>
          <cell r="F16">
            <v>378075.92969999998</v>
          </cell>
          <cell r="G16">
            <v>397511.1</v>
          </cell>
          <cell r="H16">
            <v>416638.04359999998</v>
          </cell>
          <cell r="I16">
            <v>435458.77169999998</v>
          </cell>
          <cell r="J16">
            <v>453978.25309999997</v>
          </cell>
          <cell r="K16">
            <v>472201.79399999999</v>
          </cell>
          <cell r="L16">
            <v>490134.4339</v>
          </cell>
          <cell r="M16">
            <v>507780.25</v>
          </cell>
          <cell r="N16">
            <v>525143.94709999999</v>
          </cell>
        </row>
        <row r="17">
          <cell r="E17">
            <v>2901.7420000000002</v>
          </cell>
          <cell r="F17">
            <v>3133.4331999999999</v>
          </cell>
          <cell r="G17">
            <v>3311.248</v>
          </cell>
          <cell r="H17">
            <v>3436.3359</v>
          </cell>
          <cell r="I17">
            <v>3632.1549</v>
          </cell>
          <cell r="J17">
            <v>3774.8629000000001</v>
          </cell>
          <cell r="K17">
            <v>3890.0596</v>
          </cell>
          <cell r="L17">
            <v>4051.7318</v>
          </cell>
          <cell r="M17">
            <v>4185.4881999999998</v>
          </cell>
          <cell r="N17">
            <v>4291.9242000000004</v>
          </cell>
        </row>
        <row r="18">
          <cell r="E18">
            <v>13337.3068</v>
          </cell>
          <cell r="F18">
            <v>13371.9535</v>
          </cell>
          <cell r="G18">
            <v>13327.077600000001</v>
          </cell>
          <cell r="H18">
            <v>13307.304899999999</v>
          </cell>
          <cell r="I18">
            <v>13311.4401</v>
          </cell>
          <cell r="J18">
            <v>13207.407499999999</v>
          </cell>
          <cell r="K18">
            <v>13081.174999999999</v>
          </cell>
          <cell r="L18">
            <v>13065.433999999999</v>
          </cell>
          <cell r="M18">
            <v>13024.9743</v>
          </cell>
          <cell r="N18">
            <v>12936.2343</v>
          </cell>
        </row>
        <row r="19">
          <cell r="E19">
            <v>14631.593500000001</v>
          </cell>
          <cell r="F19">
            <v>14342.266799999999</v>
          </cell>
          <cell r="G19">
            <v>14063.290999999999</v>
          </cell>
          <cell r="H19">
            <v>13794.0005</v>
          </cell>
          <cell r="I19">
            <v>13533.4133</v>
          </cell>
          <cell r="J19">
            <v>13281.7628</v>
          </cell>
          <cell r="K19">
            <v>13038.7341</v>
          </cell>
          <cell r="L19">
            <v>12803.933800000001</v>
          </cell>
          <cell r="M19">
            <v>12577.029399999999</v>
          </cell>
          <cell r="N19">
            <v>12357.8349</v>
          </cell>
        </row>
        <row r="20">
          <cell r="E20">
            <v>664.93629999999996</v>
          </cell>
          <cell r="F20">
            <v>650.74990000000003</v>
          </cell>
          <cell r="G20">
            <v>636.86620000000005</v>
          </cell>
          <cell r="H20">
            <v>623.27880000000005</v>
          </cell>
          <cell r="I20">
            <v>609.98119999999994</v>
          </cell>
          <cell r="J20">
            <v>596.96730000000002</v>
          </cell>
          <cell r="K20">
            <v>584.23099999999999</v>
          </cell>
          <cell r="L20">
            <v>571.76649999999995</v>
          </cell>
          <cell r="M20">
            <v>559.56799999999998</v>
          </cell>
          <cell r="N20">
            <v>547.62959999999998</v>
          </cell>
        </row>
        <row r="21">
          <cell r="E21">
            <v>269138.1202</v>
          </cell>
          <cell r="F21">
            <v>280402.51429999998</v>
          </cell>
          <cell r="G21">
            <v>291221.11979999999</v>
          </cell>
          <cell r="H21">
            <v>301208.29330000002</v>
          </cell>
          <cell r="I21">
            <v>311676.1925</v>
          </cell>
          <cell r="J21">
            <v>322194.34240000002</v>
          </cell>
          <cell r="K21">
            <v>330945.3455</v>
          </cell>
          <cell r="L21">
            <v>339430.01150000002</v>
          </cell>
          <cell r="M21">
            <v>347697.9987</v>
          </cell>
          <cell r="N21">
            <v>358186.50290000002</v>
          </cell>
        </row>
        <row r="22">
          <cell r="E22">
            <v>80572.687699999995</v>
          </cell>
          <cell r="F22">
            <v>85824.884300000005</v>
          </cell>
          <cell r="G22">
            <v>90932.165299999993</v>
          </cell>
          <cell r="H22">
            <v>95915.188099999999</v>
          </cell>
          <cell r="I22">
            <v>100709.31510000001</v>
          </cell>
          <cell r="J22">
            <v>105364.2395</v>
          </cell>
          <cell r="K22">
            <v>106616.7475</v>
          </cell>
          <cell r="L22">
            <v>107809.4985</v>
          </cell>
          <cell r="M22">
            <v>108954.886</v>
          </cell>
          <cell r="N22">
            <v>113524.1032</v>
          </cell>
        </row>
        <row r="23">
          <cell r="E23">
            <v>5147.2707</v>
          </cell>
          <cell r="F23">
            <v>4999.6801999999998</v>
          </cell>
          <cell r="G23">
            <v>4859.4050999999999</v>
          </cell>
          <cell r="H23">
            <v>4739.8586999999998</v>
          </cell>
          <cell r="I23">
            <v>4627.8558999999996</v>
          </cell>
          <cell r="J23">
            <v>4522.87</v>
          </cell>
          <cell r="K23">
            <v>4429.8562000000002</v>
          </cell>
          <cell r="L23">
            <v>4344.4767000000002</v>
          </cell>
          <cell r="M23">
            <v>4265.0117</v>
          </cell>
          <cell r="N23">
            <v>4195.3032000000003</v>
          </cell>
        </row>
        <row r="24">
          <cell r="E24">
            <v>32948.555</v>
          </cell>
          <cell r="F24">
            <v>35027.940300000002</v>
          </cell>
          <cell r="G24">
            <v>37062.563900000001</v>
          </cell>
          <cell r="H24">
            <v>40252.8387</v>
          </cell>
          <cell r="I24">
            <v>43377.495699999999</v>
          </cell>
          <cell r="J24">
            <v>46437.8845</v>
          </cell>
          <cell r="K24">
            <v>49483.792999999998</v>
          </cell>
          <cell r="L24">
            <v>52469.977899999998</v>
          </cell>
          <cell r="M24">
            <v>55397.610099999998</v>
          </cell>
          <cell r="N24">
            <v>58325.019099999998</v>
          </cell>
        </row>
        <row r="25">
          <cell r="E25">
            <v>1123562.9595999999</v>
          </cell>
          <cell r="F25">
            <v>1164766.4191000001</v>
          </cell>
          <cell r="G25">
            <v>1204940.8219000001</v>
          </cell>
          <cell r="H25">
            <v>1244882.9867</v>
          </cell>
          <cell r="I25">
            <v>1284512.9904</v>
          </cell>
          <cell r="J25">
            <v>1323439.5585</v>
          </cell>
          <cell r="K25">
            <v>1356949.5534999999</v>
          </cell>
          <cell r="L25">
            <v>1389750.9628999999</v>
          </cell>
          <cell r="M25">
            <v>1421900.4047999999</v>
          </cell>
          <cell r="N25">
            <v>1459550.8274000001</v>
          </cell>
        </row>
        <row r="26">
          <cell r="E26">
            <v>161128.58960000001</v>
          </cell>
          <cell r="F26">
            <v>160913.8149</v>
          </cell>
          <cell r="G26">
            <v>160909.07879999999</v>
          </cell>
          <cell r="H26">
            <v>160521.84109999999</v>
          </cell>
          <cell r="I26">
            <v>160121.54209999999</v>
          </cell>
          <cell r="J26">
            <v>159465.1594</v>
          </cell>
          <cell r="K26">
            <v>158960.05129999999</v>
          </cell>
          <cell r="L26">
            <v>158157.66329999999</v>
          </cell>
          <cell r="M26">
            <v>157377.9645</v>
          </cell>
          <cell r="N26">
            <v>156814.658</v>
          </cell>
        </row>
        <row r="28">
          <cell r="E28">
            <v>19312.955359193918</v>
          </cell>
          <cell r="F28">
            <v>18821.581785993189</v>
          </cell>
          <cell r="G28">
            <v>18346.824710436929</v>
          </cell>
          <cell r="H28">
            <v>17948.393783192176</v>
          </cell>
          <cell r="I28">
            <v>17564.363973799642</v>
          </cell>
          <cell r="J28">
            <v>17194.214759927319</v>
          </cell>
          <cell r="K28">
            <v>16743.624435009617</v>
          </cell>
          <cell r="L28">
            <v>16310.364507204133</v>
          </cell>
          <cell r="M28">
            <v>15893.768422775782</v>
          </cell>
          <cell r="N28">
            <v>15434.003293032711</v>
          </cell>
        </row>
        <row r="29">
          <cell r="E29">
            <v>7750.4609630945279</v>
          </cell>
          <cell r="F29">
            <v>7750.4609630945279</v>
          </cell>
          <cell r="G29">
            <v>7750.4609630945279</v>
          </cell>
          <cell r="H29">
            <v>7750.4609630945279</v>
          </cell>
          <cell r="I29">
            <v>7750.4609630945279</v>
          </cell>
          <cell r="J29">
            <v>7750.4609630945279</v>
          </cell>
          <cell r="K29">
            <v>7750.4609630945279</v>
          </cell>
          <cell r="L29">
            <v>7750.4609630945279</v>
          </cell>
          <cell r="M29">
            <v>7750.4609630945279</v>
          </cell>
          <cell r="N29">
            <v>7750.4609630945279</v>
          </cell>
        </row>
        <row r="30">
          <cell r="E30">
            <v>530.56784204257087</v>
          </cell>
          <cell r="F30">
            <v>491.80559809443315</v>
          </cell>
          <cell r="G30">
            <v>455.91463147578713</v>
          </cell>
          <cell r="H30">
            <v>422.68225497704077</v>
          </cell>
          <cell r="I30">
            <v>391.91153599672009</v>
          </cell>
          <cell r="J30">
            <v>363.42012953346023</v>
          </cell>
          <cell r="K30">
            <v>337.0391976230344</v>
          </cell>
          <cell r="L30">
            <v>312.61240881708454</v>
          </cell>
          <cell r="M30">
            <v>289.9950117745384</v>
          </cell>
          <cell r="N30">
            <v>269.05297747588457</v>
          </cell>
        </row>
        <row r="31">
          <cell r="E31">
            <v>20241.172003654294</v>
          </cell>
          <cell r="F31">
            <v>19279.35129205916</v>
          </cell>
          <cell r="G31">
            <v>18363.33156673046</v>
          </cell>
          <cell r="H31">
            <v>17490.931828322173</v>
          </cell>
          <cell r="I31">
            <v>16660.074934599998</v>
          </cell>
          <cell r="J31">
            <v>15868.782654864592</v>
          </cell>
          <cell r="K31">
            <v>15115.170959878491</v>
          </cell>
          <cell r="L31">
            <v>14397.445536082205</v>
          </cell>
          <cell r="M31">
            <v>13713.897513419075</v>
          </cell>
          <cell r="N31">
            <v>13062.899396597046</v>
          </cell>
        </row>
        <row r="32">
          <cell r="E32">
            <v>1991.1977032491354</v>
          </cell>
          <cell r="F32">
            <v>1818.7433865605065</v>
          </cell>
          <cell r="G32">
            <v>1661.9667350253892</v>
          </cell>
          <cell r="H32">
            <v>1519.4425063571007</v>
          </cell>
          <cell r="I32">
            <v>1389.8750257495658</v>
          </cell>
          <cell r="J32">
            <v>1272.0864070154432</v>
          </cell>
          <cell r="K32">
            <v>1272.0864070154432</v>
          </cell>
          <cell r="L32">
            <v>1272.0864070154432</v>
          </cell>
          <cell r="M32">
            <v>1272.0864070154432</v>
          </cell>
          <cell r="N32">
            <v>1272.0864070154432</v>
          </cell>
        </row>
        <row r="33">
          <cell r="B33" t="str">
            <v>E3</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row>
        <row r="34">
          <cell r="B34" t="str">
            <v>Verizon</v>
          </cell>
          <cell r="E34">
            <v>4721.0471095700914</v>
          </cell>
          <cell r="F34">
            <v>4584.0596195481394</v>
          </cell>
          <cell r="G34">
            <v>4451.0620564200308</v>
          </cell>
          <cell r="H34">
            <v>4321.9382087228387</v>
          </cell>
          <cell r="I34">
            <v>4196.5752497935255</v>
          </cell>
          <cell r="J34">
            <v>4074.8636391825416</v>
          </cell>
          <cell r="K34">
            <v>4074.8636391825416</v>
          </cell>
          <cell r="L34">
            <v>4074.8636391825416</v>
          </cell>
          <cell r="M34">
            <v>4074.8636391825416</v>
          </cell>
          <cell r="N34">
            <v>4074.8636391825416</v>
          </cell>
          <cell r="O34">
            <v>4074.8636391825416</v>
          </cell>
          <cell r="P34">
            <v>4074.8636391825416</v>
          </cell>
          <cell r="Q34">
            <v>4451.0620564200308</v>
          </cell>
          <cell r="R34">
            <v>4074.8636391825416</v>
          </cell>
          <cell r="S34">
            <v>4074.8636391825416</v>
          </cell>
          <cell r="T34">
            <v>4074.8636391825416</v>
          </cell>
          <cell r="U34">
            <v>4074.8636391825416</v>
          </cell>
        </row>
        <row r="35">
          <cell r="B35" t="str">
            <v>Palm OS - GA</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row>
        <row r="36">
          <cell r="B36" t="str">
            <v>Pocket PC (Jornada &amp; Ipaq)</v>
          </cell>
          <cell r="E36">
            <v>995.39445827922168</v>
          </cell>
          <cell r="F36">
            <v>893.16958363523463</v>
          </cell>
          <cell r="G36">
            <v>800.23787941342823</v>
          </cell>
          <cell r="H36">
            <v>715.75451193905883</v>
          </cell>
          <cell r="I36">
            <v>638.951450598723</v>
          </cell>
          <cell r="J36">
            <v>569.13048574387221</v>
          </cell>
          <cell r="K36">
            <v>569.13048574387221</v>
          </cell>
          <cell r="L36">
            <v>569.13048574387221</v>
          </cell>
          <cell r="M36">
            <v>569.13048574387221</v>
          </cell>
          <cell r="N36">
            <v>569.13048574387221</v>
          </cell>
          <cell r="O36">
            <v>569.13048574387221</v>
          </cell>
          <cell r="P36">
            <v>569.13048574387221</v>
          </cell>
          <cell r="Q36">
            <v>800.23787941342823</v>
          </cell>
          <cell r="R36">
            <v>569.13048574387221</v>
          </cell>
          <cell r="S36">
            <v>569.13048574387221</v>
          </cell>
          <cell r="T36">
            <v>569.13048574387221</v>
          </cell>
          <cell r="U36">
            <v>569.13048574387221</v>
          </cell>
        </row>
        <row r="37">
          <cell r="B37" t="str">
            <v>Jornada - Go America</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row>
        <row r="38">
          <cell r="B38" t="str">
            <v>1x Laptop Card</v>
          </cell>
          <cell r="E38">
            <v>2232.8543568398882</v>
          </cell>
          <cell r="F38">
            <v>2448.4808826599547</v>
          </cell>
          <cell r="G38">
            <v>2657.8270242328349</v>
          </cell>
          <cell r="H38">
            <v>2918.3572587696117</v>
          </cell>
          <cell r="I38">
            <v>3344.1147680286181</v>
          </cell>
          <cell r="J38">
            <v>3933.1997284742556</v>
          </cell>
          <cell r="K38">
            <v>4608.0394958972047</v>
          </cell>
          <cell r="L38">
            <v>5266.136357472883</v>
          </cell>
          <cell r="M38">
            <v>5907.9779706531535</v>
          </cell>
          <cell r="N38">
            <v>6559.280507721377</v>
          </cell>
          <cell r="O38">
            <v>7194.5256893410115</v>
          </cell>
          <cell r="P38">
            <v>7814.1812054765796</v>
          </cell>
          <cell r="Q38">
            <v>2657.8270242328349</v>
          </cell>
          <cell r="R38">
            <v>3933.1997284742556</v>
          </cell>
          <cell r="S38">
            <v>5907.9779706531535</v>
          </cell>
          <cell r="T38">
            <v>7814.1812054765796</v>
          </cell>
          <cell r="U38">
            <v>7814.1812054765796</v>
          </cell>
        </row>
        <row r="39">
          <cell r="B39" t="str">
            <v>1x Laptop Card - Go America</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row>
        <row r="40">
          <cell r="B40" t="str">
            <v>Boingo</v>
          </cell>
          <cell r="E40">
            <v>468.82415414959792</v>
          </cell>
          <cell r="F40">
            <v>606.68989181051086</v>
          </cell>
          <cell r="G40">
            <v>739.25310109985014</v>
          </cell>
          <cell r="H40">
            <v>921.28182798062517</v>
          </cell>
          <cell r="I40">
            <v>1096.3094499813706</v>
          </cell>
          <cell r="J40">
            <v>1264.6052403667027</v>
          </cell>
          <cell r="K40">
            <v>1410.8383721474706</v>
          </cell>
          <cell r="L40">
            <v>1551.4471527059013</v>
          </cell>
          <cell r="M40">
            <v>1686.647903242854</v>
          </cell>
          <cell r="N40">
            <v>1840.033240297616</v>
          </cell>
          <cell r="O40">
            <v>1987.5191413118102</v>
          </cell>
          <cell r="P40">
            <v>2129.3325076716128</v>
          </cell>
          <cell r="Q40">
            <v>739.25310109985014</v>
          </cell>
          <cell r="R40">
            <v>1264.6052403667027</v>
          </cell>
          <cell r="S40">
            <v>1686.647903242854</v>
          </cell>
          <cell r="T40">
            <v>2129.3325076716128</v>
          </cell>
          <cell r="U40">
            <v>2129.3325076716128</v>
          </cell>
        </row>
        <row r="41">
          <cell r="B41" t="str">
            <v xml:space="preserve">Laptop CDPD </v>
          </cell>
          <cell r="E41">
            <v>713.46225081113323</v>
          </cell>
          <cell r="F41">
            <v>713.46225081113323</v>
          </cell>
          <cell r="G41">
            <v>713.46225081113323</v>
          </cell>
          <cell r="H41">
            <v>713.46225081113323</v>
          </cell>
          <cell r="I41">
            <v>713.46225081113323</v>
          </cell>
          <cell r="J41">
            <v>713.46225081113323</v>
          </cell>
          <cell r="K41">
            <v>713.46225081113323</v>
          </cell>
          <cell r="L41">
            <v>713.46225081113323</v>
          </cell>
          <cell r="M41">
            <v>713.46225081113323</v>
          </cell>
          <cell r="N41">
            <v>713.46225081113323</v>
          </cell>
          <cell r="O41">
            <v>713.46225081113323</v>
          </cell>
          <cell r="P41">
            <v>713.46225081113323</v>
          </cell>
          <cell r="Q41">
            <v>713.46225081113323</v>
          </cell>
          <cell r="R41">
            <v>713.46225081113323</v>
          </cell>
          <cell r="S41">
            <v>713.46225081113323</v>
          </cell>
          <cell r="T41">
            <v>713.46225081113323</v>
          </cell>
          <cell r="U41">
            <v>713.46225081113323</v>
          </cell>
        </row>
        <row r="42">
          <cell r="B42" t="str">
            <v>Go America</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row>
        <row r="43">
          <cell r="B43" t="str">
            <v>Handspring</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row>
        <row r="44">
          <cell r="E44">
            <v>0</v>
          </cell>
          <cell r="F44">
            <v>0</v>
          </cell>
          <cell r="G44">
            <v>0</v>
          </cell>
          <cell r="H44">
            <v>0</v>
          </cell>
          <cell r="I44">
            <v>0</v>
          </cell>
          <cell r="J44">
            <v>0</v>
          </cell>
          <cell r="K44">
            <v>0</v>
          </cell>
          <cell r="L44">
            <v>0</v>
          </cell>
          <cell r="M44">
            <v>0</v>
          </cell>
          <cell r="N44">
            <v>130.53033400315252</v>
          </cell>
        </row>
        <row r="45">
          <cell r="E45">
            <v>0</v>
          </cell>
          <cell r="F45">
            <v>0</v>
          </cell>
          <cell r="G45">
            <v>0</v>
          </cell>
          <cell r="H45">
            <v>0</v>
          </cell>
          <cell r="I45">
            <v>0</v>
          </cell>
          <cell r="J45">
            <v>0</v>
          </cell>
          <cell r="K45">
            <v>0</v>
          </cell>
          <cell r="L45">
            <v>0</v>
          </cell>
          <cell r="M45">
            <v>0</v>
          </cell>
          <cell r="N45">
            <v>242.71844660194174</v>
          </cell>
        </row>
        <row r="46">
          <cell r="E46">
            <v>0</v>
          </cell>
          <cell r="F46">
            <v>0</v>
          </cell>
          <cell r="G46">
            <v>121.35922330097087</v>
          </cell>
          <cell r="H46">
            <v>481.9021585446319</v>
          </cell>
          <cell r="I46">
            <v>886.79821217925428</v>
          </cell>
          <cell r="J46">
            <v>1342.5225360963634</v>
          </cell>
          <cell r="K46">
            <v>1857.3034331032654</v>
          </cell>
          <cell r="L46">
            <v>2440.1004204886071</v>
          </cell>
          <cell r="M46">
            <v>3101.5538062996184</v>
          </cell>
          <cell r="N46">
            <v>3853.4502973782701</v>
          </cell>
        </row>
        <row r="47">
          <cell r="B47" t="str">
            <v>ELNK Wireless</v>
          </cell>
          <cell r="E47">
            <v>58957.936399999999</v>
          </cell>
          <cell r="F47">
            <v>57407.805399999997</v>
          </cell>
          <cell r="G47">
            <v>56061.700199999999</v>
          </cell>
          <cell r="H47">
            <v>55204.6077</v>
          </cell>
          <cell r="I47">
            <v>54632.897799999999</v>
          </cell>
          <cell r="J47">
            <v>54346.748800000001</v>
          </cell>
          <cell r="K47">
            <v>54452.019699999997</v>
          </cell>
          <cell r="L47">
            <v>54658.110200000003</v>
          </cell>
          <cell r="M47">
            <v>54973.844400000002</v>
          </cell>
          <cell r="N47">
            <v>55771.972199999997</v>
          </cell>
          <cell r="O47">
            <v>56935.656600000002</v>
          </cell>
          <cell r="P47">
            <v>58627.779000000002</v>
          </cell>
          <cell r="Q47">
            <v>56061.700199999999</v>
          </cell>
          <cell r="R47">
            <v>54346.748800000001</v>
          </cell>
          <cell r="S47">
            <v>54973.844400000002</v>
          </cell>
          <cell r="T47">
            <v>58627.779000000002</v>
          </cell>
          <cell r="U47">
            <v>58627.779000000002</v>
          </cell>
        </row>
        <row r="48">
          <cell r="B48" t="str">
            <v>ACC</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row>
        <row r="49">
          <cell r="C49" t="str">
            <v>Total Ending Subscribers</v>
          </cell>
          <cell r="E49">
            <v>5389201.9367000004</v>
          </cell>
          <cell r="F49">
            <v>5499448.0897000004</v>
          </cell>
          <cell r="G49">
            <v>5606411.5107000005</v>
          </cell>
          <cell r="H49">
            <v>5705418.4897999996</v>
          </cell>
          <cell r="I49">
            <v>5758444.1824000003</v>
          </cell>
          <cell r="J49">
            <v>5818214.4754999997</v>
          </cell>
          <cell r="K49">
            <v>5852832.2540999996</v>
          </cell>
          <cell r="L49">
            <v>5882814.8938999996</v>
          </cell>
          <cell r="M49">
            <v>5924530.9495000001</v>
          </cell>
          <cell r="N49">
            <v>6002266.8322999999</v>
          </cell>
          <cell r="O49">
            <v>6069043.9945999999</v>
          </cell>
          <cell r="P49">
            <v>6145967.1083000004</v>
          </cell>
          <cell r="Q49">
            <v>5606411.5107000005</v>
          </cell>
          <cell r="R49">
            <v>5818214.4754999997</v>
          </cell>
          <cell r="S49">
            <v>5924530.9495000001</v>
          </cell>
          <cell r="T49">
            <v>6145967.1083000004</v>
          </cell>
          <cell r="U49">
            <v>6145967.1083000004</v>
          </cell>
        </row>
        <row r="50">
          <cell r="E50">
            <v>93338.997300000003</v>
          </cell>
          <cell r="F50">
            <v>124471.5505</v>
          </cell>
          <cell r="G50">
            <v>122346.9479</v>
          </cell>
          <cell r="H50">
            <v>113739.2393</v>
          </cell>
          <cell r="I50">
            <v>68148.814499999993</v>
          </cell>
          <cell r="J50">
            <v>74685.985799999995</v>
          </cell>
          <cell r="K50">
            <v>48749.208100000003</v>
          </cell>
          <cell r="L50">
            <v>44108.516100000001</v>
          </cell>
          <cell r="M50">
            <v>56168.3197</v>
          </cell>
          <cell r="N50">
            <v>93159.043099999995</v>
          </cell>
        </row>
        <row r="51">
          <cell r="C51" t="str">
            <v>Gross Adds</v>
          </cell>
          <cell r="E51">
            <v>308746.75579999998</v>
          </cell>
          <cell r="F51">
            <v>344322.39140000002</v>
          </cell>
          <cell r="G51">
            <v>348415.99290000001</v>
          </cell>
          <cell r="H51">
            <v>341803.78590000002</v>
          </cell>
          <cell r="I51">
            <v>299938.13419999997</v>
          </cell>
          <cell r="J51">
            <v>305444.16560000001</v>
          </cell>
          <cell r="K51">
            <v>278156.15879999998</v>
          </cell>
          <cell r="L51">
            <v>272298.7488</v>
          </cell>
          <cell r="M51">
            <v>282819.42009999999</v>
          </cell>
          <cell r="N51">
            <v>320582.49280000001</v>
          </cell>
          <cell r="O51">
            <v>311938.48320000002</v>
          </cell>
          <cell r="P51">
            <v>323513.05949999997</v>
          </cell>
          <cell r="Q51">
            <v>1001485.1401</v>
          </cell>
          <cell r="R51">
            <v>947186.08570000005</v>
          </cell>
          <cell r="S51">
            <v>833274.32770000002</v>
          </cell>
          <cell r="T51">
            <v>956034.0355</v>
          </cell>
          <cell r="U51">
            <v>3737979.5890000002</v>
          </cell>
        </row>
        <row r="52">
          <cell r="C52" t="str">
            <v>Cannibalization</v>
          </cell>
          <cell r="E52">
            <v>-4070.5551</v>
          </cell>
          <cell r="F52">
            <v>-4296.6832000000004</v>
          </cell>
          <cell r="G52">
            <v>-5229.2214999999997</v>
          </cell>
          <cell r="H52">
            <v>-4242.6314000000002</v>
          </cell>
          <cell r="I52">
            <v>-4219.3485000000001</v>
          </cell>
          <cell r="J52">
            <v>-3748.59</v>
          </cell>
          <cell r="K52">
            <v>-2674.5749999999998</v>
          </cell>
          <cell r="L52">
            <v>-2428.8634000000002</v>
          </cell>
          <cell r="M52">
            <v>-2519.3571999999999</v>
          </cell>
          <cell r="N52">
            <v>-3278.3361</v>
          </cell>
          <cell r="O52">
            <v>-3165.1046999999999</v>
          </cell>
          <cell r="P52">
            <v>-3077.7905000000001</v>
          </cell>
          <cell r="Q52">
            <v>-13596.459800000001</v>
          </cell>
          <cell r="R52">
            <v>-12210.5699</v>
          </cell>
          <cell r="S52">
            <v>-7622.7956000000004</v>
          </cell>
          <cell r="T52">
            <v>-9521.2312999999995</v>
          </cell>
          <cell r="U52">
            <v>-42951.056600000004</v>
          </cell>
        </row>
        <row r="53">
          <cell r="C53" t="str">
            <v>Churn</v>
          </cell>
          <cell r="E53">
            <v>-215407.7585</v>
          </cell>
          <cell r="F53">
            <v>-219850.84090000001</v>
          </cell>
          <cell r="G53">
            <v>-226069.04500000001</v>
          </cell>
          <cell r="H53">
            <v>-228064.5466</v>
          </cell>
          <cell r="I53">
            <v>-231789.31969999999</v>
          </cell>
          <cell r="J53">
            <v>-230758.17980000001</v>
          </cell>
          <cell r="K53">
            <v>-229406.95069999999</v>
          </cell>
          <cell r="L53">
            <v>-228190.23269999999</v>
          </cell>
          <cell r="M53">
            <v>-226651.1004</v>
          </cell>
          <cell r="N53">
            <v>-227423.4497</v>
          </cell>
          <cell r="O53">
            <v>-229558.30590000001</v>
          </cell>
          <cell r="P53">
            <v>-230772.15900000001</v>
          </cell>
          <cell r="Q53">
            <v>-661327.64439999999</v>
          </cell>
          <cell r="R53">
            <v>-690612.04610000004</v>
          </cell>
          <cell r="S53">
            <v>-684248.28379999998</v>
          </cell>
          <cell r="T53">
            <v>-687753.91460000002</v>
          </cell>
          <cell r="U53">
            <v>-2723941.8889000001</v>
          </cell>
        </row>
        <row r="54">
          <cell r="E54">
            <v>-3.9969999999999999E-2</v>
          </cell>
          <cell r="F54">
            <v>-3.9976999999999999E-2</v>
          </cell>
          <cell r="G54">
            <v>-4.0322999999999998E-2</v>
          </cell>
          <cell r="H54">
            <v>-3.9973000000000002E-2</v>
          </cell>
          <cell r="I54">
            <v>-4.0252000000000003E-2</v>
          </cell>
          <cell r="J54">
            <v>-3.9661000000000002E-2</v>
          </cell>
          <cell r="K54">
            <v>-3.9196000000000002E-2</v>
          </cell>
          <cell r="L54">
            <v>-3.8788999999999997E-2</v>
          </cell>
          <cell r="M54">
            <v>-3.8255999999999998E-2</v>
          </cell>
          <cell r="N54">
            <v>-3.789E-2</v>
          </cell>
        </row>
        <row r="56">
          <cell r="A56" t="str">
            <v>Revenue</v>
          </cell>
        </row>
        <row r="57">
          <cell r="A57" t="str">
            <v>Narrowband</v>
          </cell>
        </row>
        <row r="58">
          <cell r="E58">
            <v>67951.23616</v>
          </cell>
          <cell r="F58">
            <v>67254.257645000005</v>
          </cell>
          <cell r="G58">
            <v>66744.948902999997</v>
          </cell>
          <cell r="H58">
            <v>66343.859945999997</v>
          </cell>
          <cell r="I58">
            <v>66040.747015000001</v>
          </cell>
          <cell r="J58">
            <v>65700.560471000004</v>
          </cell>
          <cell r="K58">
            <v>65367.411381999998</v>
          </cell>
          <cell r="L58">
            <v>65123.351995999998</v>
          </cell>
          <cell r="M58">
            <v>64817.015307000001</v>
          </cell>
          <cell r="N58">
            <v>64552.449843000002</v>
          </cell>
        </row>
        <row r="59">
          <cell r="B59" t="str">
            <v>People PC</v>
          </cell>
          <cell r="E59">
            <v>5796.0605020000003</v>
          </cell>
          <cell r="F59">
            <v>6089.9616720000004</v>
          </cell>
          <cell r="G59">
            <v>6440.3247680000004</v>
          </cell>
          <cell r="H59">
            <v>6915.3110239999996</v>
          </cell>
          <cell r="I59">
            <v>7475.9266090000001</v>
          </cell>
          <cell r="J59">
            <v>8050.3843219999999</v>
          </cell>
          <cell r="K59">
            <v>8612.2351920000001</v>
          </cell>
          <cell r="L59">
            <v>9152.8063409999995</v>
          </cell>
          <cell r="M59">
            <v>9703.9749150000007</v>
          </cell>
          <cell r="N59">
            <v>10244.339282000001</v>
          </cell>
          <cell r="O59">
            <v>10684.877251</v>
          </cell>
          <cell r="P59">
            <v>11105.889031000001</v>
          </cell>
          <cell r="Q59">
            <v>18326.346942</v>
          </cell>
          <cell r="R59">
            <v>22441.621954999999</v>
          </cell>
          <cell r="S59">
            <v>27469.016447000002</v>
          </cell>
          <cell r="T59">
            <v>32035.105564000001</v>
          </cell>
          <cell r="U59">
            <v>100272.09090700001</v>
          </cell>
        </row>
        <row r="60">
          <cell r="B60" t="str">
            <v>Mailstation</v>
          </cell>
          <cell r="E60">
            <v>1582.332062</v>
          </cell>
          <cell r="F60">
            <v>1529.1443939999999</v>
          </cell>
          <cell r="G60">
            <v>1477.5981139999999</v>
          </cell>
          <cell r="H60">
            <v>1428.5634660000001</v>
          </cell>
          <cell r="I60">
            <v>1381.1968079999999</v>
          </cell>
          <cell r="J60">
            <v>1335.620889</v>
          </cell>
          <cell r="K60">
            <v>1291.8912459999999</v>
          </cell>
          <cell r="L60">
            <v>1249.7916270000001</v>
          </cell>
          <cell r="M60">
            <v>1209.3146959999999</v>
          </cell>
          <cell r="N60">
            <v>1170.409551</v>
          </cell>
          <cell r="O60">
            <v>1132.989613</v>
          </cell>
          <cell r="P60">
            <v>1097.0113389999999</v>
          </cell>
          <cell r="Q60">
            <v>4589.0745699999998</v>
          </cell>
          <cell r="R60">
            <v>4145.381163</v>
          </cell>
          <cell r="S60">
            <v>3750.99757</v>
          </cell>
          <cell r="T60">
            <v>3400.4105030000001</v>
          </cell>
          <cell r="U60">
            <v>15885.863805000001</v>
          </cell>
        </row>
        <row r="61">
          <cell r="B61" t="str">
            <v xml:space="preserve">Narrowband &amp; People PC </v>
          </cell>
          <cell r="E61">
            <v>75329.628723000002</v>
          </cell>
          <cell r="F61">
            <v>74873.363710999998</v>
          </cell>
          <cell r="G61">
            <v>74662.871784999996</v>
          </cell>
          <cell r="H61">
            <v>74687.734435999999</v>
          </cell>
          <cell r="I61">
            <v>74897.870431999996</v>
          </cell>
          <cell r="J61">
            <v>75086.565682</v>
          </cell>
          <cell r="K61">
            <v>75271.537819999998</v>
          </cell>
          <cell r="L61">
            <v>75525.949963999999</v>
          </cell>
          <cell r="M61">
            <v>75730.304917999994</v>
          </cell>
          <cell r="N61">
            <v>75967.198676</v>
          </cell>
          <cell r="O61">
            <v>76181.905666999999</v>
          </cell>
          <cell r="P61">
            <v>76390.624863000005</v>
          </cell>
          <cell r="Q61">
            <v>224865.86421900001</v>
          </cell>
          <cell r="R61">
            <v>224672.17055099999</v>
          </cell>
          <cell r="S61">
            <v>226527.79270200001</v>
          </cell>
          <cell r="T61">
            <v>228539.72920500001</v>
          </cell>
          <cell r="U61">
            <v>904605.55667700002</v>
          </cell>
        </row>
        <row r="63">
          <cell r="B63" t="str">
            <v>Retail aDSL</v>
          </cell>
          <cell r="E63">
            <v>17802.198925000001</v>
          </cell>
          <cell r="F63">
            <v>17950.903036</v>
          </cell>
          <cell r="G63">
            <v>18113.639411</v>
          </cell>
          <cell r="H63">
            <v>18265.217332</v>
          </cell>
          <cell r="I63">
            <v>18391.695233999999</v>
          </cell>
          <cell r="J63">
            <v>18519.663324000001</v>
          </cell>
          <cell r="K63">
            <v>18655.420549999999</v>
          </cell>
          <cell r="L63">
            <v>18775.309031000001</v>
          </cell>
          <cell r="M63">
            <v>18899.203818000002</v>
          </cell>
          <cell r="N63">
            <v>19037.622614</v>
          </cell>
          <cell r="O63">
            <v>19166.247468000001</v>
          </cell>
          <cell r="P63">
            <v>19302.488215000001</v>
          </cell>
          <cell r="Q63">
            <v>53866.741370999996</v>
          </cell>
          <cell r="R63">
            <v>55176.575889</v>
          </cell>
          <cell r="S63">
            <v>56329.933399000001</v>
          </cell>
          <cell r="T63">
            <v>57506.358297999999</v>
          </cell>
          <cell r="U63">
            <v>222879.60895699999</v>
          </cell>
        </row>
        <row r="64">
          <cell r="B64" t="str">
            <v>Sprint DSL, Wireless, ION</v>
          </cell>
          <cell r="E64">
            <v>1225.6457</v>
          </cell>
          <cell r="F64">
            <v>1260.9539319999999</v>
          </cell>
          <cell r="G64">
            <v>1295.684649</v>
          </cell>
          <cell r="H64">
            <v>1329.8610619999999</v>
          </cell>
          <cell r="I64">
            <v>1363.481241</v>
          </cell>
          <cell r="J64">
            <v>1396.554132</v>
          </cell>
          <cell r="K64">
            <v>1429.0905740000001</v>
          </cell>
          <cell r="L64">
            <v>1461.10049</v>
          </cell>
          <cell r="M64">
            <v>1492.5902390000001</v>
          </cell>
          <cell r="N64">
            <v>1523.5686639999999</v>
          </cell>
          <cell r="O64">
            <v>1554.044404</v>
          </cell>
          <cell r="P64">
            <v>1584.0255529999999</v>
          </cell>
          <cell r="Q64">
            <v>3782.2842810000002</v>
          </cell>
          <cell r="R64">
            <v>4089.8964350000001</v>
          </cell>
          <cell r="S64">
            <v>4382.7813029999998</v>
          </cell>
          <cell r="T64">
            <v>4661.6386210000001</v>
          </cell>
          <cell r="U64">
            <v>16916.600639</v>
          </cell>
        </row>
        <row r="65">
          <cell r="B65" t="str">
            <v>Retail sDSL</v>
          </cell>
          <cell r="E65">
            <v>2809.867655</v>
          </cell>
          <cell r="F65">
            <v>2830.6450920000002</v>
          </cell>
          <cell r="G65">
            <v>2839.1797489999999</v>
          </cell>
          <cell r="H65">
            <v>2847.8359780000001</v>
          </cell>
          <cell r="I65">
            <v>2861.3862389999999</v>
          </cell>
          <cell r="J65">
            <v>2856.754758</v>
          </cell>
          <cell r="K65">
            <v>2845.0243099999998</v>
          </cell>
          <cell r="L65">
            <v>2853.3437610000001</v>
          </cell>
          <cell r="M65">
            <v>2858.0892610000001</v>
          </cell>
          <cell r="N65">
            <v>2852.1969429999999</v>
          </cell>
          <cell r="O65">
            <v>2854.9841839999999</v>
          </cell>
          <cell r="P65">
            <v>2843.868657</v>
          </cell>
          <cell r="Q65">
            <v>8479.6924959999997</v>
          </cell>
          <cell r="R65">
            <v>8565.9769749999996</v>
          </cell>
          <cell r="S65">
            <v>8556.457332</v>
          </cell>
          <cell r="T65">
            <v>8551.0497840000007</v>
          </cell>
          <cell r="U65">
            <v>34153.176588000002</v>
          </cell>
        </row>
        <row r="66">
          <cell r="E66">
            <v>1179.8112960000001</v>
          </cell>
          <cell r="F66">
            <v>1159.0118769999999</v>
          </cell>
          <cell r="G66">
            <v>1138.942276</v>
          </cell>
          <cell r="H66">
            <v>1119.5802510000001</v>
          </cell>
          <cell r="I66">
            <v>1100.8676190000001</v>
          </cell>
          <cell r="J66">
            <v>1082.7779419999999</v>
          </cell>
          <cell r="K66">
            <v>1065.308348</v>
          </cell>
          <cell r="L66">
            <v>1048.43382</v>
          </cell>
          <cell r="M66">
            <v>1032.1287170000001</v>
          </cell>
          <cell r="N66">
            <v>1016.374733</v>
          </cell>
        </row>
        <row r="67">
          <cell r="B67" t="str">
            <v>Frame &amp; Dedicated</v>
          </cell>
          <cell r="E67">
            <v>584.15063699999996</v>
          </cell>
          <cell r="F67">
            <v>575.437726</v>
          </cell>
          <cell r="G67">
            <v>566.51680399999998</v>
          </cell>
          <cell r="H67">
            <v>557.95002399999998</v>
          </cell>
          <cell r="I67">
            <v>549.58814800000005</v>
          </cell>
          <cell r="J67">
            <v>541.33535400000005</v>
          </cell>
          <cell r="K67">
            <v>533.29750999999999</v>
          </cell>
          <cell r="L67">
            <v>525.42838300000005</v>
          </cell>
          <cell r="M67">
            <v>517.71607200000005</v>
          </cell>
          <cell r="N67">
            <v>510.176649</v>
          </cell>
          <cell r="O67">
            <v>502.79624799999999</v>
          </cell>
          <cell r="P67">
            <v>495.57178800000003</v>
          </cell>
          <cell r="Q67">
            <v>1726.105168</v>
          </cell>
          <cell r="R67">
            <v>1648.8735260000001</v>
          </cell>
          <cell r="S67">
            <v>1576.441965</v>
          </cell>
          <cell r="T67">
            <v>1508.5446850000001</v>
          </cell>
          <cell r="U67">
            <v>6459.9653440000002</v>
          </cell>
        </row>
        <row r="68">
          <cell r="B68" t="str">
            <v>Cable - Retail</v>
          </cell>
          <cell r="E68">
            <v>10721.060202999999</v>
          </cell>
          <cell r="F68">
            <v>11204.800662</v>
          </cell>
          <cell r="G68">
            <v>11751.226333000001</v>
          </cell>
          <cell r="H68">
            <v>12233.082273</v>
          </cell>
          <cell r="I68">
            <v>12772.304136000001</v>
          </cell>
          <cell r="J68">
            <v>13305.277542</v>
          </cell>
          <cell r="K68">
            <v>13704.095973</v>
          </cell>
          <cell r="L68">
            <v>14128.367776999999</v>
          </cell>
          <cell r="M68">
            <v>14540.496851</v>
          </cell>
          <cell r="N68">
            <v>15020.672236</v>
          </cell>
          <cell r="O68">
            <v>15528.671057</v>
          </cell>
          <cell r="P68">
            <v>16042.733441</v>
          </cell>
          <cell r="Q68">
            <v>33677.087198000001</v>
          </cell>
          <cell r="R68">
            <v>38310.663951000002</v>
          </cell>
          <cell r="S68">
            <v>42372.960600999999</v>
          </cell>
          <cell r="T68">
            <v>46592.076733000002</v>
          </cell>
          <cell r="U68">
            <v>160952.78848300001</v>
          </cell>
        </row>
        <row r="69">
          <cell r="B69" t="str">
            <v>Cable - Wholesale</v>
          </cell>
          <cell r="E69">
            <v>68.102087999999995</v>
          </cell>
          <cell r="F69">
            <v>68.108461000000005</v>
          </cell>
          <cell r="G69">
            <v>68.110962000000001</v>
          </cell>
          <cell r="H69">
            <v>68.108069999999998</v>
          </cell>
          <cell r="I69">
            <v>68.107406999999995</v>
          </cell>
          <cell r="J69">
            <v>68.110142999999994</v>
          </cell>
          <cell r="K69">
            <v>68.110924999999995</v>
          </cell>
          <cell r="L69">
            <v>68.110000999999997</v>
          </cell>
          <cell r="M69">
            <v>68.110382999999999</v>
          </cell>
          <cell r="N69">
            <v>68.111683999999997</v>
          </cell>
          <cell r="O69">
            <v>68.112070000000003</v>
          </cell>
          <cell r="P69">
            <v>68.112018000000006</v>
          </cell>
          <cell r="Q69">
            <v>204.32151099999999</v>
          </cell>
          <cell r="R69">
            <v>204.32561999999999</v>
          </cell>
          <cell r="S69">
            <v>204.331309</v>
          </cell>
          <cell r="T69">
            <v>204.33577199999999</v>
          </cell>
          <cell r="U69">
            <v>817.314212</v>
          </cell>
        </row>
        <row r="70">
          <cell r="E70">
            <v>613.78571499999998</v>
          </cell>
          <cell r="F70">
            <v>636.94919600000003</v>
          </cell>
          <cell r="G70">
            <v>652.59912399999996</v>
          </cell>
          <cell r="H70">
            <v>664.40241900000001</v>
          </cell>
          <cell r="I70">
            <v>678.23878400000001</v>
          </cell>
          <cell r="J70">
            <v>692.00758199999996</v>
          </cell>
          <cell r="K70">
            <v>690.45677000000001</v>
          </cell>
          <cell r="L70">
            <v>699.44333300000005</v>
          </cell>
          <cell r="M70">
            <v>709.92529400000001</v>
          </cell>
          <cell r="N70">
            <v>738.75721499999997</v>
          </cell>
        </row>
        <row r="71">
          <cell r="B71" t="str">
            <v>BBD - Adjustments - Refunds, Chargebacks, Credits</v>
          </cell>
          <cell r="E71">
            <v>-563.95325500000001</v>
          </cell>
          <cell r="F71">
            <v>-549.59452399999998</v>
          </cell>
          <cell r="G71">
            <v>-538.61594600000001</v>
          </cell>
          <cell r="H71">
            <v>-517.13832000000002</v>
          </cell>
          <cell r="I71">
            <v>-514.01002500000004</v>
          </cell>
          <cell r="J71">
            <v>-515.22396000000003</v>
          </cell>
          <cell r="K71">
            <v>-508.32226700000001</v>
          </cell>
          <cell r="L71">
            <v>-503.39810999999997</v>
          </cell>
          <cell r="M71">
            <v>-506.085261</v>
          </cell>
          <cell r="N71">
            <v>-501.628626</v>
          </cell>
          <cell r="O71">
            <v>-502.12419999999997</v>
          </cell>
          <cell r="P71">
            <v>-509.539783</v>
          </cell>
          <cell r="Q71">
            <v>-1652.1637250000001</v>
          </cell>
          <cell r="R71">
            <v>-1546.3723050000001</v>
          </cell>
          <cell r="S71">
            <v>-1517.805638</v>
          </cell>
          <cell r="T71">
            <v>-1513.2926090000001</v>
          </cell>
          <cell r="U71">
            <v>-6229.6342780000004</v>
          </cell>
        </row>
        <row r="72">
          <cell r="B72" t="str">
            <v>BBD - Deferred Revenue</v>
          </cell>
          <cell r="E72">
            <v>71.801693</v>
          </cell>
          <cell r="F72">
            <v>-495.37101200000001</v>
          </cell>
          <cell r="G72">
            <v>-396.66274900000002</v>
          </cell>
          <cell r="H72">
            <v>-310.65059600000001</v>
          </cell>
          <cell r="I72">
            <v>-256.43716699999999</v>
          </cell>
          <cell r="J72">
            <v>-243.47508500000001</v>
          </cell>
          <cell r="K72">
            <v>-316.12303200000002</v>
          </cell>
          <cell r="L72">
            <v>-332.540412</v>
          </cell>
          <cell r="M72">
            <v>-324.104176</v>
          </cell>
          <cell r="N72">
            <v>-270.17929600000002</v>
          </cell>
          <cell r="O72">
            <v>-286.44060400000001</v>
          </cell>
          <cell r="P72">
            <v>-283.79752100000002</v>
          </cell>
          <cell r="Q72">
            <v>-820.23206700000003</v>
          </cell>
          <cell r="R72">
            <v>-810.56284800000003</v>
          </cell>
          <cell r="S72">
            <v>-972.76761999999997</v>
          </cell>
          <cell r="T72">
            <v>-840.41741999999999</v>
          </cell>
          <cell r="U72">
            <v>-3443.9799560000001</v>
          </cell>
        </row>
        <row r="73">
          <cell r="B73" t="str">
            <v>BBD - Rebates</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E74">
            <v>33621.032469999998</v>
          </cell>
          <cell r="F74">
            <v>34080.112862000002</v>
          </cell>
          <cell r="G74">
            <v>35008.511329000001</v>
          </cell>
          <cell r="H74">
            <v>35754.020174999998</v>
          </cell>
          <cell r="I74">
            <v>36335.088905999997</v>
          </cell>
          <cell r="J74">
            <v>36851.230988000003</v>
          </cell>
          <cell r="K74">
            <v>37422.936870999998</v>
          </cell>
          <cell r="L74">
            <v>38086.475493999998</v>
          </cell>
          <cell r="M74">
            <v>38756.047353000002</v>
          </cell>
          <cell r="N74">
            <v>39393.438649999996</v>
          </cell>
        </row>
        <row r="75">
          <cell r="B75" t="str">
            <v>Web Hosting</v>
          </cell>
        </row>
        <row r="76">
          <cell r="C76" t="str">
            <v>Recurring</v>
          </cell>
          <cell r="E76">
            <v>3781.505439</v>
          </cell>
          <cell r="F76">
            <v>3773.5082830000001</v>
          </cell>
          <cell r="G76">
            <v>3767.531356</v>
          </cell>
          <cell r="H76">
            <v>3769.5958380000002</v>
          </cell>
          <cell r="I76">
            <v>3760.5872129999998</v>
          </cell>
          <cell r="J76">
            <v>3752.3693499999999</v>
          </cell>
          <cell r="K76">
            <v>3736.7608310000001</v>
          </cell>
          <cell r="L76">
            <v>3726.27241</v>
          </cell>
          <cell r="M76">
            <v>3707.3791249999999</v>
          </cell>
          <cell r="N76">
            <v>3688.1436779999999</v>
          </cell>
          <cell r="O76">
            <v>3676.1238229999999</v>
          </cell>
          <cell r="P76">
            <v>3661.9986180000001</v>
          </cell>
          <cell r="Q76">
            <v>11322.545077999999</v>
          </cell>
          <cell r="R76">
            <v>11282.552401000001</v>
          </cell>
          <cell r="S76">
            <v>11170.412366</v>
          </cell>
          <cell r="T76">
            <v>11026.266118</v>
          </cell>
          <cell r="U76">
            <v>44801.775964</v>
          </cell>
        </row>
        <row r="77">
          <cell r="C77" t="str">
            <v>Other</v>
          </cell>
          <cell r="E77">
            <v>304.54050599999999</v>
          </cell>
          <cell r="F77">
            <v>291.188241</v>
          </cell>
          <cell r="G77">
            <v>317.63293599999997</v>
          </cell>
          <cell r="H77">
            <v>273.20721700000001</v>
          </cell>
          <cell r="I77">
            <v>271.18300199999999</v>
          </cell>
          <cell r="J77">
            <v>263.37314300000003</v>
          </cell>
          <cell r="K77">
            <v>270.47942</v>
          </cell>
          <cell r="L77">
            <v>276.43138299999998</v>
          </cell>
          <cell r="M77">
            <v>275.54392200000001</v>
          </cell>
          <cell r="N77">
            <v>240.122714</v>
          </cell>
          <cell r="O77">
            <v>264.70694099999997</v>
          </cell>
          <cell r="P77">
            <v>259.14145500000001</v>
          </cell>
          <cell r="Q77">
            <v>913.36168299999997</v>
          </cell>
          <cell r="R77">
            <v>807.76336100000003</v>
          </cell>
          <cell r="S77">
            <v>822.45472500000005</v>
          </cell>
          <cell r="T77">
            <v>763.97110999999995</v>
          </cell>
          <cell r="U77">
            <v>3307.5508789999999</v>
          </cell>
        </row>
        <row r="78">
          <cell r="C78" t="str">
            <v>Adj - Ref, Chgbks, Credits</v>
          </cell>
          <cell r="E78">
            <v>-27.900845</v>
          </cell>
          <cell r="F78">
            <v>-27.190466000000001</v>
          </cell>
          <cell r="G78">
            <v>-26.647314999999999</v>
          </cell>
          <cell r="H78">
            <v>-26.276216999999999</v>
          </cell>
          <cell r="I78">
            <v>-26.117266000000001</v>
          </cell>
          <cell r="J78">
            <v>-26.178947000000001</v>
          </cell>
          <cell r="K78">
            <v>-26.545718000000001</v>
          </cell>
          <cell r="L78">
            <v>-26.288568000000001</v>
          </cell>
          <cell r="M78">
            <v>-26.428896999999999</v>
          </cell>
          <cell r="N78">
            <v>-26.944623</v>
          </cell>
          <cell r="O78">
            <v>-26.971243000000001</v>
          </cell>
          <cell r="P78">
            <v>-27.369565999999999</v>
          </cell>
          <cell r="Q78">
            <v>-81.738625999999996</v>
          </cell>
          <cell r="R78">
            <v>-78.572430999999995</v>
          </cell>
          <cell r="S78">
            <v>-79.263182999999998</v>
          </cell>
          <cell r="T78">
            <v>-81.285432</v>
          </cell>
          <cell r="U78">
            <v>-320.85967199999999</v>
          </cell>
        </row>
        <row r="79">
          <cell r="E79">
            <v>25.105844000000001</v>
          </cell>
          <cell r="F79">
            <v>3.9985780000000002</v>
          </cell>
          <cell r="G79">
            <v>2.9884629999999999</v>
          </cell>
          <cell r="H79">
            <v>-1.032241</v>
          </cell>
          <cell r="I79">
            <v>4.5043129999999998</v>
          </cell>
          <cell r="J79">
            <v>4.1089310000000001</v>
          </cell>
          <cell r="K79">
            <v>7.8042590000000001</v>
          </cell>
          <cell r="L79">
            <v>5.244211</v>
          </cell>
          <cell r="M79">
            <v>9.4466420000000006</v>
          </cell>
          <cell r="N79">
            <v>9.6177240000000008</v>
          </cell>
        </row>
        <row r="80">
          <cell r="E80">
            <v>4083.2509439999999</v>
          </cell>
          <cell r="F80">
            <v>4041.5046360000001</v>
          </cell>
          <cell r="G80">
            <v>4061.5054409999998</v>
          </cell>
          <cell r="H80">
            <v>4015.4945969999999</v>
          </cell>
          <cell r="I80">
            <v>4010.1572609999998</v>
          </cell>
          <cell r="J80">
            <v>3993.6724770000001</v>
          </cell>
          <cell r="K80">
            <v>3988.4987919999999</v>
          </cell>
          <cell r="L80">
            <v>3981.6594359999999</v>
          </cell>
          <cell r="M80">
            <v>3965.9407930000002</v>
          </cell>
          <cell r="N80">
            <v>3910.939492</v>
          </cell>
        </row>
        <row r="82">
          <cell r="C82" t="str">
            <v>Recurring</v>
          </cell>
          <cell r="E82">
            <v>1787.9954170000001</v>
          </cell>
          <cell r="F82">
            <v>1781.918797</v>
          </cell>
          <cell r="G82">
            <v>1762.3624950000001</v>
          </cell>
          <cell r="H82">
            <v>1774.1837419999999</v>
          </cell>
          <cell r="I82">
            <v>1801.8630290000001</v>
          </cell>
          <cell r="J82">
            <v>1846.3693229999999</v>
          </cell>
          <cell r="K82">
            <v>1799.013438</v>
          </cell>
          <cell r="L82">
            <v>1866.28639</v>
          </cell>
          <cell r="M82">
            <v>1941.234383</v>
          </cell>
          <cell r="N82">
            <v>2052.3962510000001</v>
          </cell>
          <cell r="O82">
            <v>2191.0356489999999</v>
          </cell>
          <cell r="P82">
            <v>2369.772348</v>
          </cell>
          <cell r="Q82">
            <v>5332.2767089999998</v>
          </cell>
          <cell r="R82">
            <v>5422.4160940000002</v>
          </cell>
          <cell r="S82">
            <v>5606.5342110000001</v>
          </cell>
          <cell r="T82">
            <v>6613.204248</v>
          </cell>
          <cell r="U82">
            <v>22974.431261999998</v>
          </cell>
        </row>
        <row r="83">
          <cell r="C83" t="str">
            <v>Other</v>
          </cell>
          <cell r="E83">
            <v>66.618802000000002</v>
          </cell>
          <cell r="F83">
            <v>65.487015999999997</v>
          </cell>
          <cell r="G83">
            <v>64.592071000000004</v>
          </cell>
          <cell r="H83">
            <v>65.888952000000003</v>
          </cell>
          <cell r="I83">
            <v>65.092094000000003</v>
          </cell>
          <cell r="J83">
            <v>65.522576000000001</v>
          </cell>
          <cell r="K83">
            <v>67.686000000000007</v>
          </cell>
          <cell r="L83">
            <v>68.346502999999998</v>
          </cell>
          <cell r="M83">
            <v>69.155052999999995</v>
          </cell>
          <cell r="N83">
            <v>73.259291000000005</v>
          </cell>
          <cell r="O83">
            <v>74.780513999999997</v>
          </cell>
          <cell r="P83">
            <v>77.069256999999993</v>
          </cell>
          <cell r="Q83">
            <v>196.697889</v>
          </cell>
          <cell r="R83">
            <v>196.50362200000001</v>
          </cell>
          <cell r="S83">
            <v>205.187556</v>
          </cell>
          <cell r="T83">
            <v>225.109061</v>
          </cell>
          <cell r="U83">
            <v>823.49812799999995</v>
          </cell>
        </row>
        <row r="84">
          <cell r="C84" t="str">
            <v>Adj - Ref, Chgbks, Credits</v>
          </cell>
          <cell r="E84">
            <v>-148.40875199999999</v>
          </cell>
          <cell r="F84">
            <v>-144.63013799999999</v>
          </cell>
          <cell r="G84">
            <v>-141.741038</v>
          </cell>
          <cell r="H84">
            <v>-153.74382499999999</v>
          </cell>
          <cell r="I84">
            <v>-152.81379100000001</v>
          </cell>
          <cell r="J84">
            <v>-153.174691</v>
          </cell>
          <cell r="K84">
            <v>-169.44075599999999</v>
          </cell>
          <cell r="L84">
            <v>-167.79937000000001</v>
          </cell>
          <cell r="M84">
            <v>-168.695087</v>
          </cell>
          <cell r="N84">
            <v>-186.31920400000001</v>
          </cell>
          <cell r="O84">
            <v>-186.503275</v>
          </cell>
          <cell r="P84">
            <v>-189.257634</v>
          </cell>
          <cell r="Q84">
            <v>-434.77992799999998</v>
          </cell>
          <cell r="R84">
            <v>-459.73230699999999</v>
          </cell>
          <cell r="S84">
            <v>-505.93521299999998</v>
          </cell>
          <cell r="T84">
            <v>-562.08011199999999</v>
          </cell>
          <cell r="U84">
            <v>-1962.5275590000001</v>
          </cell>
        </row>
        <row r="85">
          <cell r="C85" t="str">
            <v>Adj - EW - Deferred Revenue</v>
          </cell>
          <cell r="E85">
            <v>2.5</v>
          </cell>
          <cell r="F85">
            <v>3.0383100000000001</v>
          </cell>
          <cell r="G85">
            <v>9.7781509999999994</v>
          </cell>
          <cell r="H85">
            <v>-5.9106230000000002</v>
          </cell>
          <cell r="I85">
            <v>-13.839644</v>
          </cell>
          <cell r="J85">
            <v>-22.253146999999998</v>
          </cell>
          <cell r="K85">
            <v>23.677942999999999</v>
          </cell>
          <cell r="L85">
            <v>-33.636476000000002</v>
          </cell>
          <cell r="M85">
            <v>-37.473996999999997</v>
          </cell>
          <cell r="N85">
            <v>-55.580933999999999</v>
          </cell>
          <cell r="O85">
            <v>-69.319699</v>
          </cell>
          <cell r="P85">
            <v>-89.368348999999995</v>
          </cell>
          <cell r="Q85">
            <v>15.316461</v>
          </cell>
          <cell r="R85">
            <v>-42.003413999999999</v>
          </cell>
          <cell r="S85">
            <v>-47.43253</v>
          </cell>
          <cell r="T85">
            <v>-214.26898199999999</v>
          </cell>
          <cell r="U85">
            <v>-288.388465</v>
          </cell>
        </row>
        <row r="86">
          <cell r="C86" t="str">
            <v>Equipment</v>
          </cell>
          <cell r="E86">
            <v>220.60949299999999</v>
          </cell>
          <cell r="F86">
            <v>220.43701300000001</v>
          </cell>
          <cell r="G86">
            <v>278.71146399999998</v>
          </cell>
          <cell r="H86">
            <v>453.14345800000001</v>
          </cell>
          <cell r="I86">
            <v>514.59813199999996</v>
          </cell>
          <cell r="J86">
            <v>585.41935699999999</v>
          </cell>
          <cell r="K86">
            <v>631.58724400000006</v>
          </cell>
          <cell r="L86">
            <v>672.22831900000006</v>
          </cell>
          <cell r="M86">
            <v>718.94624399999998</v>
          </cell>
          <cell r="N86">
            <v>977.08907999999997</v>
          </cell>
          <cell r="O86">
            <v>1155.342476</v>
          </cell>
          <cell r="P86">
            <v>1417.6147800000001</v>
          </cell>
          <cell r="Q86">
            <v>719.75797</v>
          </cell>
          <cell r="R86">
            <v>1553.1609470000001</v>
          </cell>
          <cell r="S86">
            <v>2022.7618070000001</v>
          </cell>
          <cell r="T86">
            <v>3550.0463359999999</v>
          </cell>
          <cell r="U86">
            <v>7845.7270600000002</v>
          </cell>
        </row>
        <row r="87">
          <cell r="E87">
            <v>1929.3149599999999</v>
          </cell>
          <cell r="F87">
            <v>1926.2509990000001</v>
          </cell>
          <cell r="G87">
            <v>1973.7031420000001</v>
          </cell>
          <cell r="H87">
            <v>2133.5617040000002</v>
          </cell>
          <cell r="I87">
            <v>2214.899821</v>
          </cell>
          <cell r="J87">
            <v>2321.8834179999999</v>
          </cell>
          <cell r="K87">
            <v>2352.5238690000001</v>
          </cell>
          <cell r="L87">
            <v>2405.4253650000001</v>
          </cell>
          <cell r="M87">
            <v>2523.166596</v>
          </cell>
          <cell r="N87">
            <v>2860.8444840000002</v>
          </cell>
        </row>
        <row r="88">
          <cell r="E88">
            <v>2149.5261</v>
          </cell>
          <cell r="F88">
            <v>2125.1756919999998</v>
          </cell>
          <cell r="G88">
            <v>2159.4047890000002</v>
          </cell>
          <cell r="H88">
            <v>2188.1371410000002</v>
          </cell>
          <cell r="I88">
            <v>2337.8563600000002</v>
          </cell>
          <cell r="J88">
            <v>2339.4451829999998</v>
          </cell>
          <cell r="K88">
            <v>2842.2183799999998</v>
          </cell>
          <cell r="L88">
            <v>2951.2052779999999</v>
          </cell>
          <cell r="M88">
            <v>3047.7096350000002</v>
          </cell>
          <cell r="N88">
            <v>3305.8721799999998</v>
          </cell>
        </row>
        <row r="89">
          <cell r="E89">
            <v>0</v>
          </cell>
          <cell r="F89">
            <v>0</v>
          </cell>
          <cell r="G89">
            <v>0</v>
          </cell>
          <cell r="H89">
            <v>0</v>
          </cell>
          <cell r="I89">
            <v>0</v>
          </cell>
          <cell r="J89">
            <v>0</v>
          </cell>
          <cell r="K89">
            <v>0</v>
          </cell>
          <cell r="L89">
            <v>0</v>
          </cell>
          <cell r="M89">
            <v>0</v>
          </cell>
          <cell r="N89">
            <v>0</v>
          </cell>
        </row>
        <row r="90">
          <cell r="C90" t="str">
            <v>Total Revenue</v>
          </cell>
          <cell r="E90">
            <v>117112.753197</v>
          </cell>
          <cell r="F90">
            <v>117046.407898</v>
          </cell>
          <cell r="G90">
            <v>117865.996486</v>
          </cell>
          <cell r="H90">
            <v>118778.94805200001</v>
          </cell>
          <cell r="I90">
            <v>119795.87278000001</v>
          </cell>
          <cell r="J90">
            <v>120592.797749</v>
          </cell>
          <cell r="K90">
            <v>121877.715732</v>
          </cell>
          <cell r="L90">
            <v>122950.715537</v>
          </cell>
          <cell r="M90">
            <v>124023.16929599999</v>
          </cell>
          <cell r="N90">
            <v>125438.29348199999</v>
          </cell>
          <cell r="O90">
            <v>126735.976802</v>
          </cell>
          <cell r="P90">
            <v>128177.135195</v>
          </cell>
          <cell r="Q90">
            <v>352025.15758100001</v>
          </cell>
          <cell r="R90">
            <v>359167.61858100002</v>
          </cell>
          <cell r="S90">
            <v>368851.60056499997</v>
          </cell>
          <cell r="T90">
            <v>380351.40547900001</v>
          </cell>
          <cell r="U90">
            <v>1460395.7822070001</v>
          </cell>
        </row>
        <row r="92">
          <cell r="A92" t="str">
            <v>Cost of  Revenue</v>
          </cell>
        </row>
        <row r="93">
          <cell r="A93" t="str">
            <v>Narrowband</v>
          </cell>
        </row>
        <row r="94">
          <cell r="B94" t="str">
            <v>Organic</v>
          </cell>
          <cell r="E94">
            <v>13692.479520000001</v>
          </cell>
          <cell r="F94">
            <v>13532.368837</v>
          </cell>
          <cell r="G94">
            <v>13404.135474999999</v>
          </cell>
          <cell r="H94">
            <v>13283.011531</v>
          </cell>
          <cell r="I94">
            <v>13169.485973999999</v>
          </cell>
          <cell r="J94">
            <v>13061.398553000001</v>
          </cell>
          <cell r="K94">
            <v>12974.707809</v>
          </cell>
          <cell r="L94">
            <v>13018.530842</v>
          </cell>
          <cell r="M94">
            <v>12781.821521</v>
          </cell>
          <cell r="N94">
            <v>12633.08764</v>
          </cell>
          <cell r="O94">
            <v>12519.788869</v>
          </cell>
          <cell r="P94">
            <v>12458.010946</v>
          </cell>
          <cell r="Q94">
            <v>40628.983831999998</v>
          </cell>
          <cell r="R94">
            <v>39513.896057999998</v>
          </cell>
          <cell r="S94">
            <v>38775.060171999998</v>
          </cell>
          <cell r="T94">
            <v>37610.887454999996</v>
          </cell>
          <cell r="U94">
            <v>156528.827517</v>
          </cell>
        </row>
        <row r="95">
          <cell r="E95">
            <v>1376.069575</v>
          </cell>
          <cell r="F95">
            <v>1355.112128</v>
          </cell>
          <cell r="G95">
            <v>1528.0261</v>
          </cell>
          <cell r="H95">
            <v>1648.396103</v>
          </cell>
          <cell r="I95">
            <v>1764.257693</v>
          </cell>
          <cell r="J95">
            <v>1782.766895</v>
          </cell>
          <cell r="K95">
            <v>1791.924894</v>
          </cell>
          <cell r="L95">
            <v>1907.5705069999999</v>
          </cell>
          <cell r="M95">
            <v>2210.425299</v>
          </cell>
          <cell r="N95">
            <v>2298.351991</v>
          </cell>
        </row>
        <row r="96">
          <cell r="E96">
            <v>424.81001600000002</v>
          </cell>
          <cell r="F96">
            <v>418.39437500000003</v>
          </cell>
          <cell r="G96">
            <v>408.84527500000002</v>
          </cell>
          <cell r="H96">
            <v>370.608068</v>
          </cell>
          <cell r="I96">
            <v>346.23312499999997</v>
          </cell>
          <cell r="J96">
            <v>316.64246700000001</v>
          </cell>
          <cell r="K96">
            <v>302.98796599999997</v>
          </cell>
          <cell r="L96">
            <v>290.66842100000002</v>
          </cell>
          <cell r="M96">
            <v>277.96719100000001</v>
          </cell>
          <cell r="N96">
            <v>266.03115500000001</v>
          </cell>
        </row>
        <row r="97">
          <cell r="E97">
            <v>15493.359112</v>
          </cell>
          <cell r="F97">
            <v>15305.875339</v>
          </cell>
          <cell r="G97">
            <v>15341.00685</v>
          </cell>
          <cell r="H97">
            <v>15302.015702999999</v>
          </cell>
          <cell r="I97">
            <v>15279.976791999999</v>
          </cell>
          <cell r="J97">
            <v>15160.807916</v>
          </cell>
          <cell r="K97">
            <v>15069.620669</v>
          </cell>
          <cell r="L97">
            <v>15216.769770000001</v>
          </cell>
          <cell r="M97">
            <v>15270.214011</v>
          </cell>
          <cell r="N97">
            <v>15197.470786</v>
          </cell>
        </row>
        <row r="99">
          <cell r="E99">
            <v>11186.34657</v>
          </cell>
          <cell r="F99">
            <v>11028.48436</v>
          </cell>
          <cell r="G99">
            <v>11013.676095000001</v>
          </cell>
          <cell r="H99">
            <v>11002.944351</v>
          </cell>
          <cell r="I99">
            <v>10924.079393</v>
          </cell>
          <cell r="J99">
            <v>10861.799825</v>
          </cell>
          <cell r="K99">
            <v>10806.131824</v>
          </cell>
          <cell r="L99">
            <v>10729.648637</v>
          </cell>
          <cell r="M99">
            <v>10792.760888999999</v>
          </cell>
          <cell r="N99">
            <v>10855.139370999999</v>
          </cell>
        </row>
        <row r="100">
          <cell r="E100">
            <v>136.64778699999999</v>
          </cell>
          <cell r="F100">
            <v>157.14252500000001</v>
          </cell>
          <cell r="G100">
            <v>156.128264</v>
          </cell>
          <cell r="H100">
            <v>163.114127</v>
          </cell>
          <cell r="I100">
            <v>169.571585</v>
          </cell>
          <cell r="J100">
            <v>171.35412500000001</v>
          </cell>
          <cell r="K100">
            <v>176.11065300000001</v>
          </cell>
          <cell r="L100">
            <v>181.604535</v>
          </cell>
          <cell r="M100">
            <v>182.82699299999999</v>
          </cell>
          <cell r="N100">
            <v>186.52610300000001</v>
          </cell>
        </row>
        <row r="101">
          <cell r="B101" t="str">
            <v>Business xDSL</v>
          </cell>
          <cell r="E101">
            <v>1404.677359</v>
          </cell>
          <cell r="F101">
            <v>1460.5089439999999</v>
          </cell>
          <cell r="G101">
            <v>1446.779812</v>
          </cell>
          <cell r="H101">
            <v>1455.384671</v>
          </cell>
          <cell r="I101">
            <v>1487.8513740000001</v>
          </cell>
          <cell r="J101">
            <v>1457.4400169999999</v>
          </cell>
          <cell r="K101">
            <v>1446.7337150000001</v>
          </cell>
          <cell r="L101">
            <v>1488.7401159999999</v>
          </cell>
          <cell r="M101">
            <v>1487.7707620000001</v>
          </cell>
          <cell r="N101">
            <v>1474.9286179999999</v>
          </cell>
          <cell r="O101">
            <v>1496.786938</v>
          </cell>
          <cell r="P101">
            <v>1471.853085</v>
          </cell>
          <cell r="Q101">
            <v>4311.9661150000002</v>
          </cell>
          <cell r="R101">
            <v>4400.6760619999995</v>
          </cell>
          <cell r="S101">
            <v>4423.2445930000004</v>
          </cell>
          <cell r="T101">
            <v>4443.5686400000004</v>
          </cell>
          <cell r="U101">
            <v>17579.455409999999</v>
          </cell>
        </row>
        <row r="102">
          <cell r="B102" t="str">
            <v>Satellite</v>
          </cell>
          <cell r="E102">
            <v>596.83641799999998</v>
          </cell>
          <cell r="F102">
            <v>585.43843600000002</v>
          </cell>
          <cell r="G102">
            <v>573.63475900000003</v>
          </cell>
          <cell r="H102">
            <v>562.54623000000004</v>
          </cell>
          <cell r="I102">
            <v>551.81834300000003</v>
          </cell>
          <cell r="J102">
            <v>541.31675299999995</v>
          </cell>
          <cell r="K102">
            <v>531.27284399999996</v>
          </cell>
          <cell r="L102">
            <v>521.59749699999998</v>
          </cell>
          <cell r="M102">
            <v>512.14766499999996</v>
          </cell>
          <cell r="N102">
            <v>503.08669200000003</v>
          </cell>
          <cell r="O102">
            <v>494.26553999999999</v>
          </cell>
          <cell r="P102">
            <v>485.708304</v>
          </cell>
          <cell r="Q102">
            <v>1755.909613</v>
          </cell>
          <cell r="R102">
            <v>1655.681327</v>
          </cell>
          <cell r="S102">
            <v>1565.018006</v>
          </cell>
          <cell r="T102">
            <v>1483.0605370000001</v>
          </cell>
          <cell r="U102">
            <v>6459.6694820000002</v>
          </cell>
        </row>
        <row r="103">
          <cell r="B103" t="str">
            <v>Frame and Dedicated T-1</v>
          </cell>
          <cell r="E103">
            <v>403.56402300000002</v>
          </cell>
          <cell r="F103">
            <v>394.976336</v>
          </cell>
          <cell r="G103">
            <v>386.534989</v>
          </cell>
          <cell r="H103">
            <v>378.28751599999998</v>
          </cell>
          <cell r="I103">
            <v>370.21551399999998</v>
          </cell>
          <cell r="J103">
            <v>362.309864</v>
          </cell>
          <cell r="K103">
            <v>354.57739400000003</v>
          </cell>
          <cell r="L103">
            <v>347.01112799999999</v>
          </cell>
          <cell r="M103">
            <v>339.60182300000002</v>
          </cell>
          <cell r="N103">
            <v>332.35379</v>
          </cell>
          <cell r="O103">
            <v>325.25746299999997</v>
          </cell>
          <cell r="P103">
            <v>318.31113299999998</v>
          </cell>
          <cell r="Q103">
            <v>1185.0753480000001</v>
          </cell>
          <cell r="R103">
            <v>1110.8128939999999</v>
          </cell>
          <cell r="S103">
            <v>1041.1903440000001</v>
          </cell>
          <cell r="T103">
            <v>975.92238499999996</v>
          </cell>
          <cell r="U103">
            <v>4313.0009710000004</v>
          </cell>
        </row>
        <row r="104">
          <cell r="B104" t="str">
            <v>Cable - Retail</v>
          </cell>
          <cell r="E104">
            <v>8265.4994869999991</v>
          </cell>
          <cell r="F104">
            <v>8588.9051070000005</v>
          </cell>
          <cell r="G104">
            <v>8872.3742199999997</v>
          </cell>
          <cell r="H104">
            <v>9160.2477159999999</v>
          </cell>
          <cell r="I104">
            <v>9428.8167549999998</v>
          </cell>
          <cell r="J104">
            <v>9706.6426009999996</v>
          </cell>
          <cell r="K104">
            <v>9907.9240360000003</v>
          </cell>
          <cell r="L104">
            <v>10133.549496</v>
          </cell>
          <cell r="M104">
            <v>10348.571725</v>
          </cell>
          <cell r="N104">
            <v>10600.20169</v>
          </cell>
          <cell r="O104">
            <v>10895.52809</v>
          </cell>
          <cell r="P104">
            <v>11205.848952</v>
          </cell>
          <cell r="Q104">
            <v>25726.778815000001</v>
          </cell>
          <cell r="R104">
            <v>28295.707072000001</v>
          </cell>
          <cell r="S104">
            <v>30390.045256000001</v>
          </cell>
          <cell r="T104">
            <v>32701.578732000002</v>
          </cell>
          <cell r="U104">
            <v>117114.10987499999</v>
          </cell>
        </row>
        <row r="105">
          <cell r="B105" t="str">
            <v>Cable - Wholesale</v>
          </cell>
          <cell r="E105">
            <v>12.565124000000001</v>
          </cell>
          <cell r="F105">
            <v>14.559037</v>
          </cell>
          <cell r="G105">
            <v>14.556965999999999</v>
          </cell>
          <cell r="H105">
            <v>15.759124999999999</v>
          </cell>
          <cell r="I105">
            <v>16.891697000000001</v>
          </cell>
          <cell r="J105">
            <v>17.528088</v>
          </cell>
          <cell r="K105">
            <v>18.455399</v>
          </cell>
          <cell r="L105">
            <v>19.441272999999999</v>
          </cell>
          <cell r="M105">
            <v>19.946090000000002</v>
          </cell>
          <cell r="N105">
            <v>20.716588999999999</v>
          </cell>
          <cell r="O105">
            <v>21.098379999999999</v>
          </cell>
          <cell r="P105">
            <v>21.216653999999998</v>
          </cell>
          <cell r="Q105">
            <v>41.681125999999999</v>
          </cell>
          <cell r="R105">
            <v>50.178910000000002</v>
          </cell>
          <cell r="S105">
            <v>57.842762</v>
          </cell>
          <cell r="T105">
            <v>63.031624000000001</v>
          </cell>
          <cell r="U105">
            <v>212.734421</v>
          </cell>
        </row>
        <row r="106">
          <cell r="E106">
            <v>0</v>
          </cell>
          <cell r="F106">
            <v>0</v>
          </cell>
          <cell r="G106">
            <v>0</v>
          </cell>
          <cell r="H106">
            <v>0</v>
          </cell>
          <cell r="I106">
            <v>0</v>
          </cell>
          <cell r="J106">
            <v>0</v>
          </cell>
          <cell r="K106">
            <v>0</v>
          </cell>
          <cell r="L106">
            <v>0</v>
          </cell>
          <cell r="M106">
            <v>0</v>
          </cell>
          <cell r="N106">
            <v>0</v>
          </cell>
        </row>
        <row r="107">
          <cell r="E107">
            <v>0</v>
          </cell>
          <cell r="F107">
            <v>0</v>
          </cell>
          <cell r="G107">
            <v>0</v>
          </cell>
          <cell r="H107">
            <v>0</v>
          </cell>
          <cell r="I107">
            <v>0</v>
          </cell>
          <cell r="J107">
            <v>0</v>
          </cell>
          <cell r="K107">
            <v>0</v>
          </cell>
          <cell r="L107">
            <v>0</v>
          </cell>
          <cell r="M107">
            <v>0</v>
          </cell>
          <cell r="N107">
            <v>0</v>
          </cell>
        </row>
        <row r="108">
          <cell r="E108">
            <v>1121.7937179999999</v>
          </cell>
          <cell r="F108">
            <v>1237.743199</v>
          </cell>
          <cell r="G108">
            <v>1216.755807</v>
          </cell>
          <cell r="H108">
            <v>1194.116133</v>
          </cell>
          <cell r="I108">
            <v>1208.488644</v>
          </cell>
          <cell r="J108">
            <v>1159.0920249999999</v>
          </cell>
          <cell r="K108">
            <v>1159.01541</v>
          </cell>
          <cell r="L108">
            <v>1202.307732</v>
          </cell>
          <cell r="M108">
            <v>1200.5329300000001</v>
          </cell>
          <cell r="N108">
            <v>1216.0980609999999</v>
          </cell>
        </row>
        <row r="109">
          <cell r="E109">
            <v>23127.930486000001</v>
          </cell>
          <cell r="F109">
            <v>23467.757943000001</v>
          </cell>
          <cell r="G109">
            <v>23680.440911999998</v>
          </cell>
          <cell r="H109">
            <v>23932.399868</v>
          </cell>
          <cell r="I109">
            <v>24157.733305000002</v>
          </cell>
          <cell r="J109">
            <v>24277.483299</v>
          </cell>
          <cell r="K109">
            <v>24400.221275</v>
          </cell>
          <cell r="L109">
            <v>24623.900412999999</v>
          </cell>
          <cell r="M109">
            <v>24884.158875000001</v>
          </cell>
          <cell r="N109">
            <v>25189.050915</v>
          </cell>
        </row>
        <row r="110">
          <cell r="E110">
            <v>408.28137900000002</v>
          </cell>
          <cell r="F110">
            <v>367.790772</v>
          </cell>
          <cell r="G110">
            <v>374.50797899999998</v>
          </cell>
          <cell r="H110">
            <v>367.04583300000002</v>
          </cell>
          <cell r="I110">
            <v>363.90862800000002</v>
          </cell>
          <cell r="J110">
            <v>357.02220999999997</v>
          </cell>
          <cell r="K110">
            <v>387.49924700000003</v>
          </cell>
          <cell r="L110">
            <v>360.61831899999999</v>
          </cell>
          <cell r="M110">
            <v>315.76100700000001</v>
          </cell>
          <cell r="N110">
            <v>280.74968699999999</v>
          </cell>
        </row>
        <row r="111">
          <cell r="E111">
            <v>1561.205011</v>
          </cell>
          <cell r="F111">
            <v>1603.436543</v>
          </cell>
          <cell r="G111">
            <v>1529.186107</v>
          </cell>
          <cell r="H111">
            <v>1710.8421900000001</v>
          </cell>
          <cell r="I111">
            <v>1795.932779</v>
          </cell>
          <cell r="J111">
            <v>1894.8937940000001</v>
          </cell>
          <cell r="K111">
            <v>1985.2559240000001</v>
          </cell>
          <cell r="L111">
            <v>2072.0062189999999</v>
          </cell>
          <cell r="M111">
            <v>2154.3877670000002</v>
          </cell>
          <cell r="N111">
            <v>2488.7262179999998</v>
          </cell>
        </row>
        <row r="112">
          <cell r="E112">
            <v>341.92441700000001</v>
          </cell>
          <cell r="F112">
            <v>356.22155099999998</v>
          </cell>
          <cell r="G112">
            <v>374.72558099999998</v>
          </cell>
          <cell r="H112">
            <v>395.86662100000001</v>
          </cell>
          <cell r="I112">
            <v>425.47819500000003</v>
          </cell>
          <cell r="J112">
            <v>455.76240100000001</v>
          </cell>
          <cell r="K112">
            <v>525.42791299999999</v>
          </cell>
          <cell r="L112">
            <v>556.97265200000004</v>
          </cell>
          <cell r="M112">
            <v>585.37283100000002</v>
          </cell>
          <cell r="N112">
            <v>621.90765399999998</v>
          </cell>
        </row>
        <row r="113">
          <cell r="E113">
            <v>40932.700403000003</v>
          </cell>
          <cell r="F113">
            <v>41101.082148000001</v>
          </cell>
          <cell r="G113">
            <v>41299.867428999998</v>
          </cell>
          <cell r="H113">
            <v>41708.170213999998</v>
          </cell>
          <cell r="I113">
            <v>42023.029698999999</v>
          </cell>
          <cell r="J113">
            <v>42145.969620000003</v>
          </cell>
          <cell r="K113">
            <v>42368.025027999996</v>
          </cell>
          <cell r="L113">
            <v>42830.267373000002</v>
          </cell>
          <cell r="M113">
            <v>43209.894490999999</v>
          </cell>
          <cell r="N113">
            <v>43777.90526</v>
          </cell>
        </row>
        <row r="116">
          <cell r="E116">
            <v>59836.269611999996</v>
          </cell>
          <cell r="F116">
            <v>59567.488370999999</v>
          </cell>
          <cell r="G116">
            <v>59321.864934999998</v>
          </cell>
          <cell r="H116">
            <v>59385.718733000002</v>
          </cell>
          <cell r="I116">
            <v>59617.893640000002</v>
          </cell>
          <cell r="J116">
            <v>59925.757767000003</v>
          </cell>
          <cell r="K116">
            <v>60201.917151000001</v>
          </cell>
          <cell r="L116">
            <v>60309.180193</v>
          </cell>
          <cell r="M116">
            <v>60460.090906999998</v>
          </cell>
          <cell r="N116">
            <v>60769.727890000002</v>
          </cell>
        </row>
        <row r="117">
          <cell r="E117">
            <v>10493.101984000001</v>
          </cell>
          <cell r="F117">
            <v>10612.354918999999</v>
          </cell>
          <cell r="G117">
            <v>11328.070417000001</v>
          </cell>
          <cell r="H117">
            <v>11821.620306999999</v>
          </cell>
          <cell r="I117">
            <v>12177.355600999999</v>
          </cell>
          <cell r="J117">
            <v>12573.747689</v>
          </cell>
          <cell r="K117">
            <v>13022.715596</v>
          </cell>
          <cell r="L117">
            <v>13462.575081000001</v>
          </cell>
          <cell r="M117">
            <v>13871.888478000001</v>
          </cell>
          <cell r="N117">
            <v>14204.387735</v>
          </cell>
        </row>
        <row r="118">
          <cell r="E118">
            <v>3674.9695649999999</v>
          </cell>
          <cell r="F118">
            <v>3673.7138639999998</v>
          </cell>
          <cell r="G118">
            <v>3686.9974609999999</v>
          </cell>
          <cell r="H118">
            <v>3648.4487640000002</v>
          </cell>
          <cell r="I118">
            <v>3646.2486330000002</v>
          </cell>
          <cell r="J118">
            <v>3636.650267</v>
          </cell>
          <cell r="K118">
            <v>3600.9995450000001</v>
          </cell>
          <cell r="L118">
            <v>3621.0411170000002</v>
          </cell>
          <cell r="M118">
            <v>3650.1797860000001</v>
          </cell>
          <cell r="N118">
            <v>3630.189805</v>
          </cell>
        </row>
        <row r="119">
          <cell r="E119">
            <v>368.10995000000003</v>
          </cell>
          <cell r="F119">
            <v>322.81445600000001</v>
          </cell>
          <cell r="G119">
            <v>444.51703500000002</v>
          </cell>
          <cell r="H119">
            <v>422.719514</v>
          </cell>
          <cell r="I119">
            <v>418.96704199999999</v>
          </cell>
          <cell r="J119">
            <v>426.98962399999999</v>
          </cell>
          <cell r="K119">
            <v>367.267945</v>
          </cell>
          <cell r="L119">
            <v>333.41914700000001</v>
          </cell>
          <cell r="M119">
            <v>368.77882899999997</v>
          </cell>
          <cell r="N119">
            <v>372.11826600000001</v>
          </cell>
        </row>
        <row r="120">
          <cell r="C120" t="str">
            <v>ACC Gross Margin</v>
          </cell>
          <cell r="E120">
            <v>1807.6016830000001</v>
          </cell>
          <cell r="F120">
            <v>1768.9541409999999</v>
          </cell>
          <cell r="G120">
            <v>1784.6792069999999</v>
          </cell>
          <cell r="H120">
            <v>1792.27052</v>
          </cell>
          <cell r="I120">
            <v>1912.3781650000001</v>
          </cell>
          <cell r="J120">
            <v>1883.6827820000001</v>
          </cell>
          <cell r="K120">
            <v>2316.7904669999998</v>
          </cell>
          <cell r="L120">
            <v>2394.232626</v>
          </cell>
          <cell r="M120">
            <v>2462.336804</v>
          </cell>
          <cell r="N120">
            <v>2683.9645260000002</v>
          </cell>
          <cell r="O120">
            <v>2839.4482229999999</v>
          </cell>
          <cell r="P120">
            <v>3046.3691530000001</v>
          </cell>
          <cell r="Q120">
            <v>5361.2350310000002</v>
          </cell>
          <cell r="R120">
            <v>5588.331467</v>
          </cell>
          <cell r="S120">
            <v>7173.3598970000003</v>
          </cell>
          <cell r="T120">
            <v>8569.7819010000003</v>
          </cell>
          <cell r="U120">
            <v>26692.708297000001</v>
          </cell>
        </row>
        <row r="121">
          <cell r="E121">
            <v>76180.052794000003</v>
          </cell>
          <cell r="F121">
            <v>75945.325750000004</v>
          </cell>
          <cell r="G121">
            <v>76566.129056000005</v>
          </cell>
          <cell r="H121">
            <v>77070.777837999995</v>
          </cell>
          <cell r="I121">
            <v>77772.843080999999</v>
          </cell>
          <cell r="J121">
            <v>78446.828127999994</v>
          </cell>
          <cell r="K121">
            <v>79509.690703999993</v>
          </cell>
          <cell r="L121">
            <v>80120.448164000001</v>
          </cell>
          <cell r="M121">
            <v>80813.274804999994</v>
          </cell>
          <cell r="N121">
            <v>81660.388221000001</v>
          </cell>
        </row>
        <row r="122">
          <cell r="E122">
            <v>0.65048499999999998</v>
          </cell>
          <cell r="F122">
            <v>0.64884799999999998</v>
          </cell>
          <cell r="G122">
            <v>0.64960300000000004</v>
          </cell>
          <cell r="H122">
            <v>0.64885899999999996</v>
          </cell>
          <cell r="I122">
            <v>0.64921099999999998</v>
          </cell>
          <cell r="J122">
            <v>0.65051000000000003</v>
          </cell>
          <cell r="K122">
            <v>0.65237299999999998</v>
          </cell>
          <cell r="L122">
            <v>0.65164699999999998</v>
          </cell>
          <cell r="M122">
            <v>0.65159800000000001</v>
          </cell>
          <cell r="N122">
            <v>0.65100000000000002</v>
          </cell>
        </row>
        <row r="126">
          <cell r="E126">
            <v>13538.770732000001</v>
          </cell>
          <cell r="F126">
            <v>13072.905488</v>
          </cell>
          <cell r="G126">
            <v>18303.927587999999</v>
          </cell>
          <cell r="H126">
            <v>12424.406633000001</v>
          </cell>
          <cell r="I126">
            <v>10784.990335</v>
          </cell>
          <cell r="J126">
            <v>10878.520732000001</v>
          </cell>
          <cell r="K126">
            <v>10899.390950000001</v>
          </cell>
          <cell r="L126">
            <v>10787.168044</v>
          </cell>
          <cell r="M126">
            <v>11275.628267</v>
          </cell>
          <cell r="N126">
            <v>11400.171301</v>
          </cell>
        </row>
        <row r="127">
          <cell r="E127">
            <v>781.69081200000005</v>
          </cell>
          <cell r="F127">
            <v>797.50912000000005</v>
          </cell>
          <cell r="G127">
            <v>920.12892599999998</v>
          </cell>
          <cell r="H127">
            <v>886.882744</v>
          </cell>
          <cell r="I127">
            <v>925.89629000000002</v>
          </cell>
          <cell r="J127">
            <v>951.26733200000001</v>
          </cell>
          <cell r="K127">
            <v>970.78020700000002</v>
          </cell>
          <cell r="L127">
            <v>998.07391399999995</v>
          </cell>
          <cell r="M127">
            <v>1008.7426830000001</v>
          </cell>
          <cell r="N127">
            <v>1004.825069</v>
          </cell>
        </row>
        <row r="128">
          <cell r="E128">
            <v>259.06700000000001</v>
          </cell>
          <cell r="F128">
            <v>214.39699999999999</v>
          </cell>
          <cell r="G128">
            <v>216.90899999999999</v>
          </cell>
          <cell r="H128">
            <v>197.887</v>
          </cell>
          <cell r="I128">
            <v>174.60300000000001</v>
          </cell>
          <cell r="J128">
            <v>148.27000000000001</v>
          </cell>
          <cell r="K128">
            <v>109.807</v>
          </cell>
          <cell r="L128">
            <v>101.477</v>
          </cell>
          <cell r="M128">
            <v>90.376999999999995</v>
          </cell>
          <cell r="N128">
            <v>91.533000000000001</v>
          </cell>
        </row>
        <row r="129">
          <cell r="E129">
            <v>14579.528544999999</v>
          </cell>
          <cell r="F129">
            <v>14084.811609</v>
          </cell>
          <cell r="G129">
            <v>19440.965514</v>
          </cell>
          <cell r="H129">
            <v>13509.176377</v>
          </cell>
          <cell r="I129">
            <v>11885.489625</v>
          </cell>
          <cell r="J129">
            <v>11978.058064000001</v>
          </cell>
          <cell r="K129">
            <v>11979.978157</v>
          </cell>
          <cell r="L129">
            <v>11886.718956999999</v>
          </cell>
          <cell r="M129">
            <v>12374.747949000001</v>
          </cell>
          <cell r="N129">
            <v>12496.52937</v>
          </cell>
        </row>
        <row r="131">
          <cell r="E131">
            <v>9377.1191030000009</v>
          </cell>
          <cell r="F131">
            <v>9481.8618399999996</v>
          </cell>
          <cell r="G131">
            <v>15346.552836999999</v>
          </cell>
          <cell r="H131">
            <v>9827.2567589999999</v>
          </cell>
          <cell r="I131">
            <v>9194.4885859999995</v>
          </cell>
          <cell r="J131">
            <v>10111.02246</v>
          </cell>
          <cell r="K131">
            <v>9801.7638210000005</v>
          </cell>
          <cell r="L131">
            <v>9868.4634330000008</v>
          </cell>
          <cell r="M131">
            <v>10160.417864999999</v>
          </cell>
          <cell r="N131">
            <v>9942.6689970000007</v>
          </cell>
        </row>
        <row r="132">
          <cell r="E132">
            <v>2180.9574889999999</v>
          </cell>
          <cell r="F132">
            <v>2108.8748329999999</v>
          </cell>
          <cell r="G132">
            <v>3142.0131710000001</v>
          </cell>
          <cell r="H132">
            <v>2160.354777</v>
          </cell>
          <cell r="I132">
            <v>2044.242076</v>
          </cell>
          <cell r="J132">
            <v>2166.655546</v>
          </cell>
          <cell r="K132">
            <v>2163.4698549999998</v>
          </cell>
          <cell r="L132">
            <v>2168.5291510000002</v>
          </cell>
          <cell r="M132">
            <v>2164.6145350000002</v>
          </cell>
          <cell r="N132">
            <v>2168.5264360000001</v>
          </cell>
        </row>
        <row r="133">
          <cell r="E133">
            <v>0</v>
          </cell>
          <cell r="F133">
            <v>0</v>
          </cell>
          <cell r="G133">
            <v>0</v>
          </cell>
          <cell r="H133">
            <v>0</v>
          </cell>
          <cell r="I133">
            <v>0</v>
          </cell>
          <cell r="J133">
            <v>0</v>
          </cell>
          <cell r="K133">
            <v>0</v>
          </cell>
          <cell r="L133">
            <v>0</v>
          </cell>
          <cell r="M133">
            <v>0</v>
          </cell>
          <cell r="N133">
            <v>0</v>
          </cell>
        </row>
        <row r="134">
          <cell r="E134">
            <v>500.97159199999999</v>
          </cell>
          <cell r="F134">
            <v>505.40453200000002</v>
          </cell>
          <cell r="G134">
            <v>915.16853400000002</v>
          </cell>
          <cell r="H134">
            <v>528.67837999999995</v>
          </cell>
          <cell r="I134">
            <v>521.18605200000002</v>
          </cell>
          <cell r="J134">
            <v>552.88788399999999</v>
          </cell>
          <cell r="K134">
            <v>562.83446900000001</v>
          </cell>
          <cell r="L134">
            <v>568.98458400000004</v>
          </cell>
          <cell r="M134">
            <v>603.95771100000002</v>
          </cell>
          <cell r="N134">
            <v>582.40151700000001</v>
          </cell>
        </row>
        <row r="135">
          <cell r="E135">
            <v>450.49583799999999</v>
          </cell>
          <cell r="F135">
            <v>422.45986699999997</v>
          </cell>
          <cell r="G135">
            <v>518.38075500000002</v>
          </cell>
          <cell r="H135">
            <v>236.37836200000001</v>
          </cell>
          <cell r="I135">
            <v>229.821853</v>
          </cell>
          <cell r="J135">
            <v>237.58240900000001</v>
          </cell>
          <cell r="K135">
            <v>263.40221600000001</v>
          </cell>
          <cell r="L135">
            <v>238.06218999999999</v>
          </cell>
          <cell r="M135">
            <v>246.10002399999999</v>
          </cell>
          <cell r="N135">
            <v>246.182029</v>
          </cell>
        </row>
        <row r="136">
          <cell r="E136">
            <v>12509.544022</v>
          </cell>
          <cell r="F136">
            <v>12518.601073</v>
          </cell>
          <cell r="G136">
            <v>19922.115297</v>
          </cell>
          <cell r="H136">
            <v>12752.668277999999</v>
          </cell>
          <cell r="I136">
            <v>11989.738567</v>
          </cell>
          <cell r="J136">
            <v>13068.148299</v>
          </cell>
          <cell r="K136">
            <v>12791.470362</v>
          </cell>
          <cell r="L136">
            <v>12844.039357</v>
          </cell>
          <cell r="M136">
            <v>13175.090136000001</v>
          </cell>
          <cell r="N136">
            <v>12939.778979000001</v>
          </cell>
        </row>
        <row r="138">
          <cell r="E138">
            <v>435.64773300000002</v>
          </cell>
          <cell r="F138">
            <v>190.35574700000001</v>
          </cell>
          <cell r="G138">
            <v>248.986966</v>
          </cell>
          <cell r="H138">
            <v>245.46876599999999</v>
          </cell>
          <cell r="I138">
            <v>189.26208399999999</v>
          </cell>
          <cell r="J138">
            <v>210.744958</v>
          </cell>
          <cell r="K138">
            <v>725.91850999999997</v>
          </cell>
          <cell r="L138">
            <v>201.91047900000001</v>
          </cell>
          <cell r="M138">
            <v>221.87895900000001</v>
          </cell>
          <cell r="N138">
            <v>256.93998499999998</v>
          </cell>
        </row>
        <row r="139">
          <cell r="E139">
            <v>191.760403</v>
          </cell>
          <cell r="F139">
            <v>254.04524699999999</v>
          </cell>
          <cell r="G139">
            <v>298.34183899999999</v>
          </cell>
          <cell r="H139">
            <v>215.872105</v>
          </cell>
          <cell r="I139">
            <v>214.568535</v>
          </cell>
          <cell r="J139">
            <v>218.25205199999999</v>
          </cell>
          <cell r="K139">
            <v>221.814179</v>
          </cell>
          <cell r="L139">
            <v>216.141413</v>
          </cell>
          <cell r="M139">
            <v>223.493875</v>
          </cell>
          <cell r="N139">
            <v>215.97855899999999</v>
          </cell>
        </row>
        <row r="140">
          <cell r="E140">
            <v>165.51108300000001</v>
          </cell>
          <cell r="F140">
            <v>165.26667800000001</v>
          </cell>
          <cell r="G140">
            <v>347.20437299999998</v>
          </cell>
          <cell r="H140">
            <v>171.30421799999999</v>
          </cell>
          <cell r="I140">
            <v>162.04158200000001</v>
          </cell>
          <cell r="J140">
            <v>166.42375000000001</v>
          </cell>
          <cell r="K140">
            <v>166.238471</v>
          </cell>
          <cell r="L140">
            <v>166.432906</v>
          </cell>
          <cell r="M140">
            <v>166.268719</v>
          </cell>
          <cell r="N140">
            <v>166.32499899999999</v>
          </cell>
        </row>
        <row r="141">
          <cell r="E141">
            <v>1891.898279</v>
          </cell>
          <cell r="F141">
            <v>1993.225396</v>
          </cell>
          <cell r="G141">
            <v>2661.1367100000002</v>
          </cell>
          <cell r="H141">
            <v>2232.5312020000001</v>
          </cell>
          <cell r="I141">
            <v>1820.473491</v>
          </cell>
          <cell r="J141">
            <v>2091.7593179999999</v>
          </cell>
          <cell r="K141">
            <v>1992.59168</v>
          </cell>
          <cell r="L141">
            <v>1901.34934</v>
          </cell>
          <cell r="M141">
            <v>1931.220282</v>
          </cell>
          <cell r="N141">
            <v>1944.272684</v>
          </cell>
        </row>
        <row r="142">
          <cell r="E142">
            <v>1309.447185</v>
          </cell>
          <cell r="F142">
            <v>1308.911636</v>
          </cell>
          <cell r="G142">
            <v>1379.881228</v>
          </cell>
          <cell r="H142">
            <v>1310.016065</v>
          </cell>
          <cell r="I142">
            <v>1301.55198</v>
          </cell>
          <cell r="J142">
            <v>1312.4602199999999</v>
          </cell>
          <cell r="K142">
            <v>1323.127125</v>
          </cell>
          <cell r="L142">
            <v>1323.857088</v>
          </cell>
          <cell r="M142">
            <v>1324.49117</v>
          </cell>
          <cell r="N142">
            <v>1323.9856850000001</v>
          </cell>
        </row>
        <row r="143">
          <cell r="E143">
            <v>15.400126999999999</v>
          </cell>
          <cell r="F143">
            <v>15.370189999999999</v>
          </cell>
          <cell r="G143">
            <v>22.589967000000001</v>
          </cell>
          <cell r="H143">
            <v>16.659146</v>
          </cell>
          <cell r="I143">
            <v>16.142378000000001</v>
          </cell>
          <cell r="J143">
            <v>16.779734000000001</v>
          </cell>
          <cell r="K143">
            <v>16.774650000000001</v>
          </cell>
          <cell r="L143">
            <v>16.808403999999999</v>
          </cell>
          <cell r="M143">
            <v>16.789452000000001</v>
          </cell>
          <cell r="N143">
            <v>16.808617000000002</v>
          </cell>
        </row>
        <row r="144">
          <cell r="E144">
            <v>869.48284899999999</v>
          </cell>
          <cell r="F144">
            <v>1025.2343330000001</v>
          </cell>
          <cell r="G144">
            <v>1099.9166990000001</v>
          </cell>
          <cell r="H144">
            <v>1042.070187</v>
          </cell>
          <cell r="I144">
            <v>950.03947200000005</v>
          </cell>
          <cell r="J144">
            <v>1030.545865</v>
          </cell>
          <cell r="K144">
            <v>939.93518600000004</v>
          </cell>
          <cell r="L144">
            <v>1014.217344</v>
          </cell>
          <cell r="M144">
            <v>958.35049400000003</v>
          </cell>
          <cell r="N144">
            <v>969.47978699999999</v>
          </cell>
        </row>
        <row r="145">
          <cell r="E145">
            <v>0</v>
          </cell>
          <cell r="F145">
            <v>0</v>
          </cell>
          <cell r="G145">
            <v>0</v>
          </cell>
          <cell r="H145">
            <v>0</v>
          </cell>
          <cell r="I145">
            <v>0</v>
          </cell>
          <cell r="J145">
            <v>0</v>
          </cell>
          <cell r="K145">
            <v>0</v>
          </cell>
          <cell r="L145">
            <v>0</v>
          </cell>
          <cell r="M145">
            <v>0</v>
          </cell>
          <cell r="N145">
            <v>0</v>
          </cell>
        </row>
        <row r="146">
          <cell r="E146">
            <v>92.909616999999997</v>
          </cell>
          <cell r="F146">
            <v>92.929795999999996</v>
          </cell>
          <cell r="G146">
            <v>138.71767700000001</v>
          </cell>
          <cell r="H146">
            <v>100.582131</v>
          </cell>
          <cell r="I146">
            <v>100.387568</v>
          </cell>
          <cell r="J146">
            <v>111.50231599999999</v>
          </cell>
          <cell r="K146">
            <v>103.16591099999999</v>
          </cell>
          <cell r="L146">
            <v>103.394637</v>
          </cell>
          <cell r="M146">
            <v>113.612893</v>
          </cell>
          <cell r="N146">
            <v>101.833907</v>
          </cell>
        </row>
        <row r="147">
          <cell r="E147">
            <v>4972.0572769999999</v>
          </cell>
          <cell r="F147">
            <v>5045.3390220000001</v>
          </cell>
          <cell r="G147">
            <v>6196.7754590000004</v>
          </cell>
          <cell r="H147">
            <v>5334.5038199999999</v>
          </cell>
          <cell r="I147">
            <v>4754.4670900000001</v>
          </cell>
          <cell r="J147">
            <v>5158.4682130000001</v>
          </cell>
          <cell r="K147">
            <v>5489.5657110000002</v>
          </cell>
          <cell r="L147">
            <v>4944.1116110000003</v>
          </cell>
          <cell r="M147">
            <v>4956.105845</v>
          </cell>
          <cell r="N147">
            <v>4995.6242220000004</v>
          </cell>
        </row>
        <row r="149">
          <cell r="E149">
            <v>0</v>
          </cell>
          <cell r="F149">
            <v>0</v>
          </cell>
          <cell r="G149">
            <v>0</v>
          </cell>
          <cell r="H149">
            <v>0</v>
          </cell>
          <cell r="I149">
            <v>0</v>
          </cell>
          <cell r="J149">
            <v>0</v>
          </cell>
          <cell r="K149">
            <v>0</v>
          </cell>
          <cell r="L149">
            <v>0</v>
          </cell>
          <cell r="M149">
            <v>0</v>
          </cell>
          <cell r="N149">
            <v>0</v>
          </cell>
        </row>
        <row r="150">
          <cell r="E150">
            <v>0</v>
          </cell>
          <cell r="F150">
            <v>0</v>
          </cell>
          <cell r="G150">
            <v>0</v>
          </cell>
          <cell r="H150">
            <v>0</v>
          </cell>
          <cell r="I150">
            <v>0</v>
          </cell>
          <cell r="J150">
            <v>0</v>
          </cell>
          <cell r="K150">
            <v>0</v>
          </cell>
          <cell r="L150">
            <v>0</v>
          </cell>
          <cell r="M150">
            <v>0</v>
          </cell>
          <cell r="N150">
            <v>0</v>
          </cell>
        </row>
        <row r="151">
          <cell r="E151">
            <v>0</v>
          </cell>
          <cell r="F151">
            <v>0</v>
          </cell>
          <cell r="G151">
            <v>0</v>
          </cell>
          <cell r="H151">
            <v>0</v>
          </cell>
          <cell r="I151">
            <v>0</v>
          </cell>
          <cell r="J151">
            <v>0</v>
          </cell>
          <cell r="K151">
            <v>0</v>
          </cell>
          <cell r="L151">
            <v>0</v>
          </cell>
          <cell r="M151">
            <v>0</v>
          </cell>
          <cell r="N151">
            <v>0</v>
          </cell>
        </row>
        <row r="152">
          <cell r="E152">
            <v>35</v>
          </cell>
          <cell r="F152">
            <v>35</v>
          </cell>
          <cell r="G152">
            <v>35</v>
          </cell>
          <cell r="H152">
            <v>35</v>
          </cell>
          <cell r="I152">
            <v>35</v>
          </cell>
          <cell r="J152">
            <v>35</v>
          </cell>
          <cell r="K152">
            <v>35</v>
          </cell>
          <cell r="L152">
            <v>35</v>
          </cell>
          <cell r="M152">
            <v>35</v>
          </cell>
          <cell r="N152">
            <v>35</v>
          </cell>
        </row>
        <row r="153">
          <cell r="E153">
            <v>0</v>
          </cell>
          <cell r="F153">
            <v>0</v>
          </cell>
          <cell r="G153">
            <v>0</v>
          </cell>
          <cell r="H153">
            <v>0</v>
          </cell>
          <cell r="I153">
            <v>0</v>
          </cell>
          <cell r="J153">
            <v>0</v>
          </cell>
          <cell r="K153">
            <v>0</v>
          </cell>
          <cell r="L153">
            <v>0</v>
          </cell>
          <cell r="M153">
            <v>0</v>
          </cell>
          <cell r="N153">
            <v>0</v>
          </cell>
        </row>
        <row r="154">
          <cell r="E154">
            <v>3666.6666666666702</v>
          </cell>
          <cell r="F154">
            <v>3666.6666666666702</v>
          </cell>
          <cell r="G154">
            <v>3666.6666666666702</v>
          </cell>
          <cell r="H154">
            <v>3763.6666666666702</v>
          </cell>
          <cell r="I154">
            <v>3763.6666666666702</v>
          </cell>
          <cell r="J154">
            <v>3763.6666666666702</v>
          </cell>
          <cell r="K154">
            <v>4333.6666666666706</v>
          </cell>
          <cell r="L154">
            <v>4333.6666666666706</v>
          </cell>
          <cell r="M154">
            <v>4333.6666666666706</v>
          </cell>
          <cell r="N154">
            <v>4403.6666666666697</v>
          </cell>
        </row>
        <row r="155">
          <cell r="E155">
            <v>0</v>
          </cell>
          <cell r="F155">
            <v>0</v>
          </cell>
          <cell r="G155">
            <v>0</v>
          </cell>
          <cell r="H155">
            <v>0</v>
          </cell>
          <cell r="I155">
            <v>0</v>
          </cell>
          <cell r="J155">
            <v>0</v>
          </cell>
          <cell r="K155">
            <v>0</v>
          </cell>
          <cell r="L155">
            <v>0</v>
          </cell>
          <cell r="M155">
            <v>0</v>
          </cell>
          <cell r="N155">
            <v>0</v>
          </cell>
        </row>
        <row r="156">
          <cell r="E156">
            <v>3701.6666666666702</v>
          </cell>
          <cell r="F156">
            <v>3701.6666666666702</v>
          </cell>
          <cell r="G156">
            <v>3701.6666666666702</v>
          </cell>
          <cell r="H156">
            <v>3798.6666666666702</v>
          </cell>
          <cell r="I156">
            <v>3798.6666666666702</v>
          </cell>
          <cell r="J156">
            <v>3798.6666666666702</v>
          </cell>
          <cell r="K156">
            <v>4368.6666666666706</v>
          </cell>
          <cell r="L156">
            <v>4368.6666666666706</v>
          </cell>
          <cell r="M156">
            <v>4368.6666666666706</v>
          </cell>
          <cell r="N156">
            <v>4438.6666666666697</v>
          </cell>
        </row>
        <row r="158">
          <cell r="C158" t="str">
            <v>Earthlink - BD&amp;PP</v>
          </cell>
          <cell r="E158">
            <v>4768.4892019999998</v>
          </cell>
          <cell r="F158">
            <v>4759.3496340000002</v>
          </cell>
          <cell r="G158">
            <v>4909.1697549999999</v>
          </cell>
          <cell r="H158">
            <v>4786.3095309999999</v>
          </cell>
          <cell r="I158">
            <v>4741.9922059999999</v>
          </cell>
          <cell r="J158">
            <v>4806.9347289999996</v>
          </cell>
          <cell r="K158">
            <v>4805.7302159999999</v>
          </cell>
          <cell r="L158">
            <v>4819.3616400000001</v>
          </cell>
          <cell r="M158">
            <v>4828.5558709999996</v>
          </cell>
          <cell r="N158">
            <v>4846.391901</v>
          </cell>
          <cell r="O158">
            <v>4865.2738209999998</v>
          </cell>
          <cell r="P158">
            <v>4882.9048979999998</v>
          </cell>
          <cell r="Q158">
            <v>14437.008590999998</v>
          </cell>
          <cell r="R158">
            <v>14335.236465999998</v>
          </cell>
          <cell r="S158">
            <v>14453.647727</v>
          </cell>
          <cell r="T158">
            <v>14594.570619999999</v>
          </cell>
          <cell r="U158">
            <v>57820.463403999995</v>
          </cell>
        </row>
        <row r="159">
          <cell r="C159" t="str">
            <v>PeoplePC - BD&amp;PP</v>
          </cell>
          <cell r="E159">
            <v>244.83199999999999</v>
          </cell>
          <cell r="F159">
            <v>261.834</v>
          </cell>
          <cell r="G159">
            <v>279.26400000000001</v>
          </cell>
          <cell r="H159">
            <v>307.24299999999999</v>
          </cell>
          <cell r="I159">
            <v>330.18200000000002</v>
          </cell>
          <cell r="J159">
            <v>356.15600000000001</v>
          </cell>
          <cell r="K159">
            <v>379.05</v>
          </cell>
          <cell r="L159">
            <v>403.41300000000001</v>
          </cell>
          <cell r="M159">
            <v>428.32299999999998</v>
          </cell>
          <cell r="N159">
            <v>449.92</v>
          </cell>
          <cell r="O159">
            <v>466.96600000000001</v>
          </cell>
          <cell r="P159">
            <v>485.75799999999998</v>
          </cell>
          <cell r="Q159">
            <v>785.93</v>
          </cell>
          <cell r="R159">
            <v>993.5809999999999</v>
          </cell>
          <cell r="S159">
            <v>1210.7860000000001</v>
          </cell>
          <cell r="T159">
            <v>1402.644</v>
          </cell>
          <cell r="U159">
            <v>4392.9409999999998</v>
          </cell>
        </row>
        <row r="160">
          <cell r="C160" t="str">
            <v>PNL Bad Debt &amp; Pmt Process</v>
          </cell>
          <cell r="E160">
            <v>5013.3212020000001</v>
          </cell>
          <cell r="F160">
            <v>5021.183634</v>
          </cell>
          <cell r="G160">
            <v>5188.433755</v>
          </cell>
          <cell r="H160">
            <v>5093.5525310000003</v>
          </cell>
          <cell r="I160">
            <v>5072.1742059999997</v>
          </cell>
          <cell r="J160">
            <v>5163.0907289999996</v>
          </cell>
          <cell r="K160">
            <v>5184.7802160000001</v>
          </cell>
          <cell r="L160">
            <v>5222.7746399999996</v>
          </cell>
          <cell r="M160">
            <v>5256.8788709999999</v>
          </cell>
          <cell r="N160">
            <v>5296.311901</v>
          </cell>
          <cell r="O160">
            <v>5332.2398210000001</v>
          </cell>
          <cell r="P160">
            <v>5368.6628979999996</v>
          </cell>
          <cell r="Q160">
            <v>15222.938591</v>
          </cell>
          <cell r="R160">
            <v>15328.817466</v>
          </cell>
          <cell r="S160">
            <v>15664.433727</v>
          </cell>
          <cell r="T160">
            <v>15997.214619999999</v>
          </cell>
          <cell r="U160">
            <v>62213.404404000001</v>
          </cell>
        </row>
        <row r="161">
          <cell r="B161" t="str">
            <v>Subtotal General &amp; Admin</v>
          </cell>
          <cell r="E161">
            <v>13687.045145666671</v>
          </cell>
          <cell r="F161">
            <v>13768.189322666669</v>
          </cell>
          <cell r="G161">
            <v>15086.87588066667</v>
          </cell>
          <cell r="H161">
            <v>14226.723017666671</v>
          </cell>
          <cell r="I161">
            <v>13625.307962666669</v>
          </cell>
          <cell r="J161">
            <v>14120.225608666669</v>
          </cell>
          <cell r="K161">
            <v>15043.01259366667</v>
          </cell>
          <cell r="L161">
            <v>14535.552917666671</v>
          </cell>
          <cell r="M161">
            <v>14581.651382666671</v>
          </cell>
          <cell r="N161">
            <v>14730.602789666671</v>
          </cell>
          <cell r="O161">
            <v>14801.38101766667</v>
          </cell>
          <cell r="P161">
            <v>14687.423394666668</v>
          </cell>
          <cell r="Q161">
            <v>42542.110348000009</v>
          </cell>
          <cell r="R161">
            <v>41972.256589000011</v>
          </cell>
          <cell r="S161">
            <v>44160.216895000005</v>
          </cell>
          <cell r="T161">
            <v>44219.407202000009</v>
          </cell>
          <cell r="U161">
            <v>172893.99103400004</v>
          </cell>
        </row>
        <row r="162">
          <cell r="C162" t="str">
            <v>Operating Contribution Margin</v>
          </cell>
          <cell r="E162">
            <v>35403.935081333329</v>
          </cell>
          <cell r="F162">
            <v>35573.723745333336</v>
          </cell>
          <cell r="G162">
            <v>22116.172364333339</v>
          </cell>
          <cell r="H162">
            <v>36582.210165333323</v>
          </cell>
          <cell r="I162">
            <v>40272.306926333331</v>
          </cell>
          <cell r="J162">
            <v>39280.396156333321</v>
          </cell>
          <cell r="K162">
            <v>39695.229591333322</v>
          </cell>
          <cell r="L162">
            <v>40854.136932333335</v>
          </cell>
          <cell r="M162">
            <v>40681.78533733332</v>
          </cell>
          <cell r="N162">
            <v>41493.477082333331</v>
          </cell>
          <cell r="O162">
            <v>43113.373541333334</v>
          </cell>
          <cell r="P162">
            <v>44005.402454333336</v>
          </cell>
          <cell r="Q162">
            <v>93093.831192999991</v>
          </cell>
          <cell r="R162">
            <v>116134.91324899999</v>
          </cell>
          <cell r="S162">
            <v>121231.15186</v>
          </cell>
          <cell r="T162">
            <v>128612.25307899999</v>
          </cell>
          <cell r="U162">
            <v>459072.14938099997</v>
          </cell>
        </row>
        <row r="163">
          <cell r="C163" t="str">
            <v>% OCM</v>
          </cell>
          <cell r="E163">
            <v>0.30230640229061106</v>
          </cell>
          <cell r="F163">
            <v>0.30392836810792201</v>
          </cell>
          <cell r="G163">
            <v>0.18763827587000695</v>
          </cell>
          <cell r="H163">
            <v>0.3079856385772845</v>
          </cell>
          <cell r="I163">
            <v>0.33617441061840003</v>
          </cell>
          <cell r="J163">
            <v>0.32572754666568837</v>
          </cell>
          <cell r="K163">
            <v>0.32569719044144352</v>
          </cell>
          <cell r="L163">
            <v>0.33228059514658909</v>
          </cell>
          <cell r="M163">
            <v>0.32801762419278374</v>
          </cell>
          <cell r="N163">
            <v>0.330787959007809</v>
          </cell>
          <cell r="O163">
            <v>0.34018259557575736</v>
          </cell>
          <cell r="P163">
            <v>0.34331710088064071</v>
          </cell>
          <cell r="Q163">
            <v>0.26445221083831022</v>
          </cell>
          <cell r="R163">
            <v>0.32334460914885921</v>
          </cell>
          <cell r="S163">
            <v>0.32867188775729966</v>
          </cell>
          <cell r="T163">
            <v>0.33814060162872445</v>
          </cell>
          <cell r="U163">
            <v>0.31434776447192586</v>
          </cell>
        </row>
        <row r="165">
          <cell r="C165" t="str">
            <v>Marketing Division</v>
          </cell>
          <cell r="E165">
            <v>15267.059399</v>
          </cell>
          <cell r="F165">
            <v>16765.33337</v>
          </cell>
          <cell r="G165">
            <v>14473.187709</v>
          </cell>
          <cell r="H165">
            <v>13958.934365999999</v>
          </cell>
          <cell r="I165">
            <v>12456.673279000001</v>
          </cell>
          <cell r="J165">
            <v>12556.743418</v>
          </cell>
          <cell r="K165">
            <v>12010.829394</v>
          </cell>
          <cell r="L165">
            <v>11693.109920000001</v>
          </cell>
          <cell r="M165">
            <v>13897.389515000001</v>
          </cell>
          <cell r="N165">
            <v>13015.571667</v>
          </cell>
          <cell r="O165">
            <v>13162.314767</v>
          </cell>
          <cell r="P165">
            <v>12907.570196999999</v>
          </cell>
          <cell r="Q165">
            <v>46505.580478000003</v>
          </cell>
          <cell r="R165">
            <v>38972.351063000002</v>
          </cell>
          <cell r="S165">
            <v>37601.328828999998</v>
          </cell>
          <cell r="T165">
            <v>39085.456631000001</v>
          </cell>
          <cell r="U165">
            <v>162164.717</v>
          </cell>
        </row>
        <row r="166">
          <cell r="C166" t="str">
            <v>Sales Divison</v>
          </cell>
          <cell r="E166">
            <v>12288.748536999999</v>
          </cell>
          <cell r="F166">
            <v>13165.547074</v>
          </cell>
          <cell r="G166">
            <v>13790.407557</v>
          </cell>
          <cell r="H166">
            <v>13861.045818000001</v>
          </cell>
          <cell r="I166">
            <v>13037.769977</v>
          </cell>
          <cell r="J166">
            <v>12505.284062999999</v>
          </cell>
          <cell r="K166">
            <v>13059.779504</v>
          </cell>
          <cell r="L166">
            <v>13740.739317</v>
          </cell>
          <cell r="M166">
            <v>12865.908834</v>
          </cell>
          <cell r="N166">
            <v>13879.56187</v>
          </cell>
          <cell r="O166">
            <v>13450.457677</v>
          </cell>
          <cell r="P166">
            <v>13394.312453</v>
          </cell>
          <cell r="Q166">
            <v>39244.703169</v>
          </cell>
          <cell r="R166">
            <v>39404.099859000002</v>
          </cell>
          <cell r="S166">
            <v>39666.427655</v>
          </cell>
          <cell r="T166">
            <v>40724.331999000002</v>
          </cell>
          <cell r="U166">
            <v>159039.56268199999</v>
          </cell>
        </row>
        <row r="167">
          <cell r="C167" t="str">
            <v>Product Division</v>
          </cell>
          <cell r="E167">
            <v>1753.1026649999999</v>
          </cell>
          <cell r="F167">
            <v>1922.6962120000001</v>
          </cell>
          <cell r="G167">
            <v>2719.6903699999998</v>
          </cell>
          <cell r="H167">
            <v>1987.0553420000001</v>
          </cell>
          <cell r="I167">
            <v>2087.1389250000002</v>
          </cell>
          <cell r="J167">
            <v>2173.3462169999998</v>
          </cell>
          <cell r="K167">
            <v>2052.1080510000002</v>
          </cell>
          <cell r="L167">
            <v>2226.0382549999999</v>
          </cell>
          <cell r="M167">
            <v>2133.0136299999999</v>
          </cell>
          <cell r="N167">
            <v>2106.7366299999999</v>
          </cell>
          <cell r="O167">
            <v>2209.5825070000001</v>
          </cell>
          <cell r="P167">
            <v>2118.6647969999999</v>
          </cell>
          <cell r="Q167">
            <v>6395.4892470000004</v>
          </cell>
          <cell r="R167">
            <v>6247.5404829999998</v>
          </cell>
          <cell r="S167">
            <v>6411.159936</v>
          </cell>
          <cell r="T167">
            <v>6434.9839339999999</v>
          </cell>
          <cell r="U167">
            <v>25489.173599999998</v>
          </cell>
        </row>
        <row r="168">
          <cell r="C168" t="str">
            <v>ELNK Wireless Division</v>
          </cell>
          <cell r="E168">
            <v>940.14981</v>
          </cell>
          <cell r="F168">
            <v>1026.0636340000001</v>
          </cell>
          <cell r="G168">
            <v>1232.038282</v>
          </cell>
          <cell r="H168">
            <v>884.18301599999995</v>
          </cell>
          <cell r="I168">
            <v>909.00903900000003</v>
          </cell>
          <cell r="J168">
            <v>852.07320900000002</v>
          </cell>
          <cell r="K168">
            <v>863.20980499999996</v>
          </cell>
          <cell r="L168">
            <v>919.91319499999997</v>
          </cell>
          <cell r="M168">
            <v>880.32992300000001</v>
          </cell>
          <cell r="N168">
            <v>896.79648799999995</v>
          </cell>
          <cell r="O168">
            <v>974.53593599999999</v>
          </cell>
          <cell r="P168">
            <v>953.63784999999996</v>
          </cell>
          <cell r="Q168">
            <v>3198.251726</v>
          </cell>
          <cell r="R168">
            <v>2645.2652640000001</v>
          </cell>
          <cell r="S168">
            <v>2663.4529219999999</v>
          </cell>
          <cell r="T168">
            <v>2824.9702739999998</v>
          </cell>
          <cell r="U168">
            <v>11331.940186</v>
          </cell>
        </row>
        <row r="169">
          <cell r="E169">
            <v>61.079143999999999</v>
          </cell>
          <cell r="F169">
            <v>61.104458000000001</v>
          </cell>
          <cell r="G169">
            <v>496.57902000000001</v>
          </cell>
          <cell r="H169">
            <v>61.217477000000002</v>
          </cell>
          <cell r="I169">
            <v>60.010795999999999</v>
          </cell>
          <cell r="J169">
            <v>436.49366900000001</v>
          </cell>
          <cell r="K169">
            <v>61.349921000000002</v>
          </cell>
          <cell r="L169">
            <v>61.459190999999997</v>
          </cell>
          <cell r="M169">
            <v>436.42767099999998</v>
          </cell>
          <cell r="N169">
            <v>61.488695999999997</v>
          </cell>
        </row>
        <row r="170">
          <cell r="E170">
            <v>1308.4982520000001</v>
          </cell>
          <cell r="F170">
            <v>1308.309107</v>
          </cell>
          <cell r="G170">
            <v>1440.8501369999999</v>
          </cell>
          <cell r="H170">
            <v>1292.863576</v>
          </cell>
          <cell r="I170">
            <v>1265.420134</v>
          </cell>
          <cell r="J170">
            <v>1280.308698</v>
          </cell>
          <cell r="K170">
            <v>1357.773046</v>
          </cell>
          <cell r="L170">
            <v>1366.632683</v>
          </cell>
          <cell r="M170">
            <v>1319.7920389999999</v>
          </cell>
          <cell r="N170">
            <v>1359.0708609999999</v>
          </cell>
        </row>
        <row r="171">
          <cell r="E171">
            <v>5575.4225489999999</v>
          </cell>
          <cell r="F171">
            <v>6066.0669200000002</v>
          </cell>
          <cell r="G171">
            <v>7579.5519260000001</v>
          </cell>
          <cell r="H171">
            <v>6635.9253150000004</v>
          </cell>
          <cell r="I171">
            <v>7009.7236140000005</v>
          </cell>
          <cell r="J171">
            <v>7839.8705620000001</v>
          </cell>
          <cell r="K171">
            <v>7374.320084</v>
          </cell>
          <cell r="L171">
            <v>7466.3540210000001</v>
          </cell>
          <cell r="M171">
            <v>7775.3657949999997</v>
          </cell>
          <cell r="N171">
            <v>6965.6327410000004</v>
          </cell>
        </row>
        <row r="172">
          <cell r="E172">
            <v>673.822765</v>
          </cell>
          <cell r="F172">
            <v>669.59008800000004</v>
          </cell>
          <cell r="G172">
            <v>1418.990211</v>
          </cell>
          <cell r="H172">
            <v>738.79915000000005</v>
          </cell>
          <cell r="I172">
            <v>672.63074600000004</v>
          </cell>
          <cell r="J172">
            <v>751.56753500000002</v>
          </cell>
          <cell r="K172">
            <v>750.64751699999999</v>
          </cell>
          <cell r="L172">
            <v>776.59728199999995</v>
          </cell>
          <cell r="M172">
            <v>777.16428399999995</v>
          </cell>
          <cell r="N172">
            <v>821.68968099999995</v>
          </cell>
        </row>
        <row r="173">
          <cell r="E173">
            <v>3424.7712459999998</v>
          </cell>
          <cell r="F173">
            <v>3223.230137</v>
          </cell>
          <cell r="G173">
            <v>3933.1088840000002</v>
          </cell>
          <cell r="H173">
            <v>2847.0613239999998</v>
          </cell>
          <cell r="I173">
            <v>2451.5930170000001</v>
          </cell>
          <cell r="J173">
            <v>2328.4291370000001</v>
          </cell>
          <cell r="K173">
            <v>1979.2137760000001</v>
          </cell>
          <cell r="L173">
            <v>1967.465271</v>
          </cell>
          <cell r="M173">
            <v>2002.9965030000001</v>
          </cell>
          <cell r="N173">
            <v>2169.1859890000001</v>
          </cell>
        </row>
        <row r="174">
          <cell r="E174">
            <v>0</v>
          </cell>
          <cell r="F174">
            <v>0</v>
          </cell>
          <cell r="G174">
            <v>0</v>
          </cell>
          <cell r="H174">
            <v>0</v>
          </cell>
          <cell r="I174">
            <v>0</v>
          </cell>
          <cell r="J174">
            <v>0</v>
          </cell>
          <cell r="K174">
            <v>0</v>
          </cell>
          <cell r="L174">
            <v>0</v>
          </cell>
          <cell r="M174">
            <v>0</v>
          </cell>
          <cell r="N174">
            <v>0</v>
          </cell>
        </row>
        <row r="175">
          <cell r="E175">
            <v>47.566000000000003</v>
          </cell>
          <cell r="F175">
            <v>36.472999999999999</v>
          </cell>
          <cell r="G175">
            <v>34.549999999999997</v>
          </cell>
          <cell r="H175">
            <v>31.132000000000001</v>
          </cell>
          <cell r="I175">
            <v>27.972999999999999</v>
          </cell>
          <cell r="J175">
            <v>12.308</v>
          </cell>
          <cell r="K175">
            <v>8.8610000000000007</v>
          </cell>
          <cell r="L175">
            <v>5.6890000000000001</v>
          </cell>
          <cell r="M175">
            <v>2.7290000000000001</v>
          </cell>
          <cell r="N175">
            <v>2.722</v>
          </cell>
        </row>
        <row r="176">
          <cell r="C176" t="str">
            <v>Customer Support - Customer Retention &amp; Loyalty</v>
          </cell>
          <cell r="E176">
            <v>786.02705600000002</v>
          </cell>
          <cell r="F176">
            <v>498.39413200000001</v>
          </cell>
          <cell r="G176">
            <v>776.01769899999999</v>
          </cell>
          <cell r="H176">
            <v>748.54397400000005</v>
          </cell>
          <cell r="I176">
            <v>616.16956600000003</v>
          </cell>
          <cell r="J176">
            <v>622.47706600000004</v>
          </cell>
          <cell r="K176">
            <v>665.62022100000002</v>
          </cell>
          <cell r="L176">
            <v>616.00915299999997</v>
          </cell>
          <cell r="M176">
            <v>728.86166500000002</v>
          </cell>
          <cell r="N176">
            <v>588.93455600000004</v>
          </cell>
          <cell r="O176">
            <v>577.73401000000001</v>
          </cell>
          <cell r="P176">
            <v>537.21061399999996</v>
          </cell>
          <cell r="Q176">
            <v>2060.4388859999999</v>
          </cell>
          <cell r="R176">
            <v>1987.1906059999999</v>
          </cell>
          <cell r="S176">
            <v>2010.491039</v>
          </cell>
          <cell r="T176">
            <v>1703.8791799999999</v>
          </cell>
          <cell r="U176">
            <v>7761.9997100000001</v>
          </cell>
        </row>
        <row r="177">
          <cell r="E177">
            <v>42126.247422</v>
          </cell>
          <cell r="F177">
            <v>44742.808130999998</v>
          </cell>
          <cell r="G177">
            <v>47894.971794999998</v>
          </cell>
          <cell r="H177">
            <v>43046.761358999996</v>
          </cell>
          <cell r="I177">
            <v>40594.112093999996</v>
          </cell>
          <cell r="J177">
            <v>41358.901575000004</v>
          </cell>
          <cell r="K177">
            <v>40183.712317999998</v>
          </cell>
          <cell r="L177">
            <v>40840.007287</v>
          </cell>
          <cell r="M177">
            <v>42819.978857000002</v>
          </cell>
          <cell r="N177">
            <v>41867.391179999999</v>
          </cell>
        </row>
        <row r="178">
          <cell r="E178">
            <v>82902.365134666674</v>
          </cell>
          <cell r="F178">
            <v>85114.410135666665</v>
          </cell>
          <cell r="G178">
            <v>102344.92848666667</v>
          </cell>
          <cell r="H178">
            <v>83535.329031666668</v>
          </cell>
          <cell r="I178">
            <v>78094.648248666665</v>
          </cell>
          <cell r="J178">
            <v>80525.333546666676</v>
          </cell>
          <cell r="K178">
            <v>79998.173430666677</v>
          </cell>
          <cell r="L178">
            <v>80106.318518666667</v>
          </cell>
          <cell r="M178">
            <v>82951.468324666668</v>
          </cell>
          <cell r="N178">
            <v>82034.302318666669</v>
          </cell>
        </row>
        <row r="179">
          <cell r="E179">
            <v>-6722.3123406666709</v>
          </cell>
          <cell r="F179">
            <v>-9169.0843856666615</v>
          </cell>
          <cell r="G179">
            <v>-25778.799430666659</v>
          </cell>
          <cell r="H179">
            <v>-6464.5511936666735</v>
          </cell>
          <cell r="I179">
            <v>-321.80516766666551</v>
          </cell>
          <cell r="J179">
            <v>-2078.5054186666821</v>
          </cell>
          <cell r="K179">
            <v>-488.48272666667617</v>
          </cell>
          <cell r="L179">
            <v>14.129645333334338</v>
          </cell>
          <cell r="M179">
            <v>-2138.1935196666818</v>
          </cell>
          <cell r="N179">
            <v>-373.91409766666766</v>
          </cell>
        </row>
        <row r="181">
          <cell r="E181">
            <v>2873.9155059999998</v>
          </cell>
          <cell r="F181">
            <v>2809.557143</v>
          </cell>
          <cell r="G181">
            <v>2414.076133</v>
          </cell>
          <cell r="H181">
            <v>2385.5526610000002</v>
          </cell>
          <cell r="I181">
            <v>2342.6943270000002</v>
          </cell>
          <cell r="J181">
            <v>2255.9601080000002</v>
          </cell>
          <cell r="K181">
            <v>2203.9206290000002</v>
          </cell>
          <cell r="L181">
            <v>2237.4606749999998</v>
          </cell>
          <cell r="M181">
            <v>1966.831459</v>
          </cell>
          <cell r="N181">
            <v>1992.1026260000001</v>
          </cell>
        </row>
        <row r="183">
          <cell r="E183">
            <v>333.33333299999998</v>
          </cell>
          <cell r="F183">
            <v>333.33333299999998</v>
          </cell>
          <cell r="G183">
            <v>3233.333333</v>
          </cell>
          <cell r="H183">
            <v>266.66666700000002</v>
          </cell>
          <cell r="I183">
            <v>266.66666700000002</v>
          </cell>
          <cell r="J183">
            <v>2766.666667</v>
          </cell>
          <cell r="K183">
            <v>133.33333300000001</v>
          </cell>
          <cell r="L183">
            <v>133.33333300000001</v>
          </cell>
          <cell r="M183">
            <v>133.33333300000001</v>
          </cell>
          <cell r="N183">
            <v>133.33333300000001</v>
          </cell>
        </row>
        <row r="184">
          <cell r="E184">
            <v>1233.333333</v>
          </cell>
          <cell r="F184">
            <v>1233.333333</v>
          </cell>
          <cell r="G184">
            <v>1233.333333</v>
          </cell>
          <cell r="H184">
            <v>0</v>
          </cell>
          <cell r="I184">
            <v>0</v>
          </cell>
          <cell r="J184">
            <v>0</v>
          </cell>
          <cell r="K184">
            <v>0</v>
          </cell>
          <cell r="L184">
            <v>0</v>
          </cell>
          <cell r="M184">
            <v>0</v>
          </cell>
          <cell r="N184">
            <v>0</v>
          </cell>
        </row>
        <row r="185">
          <cell r="E185">
            <v>1566.666667</v>
          </cell>
          <cell r="F185">
            <v>1566.666667</v>
          </cell>
          <cell r="G185">
            <v>4466.6666670000004</v>
          </cell>
          <cell r="H185">
            <v>266.66666700000002</v>
          </cell>
          <cell r="I185">
            <v>266.66666700000002</v>
          </cell>
          <cell r="J185">
            <v>2766.666667</v>
          </cell>
          <cell r="K185">
            <v>133.33333300000001</v>
          </cell>
          <cell r="L185">
            <v>133.33333300000001</v>
          </cell>
          <cell r="M185">
            <v>133.33333300000001</v>
          </cell>
          <cell r="N185">
            <v>133.33333300000001</v>
          </cell>
        </row>
        <row r="186">
          <cell r="E186">
            <v>-11162.89451366667</v>
          </cell>
          <cell r="F186">
            <v>-13545.308195666661</v>
          </cell>
          <cell r="G186">
            <v>-32659.542230666659</v>
          </cell>
          <cell r="H186">
            <v>-9116.7705216666727</v>
          </cell>
          <cell r="I186">
            <v>-2931.1661616666656</v>
          </cell>
          <cell r="J186">
            <v>-7101.1321936666827</v>
          </cell>
          <cell r="K186">
            <v>-2825.7366886666764</v>
          </cell>
          <cell r="L186">
            <v>-2356.6643626666655</v>
          </cell>
          <cell r="M186">
            <v>-4238.3583116666814</v>
          </cell>
          <cell r="N186">
            <v>-2499.3500566666676</v>
          </cell>
        </row>
        <row r="188">
          <cell r="E188">
            <v>-658.29271900000003</v>
          </cell>
          <cell r="F188">
            <v>-658.29271900000003</v>
          </cell>
          <cell r="G188">
            <v>-658.29271900000003</v>
          </cell>
          <cell r="H188">
            <v>-658.29271900000003</v>
          </cell>
          <cell r="I188">
            <v>-658.29271900000003</v>
          </cell>
          <cell r="J188">
            <v>-658.29271900000003</v>
          </cell>
          <cell r="K188">
            <v>-658.29271900000003</v>
          </cell>
          <cell r="L188">
            <v>-658.29271900000003</v>
          </cell>
          <cell r="M188">
            <v>-658.29271900000003</v>
          </cell>
          <cell r="N188">
            <v>-658.29271900000003</v>
          </cell>
        </row>
        <row r="189">
          <cell r="E189">
            <v>0</v>
          </cell>
          <cell r="F189">
            <v>0</v>
          </cell>
          <cell r="G189">
            <v>0</v>
          </cell>
          <cell r="H189">
            <v>0</v>
          </cell>
          <cell r="I189">
            <v>0</v>
          </cell>
          <cell r="J189">
            <v>0</v>
          </cell>
          <cell r="K189">
            <v>0</v>
          </cell>
          <cell r="L189">
            <v>0</v>
          </cell>
          <cell r="M189">
            <v>0</v>
          </cell>
          <cell r="N189">
            <v>0</v>
          </cell>
        </row>
        <row r="190">
          <cell r="E190">
            <v>-10504.601794666669</v>
          </cell>
          <cell r="F190">
            <v>-12887.01547666666</v>
          </cell>
          <cell r="G190">
            <v>-32001.249511666658</v>
          </cell>
          <cell r="H190">
            <v>-8458.4778026666718</v>
          </cell>
          <cell r="I190">
            <v>-2272.8734426666656</v>
          </cell>
          <cell r="J190">
            <v>-6442.8394746666827</v>
          </cell>
          <cell r="K190">
            <v>-2167.4439696666764</v>
          </cell>
          <cell r="L190">
            <v>-1698.3716436666655</v>
          </cell>
          <cell r="M190">
            <v>-3580.0655926666814</v>
          </cell>
          <cell r="N190">
            <v>-1841.0573376666675</v>
          </cell>
        </row>
        <row r="191">
          <cell r="E191">
            <v>-8.9696480595896008E-2</v>
          </cell>
          <cell r="F191">
            <v>-0.11010175970455274</v>
          </cell>
          <cell r="G191">
            <v>-0.27150535748847404</v>
          </cell>
          <cell r="H191">
            <v>-7.1211927209219358E-2</v>
          </cell>
          <cell r="I191">
            <v>-1.8972886042916522E-2</v>
          </cell>
          <cell r="J191">
            <v>-5.3426403524335753E-2</v>
          </cell>
          <cell r="K191">
            <v>-1.7783759374295494E-2</v>
          </cell>
          <cell r="L191">
            <v>-1.3813434401327811E-2</v>
          </cell>
          <cell r="M191">
            <v>-2.8866103107898451E-2</v>
          </cell>
          <cell r="N191">
            <v>-1.4676996047708937E-2</v>
          </cell>
        </row>
        <row r="193">
          <cell r="E193">
            <v>-658.29271900000003</v>
          </cell>
          <cell r="F193">
            <v>-658.29271900000003</v>
          </cell>
          <cell r="G193">
            <v>-658.29271900000003</v>
          </cell>
          <cell r="H193">
            <v>-658.29271900000003</v>
          </cell>
          <cell r="I193">
            <v>-658.29271900000003</v>
          </cell>
          <cell r="J193">
            <v>-658.29271900000003</v>
          </cell>
          <cell r="K193">
            <v>-658.29271900000003</v>
          </cell>
          <cell r="L193">
            <v>-658.29271900000003</v>
          </cell>
          <cell r="M193">
            <v>-658.29271900000003</v>
          </cell>
          <cell r="N193">
            <v>-658.29271900000003</v>
          </cell>
        </row>
        <row r="194">
          <cell r="E194">
            <v>5468.4188679999997</v>
          </cell>
          <cell r="F194">
            <v>5382.9841479999995</v>
          </cell>
          <cell r="G194">
            <v>5236.4101229999997</v>
          </cell>
          <cell r="H194">
            <v>5076.963006</v>
          </cell>
          <cell r="I194">
            <v>2983.4800489999998</v>
          </cell>
          <cell r="J194">
            <v>4828.8365299999996</v>
          </cell>
          <cell r="K194">
            <v>4682.6047449999996</v>
          </cell>
          <cell r="L194">
            <v>4584.074842</v>
          </cell>
          <cell r="M194">
            <v>4462.059698</v>
          </cell>
          <cell r="N194">
            <v>4262.4685550000004</v>
          </cell>
        </row>
        <row r="195">
          <cell r="E195">
            <v>2873.9155059999998</v>
          </cell>
          <cell r="F195">
            <v>2809.557143</v>
          </cell>
          <cell r="G195">
            <v>2414.076133</v>
          </cell>
          <cell r="H195">
            <v>2385.5526610000002</v>
          </cell>
          <cell r="I195">
            <v>2342.6943270000002</v>
          </cell>
          <cell r="J195">
            <v>2255.9601080000002</v>
          </cell>
          <cell r="K195">
            <v>2203.9206290000002</v>
          </cell>
          <cell r="L195">
            <v>2237.4606749999998</v>
          </cell>
          <cell r="M195">
            <v>1966.831459</v>
          </cell>
          <cell r="N195">
            <v>1992.1026260000001</v>
          </cell>
        </row>
        <row r="196">
          <cell r="E196">
            <v>1233.333333</v>
          </cell>
          <cell r="F196">
            <v>1233.333333</v>
          </cell>
          <cell r="G196">
            <v>1233.333333</v>
          </cell>
          <cell r="H196">
            <v>0</v>
          </cell>
          <cell r="I196">
            <v>0</v>
          </cell>
          <cell r="J196">
            <v>0</v>
          </cell>
          <cell r="K196">
            <v>0</v>
          </cell>
          <cell r="L196">
            <v>0</v>
          </cell>
          <cell r="M196">
            <v>0</v>
          </cell>
          <cell r="N196">
            <v>0</v>
          </cell>
        </row>
        <row r="197">
          <cell r="E197">
            <v>-1587.2268066666702</v>
          </cell>
          <cell r="F197">
            <v>-4119.433571666661</v>
          </cell>
          <cell r="G197">
            <v>-23775.72264166666</v>
          </cell>
          <cell r="H197">
            <v>-1654.2548546666726</v>
          </cell>
          <cell r="I197">
            <v>2395.0082143333343</v>
          </cell>
          <cell r="J197">
            <v>-16.335555666682922</v>
          </cell>
          <cell r="K197">
            <v>4060.7886853333234</v>
          </cell>
          <cell r="L197">
            <v>4464.8711543333338</v>
          </cell>
          <cell r="M197">
            <v>2190.5328453333186</v>
          </cell>
          <cell r="N197">
            <v>3755.2211243333331</v>
          </cell>
        </row>
        <row r="198">
          <cell r="E198">
            <v>-1253.8934736666702</v>
          </cell>
          <cell r="F198">
            <v>-3786.100238666661</v>
          </cell>
          <cell r="G198">
            <v>-20542.389308666661</v>
          </cell>
          <cell r="H198">
            <v>-1387.5881876666726</v>
          </cell>
          <cell r="I198">
            <v>2661.6748813333343</v>
          </cell>
          <cell r="J198">
            <v>2750.331111333317</v>
          </cell>
          <cell r="K198">
            <v>4194.1220183333235</v>
          </cell>
          <cell r="L198">
            <v>4598.2044873333334</v>
          </cell>
          <cell r="M198">
            <v>2323.8661783333187</v>
          </cell>
          <cell r="N198">
            <v>3888.5544573333332</v>
          </cell>
        </row>
        <row r="202">
          <cell r="E202">
            <v>153725.80489999999</v>
          </cell>
          <cell r="F202">
            <v>163789.14000000001</v>
          </cell>
          <cell r="G202">
            <v>161785.79149999999</v>
          </cell>
          <cell r="H202">
            <v>138052.80129999999</v>
          </cell>
          <cell r="I202">
            <v>137842.9339</v>
          </cell>
          <cell r="J202">
            <v>134660.06529999999</v>
          </cell>
          <cell r="K202">
            <v>123484.81020000001</v>
          </cell>
          <cell r="L202">
            <v>117083.72960000001</v>
          </cell>
          <cell r="M202">
            <v>123666.7009</v>
          </cell>
          <cell r="N202">
            <v>145651.60829999999</v>
          </cell>
        </row>
        <row r="203">
          <cell r="E203">
            <v>7474</v>
          </cell>
          <cell r="F203">
            <v>7474</v>
          </cell>
          <cell r="G203">
            <v>7474</v>
          </cell>
          <cell r="H203">
            <v>6228.3333000000002</v>
          </cell>
          <cell r="I203">
            <v>6228.3333000000002</v>
          </cell>
          <cell r="J203">
            <v>6228.3333000000002</v>
          </cell>
          <cell r="K203">
            <v>4982.6666999999998</v>
          </cell>
          <cell r="L203">
            <v>4982.6666999999998</v>
          </cell>
          <cell r="M203">
            <v>4982.6666999999998</v>
          </cell>
          <cell r="N203">
            <v>6228.3333000000002</v>
          </cell>
        </row>
        <row r="204">
          <cell r="E204">
            <v>71079.289199999999</v>
          </cell>
          <cell r="F204">
            <v>92960.534299999999</v>
          </cell>
          <cell r="G204">
            <v>98758.284299999999</v>
          </cell>
          <cell r="H204">
            <v>116616.8676</v>
          </cell>
          <cell r="I204">
            <v>73908.333299999998</v>
          </cell>
          <cell r="J204">
            <v>82339.583299999998</v>
          </cell>
          <cell r="K204">
            <v>72226.666700000002</v>
          </cell>
          <cell r="L204">
            <v>72881.666700000002</v>
          </cell>
          <cell r="M204">
            <v>76556.666700000002</v>
          </cell>
          <cell r="N204">
            <v>84416.666700000002</v>
          </cell>
        </row>
        <row r="205">
          <cell r="E205">
            <v>0</v>
          </cell>
          <cell r="F205">
            <v>0</v>
          </cell>
          <cell r="G205">
            <v>0</v>
          </cell>
          <cell r="H205">
            <v>0</v>
          </cell>
          <cell r="I205">
            <v>0</v>
          </cell>
          <cell r="J205">
            <v>0</v>
          </cell>
          <cell r="K205">
            <v>0</v>
          </cell>
          <cell r="L205">
            <v>0</v>
          </cell>
          <cell r="M205">
            <v>0</v>
          </cell>
          <cell r="N205">
            <v>0</v>
          </cell>
        </row>
        <row r="206">
          <cell r="E206">
            <v>232279.09409999999</v>
          </cell>
          <cell r="F206">
            <v>264223.67430000001</v>
          </cell>
          <cell r="G206">
            <v>268018.07579999999</v>
          </cell>
          <cell r="H206">
            <v>260898.00219999999</v>
          </cell>
          <cell r="I206">
            <v>217979.6005</v>
          </cell>
          <cell r="J206">
            <v>223227.98190000001</v>
          </cell>
          <cell r="K206">
            <v>200694.14360000001</v>
          </cell>
          <cell r="L206">
            <v>194948.06299999999</v>
          </cell>
          <cell r="M206">
            <v>205206.0343</v>
          </cell>
          <cell r="N206">
            <v>236296.60829999999</v>
          </cell>
        </row>
        <row r="208">
          <cell r="C208" t="str">
            <v>Retail aDSL</v>
          </cell>
          <cell r="E208">
            <v>15877.716700000001</v>
          </cell>
          <cell r="F208">
            <v>15745.816699999999</v>
          </cell>
          <cell r="G208">
            <v>15886.9167</v>
          </cell>
          <cell r="H208">
            <v>15904.5167</v>
          </cell>
          <cell r="I208">
            <v>15711.316699999999</v>
          </cell>
          <cell r="J208">
            <v>15729.316699999999</v>
          </cell>
          <cell r="K208">
            <v>15937.816699999999</v>
          </cell>
          <cell r="L208">
            <v>15842.816699999999</v>
          </cell>
          <cell r="M208">
            <v>15947.816699999999</v>
          </cell>
          <cell r="N208">
            <v>16260.0167</v>
          </cell>
          <cell r="O208">
            <v>16307.2667</v>
          </cell>
          <cell r="P208">
            <v>16504.466700000001</v>
          </cell>
          <cell r="Q208">
            <v>47510.450100000002</v>
          </cell>
          <cell r="R208">
            <v>47345.150099999999</v>
          </cell>
          <cell r="S208">
            <v>47728.450100000002</v>
          </cell>
          <cell r="T208">
            <v>49071.750099999997</v>
          </cell>
          <cell r="U208">
            <v>191655.80040000001</v>
          </cell>
        </row>
        <row r="209">
          <cell r="C209" t="str">
            <v>Basic aDSL</v>
          </cell>
          <cell r="E209">
            <v>183.33330000000001</v>
          </cell>
          <cell r="F209">
            <v>183.33330000000001</v>
          </cell>
          <cell r="G209">
            <v>183.33330000000001</v>
          </cell>
          <cell r="H209">
            <v>183.33330000000001</v>
          </cell>
          <cell r="I209">
            <v>183.33330000000001</v>
          </cell>
          <cell r="J209">
            <v>183.33330000000001</v>
          </cell>
          <cell r="K209">
            <v>183.33330000000001</v>
          </cell>
          <cell r="L209">
            <v>183.33330000000001</v>
          </cell>
          <cell r="M209">
            <v>183.33330000000001</v>
          </cell>
          <cell r="N209">
            <v>183.33330000000001</v>
          </cell>
          <cell r="O209">
            <v>183.33330000000001</v>
          </cell>
          <cell r="P209">
            <v>183.33330000000001</v>
          </cell>
          <cell r="Q209">
            <v>549.99990000000003</v>
          </cell>
          <cell r="R209">
            <v>549.99990000000003</v>
          </cell>
          <cell r="S209">
            <v>549.99990000000003</v>
          </cell>
          <cell r="T209">
            <v>549.99990000000003</v>
          </cell>
          <cell r="U209">
            <v>2199.9996000000001</v>
          </cell>
        </row>
        <row r="210">
          <cell r="C210" t="str">
            <v>Sprint DSL, Wireless, ION</v>
          </cell>
          <cell r="E210">
            <v>26000</v>
          </cell>
          <cell r="F210">
            <v>26000</v>
          </cell>
          <cell r="G210">
            <v>26000</v>
          </cell>
          <cell r="H210">
            <v>26000</v>
          </cell>
          <cell r="I210">
            <v>26000</v>
          </cell>
          <cell r="J210">
            <v>26000</v>
          </cell>
          <cell r="K210">
            <v>26000</v>
          </cell>
          <cell r="L210">
            <v>26000</v>
          </cell>
          <cell r="M210">
            <v>26000</v>
          </cell>
          <cell r="N210">
            <v>26000</v>
          </cell>
          <cell r="O210">
            <v>26000</v>
          </cell>
          <cell r="P210">
            <v>26000</v>
          </cell>
          <cell r="Q210">
            <v>78000</v>
          </cell>
          <cell r="R210">
            <v>78000</v>
          </cell>
          <cell r="S210">
            <v>78000</v>
          </cell>
          <cell r="T210">
            <v>78000</v>
          </cell>
          <cell r="U210">
            <v>312000</v>
          </cell>
        </row>
        <row r="211">
          <cell r="C211" t="str">
            <v>Biz DSL</v>
          </cell>
          <cell r="E211">
            <v>200</v>
          </cell>
          <cell r="F211">
            <v>300</v>
          </cell>
          <cell r="G211">
            <v>250</v>
          </cell>
          <cell r="H211">
            <v>200</v>
          </cell>
          <cell r="I211">
            <v>275</v>
          </cell>
          <cell r="J211">
            <v>225</v>
          </cell>
          <cell r="K211">
            <v>200</v>
          </cell>
          <cell r="L211">
            <v>250</v>
          </cell>
          <cell r="M211">
            <v>225</v>
          </cell>
          <cell r="N211">
            <v>200</v>
          </cell>
          <cell r="O211">
            <v>225</v>
          </cell>
          <cell r="P211">
            <v>175</v>
          </cell>
          <cell r="Q211">
            <v>750</v>
          </cell>
          <cell r="R211">
            <v>700</v>
          </cell>
          <cell r="S211">
            <v>675</v>
          </cell>
          <cell r="T211">
            <v>600</v>
          </cell>
          <cell r="U211">
            <v>2725</v>
          </cell>
        </row>
        <row r="212">
          <cell r="E212">
            <v>300</v>
          </cell>
          <cell r="F212">
            <v>400</v>
          </cell>
          <cell r="G212">
            <v>320</v>
          </cell>
          <cell r="H212">
            <v>345</v>
          </cell>
          <cell r="I212">
            <v>370</v>
          </cell>
          <cell r="J212">
            <v>260</v>
          </cell>
          <cell r="K212">
            <v>235</v>
          </cell>
          <cell r="L212">
            <v>345</v>
          </cell>
          <cell r="M212">
            <v>320</v>
          </cell>
          <cell r="N212">
            <v>270</v>
          </cell>
        </row>
        <row r="213">
          <cell r="E213">
            <v>200</v>
          </cell>
          <cell r="F213">
            <v>200</v>
          </cell>
          <cell r="G213">
            <v>200</v>
          </cell>
          <cell r="H213">
            <v>200</v>
          </cell>
          <cell r="I213">
            <v>200</v>
          </cell>
          <cell r="J213">
            <v>200</v>
          </cell>
          <cell r="K213">
            <v>200</v>
          </cell>
          <cell r="L213">
            <v>200</v>
          </cell>
          <cell r="M213">
            <v>200</v>
          </cell>
          <cell r="N213">
            <v>200</v>
          </cell>
        </row>
        <row r="214">
          <cell r="E214">
            <v>0</v>
          </cell>
          <cell r="F214">
            <v>0</v>
          </cell>
          <cell r="G214">
            <v>0</v>
          </cell>
          <cell r="H214">
            <v>0</v>
          </cell>
          <cell r="I214">
            <v>0</v>
          </cell>
          <cell r="J214">
            <v>0</v>
          </cell>
          <cell r="K214">
            <v>0</v>
          </cell>
          <cell r="L214">
            <v>0</v>
          </cell>
          <cell r="M214">
            <v>0</v>
          </cell>
          <cell r="N214">
            <v>0</v>
          </cell>
        </row>
        <row r="215">
          <cell r="C215" t="str">
            <v>Cable: Time Warner (Gross)</v>
          </cell>
          <cell r="E215">
            <v>20971.833299999998</v>
          </cell>
          <cell r="F215">
            <v>21015.033299999999</v>
          </cell>
          <cell r="G215">
            <v>20968.2333</v>
          </cell>
          <cell r="H215">
            <v>20215.5</v>
          </cell>
          <cell r="I215">
            <v>21151.7</v>
          </cell>
          <cell r="J215">
            <v>21581.1</v>
          </cell>
          <cell r="K215">
            <v>19839.433300000001</v>
          </cell>
          <cell r="L215">
            <v>19895.2333</v>
          </cell>
          <cell r="M215">
            <v>20001.433300000001</v>
          </cell>
          <cell r="N215">
            <v>22211.966700000001</v>
          </cell>
          <cell r="O215">
            <v>23385.966700000001</v>
          </cell>
          <cell r="P215">
            <v>24042.7667</v>
          </cell>
          <cell r="Q215">
            <v>62955.099900000001</v>
          </cell>
          <cell r="R215">
            <v>62948.3</v>
          </cell>
          <cell r="S215">
            <v>59736.099900000001</v>
          </cell>
          <cell r="T215">
            <v>69640.700100000002</v>
          </cell>
          <cell r="U215">
            <v>255280.19990000001</v>
          </cell>
        </row>
        <row r="216">
          <cell r="E216">
            <v>4370.8297000000002</v>
          </cell>
          <cell r="F216">
            <v>7790.5851000000002</v>
          </cell>
          <cell r="G216">
            <v>7790.5851000000002</v>
          </cell>
          <cell r="H216">
            <v>7790.5851000000002</v>
          </cell>
          <cell r="I216">
            <v>7790.5851000000002</v>
          </cell>
          <cell r="J216">
            <v>7790.5851000000002</v>
          </cell>
          <cell r="K216">
            <v>4370.8297000000002</v>
          </cell>
          <cell r="L216">
            <v>4370.8297000000002</v>
          </cell>
          <cell r="M216">
            <v>4370.8297000000002</v>
          </cell>
          <cell r="N216">
            <v>7790.5851000000002</v>
          </cell>
        </row>
        <row r="217">
          <cell r="E217">
            <v>225</v>
          </cell>
          <cell r="F217">
            <v>225</v>
          </cell>
          <cell r="G217">
            <v>225</v>
          </cell>
          <cell r="H217">
            <v>225</v>
          </cell>
          <cell r="I217">
            <v>225</v>
          </cell>
          <cell r="J217">
            <v>225</v>
          </cell>
          <cell r="K217">
            <v>225</v>
          </cell>
          <cell r="L217">
            <v>225</v>
          </cell>
          <cell r="M217">
            <v>225</v>
          </cell>
          <cell r="N217">
            <v>225</v>
          </cell>
        </row>
        <row r="218">
          <cell r="E218">
            <v>2850</v>
          </cell>
          <cell r="F218">
            <v>2850</v>
          </cell>
          <cell r="G218">
            <v>2850</v>
          </cell>
          <cell r="H218">
            <v>4035.5844000000002</v>
          </cell>
          <cell r="I218">
            <v>4035.5844000000002</v>
          </cell>
          <cell r="J218">
            <v>4035.5844000000002</v>
          </cell>
          <cell r="K218">
            <v>4035.5844000000002</v>
          </cell>
          <cell r="L218">
            <v>4035.5844000000002</v>
          </cell>
          <cell r="M218">
            <v>4035.5844000000002</v>
          </cell>
          <cell r="N218">
            <v>4035.5844000000002</v>
          </cell>
        </row>
        <row r="219">
          <cell r="E219">
            <v>71178.713000000003</v>
          </cell>
          <cell r="F219">
            <v>74709.768400000001</v>
          </cell>
          <cell r="G219">
            <v>74674.068400000004</v>
          </cell>
          <cell r="H219">
            <v>75099.519499999995</v>
          </cell>
          <cell r="I219">
            <v>75942.519499999995</v>
          </cell>
          <cell r="J219">
            <v>76229.919500000004</v>
          </cell>
          <cell r="K219">
            <v>71226.997399999993</v>
          </cell>
          <cell r="L219">
            <v>71347.797399999996</v>
          </cell>
          <cell r="M219">
            <v>71508.997399999993</v>
          </cell>
          <cell r="N219">
            <v>77376.486199999999</v>
          </cell>
        </row>
        <row r="220">
          <cell r="E220">
            <v>4400</v>
          </cell>
          <cell r="F220">
            <v>4500</v>
          </cell>
          <cell r="G220">
            <v>4709.8999999999996</v>
          </cell>
          <cell r="H220">
            <v>4300</v>
          </cell>
          <cell r="I220">
            <v>4275.25</v>
          </cell>
          <cell r="J220">
            <v>4000</v>
          </cell>
          <cell r="K220">
            <v>4120.6293999999998</v>
          </cell>
          <cell r="L220">
            <v>3800</v>
          </cell>
          <cell r="M220">
            <v>3800</v>
          </cell>
          <cell r="N220">
            <v>4000</v>
          </cell>
        </row>
        <row r="222">
          <cell r="E222">
            <v>437.81544831979613</v>
          </cell>
          <cell r="F222">
            <v>437.81544831979613</v>
          </cell>
          <cell r="G222">
            <v>437.81544831979613</v>
          </cell>
          <cell r="H222">
            <v>564.38418856505825</v>
          </cell>
          <cell r="I222">
            <v>564.38418856505825</v>
          </cell>
          <cell r="J222">
            <v>564.38418856505825</v>
          </cell>
          <cell r="K222">
            <v>528.22169135212607</v>
          </cell>
          <cell r="L222">
            <v>528.22169135212607</v>
          </cell>
          <cell r="M222">
            <v>528.22169135212607</v>
          </cell>
          <cell r="N222">
            <v>582.46543717152417</v>
          </cell>
        </row>
        <row r="223">
          <cell r="E223">
            <v>0</v>
          </cell>
          <cell r="F223">
            <v>0</v>
          </cell>
          <cell r="G223">
            <v>0</v>
          </cell>
          <cell r="H223">
            <v>0</v>
          </cell>
          <cell r="I223">
            <v>0</v>
          </cell>
          <cell r="J223">
            <v>0</v>
          </cell>
          <cell r="K223">
            <v>0</v>
          </cell>
          <cell r="L223">
            <v>0</v>
          </cell>
          <cell r="M223">
            <v>0</v>
          </cell>
          <cell r="N223">
            <v>0</v>
          </cell>
        </row>
        <row r="224">
          <cell r="E224">
            <v>0</v>
          </cell>
          <cell r="F224">
            <v>0</v>
          </cell>
          <cell r="G224">
            <v>0</v>
          </cell>
          <cell r="H224">
            <v>0</v>
          </cell>
          <cell r="I224">
            <v>0</v>
          </cell>
          <cell r="J224">
            <v>0</v>
          </cell>
          <cell r="K224">
            <v>0</v>
          </cell>
          <cell r="L224">
            <v>0</v>
          </cell>
          <cell r="M224">
            <v>0</v>
          </cell>
          <cell r="N224">
            <v>0</v>
          </cell>
        </row>
        <row r="225">
          <cell r="E225">
            <v>0</v>
          </cell>
          <cell r="F225">
            <v>0</v>
          </cell>
          <cell r="G225">
            <v>0</v>
          </cell>
          <cell r="H225">
            <v>0</v>
          </cell>
          <cell r="I225">
            <v>0</v>
          </cell>
          <cell r="J225">
            <v>0</v>
          </cell>
          <cell r="K225">
            <v>0</v>
          </cell>
          <cell r="L225">
            <v>0</v>
          </cell>
          <cell r="M225">
            <v>0</v>
          </cell>
          <cell r="N225">
            <v>0</v>
          </cell>
        </row>
        <row r="226">
          <cell r="E226">
            <v>0</v>
          </cell>
          <cell r="F226">
            <v>0</v>
          </cell>
          <cell r="G226">
            <v>0</v>
          </cell>
          <cell r="H226">
            <v>0</v>
          </cell>
          <cell r="I226">
            <v>0</v>
          </cell>
          <cell r="J226">
            <v>0</v>
          </cell>
          <cell r="K226">
            <v>0</v>
          </cell>
          <cell r="L226">
            <v>0</v>
          </cell>
          <cell r="M226">
            <v>0</v>
          </cell>
          <cell r="N226">
            <v>0</v>
          </cell>
        </row>
        <row r="227">
          <cell r="E227">
            <v>0</v>
          </cell>
          <cell r="F227">
            <v>0</v>
          </cell>
          <cell r="G227">
            <v>0</v>
          </cell>
          <cell r="H227">
            <v>0</v>
          </cell>
          <cell r="I227">
            <v>0</v>
          </cell>
          <cell r="J227">
            <v>0</v>
          </cell>
          <cell r="K227">
            <v>0</v>
          </cell>
          <cell r="L227">
            <v>0</v>
          </cell>
          <cell r="M227">
            <v>0</v>
          </cell>
          <cell r="N227">
            <v>0</v>
          </cell>
        </row>
        <row r="228">
          <cell r="E228">
            <v>0</v>
          </cell>
          <cell r="F228">
            <v>0</v>
          </cell>
          <cell r="G228">
            <v>0</v>
          </cell>
          <cell r="H228">
            <v>0</v>
          </cell>
          <cell r="I228">
            <v>0</v>
          </cell>
          <cell r="J228">
            <v>0</v>
          </cell>
          <cell r="K228">
            <v>0</v>
          </cell>
          <cell r="L228">
            <v>0</v>
          </cell>
          <cell r="M228">
            <v>0</v>
          </cell>
          <cell r="N228">
            <v>0</v>
          </cell>
        </row>
        <row r="229">
          <cell r="E229">
            <v>0</v>
          </cell>
          <cell r="F229">
            <v>0</v>
          </cell>
          <cell r="G229">
            <v>0</v>
          </cell>
          <cell r="H229">
            <v>0</v>
          </cell>
          <cell r="I229">
            <v>0</v>
          </cell>
          <cell r="J229">
            <v>0</v>
          </cell>
          <cell r="K229">
            <v>0</v>
          </cell>
          <cell r="L229">
            <v>0</v>
          </cell>
          <cell r="M229">
            <v>0</v>
          </cell>
          <cell r="N229">
            <v>0</v>
          </cell>
        </row>
        <row r="230">
          <cell r="E230">
            <v>0</v>
          </cell>
          <cell r="F230">
            <v>0</v>
          </cell>
          <cell r="G230">
            <v>0</v>
          </cell>
          <cell r="H230">
            <v>0</v>
          </cell>
          <cell r="I230">
            <v>0</v>
          </cell>
          <cell r="J230">
            <v>0</v>
          </cell>
          <cell r="K230">
            <v>0</v>
          </cell>
          <cell r="L230">
            <v>0</v>
          </cell>
          <cell r="M230">
            <v>0</v>
          </cell>
          <cell r="N230">
            <v>0</v>
          </cell>
        </row>
        <row r="231">
          <cell r="E231">
            <v>0</v>
          </cell>
          <cell r="F231">
            <v>0</v>
          </cell>
          <cell r="G231">
            <v>0</v>
          </cell>
          <cell r="H231">
            <v>0</v>
          </cell>
          <cell r="I231">
            <v>0</v>
          </cell>
          <cell r="J231">
            <v>0</v>
          </cell>
          <cell r="K231">
            <v>0</v>
          </cell>
          <cell r="L231">
            <v>0</v>
          </cell>
          <cell r="M231">
            <v>0</v>
          </cell>
          <cell r="N231">
            <v>0</v>
          </cell>
        </row>
        <row r="232">
          <cell r="E232">
            <v>289</v>
          </cell>
          <cell r="F232">
            <v>289</v>
          </cell>
          <cell r="G232">
            <v>289</v>
          </cell>
          <cell r="H232">
            <v>348</v>
          </cell>
          <cell r="I232">
            <v>526</v>
          </cell>
          <cell r="J232">
            <v>707</v>
          </cell>
          <cell r="K232">
            <v>813</v>
          </cell>
          <cell r="L232">
            <v>816</v>
          </cell>
          <cell r="M232">
            <v>819</v>
          </cell>
          <cell r="N232">
            <v>848</v>
          </cell>
        </row>
        <row r="233">
          <cell r="E233">
            <v>0</v>
          </cell>
          <cell r="F233">
            <v>0</v>
          </cell>
          <cell r="G233">
            <v>0</v>
          </cell>
          <cell r="H233">
            <v>0</v>
          </cell>
          <cell r="I233">
            <v>0</v>
          </cell>
          <cell r="J233">
            <v>0</v>
          </cell>
          <cell r="K233">
            <v>0</v>
          </cell>
          <cell r="L233">
            <v>0</v>
          </cell>
          <cell r="M233">
            <v>0</v>
          </cell>
          <cell r="N233">
            <v>0</v>
          </cell>
        </row>
        <row r="234">
          <cell r="E234">
            <v>162.13333333333333</v>
          </cell>
          <cell r="F234">
            <v>162.13333333333333</v>
          </cell>
          <cell r="G234">
            <v>162.13333333333333</v>
          </cell>
          <cell r="H234">
            <v>218.88</v>
          </cell>
          <cell r="I234">
            <v>218.88</v>
          </cell>
          <cell r="J234">
            <v>218.88</v>
          </cell>
          <cell r="K234">
            <v>202.66666666666669</v>
          </cell>
          <cell r="L234">
            <v>202.66666666666669</v>
          </cell>
          <cell r="M234">
            <v>202.66666666666669</v>
          </cell>
          <cell r="N234">
            <v>226.98666666666674</v>
          </cell>
        </row>
        <row r="235">
          <cell r="E235">
            <v>0</v>
          </cell>
          <cell r="F235">
            <v>0</v>
          </cell>
          <cell r="G235">
            <v>0</v>
          </cell>
          <cell r="H235">
            <v>0</v>
          </cell>
          <cell r="I235">
            <v>0</v>
          </cell>
          <cell r="J235">
            <v>0</v>
          </cell>
          <cell r="K235">
            <v>0</v>
          </cell>
          <cell r="L235">
            <v>0</v>
          </cell>
          <cell r="M235">
            <v>0</v>
          </cell>
          <cell r="N235">
            <v>0</v>
          </cell>
        </row>
        <row r="236">
          <cell r="E236">
            <v>0</v>
          </cell>
          <cell r="F236">
            <v>0</v>
          </cell>
          <cell r="G236">
            <v>0</v>
          </cell>
          <cell r="H236">
            <v>0</v>
          </cell>
          <cell r="I236">
            <v>0</v>
          </cell>
          <cell r="J236">
            <v>0</v>
          </cell>
          <cell r="K236">
            <v>0</v>
          </cell>
          <cell r="L236">
            <v>0</v>
          </cell>
          <cell r="M236">
            <v>0</v>
          </cell>
          <cell r="N236">
            <v>0</v>
          </cell>
        </row>
        <row r="237">
          <cell r="E237">
            <v>0</v>
          </cell>
          <cell r="F237">
            <v>0</v>
          </cell>
          <cell r="G237">
            <v>0</v>
          </cell>
          <cell r="H237">
            <v>0</v>
          </cell>
          <cell r="I237">
            <v>0</v>
          </cell>
          <cell r="J237">
            <v>0</v>
          </cell>
          <cell r="K237">
            <v>0</v>
          </cell>
          <cell r="L237">
            <v>0</v>
          </cell>
          <cell r="M237">
            <v>0</v>
          </cell>
          <cell r="N237">
            <v>0</v>
          </cell>
        </row>
        <row r="238">
          <cell r="E238">
            <v>0</v>
          </cell>
          <cell r="F238">
            <v>0</v>
          </cell>
          <cell r="G238">
            <v>0</v>
          </cell>
          <cell r="H238">
            <v>0</v>
          </cell>
          <cell r="I238">
            <v>0</v>
          </cell>
          <cell r="J238">
            <v>0</v>
          </cell>
          <cell r="K238">
            <v>0</v>
          </cell>
          <cell r="L238">
            <v>0</v>
          </cell>
          <cell r="M238">
            <v>0</v>
          </cell>
          <cell r="N238">
            <v>134.44624402324709</v>
          </cell>
        </row>
        <row r="239">
          <cell r="E239">
            <v>0</v>
          </cell>
          <cell r="F239">
            <v>0</v>
          </cell>
          <cell r="G239">
            <v>0</v>
          </cell>
          <cell r="H239">
            <v>0</v>
          </cell>
          <cell r="I239">
            <v>0</v>
          </cell>
          <cell r="J239">
            <v>0</v>
          </cell>
          <cell r="K239">
            <v>0</v>
          </cell>
          <cell r="L239">
            <v>0</v>
          </cell>
          <cell r="M239">
            <v>0</v>
          </cell>
          <cell r="N239">
            <v>250</v>
          </cell>
        </row>
        <row r="240">
          <cell r="E240">
            <v>0</v>
          </cell>
          <cell r="F240">
            <v>0</v>
          </cell>
          <cell r="G240">
            <v>125</v>
          </cell>
          <cell r="H240">
            <v>375</v>
          </cell>
          <cell r="I240">
            <v>431.5</v>
          </cell>
          <cell r="J240">
            <v>496</v>
          </cell>
          <cell r="K240">
            <v>570.5</v>
          </cell>
          <cell r="L240">
            <v>656</v>
          </cell>
          <cell r="M240">
            <v>754.5</v>
          </cell>
          <cell r="N240">
            <v>867.5</v>
          </cell>
        </row>
        <row r="241">
          <cell r="E241">
            <v>888.94870000000003</v>
          </cell>
          <cell r="F241">
            <v>888.94870000000003</v>
          </cell>
          <cell r="G241">
            <v>1013.9487</v>
          </cell>
          <cell r="H241">
            <v>1506.2642000000001</v>
          </cell>
          <cell r="I241">
            <v>1740.7642000000001</v>
          </cell>
          <cell r="J241">
            <v>1986.2642000000001</v>
          </cell>
          <cell r="K241">
            <v>2114.3883999999998</v>
          </cell>
          <cell r="L241">
            <v>2202.8883999999998</v>
          </cell>
          <cell r="M241">
            <v>2304.3883999999998</v>
          </cell>
          <cell r="N241">
            <v>2909.3982999999998</v>
          </cell>
        </row>
        <row r="242">
          <cell r="E242">
            <v>0</v>
          </cell>
          <cell r="F242">
            <v>0</v>
          </cell>
          <cell r="G242">
            <v>0</v>
          </cell>
          <cell r="H242">
            <v>0</v>
          </cell>
          <cell r="I242">
            <v>0</v>
          </cell>
          <cell r="J242">
            <v>0</v>
          </cell>
          <cell r="K242">
            <v>0</v>
          </cell>
          <cell r="L242">
            <v>0</v>
          </cell>
          <cell r="M242">
            <v>0</v>
          </cell>
          <cell r="N242">
            <v>0</v>
          </cell>
        </row>
        <row r="243">
          <cell r="E243">
            <v>308746.75579999998</v>
          </cell>
          <cell r="F243">
            <v>344322.39140000002</v>
          </cell>
          <cell r="G243">
            <v>348415.99290000001</v>
          </cell>
          <cell r="H243">
            <v>341803.78590000002</v>
          </cell>
          <cell r="I243">
            <v>299938.13419999997</v>
          </cell>
          <cell r="J243">
            <v>305444.16560000001</v>
          </cell>
          <cell r="K243">
            <v>278156.15879999998</v>
          </cell>
          <cell r="L243">
            <v>272298.7488</v>
          </cell>
          <cell r="M243">
            <v>282819.42009999999</v>
          </cell>
          <cell r="N243">
            <v>320582.49280000001</v>
          </cell>
        </row>
        <row r="247">
          <cell r="E247">
            <v>-145724.38860000001</v>
          </cell>
          <cell r="F247">
            <v>-146317.27189999999</v>
          </cell>
          <cell r="G247">
            <v>-146758.1986</v>
          </cell>
          <cell r="H247">
            <v>-146200.628</v>
          </cell>
          <cell r="I247">
            <v>-145659.03289999999</v>
          </cell>
          <cell r="J247">
            <v>-145023.9706</v>
          </cell>
          <cell r="K247">
            <v>-143981.2738</v>
          </cell>
          <cell r="L247">
            <v>-142718.4142</v>
          </cell>
          <cell r="M247">
            <v>-141789.51639999999</v>
          </cell>
          <cell r="N247">
            <v>-141814.65419999999</v>
          </cell>
        </row>
        <row r="248">
          <cell r="E248">
            <v>-8192.1582999999991</v>
          </cell>
          <cell r="F248">
            <v>-8161.2327999999998</v>
          </cell>
          <cell r="G248">
            <v>-8131.6391000000003</v>
          </cell>
          <cell r="H248">
            <v>-8049.6785</v>
          </cell>
          <cell r="I248">
            <v>-7971.2474000000002</v>
          </cell>
          <cell r="J248">
            <v>-7896.1936999999998</v>
          </cell>
          <cell r="K248">
            <v>-7770.7308000000003</v>
          </cell>
          <cell r="L248">
            <v>-7650.6706000000004</v>
          </cell>
          <cell r="M248">
            <v>-7535.7804999999998</v>
          </cell>
          <cell r="N248">
            <v>-7479.4789000000001</v>
          </cell>
        </row>
        <row r="249">
          <cell r="E249">
            <v>-25898.648799999999</v>
          </cell>
          <cell r="F249">
            <v>-29299.2925</v>
          </cell>
          <cell r="G249">
            <v>-34623.008399999999</v>
          </cell>
          <cell r="H249">
            <v>-37157.315300000002</v>
          </cell>
          <cell r="I249">
            <v>-41013.6158</v>
          </cell>
          <cell r="J249">
            <v>-40206.953300000001</v>
          </cell>
          <cell r="K249">
            <v>-40369.541499999999</v>
          </cell>
          <cell r="L249">
            <v>-40151.046999999999</v>
          </cell>
          <cell r="M249">
            <v>-39271.628599999996</v>
          </cell>
          <cell r="N249">
            <v>-39970.4493</v>
          </cell>
        </row>
        <row r="250">
          <cell r="E250">
            <v>-5555.2586000000001</v>
          </cell>
          <cell r="F250">
            <v>-5341.5947999999999</v>
          </cell>
          <cell r="G250">
            <v>-5136.1487999999999</v>
          </cell>
          <cell r="H250">
            <v>-4938.6045999999997</v>
          </cell>
          <cell r="I250">
            <v>-4748.6583000000001</v>
          </cell>
          <cell r="J250">
            <v>-4566.0176000000001</v>
          </cell>
          <cell r="K250">
            <v>-4390.4014999999999</v>
          </cell>
          <cell r="L250">
            <v>-4221.5398999999998</v>
          </cell>
          <cell r="M250">
            <v>-4059.1729999999998</v>
          </cell>
          <cell r="N250">
            <v>-3903.0509999999999</v>
          </cell>
        </row>
        <row r="251">
          <cell r="E251">
            <v>-185370.45430000001</v>
          </cell>
          <cell r="F251">
            <v>-189119.39199999999</v>
          </cell>
          <cell r="G251">
            <v>-194648.99489999999</v>
          </cell>
          <cell r="H251">
            <v>-196346.22640000001</v>
          </cell>
          <cell r="I251">
            <v>-199392.55439999999</v>
          </cell>
          <cell r="J251">
            <v>-197693.13519999999</v>
          </cell>
          <cell r="K251">
            <v>-196511.94760000001</v>
          </cell>
          <cell r="L251">
            <v>-194741.67170000001</v>
          </cell>
          <cell r="M251">
            <v>-192656.09849999999</v>
          </cell>
          <cell r="N251">
            <v>-193167.63339999999</v>
          </cell>
        </row>
        <row r="252">
          <cell r="E252">
            <v>-4.5821000000000001E-2</v>
          </cell>
          <cell r="F252">
            <v>-4.5942999999999998E-2</v>
          </cell>
          <cell r="G252">
            <v>-4.6517000000000003E-2</v>
          </cell>
          <cell r="H252">
            <v>-4.6255999999999999E-2</v>
          </cell>
          <cell r="I252">
            <v>-4.6815000000000002E-2</v>
          </cell>
          <cell r="J252">
            <v>-4.6179999999999999E-2</v>
          </cell>
          <cell r="K252">
            <v>-4.5887999999999998E-2</v>
          </cell>
          <cell r="L252">
            <v>-4.5497999999999997E-2</v>
          </cell>
          <cell r="M252">
            <v>-4.4905E-2</v>
          </cell>
          <cell r="N252">
            <v>-4.4609999999999997E-2</v>
          </cell>
        </row>
        <row r="254">
          <cell r="E254">
            <v>-7707.4593999999997</v>
          </cell>
          <cell r="F254">
            <v>-7775.5290000000005</v>
          </cell>
          <cell r="G254">
            <v>-7844.4731000000002</v>
          </cell>
          <cell r="H254">
            <v>-7910.5699000000004</v>
          </cell>
          <cell r="I254">
            <v>-7968.9843000000001</v>
          </cell>
          <cell r="J254">
            <v>-8025.0766000000003</v>
          </cell>
          <cell r="K254">
            <v>-8083.2599</v>
          </cell>
          <cell r="L254">
            <v>-8136.85</v>
          </cell>
          <cell r="M254">
            <v>-8190.3710000000001</v>
          </cell>
          <cell r="N254">
            <v>-8248.3361999999997</v>
          </cell>
        </row>
        <row r="255">
          <cell r="E255">
            <v>-75.219399999999993</v>
          </cell>
          <cell r="F255">
            <v>-75.555000000000007</v>
          </cell>
          <cell r="G255">
            <v>-75.886600000000001</v>
          </cell>
          <cell r="H255">
            <v>-76.206500000000005</v>
          </cell>
          <cell r="I255">
            <v>-76.483999999999995</v>
          </cell>
          <cell r="J255">
            <v>-76.745199999999997</v>
          </cell>
          <cell r="K255">
            <v>-76.991</v>
          </cell>
          <cell r="L255">
            <v>-77.218199999999996</v>
          </cell>
          <cell r="M255">
            <v>-77.424700000000001</v>
          </cell>
          <cell r="N255">
            <v>-77.616200000000006</v>
          </cell>
        </row>
        <row r="256">
          <cell r="E256">
            <v>-5733.1826000000001</v>
          </cell>
          <cell r="F256">
            <v>-6049.2148999999999</v>
          </cell>
          <cell r="G256">
            <v>-6360.1776</v>
          </cell>
          <cell r="H256">
            <v>-6666.2087000000001</v>
          </cell>
          <cell r="I256">
            <v>-6967.3402999999998</v>
          </cell>
          <cell r="J256">
            <v>-7263.652</v>
          </cell>
          <cell r="K256">
            <v>-7555.2286999999997</v>
          </cell>
          <cell r="L256">
            <v>-7842.1508999999996</v>
          </cell>
          <cell r="M256">
            <v>-8124.4840000000004</v>
          </cell>
          <cell r="N256">
            <v>-8402.3032000000003</v>
          </cell>
        </row>
        <row r="257">
          <cell r="E257">
            <v>-63.258000000000003</v>
          </cell>
          <cell r="F257">
            <v>-68.308800000000005</v>
          </cell>
          <cell r="G257">
            <v>-72.185199999999995</v>
          </cell>
          <cell r="H257">
            <v>-74.912099999999995</v>
          </cell>
          <cell r="I257">
            <v>-79.180999999999997</v>
          </cell>
          <cell r="J257">
            <v>-82.292000000000002</v>
          </cell>
          <cell r="K257">
            <v>-84.803299999999993</v>
          </cell>
          <cell r="L257">
            <v>-88.327799999999996</v>
          </cell>
          <cell r="M257">
            <v>-91.243600000000001</v>
          </cell>
          <cell r="N257">
            <v>-93.563900000000004</v>
          </cell>
        </row>
        <row r="258">
          <cell r="E258">
            <v>-290.75330000000002</v>
          </cell>
          <cell r="F258">
            <v>-291.5086</v>
          </cell>
          <cell r="G258">
            <v>-290.53030000000001</v>
          </cell>
          <cell r="H258">
            <v>-290.0992</v>
          </cell>
          <cell r="I258">
            <v>-290.18939999999998</v>
          </cell>
          <cell r="J258">
            <v>-287.92149999999998</v>
          </cell>
          <cell r="K258">
            <v>-285.1696</v>
          </cell>
          <cell r="L258">
            <v>-284.82650000000001</v>
          </cell>
          <cell r="M258">
            <v>-283.94439999999997</v>
          </cell>
          <cell r="N258">
            <v>-282.00990000000002</v>
          </cell>
        </row>
        <row r="259">
          <cell r="E259">
            <v>-373.10559999999998</v>
          </cell>
          <cell r="F259">
            <v>-365.7278</v>
          </cell>
          <cell r="G259">
            <v>-358.6139</v>
          </cell>
          <cell r="H259">
            <v>-351.74700000000001</v>
          </cell>
          <cell r="I259">
            <v>-345.10199999999998</v>
          </cell>
          <cell r="J259">
            <v>-338.685</v>
          </cell>
          <cell r="K259">
            <v>-332.48770000000002</v>
          </cell>
          <cell r="L259">
            <v>-326.50029999999998</v>
          </cell>
          <cell r="M259">
            <v>-320.71420000000001</v>
          </cell>
          <cell r="N259">
            <v>-315.12479999999999</v>
          </cell>
        </row>
        <row r="260">
          <cell r="E260">
            <v>-14.4956</v>
          </cell>
          <cell r="F260">
            <v>-14.186299999999999</v>
          </cell>
          <cell r="G260">
            <v>-13.883699999999999</v>
          </cell>
          <cell r="H260">
            <v>-13.5875</v>
          </cell>
          <cell r="I260">
            <v>-13.297599999999999</v>
          </cell>
          <cell r="J260">
            <v>-13.0139</v>
          </cell>
          <cell r="K260">
            <v>-12.7362</v>
          </cell>
          <cell r="L260">
            <v>-12.464499999999999</v>
          </cell>
          <cell r="M260">
            <v>-12.198600000000001</v>
          </cell>
          <cell r="N260">
            <v>-11.9383</v>
          </cell>
        </row>
        <row r="261">
          <cell r="E261">
            <v>-5921.0385999999999</v>
          </cell>
          <cell r="F261">
            <v>-6168.8553000000002</v>
          </cell>
          <cell r="G261">
            <v>-6406.8645999999999</v>
          </cell>
          <cell r="H261">
            <v>-6325.3742000000002</v>
          </cell>
          <cell r="I261">
            <v>-6545.2</v>
          </cell>
          <cell r="J261">
            <v>-6766.0811999999996</v>
          </cell>
          <cell r="K261">
            <v>-6618.9069</v>
          </cell>
          <cell r="L261">
            <v>-6788.6001999999999</v>
          </cell>
          <cell r="M261">
            <v>-6953.96</v>
          </cell>
          <cell r="N261">
            <v>-6805.5436</v>
          </cell>
        </row>
        <row r="262">
          <cell r="E262">
            <v>-1772.5990999999999</v>
          </cell>
          <cell r="F262">
            <v>-1888.1475</v>
          </cell>
          <cell r="G262">
            <v>-2000.5075999999999</v>
          </cell>
          <cell r="H262">
            <v>-2014.2189000000001</v>
          </cell>
          <cell r="I262">
            <v>-2114.8955999999998</v>
          </cell>
          <cell r="J262">
            <v>-2212.6489999999999</v>
          </cell>
          <cell r="K262">
            <v>-2132.3348999999998</v>
          </cell>
          <cell r="L262">
            <v>-2156.19</v>
          </cell>
          <cell r="M262">
            <v>-2179.0976999999998</v>
          </cell>
          <cell r="N262">
            <v>-2156.9580000000001</v>
          </cell>
        </row>
        <row r="263">
          <cell r="E263">
            <v>-113.24</v>
          </cell>
          <cell r="F263">
            <v>-109.99299999999999</v>
          </cell>
          <cell r="G263">
            <v>-106.90689999999999</v>
          </cell>
          <cell r="H263">
            <v>-99.537000000000006</v>
          </cell>
          <cell r="I263">
            <v>-97.185000000000002</v>
          </cell>
          <cell r="J263">
            <v>-94.9803</v>
          </cell>
          <cell r="K263">
            <v>-88.597099999999998</v>
          </cell>
          <cell r="L263">
            <v>-86.889499999999998</v>
          </cell>
          <cell r="M263">
            <v>-85.300200000000004</v>
          </cell>
          <cell r="N263">
            <v>-79.710800000000006</v>
          </cell>
        </row>
        <row r="264">
          <cell r="E264">
            <v>-724.8682</v>
          </cell>
          <cell r="F264">
            <v>-770.61469999999997</v>
          </cell>
          <cell r="G264">
            <v>-815.37639999999999</v>
          </cell>
          <cell r="H264">
            <v>-845.30960000000005</v>
          </cell>
          <cell r="I264">
            <v>-910.92740000000003</v>
          </cell>
          <cell r="J264">
            <v>-975.19560000000001</v>
          </cell>
          <cell r="K264">
            <v>-989.67589999999996</v>
          </cell>
          <cell r="L264">
            <v>-1049.3996</v>
          </cell>
          <cell r="M264">
            <v>-1107.9521999999999</v>
          </cell>
          <cell r="N264">
            <v>-1108.1754000000001</v>
          </cell>
        </row>
        <row r="265">
          <cell r="E265">
            <v>-22789.172600000002</v>
          </cell>
          <cell r="F265">
            <v>-23577.594400000002</v>
          </cell>
          <cell r="G265">
            <v>-24345.360100000002</v>
          </cell>
          <cell r="H265">
            <v>-24667.725600000002</v>
          </cell>
          <cell r="I265">
            <v>-25408.742300000002</v>
          </cell>
          <cell r="J265">
            <v>-26136.2487</v>
          </cell>
          <cell r="K265">
            <v>-26260.1482</v>
          </cell>
          <cell r="L265">
            <v>-26849.375199999999</v>
          </cell>
          <cell r="M265">
            <v>-27426.649000000001</v>
          </cell>
          <cell r="N265">
            <v>-27581.239300000001</v>
          </cell>
        </row>
        <row r="266">
          <cell r="E266">
            <v>-2.0282999999999999E-2</v>
          </cell>
          <cell r="F266">
            <v>-2.0242E-2</v>
          </cell>
          <cell r="G266">
            <v>-2.0205000000000001E-2</v>
          </cell>
          <cell r="H266">
            <v>-1.9814999999999999E-2</v>
          </cell>
          <cell r="I266">
            <v>-1.9781E-2</v>
          </cell>
          <cell r="J266">
            <v>-1.9748999999999999E-2</v>
          </cell>
          <cell r="K266">
            <v>-1.9352000000000001E-2</v>
          </cell>
          <cell r="L266">
            <v>-1.932E-2</v>
          </cell>
          <cell r="M266">
            <v>-1.9289000000000001E-2</v>
          </cell>
          <cell r="N266">
            <v>-1.8897000000000001E-2</v>
          </cell>
        </row>
        <row r="267">
          <cell r="E267">
            <v>-4721.0676999999996</v>
          </cell>
          <cell r="F267">
            <v>-4714.7748000000001</v>
          </cell>
          <cell r="G267">
            <v>-4714.6360000000004</v>
          </cell>
          <cell r="H267">
            <v>-4687.2377999999999</v>
          </cell>
          <cell r="I267">
            <v>-4675.549</v>
          </cell>
          <cell r="J267">
            <v>-4656.3827000000001</v>
          </cell>
          <cell r="K267">
            <v>-4625.7375000000002</v>
          </cell>
          <cell r="L267">
            <v>-4602.3879999999999</v>
          </cell>
          <cell r="M267">
            <v>-4579.6988000000001</v>
          </cell>
          <cell r="N267">
            <v>-4563.3064999999997</v>
          </cell>
        </row>
        <row r="268">
          <cell r="E268">
            <v>-2.93E-2</v>
          </cell>
          <cell r="F268">
            <v>-2.93E-2</v>
          </cell>
          <cell r="G268">
            <v>-2.93E-2</v>
          </cell>
          <cell r="H268">
            <v>-2.92E-2</v>
          </cell>
          <cell r="I268">
            <v>-2.92E-2</v>
          </cell>
          <cell r="J268">
            <v>-2.92E-2</v>
          </cell>
          <cell r="K268">
            <v>-2.9100000000000001E-2</v>
          </cell>
          <cell r="L268">
            <v>-2.9100000000000001E-2</v>
          </cell>
          <cell r="M268">
            <v>-2.9100000000000001E-2</v>
          </cell>
          <cell r="N268">
            <v>-2.9100000000000001E-2</v>
          </cell>
        </row>
        <row r="270">
          <cell r="E270">
            <v>-946.38709658255175</v>
          </cell>
          <cell r="F270">
            <v>-929.18902152052624</v>
          </cell>
          <cell r="G270">
            <v>-912.57252387605729</v>
          </cell>
          <cell r="H270">
            <v>-962.81511580981146</v>
          </cell>
          <cell r="I270">
            <v>-948.41399795759139</v>
          </cell>
          <cell r="J270">
            <v>-934.53340243737932</v>
          </cell>
          <cell r="K270">
            <v>-978.81201626982977</v>
          </cell>
          <cell r="L270">
            <v>-961.48161915761045</v>
          </cell>
          <cell r="M270">
            <v>-944.81777578047638</v>
          </cell>
          <cell r="N270">
            <v>-1042.2305669145976</v>
          </cell>
        </row>
        <row r="271">
          <cell r="E271">
            <v>0</v>
          </cell>
          <cell r="F271">
            <v>0</v>
          </cell>
          <cell r="G271">
            <v>0</v>
          </cell>
          <cell r="H271">
            <v>0</v>
          </cell>
          <cell r="I271">
            <v>0</v>
          </cell>
          <cell r="J271">
            <v>0</v>
          </cell>
          <cell r="K271">
            <v>0</v>
          </cell>
          <cell r="L271">
            <v>0</v>
          </cell>
          <cell r="M271">
            <v>0</v>
          </cell>
          <cell r="N271">
            <v>0</v>
          </cell>
        </row>
        <row r="272">
          <cell r="E272">
            <v>-41.863223463988753</v>
          </cell>
          <cell r="F272">
            <v>-38.76224394813773</v>
          </cell>
          <cell r="G272">
            <v>-35.890966618646047</v>
          </cell>
          <cell r="H272">
            <v>-33.232376498746333</v>
          </cell>
          <cell r="I272">
            <v>-30.77071898032068</v>
          </cell>
          <cell r="J272">
            <v>-28.491406463259889</v>
          </cell>
          <cell r="K272">
            <v>-26.380931910425822</v>
          </cell>
          <cell r="L272">
            <v>-24.426788805949833</v>
          </cell>
          <cell r="M272">
            <v>-22.617397042546141</v>
          </cell>
          <cell r="N272">
            <v>-20.942034298653834</v>
          </cell>
        </row>
        <row r="273">
          <cell r="E273">
            <v>-1009.9117471748916</v>
          </cell>
          <cell r="F273">
            <v>-961.82071159513475</v>
          </cell>
          <cell r="G273">
            <v>-916.01972532869968</v>
          </cell>
          <cell r="H273">
            <v>-872.39973840828543</v>
          </cell>
          <cell r="I273">
            <v>-830.85689372217644</v>
          </cell>
          <cell r="J273">
            <v>-791.29227973540605</v>
          </cell>
          <cell r="K273">
            <v>-753.61169498610104</v>
          </cell>
          <cell r="L273">
            <v>-717.72542379628658</v>
          </cell>
          <cell r="M273">
            <v>-683.54802266313015</v>
          </cell>
          <cell r="N273">
            <v>-650.99811682202869</v>
          </cell>
        </row>
        <row r="274">
          <cell r="E274">
            <v>-189.69974835749193</v>
          </cell>
          <cell r="F274">
            <v>-172.45431668862901</v>
          </cell>
          <cell r="G274">
            <v>-156.77665153511725</v>
          </cell>
          <cell r="H274">
            <v>-142.5242286682884</v>
          </cell>
          <cell r="I274">
            <v>-129.56748060753489</v>
          </cell>
          <cell r="J274">
            <v>-117.78861873412262</v>
          </cell>
          <cell r="K274">
            <v>0</v>
          </cell>
          <cell r="L274">
            <v>0</v>
          </cell>
          <cell r="M274">
            <v>0</v>
          </cell>
          <cell r="N274">
            <v>0</v>
          </cell>
        </row>
        <row r="275">
          <cell r="E275">
            <v>0</v>
          </cell>
          <cell r="F275">
            <v>0</v>
          </cell>
          <cell r="G275">
            <v>0</v>
          </cell>
          <cell r="H275">
            <v>0</v>
          </cell>
          <cell r="I275">
            <v>0</v>
          </cell>
          <cell r="J275">
            <v>0</v>
          </cell>
          <cell r="K275">
            <v>0</v>
          </cell>
          <cell r="L275">
            <v>0</v>
          </cell>
          <cell r="M275">
            <v>0</v>
          </cell>
          <cell r="N275">
            <v>0</v>
          </cell>
        </row>
        <row r="276">
          <cell r="E276">
            <v>-141.09711472261017</v>
          </cell>
          <cell r="F276">
            <v>-136.9874900219516</v>
          </cell>
          <cell r="G276">
            <v>-132.99756312810834</v>
          </cell>
          <cell r="H276">
            <v>-129.12384769719256</v>
          </cell>
          <cell r="I276">
            <v>-125.36295892931315</v>
          </cell>
          <cell r="J276">
            <v>-121.71161061098364</v>
          </cell>
          <cell r="K276">
            <v>0</v>
          </cell>
          <cell r="L276">
            <v>0</v>
          </cell>
          <cell r="M276">
            <v>0</v>
          </cell>
          <cell r="N276">
            <v>0</v>
          </cell>
        </row>
        <row r="277">
          <cell r="E277">
            <v>0</v>
          </cell>
          <cell r="F277">
            <v>0</v>
          </cell>
          <cell r="G277">
            <v>0</v>
          </cell>
          <cell r="H277">
            <v>0</v>
          </cell>
          <cell r="I277">
            <v>0</v>
          </cell>
          <cell r="J277">
            <v>0</v>
          </cell>
          <cell r="K277">
            <v>0</v>
          </cell>
          <cell r="L277">
            <v>0</v>
          </cell>
          <cell r="M277">
            <v>0</v>
          </cell>
          <cell r="N277">
            <v>0</v>
          </cell>
        </row>
        <row r="278">
          <cell r="E278">
            <v>-112.44736210838579</v>
          </cell>
          <cell r="F278">
            <v>-102.22487464398706</v>
          </cell>
          <cell r="G278">
            <v>-92.931704221806413</v>
          </cell>
          <cell r="H278">
            <v>-84.483367474369459</v>
          </cell>
          <cell r="I278">
            <v>-76.803061340335873</v>
          </cell>
          <cell r="J278">
            <v>-69.820964854850786</v>
          </cell>
          <cell r="K278">
            <v>0</v>
          </cell>
          <cell r="L278">
            <v>0</v>
          </cell>
          <cell r="M278">
            <v>0</v>
          </cell>
          <cell r="N278">
            <v>0</v>
          </cell>
        </row>
        <row r="279">
          <cell r="E279">
            <v>0</v>
          </cell>
          <cell r="F279">
            <v>0</v>
          </cell>
          <cell r="G279">
            <v>0</v>
          </cell>
          <cell r="H279">
            <v>0</v>
          </cell>
          <cell r="I279">
            <v>0</v>
          </cell>
          <cell r="J279">
            <v>0</v>
          </cell>
          <cell r="K279">
            <v>0</v>
          </cell>
          <cell r="L279">
            <v>0</v>
          </cell>
          <cell r="M279">
            <v>0</v>
          </cell>
          <cell r="N279">
            <v>0</v>
          </cell>
        </row>
        <row r="280">
          <cell r="E280">
            <v>-66.904678405331509</v>
          </cell>
          <cell r="F280">
            <v>-73.37347417993351</v>
          </cell>
          <cell r="G280">
            <v>-79.653858427119914</v>
          </cell>
          <cell r="H280">
            <v>-87.469765463223212</v>
          </cell>
          <cell r="I280">
            <v>-100.2424907409934</v>
          </cell>
          <cell r="J280">
            <v>-117.91503955436254</v>
          </cell>
          <cell r="K280">
            <v>-138.160232577051</v>
          </cell>
          <cell r="L280">
            <v>-157.90313842432136</v>
          </cell>
          <cell r="M280">
            <v>-177.15838681972946</v>
          </cell>
          <cell r="N280">
            <v>-196.69746293177619</v>
          </cell>
        </row>
        <row r="281">
          <cell r="E281">
            <v>0</v>
          </cell>
          <cell r="F281">
            <v>0</v>
          </cell>
          <cell r="G281">
            <v>0</v>
          </cell>
          <cell r="H281">
            <v>0</v>
          </cell>
          <cell r="I281">
            <v>0</v>
          </cell>
          <cell r="J281">
            <v>0</v>
          </cell>
          <cell r="K281">
            <v>0</v>
          </cell>
          <cell r="L281">
            <v>0</v>
          </cell>
          <cell r="M281">
            <v>0</v>
          </cell>
          <cell r="N281">
            <v>0</v>
          </cell>
        </row>
        <row r="282">
          <cell r="E282">
            <v>-18.752966165983917</v>
          </cell>
          <cell r="F282">
            <v>-24.26759567242043</v>
          </cell>
          <cell r="G282">
            <v>-29.570124043994003</v>
          </cell>
          <cell r="H282">
            <v>-36.851273119224999</v>
          </cell>
          <cell r="I282">
            <v>-43.852377999254799</v>
          </cell>
          <cell r="J282">
            <v>-50.584209614668069</v>
          </cell>
          <cell r="K282">
            <v>-56.433534885898787</v>
          </cell>
          <cell r="L282">
            <v>-62.057886108236019</v>
          </cell>
          <cell r="M282">
            <v>-67.465916129714117</v>
          </cell>
          <cell r="N282">
            <v>-73.601329611904589</v>
          </cell>
        </row>
        <row r="283">
          <cell r="E283">
            <v>0</v>
          </cell>
          <cell r="F283">
            <v>0</v>
          </cell>
          <cell r="G283">
            <v>0</v>
          </cell>
          <cell r="H283">
            <v>0</v>
          </cell>
          <cell r="I283">
            <v>0</v>
          </cell>
          <cell r="J283">
            <v>0</v>
          </cell>
          <cell r="K283">
            <v>0</v>
          </cell>
          <cell r="L283">
            <v>0</v>
          </cell>
          <cell r="M283">
            <v>0</v>
          </cell>
          <cell r="N283">
            <v>0</v>
          </cell>
        </row>
        <row r="284">
          <cell r="E284">
            <v>0</v>
          </cell>
          <cell r="F284">
            <v>0</v>
          </cell>
          <cell r="G284">
            <v>0</v>
          </cell>
          <cell r="H284">
            <v>0</v>
          </cell>
          <cell r="I284">
            <v>0</v>
          </cell>
          <cell r="J284">
            <v>0</v>
          </cell>
          <cell r="K284">
            <v>0</v>
          </cell>
          <cell r="L284">
            <v>0</v>
          </cell>
          <cell r="M284">
            <v>0</v>
          </cell>
          <cell r="N284">
            <v>0</v>
          </cell>
        </row>
        <row r="285">
          <cell r="E285">
            <v>0</v>
          </cell>
          <cell r="F285">
            <v>0</v>
          </cell>
          <cell r="G285">
            <v>0</v>
          </cell>
          <cell r="H285">
            <v>0</v>
          </cell>
          <cell r="I285">
            <v>0</v>
          </cell>
          <cell r="J285">
            <v>0</v>
          </cell>
          <cell r="K285">
            <v>0</v>
          </cell>
          <cell r="L285">
            <v>0</v>
          </cell>
          <cell r="M285">
            <v>0</v>
          </cell>
          <cell r="N285">
            <v>0</v>
          </cell>
        </row>
        <row r="286">
          <cell r="E286">
            <v>0</v>
          </cell>
          <cell r="F286">
            <v>0</v>
          </cell>
          <cell r="G286">
            <v>0</v>
          </cell>
          <cell r="H286">
            <v>0</v>
          </cell>
          <cell r="I286">
            <v>0</v>
          </cell>
          <cell r="J286">
            <v>0</v>
          </cell>
          <cell r="K286">
            <v>0</v>
          </cell>
          <cell r="L286">
            <v>0</v>
          </cell>
          <cell r="M286">
            <v>0</v>
          </cell>
          <cell r="N286">
            <v>-3.9159100200945756</v>
          </cell>
        </row>
        <row r="287">
          <cell r="E287">
            <v>0</v>
          </cell>
          <cell r="F287">
            <v>0</v>
          </cell>
          <cell r="G287">
            <v>0</v>
          </cell>
          <cell r="H287">
            <v>0</v>
          </cell>
          <cell r="I287">
            <v>0</v>
          </cell>
          <cell r="J287">
            <v>0</v>
          </cell>
          <cell r="K287">
            <v>0</v>
          </cell>
          <cell r="L287">
            <v>0</v>
          </cell>
          <cell r="M287">
            <v>0</v>
          </cell>
          <cell r="N287">
            <v>-7.2815533980582519</v>
          </cell>
        </row>
        <row r="288">
          <cell r="E288">
            <v>0</v>
          </cell>
          <cell r="F288">
            <v>0</v>
          </cell>
          <cell r="G288">
            <v>-3.6407766990291259</v>
          </cell>
          <cell r="H288">
            <v>-14.457064756338957</v>
          </cell>
          <cell r="I288">
            <v>-26.603946365377627</v>
          </cell>
          <cell r="J288">
            <v>-40.275676082890904</v>
          </cell>
          <cell r="K288">
            <v>-55.719102993097962</v>
          </cell>
          <cell r="L288">
            <v>-73.203012614658206</v>
          </cell>
          <cell r="M288">
            <v>-93.046614188988542</v>
          </cell>
          <cell r="N288">
            <v>-115.60350892134809</v>
          </cell>
        </row>
        <row r="289">
          <cell r="E289">
            <v>-2527.0639000000001</v>
          </cell>
          <cell r="F289">
            <v>-2439.0796999999998</v>
          </cell>
          <cell r="G289">
            <v>-2360.0540000000001</v>
          </cell>
          <cell r="H289">
            <v>-2363.3568</v>
          </cell>
          <cell r="I289">
            <v>-2312.4740000000002</v>
          </cell>
          <cell r="J289">
            <v>-2272.4132</v>
          </cell>
          <cell r="K289">
            <v>-2009.1174000000001</v>
          </cell>
          <cell r="L289">
            <v>-1996.7978000000001</v>
          </cell>
          <cell r="M289">
            <v>-1988.6541</v>
          </cell>
          <cell r="N289">
            <v>-2111.2705000000001</v>
          </cell>
        </row>
        <row r="290">
          <cell r="E290">
            <v>-4.2861999999999997E-2</v>
          </cell>
          <cell r="F290">
            <v>-4.2486999999999997E-2</v>
          </cell>
          <cell r="G290">
            <v>-4.2097000000000002E-2</v>
          </cell>
          <cell r="H290">
            <v>-4.2811000000000002E-2</v>
          </cell>
          <cell r="I290">
            <v>-4.2327999999999998E-2</v>
          </cell>
          <cell r="J290">
            <v>-4.1813000000000003E-2</v>
          </cell>
          <cell r="K290">
            <v>-3.6896999999999999E-2</v>
          </cell>
          <cell r="L290">
            <v>-3.6533000000000003E-2</v>
          </cell>
          <cell r="M290">
            <v>-3.6174999999999999E-2</v>
          </cell>
          <cell r="N290">
            <v>-3.7855E-2</v>
          </cell>
        </row>
        <row r="291">
          <cell r="E291">
            <v>-215407.7585</v>
          </cell>
          <cell r="F291">
            <v>-219850.84090000001</v>
          </cell>
          <cell r="G291">
            <v>-226069.04500000001</v>
          </cell>
          <cell r="H291">
            <v>-228064.5466</v>
          </cell>
          <cell r="I291">
            <v>-231789.31969999999</v>
          </cell>
          <cell r="J291">
            <v>-230758.17980000001</v>
          </cell>
          <cell r="K291">
            <v>-229406.95069999999</v>
          </cell>
          <cell r="L291">
            <v>-228190.23269999999</v>
          </cell>
          <cell r="M291">
            <v>-226651.1004</v>
          </cell>
          <cell r="N291">
            <v>-227423.4497</v>
          </cell>
        </row>
        <row r="292">
          <cell r="E292">
            <v>-3.9969999999999999E-2</v>
          </cell>
          <cell r="F292">
            <v>-3.9976999999999999E-2</v>
          </cell>
          <cell r="G292">
            <v>-4.0322999999999998E-2</v>
          </cell>
          <cell r="H292">
            <v>-3.9973000000000002E-2</v>
          </cell>
          <cell r="I292">
            <v>-4.0252000000000003E-2</v>
          </cell>
          <cell r="J292">
            <v>-3.9661000000000002E-2</v>
          </cell>
          <cell r="K292">
            <v>-3.9196000000000002E-2</v>
          </cell>
          <cell r="L292">
            <v>-3.8788999999999997E-2</v>
          </cell>
          <cell r="M292">
            <v>-3.8255999999999998E-2</v>
          </cell>
          <cell r="N292">
            <v>-3.789E-2</v>
          </cell>
        </row>
        <row r="293">
          <cell r="E293">
            <v>-4070.5551</v>
          </cell>
          <cell r="F293">
            <v>-4296.6832000000004</v>
          </cell>
          <cell r="G293">
            <v>-5229.2214999999997</v>
          </cell>
          <cell r="H293">
            <v>-4242.6314000000002</v>
          </cell>
          <cell r="I293">
            <v>-4219.3485000000001</v>
          </cell>
          <cell r="J293">
            <v>-3748.59</v>
          </cell>
          <cell r="K293">
            <v>-2674.5749999999998</v>
          </cell>
          <cell r="L293">
            <v>-2428.8634000000002</v>
          </cell>
          <cell r="M293">
            <v>-2519.3571999999999</v>
          </cell>
          <cell r="N293">
            <v>-3278.3361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I data"/>
      <sheetName val="commercial construction"/>
      <sheetName val="crack spreads"/>
      <sheetName val="pump valve vs interest rates"/>
      <sheetName val="new orders"/>
      <sheetName val="Process Control Inventory level"/>
      <sheetName val="NAHB"/>
      <sheetName val="oil majors huge 1st quarter"/>
      <sheetName val="New Housing Starts Actual"/>
      <sheetName val="NAPM and EIC"/>
      <sheetName val="Capacity Utilization"/>
      <sheetName val="Crack Spread"/>
      <sheetName val="Euro 11 Industrial Confidence"/>
      <sheetName val="Worldwide oil Capex spending"/>
      <sheetName val="Rig Counts"/>
      <sheetName val="NAPM"/>
      <sheetName val="Parker Hannifin vs NAPM"/>
      <sheetName val="IFO Manufacturing Business Clim"/>
      <sheetName val="Leading Economic Indicators"/>
      <sheetName val="Confidence Indicators"/>
      <sheetName val="Japan Tankan Manufacturing surv"/>
      <sheetName val="Industrial Production"/>
      <sheetName val="real industrial production"/>
      <sheetName val="New Orders-Capital Goods"/>
      <sheetName val="Chemical Industry Cap-ex"/>
      <sheetName val="Major Oil companies cap-ex"/>
      <sheetName val="Chemical-Specialty Index"/>
      <sheetName val="Chemical-Major Diversified Inde"/>
      <sheetName val="Chemical-Agriculture Index"/>
      <sheetName val="PC Index vs. FactSet F1250 inde"/>
      <sheetName val="S&amp;P 400 and 600"/>
    </sheetNames>
    <sheetDataSet>
      <sheetData sheetId="0"/>
      <sheetData sheetId="1">
        <row r="3">
          <cell r="A3">
            <v>31078</v>
          </cell>
        </row>
      </sheetData>
      <sheetData sheetId="2">
        <row r="3">
          <cell r="A3">
            <v>33606</v>
          </cell>
        </row>
      </sheetData>
      <sheetData sheetId="3"/>
      <sheetData sheetId="4">
        <row r="7">
          <cell r="D7">
            <v>31077</v>
          </cell>
          <cell r="G7">
            <v>31077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Data"/>
      <sheetName val="Recent Data"/>
      <sheetName val="Confidence 1970"/>
      <sheetName val="Confidence 1984"/>
      <sheetName val="Expectations 1970"/>
      <sheetName val="Expectations 1984"/>
      <sheetName val="Present Sit 1970"/>
      <sheetName val="Present Sit 1984"/>
      <sheetName val="Current Bus 1970"/>
      <sheetName val="Current Empl 1970"/>
      <sheetName val="Future Bus 1970"/>
      <sheetName val="Future Empl 1970"/>
      <sheetName val="ES1 (5)"/>
      <sheetName val="ES1 (4)"/>
      <sheetName val="Chart1 (3)"/>
      <sheetName val="ES1 (3)"/>
      <sheetName val="ES2 (2)"/>
      <sheetName val="ES1 (2)"/>
      <sheetName val="ES Sum"/>
      <sheetName val="EFS"/>
      <sheetName val="ES1"/>
      <sheetName val="ES2"/>
      <sheetName val="Pres Sit"/>
      <sheetName val="Chart1 (2)"/>
      <sheetName val="Chart3"/>
      <sheetName val="Chart1"/>
      <sheetName val="Char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GTNSalesReview"/>
      <sheetName val="RCherichella"/>
      <sheetName val="CWright"/>
      <sheetName val="MGreenberg"/>
      <sheetName val="MLeslie"/>
      <sheetName val="SGodwin"/>
      <sheetName val="SGoldman"/>
      <sheetName val="JKepko"/>
      <sheetName val="KQuigley"/>
      <sheetName val="MBustos"/>
      <sheetName val="TDesai"/>
      <sheetName val="AFinnegan"/>
      <sheetName val="EOpeka"/>
      <sheetName val="SBruder"/>
      <sheetName val="GBenedict"/>
      <sheetName val="CJordan2"/>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g1"/>
      <sheetName val="Quarterly"/>
      <sheetName val="NAV-Prod Tables"/>
      <sheetName val="Rand"/>
      <sheetName val="MarigoldMillenium"/>
      <sheetName val="San Martin"/>
      <sheetName val="ElSauzal"/>
      <sheetName val="Cerro San Pedro"/>
      <sheetName val="Dee"/>
      <sheetName val="Daisy"/>
      <sheetName val="Picacho"/>
      <sheetName val="Imperial"/>
      <sheetName val="Template"/>
      <sheetName val="Tables"/>
      <sheetName val="Tables2"/>
      <sheetName val="Pub Fin"/>
      <sheetName val="DS_Key_Information"/>
      <sheetName val="DS_Cash_Flow"/>
      <sheetName val="DS_Income_Statement"/>
      <sheetName val="DS_Valuation_Measures"/>
      <sheetName val="DS_Quarterly_Estimates_Data"/>
      <sheetName val="DS_Balance_Sheet"/>
      <sheetName val="DS_Industry_Specif"/>
      <sheetName val="RBCGold"/>
      <sheetName val="Sheet1"/>
      <sheetName val="NAV table"/>
      <sheetName val="Prod CF contribution chart"/>
      <sheetName val="production data fo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tions"/>
      <sheetName val="Income Statement"/>
      <sheetName val="Balance Sheet"/>
      <sheetName val="Quickview"/>
      <sheetName val="Estimate Changes"/>
      <sheetName val="Report Statistics"/>
      <sheetName val="Universe"/>
      <sheetName val="Competitors"/>
      <sheetName val="Calculations"/>
      <sheetName val="Macros"/>
    </sheetNames>
    <sheetDataSet>
      <sheetData sheetId="0"/>
      <sheetData sheetId="1"/>
      <sheetData sheetId="2">
        <row r="3">
          <cell r="D3" t="str">
            <v>N</v>
          </cell>
          <cell r="E3" t="str">
            <v>N</v>
          </cell>
          <cell r="F3" t="str">
            <v>N</v>
          </cell>
          <cell r="G3" t="str">
            <v>N</v>
          </cell>
          <cell r="H3" t="str">
            <v>N</v>
          </cell>
          <cell r="I3" t="str">
            <v>N</v>
          </cell>
          <cell r="J3" t="str">
            <v>N</v>
          </cell>
          <cell r="K3" t="str">
            <v>N</v>
          </cell>
          <cell r="L3" t="str">
            <v>T</v>
          </cell>
          <cell r="M3" t="str">
            <v>N</v>
          </cell>
          <cell r="N3" t="str">
            <v>N</v>
          </cell>
          <cell r="O3" t="str">
            <v>N</v>
          </cell>
          <cell r="P3" t="str">
            <v>N</v>
          </cell>
          <cell r="Q3" t="str">
            <v>N</v>
          </cell>
          <cell r="R3" t="str">
            <v>N</v>
          </cell>
          <cell r="S3" t="str">
            <v>N</v>
          </cell>
          <cell r="T3" t="str">
            <v>N</v>
          </cell>
          <cell r="U3" t="str">
            <v>T</v>
          </cell>
          <cell r="V3" t="str">
            <v>N</v>
          </cell>
          <cell r="W3" t="str">
            <v>N</v>
          </cell>
          <cell r="X3" t="str">
            <v>N</v>
          </cell>
          <cell r="Y3" t="str">
            <v>N</v>
          </cell>
          <cell r="Z3" t="str">
            <v>N</v>
          </cell>
          <cell r="AA3" t="str">
            <v>N</v>
          </cell>
          <cell r="AB3" t="str">
            <v>N</v>
          </cell>
          <cell r="AC3" t="str">
            <v>Y</v>
          </cell>
          <cell r="AD3" t="str">
            <v>T</v>
          </cell>
          <cell r="AE3" t="str">
            <v>N</v>
          </cell>
          <cell r="AF3" t="str">
            <v>P</v>
          </cell>
          <cell r="AG3" t="str">
            <v>N</v>
          </cell>
          <cell r="AH3" t="str">
            <v>P</v>
          </cell>
          <cell r="AI3" t="str">
            <v>N</v>
          </cell>
          <cell r="AJ3" t="str">
            <v>P</v>
          </cell>
          <cell r="AK3" t="str">
            <v>N</v>
          </cell>
          <cell r="AL3" t="str">
            <v>P</v>
          </cell>
          <cell r="AM3" t="str">
            <v>T</v>
          </cell>
          <cell r="AN3" t="str">
            <v>N</v>
          </cell>
          <cell r="AO3" t="str">
            <v>P</v>
          </cell>
          <cell r="AP3" t="str">
            <v>N</v>
          </cell>
          <cell r="AQ3" t="str">
            <v>P</v>
          </cell>
          <cell r="AR3" t="str">
            <v>N</v>
          </cell>
          <cell r="AS3" t="str">
            <v>P</v>
          </cell>
          <cell r="AT3" t="str">
            <v>N</v>
          </cell>
          <cell r="AU3" t="str">
            <v>P</v>
          </cell>
          <cell r="AV3" t="str">
            <v>T</v>
          </cell>
          <cell r="AW3" t="str">
            <v>N</v>
          </cell>
          <cell r="AX3" t="str">
            <v>P</v>
          </cell>
          <cell r="AY3" t="str">
            <v>N</v>
          </cell>
          <cell r="AZ3" t="str">
            <v>P</v>
          </cell>
          <cell r="BA3" t="str">
            <v>N</v>
          </cell>
          <cell r="BB3" t="str">
            <v>P</v>
          </cell>
          <cell r="BC3" t="str">
            <v>N</v>
          </cell>
          <cell r="BD3" t="str">
            <v>P</v>
          </cell>
          <cell r="BE3" t="str">
            <v>T</v>
          </cell>
        </row>
        <row r="4">
          <cell r="D4" t="str">
            <v>Y1Q1E</v>
          </cell>
          <cell r="E4" t="str">
            <v>Y1Q1A</v>
          </cell>
          <cell r="F4" t="str">
            <v>Y1Q2E</v>
          </cell>
          <cell r="G4" t="str">
            <v>Y1Q2A</v>
          </cell>
          <cell r="H4" t="str">
            <v>Y1Q3E</v>
          </cell>
          <cell r="I4" t="str">
            <v>Y1Q3A</v>
          </cell>
          <cell r="J4" t="str">
            <v>Y1Q4E</v>
          </cell>
          <cell r="K4" t="str">
            <v>Y1Q4A</v>
          </cell>
          <cell r="L4" t="str">
            <v>Y1T</v>
          </cell>
          <cell r="M4" t="str">
            <v>Y2Q1E</v>
          </cell>
          <cell r="N4" t="str">
            <v>Y2Q1A</v>
          </cell>
          <cell r="O4" t="str">
            <v>Y2Q2E</v>
          </cell>
          <cell r="P4" t="str">
            <v>Y2Q2A</v>
          </cell>
          <cell r="Q4" t="str">
            <v>Y2Q3E</v>
          </cell>
          <cell r="R4" t="str">
            <v>Y2Q3A</v>
          </cell>
          <cell r="S4" t="str">
            <v>Y2Q4E</v>
          </cell>
          <cell r="T4" t="str">
            <v>Y2Q4A</v>
          </cell>
          <cell r="U4" t="str">
            <v>Y2T</v>
          </cell>
          <cell r="V4" t="str">
            <v>Y3Q1E</v>
          </cell>
          <cell r="W4" t="str">
            <v>Y3Q1A</v>
          </cell>
          <cell r="X4" t="str">
            <v>Y3Q2E</v>
          </cell>
          <cell r="Y4" t="str">
            <v>Y3Q2A</v>
          </cell>
          <cell r="Z4" t="str">
            <v>Y3Q3E</v>
          </cell>
          <cell r="AA4" t="str">
            <v>Y3Q3A</v>
          </cell>
          <cell r="AB4" t="str">
            <v>Y3Q4E</v>
          </cell>
          <cell r="AC4" t="str">
            <v>Y3Q4A</v>
          </cell>
          <cell r="AD4" t="str">
            <v>Y3T</v>
          </cell>
          <cell r="AE4" t="str">
            <v>Y4Q1E</v>
          </cell>
          <cell r="AF4" t="str">
            <v>Y4Q1A</v>
          </cell>
          <cell r="AG4" t="str">
            <v>Y4Q2E</v>
          </cell>
          <cell r="AH4" t="str">
            <v>Y4Q2A</v>
          </cell>
          <cell r="AI4" t="str">
            <v>Y4Q3E</v>
          </cell>
          <cell r="AJ4" t="str">
            <v>Y4Q3A</v>
          </cell>
          <cell r="AK4" t="str">
            <v>Y4Q4E</v>
          </cell>
          <cell r="AL4" t="str">
            <v>Y4Q4A</v>
          </cell>
          <cell r="AM4" t="str">
            <v>Y4T</v>
          </cell>
          <cell r="AN4" t="str">
            <v>Y5Q1E</v>
          </cell>
          <cell r="AO4" t="str">
            <v>Y5Q1A</v>
          </cell>
          <cell r="AP4" t="str">
            <v>Y5Q2E</v>
          </cell>
          <cell r="AQ4" t="str">
            <v>Y5Q2A</v>
          </cell>
          <cell r="AR4" t="str">
            <v>Y5Q3E</v>
          </cell>
          <cell r="AS4" t="str">
            <v>Y5Q3A</v>
          </cell>
          <cell r="AT4" t="str">
            <v>Y5Q4E</v>
          </cell>
          <cell r="AU4" t="str">
            <v>Y5Q4A</v>
          </cell>
          <cell r="AV4" t="str">
            <v>Y5T</v>
          </cell>
          <cell r="AW4" t="str">
            <v>Y6Q1E</v>
          </cell>
          <cell r="AX4" t="str">
            <v>Y6Q1A</v>
          </cell>
          <cell r="AY4" t="str">
            <v>Y6Q2E</v>
          </cell>
          <cell r="AZ4" t="str">
            <v>Y6Q2A</v>
          </cell>
          <cell r="BA4" t="str">
            <v>Y6Q3E</v>
          </cell>
          <cell r="BB4" t="str">
            <v>Y6Q3A</v>
          </cell>
          <cell r="BC4" t="str">
            <v>Y6Q4E</v>
          </cell>
          <cell r="BD4" t="str">
            <v>Y6Q4A</v>
          </cell>
          <cell r="BE4" t="str">
            <v>Y6T</v>
          </cell>
        </row>
        <row r="6">
          <cell r="D6">
            <v>35885</v>
          </cell>
          <cell r="E6">
            <v>35885</v>
          </cell>
          <cell r="F6">
            <v>35976</v>
          </cell>
          <cell r="G6">
            <v>35976</v>
          </cell>
          <cell r="H6">
            <v>36068</v>
          </cell>
          <cell r="I6">
            <v>36068</v>
          </cell>
          <cell r="J6">
            <v>36160</v>
          </cell>
          <cell r="K6">
            <v>36160</v>
          </cell>
          <cell r="L6">
            <v>36160</v>
          </cell>
          <cell r="M6">
            <v>36250</v>
          </cell>
          <cell r="N6">
            <v>36250</v>
          </cell>
          <cell r="O6">
            <v>36341</v>
          </cell>
          <cell r="P6">
            <v>36341</v>
          </cell>
          <cell r="Q6">
            <v>36433</v>
          </cell>
          <cell r="R6">
            <v>36433</v>
          </cell>
          <cell r="S6">
            <v>36525</v>
          </cell>
          <cell r="T6">
            <v>36525</v>
          </cell>
          <cell r="U6">
            <v>36525</v>
          </cell>
          <cell r="V6">
            <v>36616</v>
          </cell>
          <cell r="W6">
            <v>36616</v>
          </cell>
          <cell r="X6">
            <v>36707</v>
          </cell>
          <cell r="Y6">
            <v>36707</v>
          </cell>
          <cell r="Z6">
            <v>36799</v>
          </cell>
          <cell r="AA6">
            <v>36799</v>
          </cell>
          <cell r="AB6">
            <v>36891</v>
          </cell>
          <cell r="AC6">
            <v>36891</v>
          </cell>
          <cell r="AD6">
            <v>36891</v>
          </cell>
          <cell r="AE6">
            <v>36981</v>
          </cell>
          <cell r="AF6">
            <v>36981</v>
          </cell>
          <cell r="AG6">
            <v>37072</v>
          </cell>
          <cell r="AH6">
            <v>37072</v>
          </cell>
          <cell r="AI6">
            <v>37164</v>
          </cell>
          <cell r="AJ6">
            <v>37164</v>
          </cell>
          <cell r="AK6">
            <v>37256</v>
          </cell>
          <cell r="AL6">
            <v>37256</v>
          </cell>
          <cell r="AM6">
            <v>37256</v>
          </cell>
          <cell r="AN6">
            <v>37346</v>
          </cell>
          <cell r="AO6">
            <v>37346</v>
          </cell>
          <cell r="AP6">
            <v>37437</v>
          </cell>
          <cell r="AQ6">
            <v>37437</v>
          </cell>
          <cell r="AR6">
            <v>37529</v>
          </cell>
          <cell r="AS6">
            <v>37529</v>
          </cell>
          <cell r="AT6">
            <v>37621</v>
          </cell>
          <cell r="AU6">
            <v>37621</v>
          </cell>
          <cell r="AV6">
            <v>37621</v>
          </cell>
          <cell r="AW6">
            <v>37711</v>
          </cell>
          <cell r="AX6">
            <v>37711</v>
          </cell>
          <cell r="AY6">
            <v>37802</v>
          </cell>
          <cell r="AZ6">
            <v>37802</v>
          </cell>
          <cell r="BA6">
            <v>37894</v>
          </cell>
          <cell r="BB6">
            <v>37894</v>
          </cell>
          <cell r="BC6">
            <v>37986</v>
          </cell>
          <cell r="BD6">
            <v>37986</v>
          </cell>
          <cell r="BE6">
            <v>37986</v>
          </cell>
        </row>
      </sheetData>
      <sheetData sheetId="3"/>
      <sheetData sheetId="4"/>
      <sheetData sheetId="5"/>
      <sheetData sheetId="6"/>
      <sheetData sheetId="7"/>
      <sheetData sheetId="8"/>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ADI"/>
      <sheetName val="Accruals"/>
      <sheetName val="A. Cybersource Jan"/>
      <sheetName val="B. Cybersource Feb"/>
      <sheetName val="C. Cybersource Mar"/>
      <sheetName val="D. Cybersource Apr"/>
      <sheetName val="E. Cybersource May"/>
      <sheetName val="F. GMG May"/>
      <sheetName val="G. GMG Card Prod"/>
      <sheetName val="H. Accenture"/>
      <sheetName val="email support"/>
    </sheetNames>
    <sheetDataSet>
      <sheetData sheetId="0">
        <row r="1">
          <cell r="A1" t="str">
            <v>No</v>
          </cell>
        </row>
        <row r="2">
          <cell r="A2" t="str">
            <v>Yes</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9'96_oh"/>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PRT New"/>
      <sheetName val="AMAT_Balance"/>
      <sheetName val="AMAT_CFlow"/>
      <sheetName val="Cap IQ Formulas"/>
      <sheetName val="Revenue Model"/>
      <sheetName val="AMAT_Income"/>
      <sheetName val="Sheet1"/>
      <sheetName val="ModelToWizard"/>
      <sheetName val="XPRT"/>
      <sheetName val="Chart1"/>
      <sheetName val="Quarterly Figures"/>
      <sheetName val="AMAT_FC"/>
      <sheetName val="AMAT_Q"/>
      <sheetName val="Earnings Report"/>
      <sheetName val="AMAT_EPS"/>
      <sheetName val="Partners Upload Sheet"/>
      <sheetName val="__FDSCACHE__"/>
      <sheetName val="Competitors"/>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ToWizard"/>
      <sheetName val="XPRT"/>
      <sheetName val="Sheet1"/>
      <sheetName val="Revenue Model"/>
      <sheetName val="NVLS_FC"/>
      <sheetName val="NVLS_Eps"/>
      <sheetName val="NVLS_Q"/>
      <sheetName val="NVLS_Income"/>
      <sheetName val="NVLS_Balance"/>
      <sheetName val="__FDSCACHE__"/>
      <sheetName val="NVLS_CFlow"/>
      <sheetName val="Chart_Data"/>
      <sheetName val="Earnings Report"/>
      <sheetName val="Admin"/>
      <sheetName val="Module2"/>
      <sheetName val="Module1"/>
    </sheetNames>
    <sheetDataSet>
      <sheetData sheetId="0" refreshError="1"/>
      <sheetData sheetId="1" refreshError="1"/>
      <sheetData sheetId="2" refreshError="1"/>
      <sheetData sheetId="3" refreshError="1"/>
      <sheetData sheetId="4" refreshError="1">
        <row r="11">
          <cell r="G11">
            <v>0.10651732279141272</v>
          </cell>
        </row>
        <row r="15">
          <cell r="G15">
            <v>136.08802571917045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l d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piegel FV"/>
      <sheetName val="Barrens FV"/>
      <sheetName val="Exp-vested over periods"/>
      <sheetName val="1-24"/>
      <sheetName val="1-12"/>
      <sheetName val="1-48"/>
      <sheetName val="SO97"/>
      <sheetName val="Tickmarks"/>
      <sheetName val="FAS 123"/>
      <sheetName val="XREF"/>
      <sheetName val="Summary-Final"/>
      <sheetName val="Repairs &amp; Maintenance"/>
      <sheetName val="Rollforwar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Summary"/>
      <sheetName val="Option Activity"/>
      <sheetName val="Grants"/>
      <sheetName val="Cheap Stock"/>
      <sheetName val="FAS123"/>
      <sheetName val="Warrants"/>
      <sheetName val="Nonemployee"/>
      <sheetName val="BCF"/>
      <sheetName val="Volatility"/>
      <sheetName val="Tickmarks"/>
      <sheetName val="Weighted Avg Calc"/>
      <sheetName val="Cheap Stock Detail"/>
      <sheetName val="Cheap Stock Summary"/>
      <sheetName val="FAS 123"/>
      <sheetName val="Warrants and Franchise"/>
      <sheetName val="BCF - Series B"/>
      <sheetName val="BCF - Series C"/>
      <sheetName val="Accel Amort 4yr "/>
      <sheetName val="Comp stock prices"/>
      <sheetName val="Tickmarks "/>
      <sheetName val="Lead"/>
      <sheetName val="Exp-vested over periods"/>
    </sheetNames>
    <sheetDataSet>
      <sheetData sheetId="0"/>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통계자료"/>
      <sheetName val="6월인원"/>
      <sheetName val="ASP"/>
      <sheetName val="CHIP_O"/>
      <sheetName val="FAB_I"/>
      <sheetName val="FAB_O"/>
      <sheetName val="FRT_O"/>
      <sheetName val="PKG_I"/>
      <sheetName val="FT_금액"/>
      <sheetName val="YIELD"/>
      <sheetName val="Credit Calc"/>
      <sheetName val="256D OUT TA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mparison"/>
      <sheetName val="IS"/>
      <sheetName val="BS"/>
      <sheetName val="CF"/>
      <sheetName val="Metrics"/>
      <sheetName val="V"/>
      <sheetName val="Charts"/>
      <sheetName val="Tables"/>
      <sheetName val="Summary"/>
      <sheetName val="TAM"/>
      <sheetName val="M&amp;A"/>
      <sheetName val="BM Upload"/>
    </sheetNames>
    <sheetDataSet>
      <sheetData sheetId="0"/>
      <sheetData sheetId="1"/>
      <sheetData sheetId="2">
        <row r="13">
          <cell r="X13">
            <v>91481.690078752654</v>
          </cell>
        </row>
      </sheetData>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Needham">
      <a:dk1>
        <a:sysClr val="windowText" lastClr="000000"/>
      </a:dk1>
      <a:lt1>
        <a:sysClr val="window" lastClr="FFFFFF"/>
      </a:lt1>
      <a:dk2>
        <a:srgbClr val="1F497D"/>
      </a:dk2>
      <a:lt2>
        <a:srgbClr val="EEECE1"/>
      </a:lt2>
      <a:accent1>
        <a:srgbClr val="6B0901"/>
      </a:accent1>
      <a:accent2>
        <a:srgbClr val="969696"/>
      </a:accent2>
      <a:accent3>
        <a:srgbClr val="6684B5"/>
      </a:accent3>
      <a:accent4>
        <a:srgbClr val="CCD6E6"/>
      </a:accent4>
      <a:accent5>
        <a:srgbClr val="4BACC6"/>
      </a:accent5>
      <a:accent6>
        <a:srgbClr val="F79646"/>
      </a:accent6>
      <a:hlink>
        <a:srgbClr val="0000FF"/>
      </a:hlink>
      <a:folHlink>
        <a:srgbClr val="800080"/>
      </a:folHlink>
    </a:clrScheme>
    <a:fontScheme name="Needham">
      <a:majorFont>
        <a:latin typeface="Cambria"/>
        <a:ea typeface=""/>
        <a:cs typeface=""/>
      </a:majorFont>
      <a:minorFont>
        <a:latin typeface="Cambr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hyperlink" Target="https://needham.bluematrix.com/sellside/Preference.action?exceltoolkit&amp;from=3"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70CCE-2EB7-4910-8932-60CC82ED3BCE}">
  <dimension ref="A1:B1"/>
  <sheetViews>
    <sheetView workbookViewId="0"/>
  </sheetViews>
  <sheetFormatPr defaultRowHeight="13.5"/>
  <sheetData>
    <row r="1" spans="1:2">
      <c r="B1" t="s">
        <v>373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pageSetUpPr fitToPage="1"/>
  </sheetPr>
  <dimension ref="B1:V56"/>
  <sheetViews>
    <sheetView showGridLines="0" zoomScale="110" zoomScaleNormal="110" workbookViewId="0">
      <pane xSplit="3" ySplit="4" topLeftCell="D5" activePane="bottomRight" state="frozen"/>
      <selection pane="topRight" activeCell="D1" sqref="D1"/>
      <selection pane="bottomLeft" activeCell="A5" sqref="A5"/>
      <selection pane="bottomRight" activeCell="O25" sqref="O25"/>
    </sheetView>
  </sheetViews>
  <sheetFormatPr defaultColWidth="7.625" defaultRowHeight="11.65"/>
  <cols>
    <col min="1" max="2" width="1.625" style="464" customWidth="1"/>
    <col min="3" max="3" width="23.625" style="464" customWidth="1"/>
    <col min="4" max="5" width="7.625" style="464" customWidth="1"/>
    <col min="6" max="6" width="7.625" style="841" customWidth="1"/>
    <col min="7" max="8" width="7.625" style="464" customWidth="1"/>
    <col min="9" max="9" width="7.625" style="841" customWidth="1"/>
    <col min="10" max="11" width="7.625" style="464" customWidth="1"/>
    <col min="12" max="12" width="7.625" style="841" customWidth="1"/>
    <col min="13" max="13" width="1.125" style="492" customWidth="1"/>
    <col min="14" max="14" width="7.375" style="492" customWidth="1"/>
    <col min="15" max="17" width="8.625" style="464" customWidth="1"/>
    <col min="18" max="20" width="10.625" style="464" customWidth="1"/>
    <col min="21" max="257" width="7.625" style="464"/>
    <col min="258" max="258" width="3.625" style="464" customWidth="1"/>
    <col min="259" max="259" width="24" style="464" customWidth="1"/>
    <col min="260" max="260" width="10.125" style="464" bestFit="1" customWidth="1"/>
    <col min="261" max="261" width="6.625" style="464" bestFit="1" customWidth="1"/>
    <col min="262" max="263" width="7.625" style="464"/>
    <col min="264" max="264" width="6.625" style="464" bestFit="1" customWidth="1"/>
    <col min="265" max="268" width="7.625" style="464"/>
    <col min="269" max="269" width="2.5" style="464" customWidth="1"/>
    <col min="270" max="513" width="7.625" style="464"/>
    <col min="514" max="514" width="3.625" style="464" customWidth="1"/>
    <col min="515" max="515" width="24" style="464" customWidth="1"/>
    <col min="516" max="516" width="10.125" style="464" bestFit="1" customWidth="1"/>
    <col min="517" max="517" width="6.625" style="464" bestFit="1" customWidth="1"/>
    <col min="518" max="519" width="7.625" style="464"/>
    <col min="520" max="520" width="6.625" style="464" bestFit="1" customWidth="1"/>
    <col min="521" max="524" width="7.625" style="464"/>
    <col min="525" max="525" width="2.5" style="464" customWidth="1"/>
    <col min="526" max="769" width="7.625" style="464"/>
    <col min="770" max="770" width="3.625" style="464" customWidth="1"/>
    <col min="771" max="771" width="24" style="464" customWidth="1"/>
    <col min="772" max="772" width="10.125" style="464" bestFit="1" customWidth="1"/>
    <col min="773" max="773" width="6.625" style="464" bestFit="1" customWidth="1"/>
    <col min="774" max="775" width="7.625" style="464"/>
    <col min="776" max="776" width="6.625" style="464" bestFit="1" customWidth="1"/>
    <col min="777" max="780" width="7.625" style="464"/>
    <col min="781" max="781" width="2.5" style="464" customWidth="1"/>
    <col min="782" max="1025" width="7.625" style="464"/>
    <col min="1026" max="1026" width="3.625" style="464" customWidth="1"/>
    <col min="1027" max="1027" width="24" style="464" customWidth="1"/>
    <col min="1028" max="1028" width="10.125" style="464" bestFit="1" customWidth="1"/>
    <col min="1029" max="1029" width="6.625" style="464" bestFit="1" customWidth="1"/>
    <col min="1030" max="1031" width="7.625" style="464"/>
    <col min="1032" max="1032" width="6.625" style="464" bestFit="1" customWidth="1"/>
    <col min="1033" max="1036" width="7.625" style="464"/>
    <col min="1037" max="1037" width="2.5" style="464" customWidth="1"/>
    <col min="1038" max="1281" width="7.625" style="464"/>
    <col min="1282" max="1282" width="3.625" style="464" customWidth="1"/>
    <col min="1283" max="1283" width="24" style="464" customWidth="1"/>
    <col min="1284" max="1284" width="10.125" style="464" bestFit="1" customWidth="1"/>
    <col min="1285" max="1285" width="6.625" style="464" bestFit="1" customWidth="1"/>
    <col min="1286" max="1287" width="7.625" style="464"/>
    <col min="1288" max="1288" width="6.625" style="464" bestFit="1" customWidth="1"/>
    <col min="1289" max="1292" width="7.625" style="464"/>
    <col min="1293" max="1293" width="2.5" style="464" customWidth="1"/>
    <col min="1294" max="1537" width="7.625" style="464"/>
    <col min="1538" max="1538" width="3.625" style="464" customWidth="1"/>
    <col min="1539" max="1539" width="24" style="464" customWidth="1"/>
    <col min="1540" max="1540" width="10.125" style="464" bestFit="1" customWidth="1"/>
    <col min="1541" max="1541" width="6.625" style="464" bestFit="1" customWidth="1"/>
    <col min="1542" max="1543" width="7.625" style="464"/>
    <col min="1544" max="1544" width="6.625" style="464" bestFit="1" customWidth="1"/>
    <col min="1545" max="1548" width="7.625" style="464"/>
    <col min="1549" max="1549" width="2.5" style="464" customWidth="1"/>
    <col min="1550" max="1793" width="7.625" style="464"/>
    <col min="1794" max="1794" width="3.625" style="464" customWidth="1"/>
    <col min="1795" max="1795" width="24" style="464" customWidth="1"/>
    <col min="1796" max="1796" width="10.125" style="464" bestFit="1" customWidth="1"/>
    <col min="1797" max="1797" width="6.625" style="464" bestFit="1" customWidth="1"/>
    <col min="1798" max="1799" width="7.625" style="464"/>
    <col min="1800" max="1800" width="6.625" style="464" bestFit="1" customWidth="1"/>
    <col min="1801" max="1804" width="7.625" style="464"/>
    <col min="1805" max="1805" width="2.5" style="464" customWidth="1"/>
    <col min="1806" max="2049" width="7.625" style="464"/>
    <col min="2050" max="2050" width="3.625" style="464" customWidth="1"/>
    <col min="2051" max="2051" width="24" style="464" customWidth="1"/>
    <col min="2052" max="2052" width="10.125" style="464" bestFit="1" customWidth="1"/>
    <col min="2053" max="2053" width="6.625" style="464" bestFit="1" customWidth="1"/>
    <col min="2054" max="2055" width="7.625" style="464"/>
    <col min="2056" max="2056" width="6.625" style="464" bestFit="1" customWidth="1"/>
    <col min="2057" max="2060" width="7.625" style="464"/>
    <col min="2061" max="2061" width="2.5" style="464" customWidth="1"/>
    <col min="2062" max="2305" width="7.625" style="464"/>
    <col min="2306" max="2306" width="3.625" style="464" customWidth="1"/>
    <col min="2307" max="2307" width="24" style="464" customWidth="1"/>
    <col min="2308" max="2308" width="10.125" style="464" bestFit="1" customWidth="1"/>
    <col min="2309" max="2309" width="6.625" style="464" bestFit="1" customWidth="1"/>
    <col min="2310" max="2311" width="7.625" style="464"/>
    <col min="2312" max="2312" width="6.625" style="464" bestFit="1" customWidth="1"/>
    <col min="2313" max="2316" width="7.625" style="464"/>
    <col min="2317" max="2317" width="2.5" style="464" customWidth="1"/>
    <col min="2318" max="2561" width="7.625" style="464"/>
    <col min="2562" max="2562" width="3.625" style="464" customWidth="1"/>
    <col min="2563" max="2563" width="24" style="464" customWidth="1"/>
    <col min="2564" max="2564" width="10.125" style="464" bestFit="1" customWidth="1"/>
    <col min="2565" max="2565" width="6.625" style="464" bestFit="1" customWidth="1"/>
    <col min="2566" max="2567" width="7.625" style="464"/>
    <col min="2568" max="2568" width="6.625" style="464" bestFit="1" customWidth="1"/>
    <col min="2569" max="2572" width="7.625" style="464"/>
    <col min="2573" max="2573" width="2.5" style="464" customWidth="1"/>
    <col min="2574" max="2817" width="7.625" style="464"/>
    <col min="2818" max="2818" width="3.625" style="464" customWidth="1"/>
    <col min="2819" max="2819" width="24" style="464" customWidth="1"/>
    <col min="2820" max="2820" width="10.125" style="464" bestFit="1" customWidth="1"/>
    <col min="2821" max="2821" width="6.625" style="464" bestFit="1" customWidth="1"/>
    <col min="2822" max="2823" width="7.625" style="464"/>
    <col min="2824" max="2824" width="6.625" style="464" bestFit="1" customWidth="1"/>
    <col min="2825" max="2828" width="7.625" style="464"/>
    <col min="2829" max="2829" width="2.5" style="464" customWidth="1"/>
    <col min="2830" max="3073" width="7.625" style="464"/>
    <col min="3074" max="3074" width="3.625" style="464" customWidth="1"/>
    <col min="3075" max="3075" width="24" style="464" customWidth="1"/>
    <col min="3076" max="3076" width="10.125" style="464" bestFit="1" customWidth="1"/>
    <col min="3077" max="3077" width="6.625" style="464" bestFit="1" customWidth="1"/>
    <col min="3078" max="3079" width="7.625" style="464"/>
    <col min="3080" max="3080" width="6.625" style="464" bestFit="1" customWidth="1"/>
    <col min="3081" max="3084" width="7.625" style="464"/>
    <col min="3085" max="3085" width="2.5" style="464" customWidth="1"/>
    <col min="3086" max="3329" width="7.625" style="464"/>
    <col min="3330" max="3330" width="3.625" style="464" customWidth="1"/>
    <col min="3331" max="3331" width="24" style="464" customWidth="1"/>
    <col min="3332" max="3332" width="10.125" style="464" bestFit="1" customWidth="1"/>
    <col min="3333" max="3333" width="6.625" style="464" bestFit="1" customWidth="1"/>
    <col min="3334" max="3335" width="7.625" style="464"/>
    <col min="3336" max="3336" width="6.625" style="464" bestFit="1" customWidth="1"/>
    <col min="3337" max="3340" width="7.625" style="464"/>
    <col min="3341" max="3341" width="2.5" style="464" customWidth="1"/>
    <col min="3342" max="3585" width="7.625" style="464"/>
    <col min="3586" max="3586" width="3.625" style="464" customWidth="1"/>
    <col min="3587" max="3587" width="24" style="464" customWidth="1"/>
    <col min="3588" max="3588" width="10.125" style="464" bestFit="1" customWidth="1"/>
    <col min="3589" max="3589" width="6.625" style="464" bestFit="1" customWidth="1"/>
    <col min="3590" max="3591" width="7.625" style="464"/>
    <col min="3592" max="3592" width="6.625" style="464" bestFit="1" customWidth="1"/>
    <col min="3593" max="3596" width="7.625" style="464"/>
    <col min="3597" max="3597" width="2.5" style="464" customWidth="1"/>
    <col min="3598" max="3841" width="7.625" style="464"/>
    <col min="3842" max="3842" width="3.625" style="464" customWidth="1"/>
    <col min="3843" max="3843" width="24" style="464" customWidth="1"/>
    <col min="3844" max="3844" width="10.125" style="464" bestFit="1" customWidth="1"/>
    <col min="3845" max="3845" width="6.625" style="464" bestFit="1" customWidth="1"/>
    <col min="3846" max="3847" width="7.625" style="464"/>
    <col min="3848" max="3848" width="6.625" style="464" bestFit="1" customWidth="1"/>
    <col min="3849" max="3852" width="7.625" style="464"/>
    <col min="3853" max="3853" width="2.5" style="464" customWidth="1"/>
    <col min="3854" max="4097" width="7.625" style="464"/>
    <col min="4098" max="4098" width="3.625" style="464" customWidth="1"/>
    <col min="4099" max="4099" width="24" style="464" customWidth="1"/>
    <col min="4100" max="4100" width="10.125" style="464" bestFit="1" customWidth="1"/>
    <col min="4101" max="4101" width="6.625" style="464" bestFit="1" customWidth="1"/>
    <col min="4102" max="4103" width="7.625" style="464"/>
    <col min="4104" max="4104" width="6.625" style="464" bestFit="1" customWidth="1"/>
    <col min="4105" max="4108" width="7.625" style="464"/>
    <col min="4109" max="4109" width="2.5" style="464" customWidth="1"/>
    <col min="4110" max="4353" width="7.625" style="464"/>
    <col min="4354" max="4354" width="3.625" style="464" customWidth="1"/>
    <col min="4355" max="4355" width="24" style="464" customWidth="1"/>
    <col min="4356" max="4356" width="10.125" style="464" bestFit="1" customWidth="1"/>
    <col min="4357" max="4357" width="6.625" style="464" bestFit="1" customWidth="1"/>
    <col min="4358" max="4359" width="7.625" style="464"/>
    <col min="4360" max="4360" width="6.625" style="464" bestFit="1" customWidth="1"/>
    <col min="4361" max="4364" width="7.625" style="464"/>
    <col min="4365" max="4365" width="2.5" style="464" customWidth="1"/>
    <col min="4366" max="4609" width="7.625" style="464"/>
    <col min="4610" max="4610" width="3.625" style="464" customWidth="1"/>
    <col min="4611" max="4611" width="24" style="464" customWidth="1"/>
    <col min="4612" max="4612" width="10.125" style="464" bestFit="1" customWidth="1"/>
    <col min="4613" max="4613" width="6.625" style="464" bestFit="1" customWidth="1"/>
    <col min="4614" max="4615" width="7.625" style="464"/>
    <col min="4616" max="4616" width="6.625" style="464" bestFit="1" customWidth="1"/>
    <col min="4617" max="4620" width="7.625" style="464"/>
    <col min="4621" max="4621" width="2.5" style="464" customWidth="1"/>
    <col min="4622" max="4865" width="7.625" style="464"/>
    <col min="4866" max="4866" width="3.625" style="464" customWidth="1"/>
    <col min="4867" max="4867" width="24" style="464" customWidth="1"/>
    <col min="4868" max="4868" width="10.125" style="464" bestFit="1" customWidth="1"/>
    <col min="4869" max="4869" width="6.625" style="464" bestFit="1" customWidth="1"/>
    <col min="4870" max="4871" width="7.625" style="464"/>
    <col min="4872" max="4872" width="6.625" style="464" bestFit="1" customWidth="1"/>
    <col min="4873" max="4876" width="7.625" style="464"/>
    <col min="4877" max="4877" width="2.5" style="464" customWidth="1"/>
    <col min="4878" max="5121" width="7.625" style="464"/>
    <col min="5122" max="5122" width="3.625" style="464" customWidth="1"/>
    <col min="5123" max="5123" width="24" style="464" customWidth="1"/>
    <col min="5124" max="5124" width="10.125" style="464" bestFit="1" customWidth="1"/>
    <col min="5125" max="5125" width="6.625" style="464" bestFit="1" customWidth="1"/>
    <col min="5126" max="5127" width="7.625" style="464"/>
    <col min="5128" max="5128" width="6.625" style="464" bestFit="1" customWidth="1"/>
    <col min="5129" max="5132" width="7.625" style="464"/>
    <col min="5133" max="5133" width="2.5" style="464" customWidth="1"/>
    <col min="5134" max="5377" width="7.625" style="464"/>
    <col min="5378" max="5378" width="3.625" style="464" customWidth="1"/>
    <col min="5379" max="5379" width="24" style="464" customWidth="1"/>
    <col min="5380" max="5380" width="10.125" style="464" bestFit="1" customWidth="1"/>
    <col min="5381" max="5381" width="6.625" style="464" bestFit="1" customWidth="1"/>
    <col min="5382" max="5383" width="7.625" style="464"/>
    <col min="5384" max="5384" width="6.625" style="464" bestFit="1" customWidth="1"/>
    <col min="5385" max="5388" width="7.625" style="464"/>
    <col min="5389" max="5389" width="2.5" style="464" customWidth="1"/>
    <col min="5390" max="5633" width="7.625" style="464"/>
    <col min="5634" max="5634" width="3.625" style="464" customWidth="1"/>
    <col min="5635" max="5635" width="24" style="464" customWidth="1"/>
    <col min="5636" max="5636" width="10.125" style="464" bestFit="1" customWidth="1"/>
    <col min="5637" max="5637" width="6.625" style="464" bestFit="1" customWidth="1"/>
    <col min="5638" max="5639" width="7.625" style="464"/>
    <col min="5640" max="5640" width="6.625" style="464" bestFit="1" customWidth="1"/>
    <col min="5641" max="5644" width="7.625" style="464"/>
    <col min="5645" max="5645" width="2.5" style="464" customWidth="1"/>
    <col min="5646" max="5889" width="7.625" style="464"/>
    <col min="5890" max="5890" width="3.625" style="464" customWidth="1"/>
    <col min="5891" max="5891" width="24" style="464" customWidth="1"/>
    <col min="5892" max="5892" width="10.125" style="464" bestFit="1" customWidth="1"/>
    <col min="5893" max="5893" width="6.625" style="464" bestFit="1" customWidth="1"/>
    <col min="5894" max="5895" width="7.625" style="464"/>
    <col min="5896" max="5896" width="6.625" style="464" bestFit="1" customWidth="1"/>
    <col min="5897" max="5900" width="7.625" style="464"/>
    <col min="5901" max="5901" width="2.5" style="464" customWidth="1"/>
    <col min="5902" max="6145" width="7.625" style="464"/>
    <col min="6146" max="6146" width="3.625" style="464" customWidth="1"/>
    <col min="6147" max="6147" width="24" style="464" customWidth="1"/>
    <col min="6148" max="6148" width="10.125" style="464" bestFit="1" customWidth="1"/>
    <col min="6149" max="6149" width="6.625" style="464" bestFit="1" customWidth="1"/>
    <col min="6150" max="6151" width="7.625" style="464"/>
    <col min="6152" max="6152" width="6.625" style="464" bestFit="1" customWidth="1"/>
    <col min="6153" max="6156" width="7.625" style="464"/>
    <col min="6157" max="6157" width="2.5" style="464" customWidth="1"/>
    <col min="6158" max="6401" width="7.625" style="464"/>
    <col min="6402" max="6402" width="3.625" style="464" customWidth="1"/>
    <col min="6403" max="6403" width="24" style="464" customWidth="1"/>
    <col min="6404" max="6404" width="10.125" style="464" bestFit="1" customWidth="1"/>
    <col min="6405" max="6405" width="6.625" style="464" bestFit="1" customWidth="1"/>
    <col min="6406" max="6407" width="7.625" style="464"/>
    <col min="6408" max="6408" width="6.625" style="464" bestFit="1" customWidth="1"/>
    <col min="6409" max="6412" width="7.625" style="464"/>
    <col min="6413" max="6413" width="2.5" style="464" customWidth="1"/>
    <col min="6414" max="6657" width="7.625" style="464"/>
    <col min="6658" max="6658" width="3.625" style="464" customWidth="1"/>
    <col min="6659" max="6659" width="24" style="464" customWidth="1"/>
    <col min="6660" max="6660" width="10.125" style="464" bestFit="1" customWidth="1"/>
    <col min="6661" max="6661" width="6.625" style="464" bestFit="1" customWidth="1"/>
    <col min="6662" max="6663" width="7.625" style="464"/>
    <col min="6664" max="6664" width="6.625" style="464" bestFit="1" customWidth="1"/>
    <col min="6665" max="6668" width="7.625" style="464"/>
    <col min="6669" max="6669" width="2.5" style="464" customWidth="1"/>
    <col min="6670" max="6913" width="7.625" style="464"/>
    <col min="6914" max="6914" width="3.625" style="464" customWidth="1"/>
    <col min="6915" max="6915" width="24" style="464" customWidth="1"/>
    <col min="6916" max="6916" width="10.125" style="464" bestFit="1" customWidth="1"/>
    <col min="6917" max="6917" width="6.625" style="464" bestFit="1" customWidth="1"/>
    <col min="6918" max="6919" width="7.625" style="464"/>
    <col min="6920" max="6920" width="6.625" style="464" bestFit="1" customWidth="1"/>
    <col min="6921" max="6924" width="7.625" style="464"/>
    <col min="6925" max="6925" width="2.5" style="464" customWidth="1"/>
    <col min="6926" max="7169" width="7.625" style="464"/>
    <col min="7170" max="7170" width="3.625" style="464" customWidth="1"/>
    <col min="7171" max="7171" width="24" style="464" customWidth="1"/>
    <col min="7172" max="7172" width="10.125" style="464" bestFit="1" customWidth="1"/>
    <col min="7173" max="7173" width="6.625" style="464" bestFit="1" customWidth="1"/>
    <col min="7174" max="7175" width="7.625" style="464"/>
    <col min="7176" max="7176" width="6.625" style="464" bestFit="1" customWidth="1"/>
    <col min="7177" max="7180" width="7.625" style="464"/>
    <col min="7181" max="7181" width="2.5" style="464" customWidth="1"/>
    <col min="7182" max="7425" width="7.625" style="464"/>
    <col min="7426" max="7426" width="3.625" style="464" customWidth="1"/>
    <col min="7427" max="7427" width="24" style="464" customWidth="1"/>
    <col min="7428" max="7428" width="10.125" style="464" bestFit="1" customWidth="1"/>
    <col min="7429" max="7429" width="6.625" style="464" bestFit="1" customWidth="1"/>
    <col min="7430" max="7431" width="7.625" style="464"/>
    <col min="7432" max="7432" width="6.625" style="464" bestFit="1" customWidth="1"/>
    <col min="7433" max="7436" width="7.625" style="464"/>
    <col min="7437" max="7437" width="2.5" style="464" customWidth="1"/>
    <col min="7438" max="7681" width="7.625" style="464"/>
    <col min="7682" max="7682" width="3.625" style="464" customWidth="1"/>
    <col min="7683" max="7683" width="24" style="464" customWidth="1"/>
    <col min="7684" max="7684" width="10.125" style="464" bestFit="1" customWidth="1"/>
    <col min="7685" max="7685" width="6.625" style="464" bestFit="1" customWidth="1"/>
    <col min="7686" max="7687" width="7.625" style="464"/>
    <col min="7688" max="7688" width="6.625" style="464" bestFit="1" customWidth="1"/>
    <col min="7689" max="7692" width="7.625" style="464"/>
    <col min="7693" max="7693" width="2.5" style="464" customWidth="1"/>
    <col min="7694" max="7937" width="7.625" style="464"/>
    <col min="7938" max="7938" width="3.625" style="464" customWidth="1"/>
    <col min="7939" max="7939" width="24" style="464" customWidth="1"/>
    <col min="7940" max="7940" width="10.125" style="464" bestFit="1" customWidth="1"/>
    <col min="7941" max="7941" width="6.625" style="464" bestFit="1" customWidth="1"/>
    <col min="7942" max="7943" width="7.625" style="464"/>
    <col min="7944" max="7944" width="6.625" style="464" bestFit="1" customWidth="1"/>
    <col min="7945" max="7948" width="7.625" style="464"/>
    <col min="7949" max="7949" width="2.5" style="464" customWidth="1"/>
    <col min="7950" max="8193" width="7.625" style="464"/>
    <col min="8194" max="8194" width="3.625" style="464" customWidth="1"/>
    <col min="8195" max="8195" width="24" style="464" customWidth="1"/>
    <col min="8196" max="8196" width="10.125" style="464" bestFit="1" customWidth="1"/>
    <col min="8197" max="8197" width="6.625" style="464" bestFit="1" customWidth="1"/>
    <col min="8198" max="8199" width="7.625" style="464"/>
    <col min="8200" max="8200" width="6.625" style="464" bestFit="1" customWidth="1"/>
    <col min="8201" max="8204" width="7.625" style="464"/>
    <col min="8205" max="8205" width="2.5" style="464" customWidth="1"/>
    <col min="8206" max="8449" width="7.625" style="464"/>
    <col min="8450" max="8450" width="3.625" style="464" customWidth="1"/>
    <col min="8451" max="8451" width="24" style="464" customWidth="1"/>
    <col min="8452" max="8452" width="10.125" style="464" bestFit="1" customWidth="1"/>
    <col min="8453" max="8453" width="6.625" style="464" bestFit="1" customWidth="1"/>
    <col min="8454" max="8455" width="7.625" style="464"/>
    <col min="8456" max="8456" width="6.625" style="464" bestFit="1" customWidth="1"/>
    <col min="8457" max="8460" width="7.625" style="464"/>
    <col min="8461" max="8461" width="2.5" style="464" customWidth="1"/>
    <col min="8462" max="8705" width="7.625" style="464"/>
    <col min="8706" max="8706" width="3.625" style="464" customWidth="1"/>
    <col min="8707" max="8707" width="24" style="464" customWidth="1"/>
    <col min="8708" max="8708" width="10.125" style="464" bestFit="1" customWidth="1"/>
    <col min="8709" max="8709" width="6.625" style="464" bestFit="1" customWidth="1"/>
    <col min="8710" max="8711" width="7.625" style="464"/>
    <col min="8712" max="8712" width="6.625" style="464" bestFit="1" customWidth="1"/>
    <col min="8713" max="8716" width="7.625" style="464"/>
    <col min="8717" max="8717" width="2.5" style="464" customWidth="1"/>
    <col min="8718" max="8961" width="7.625" style="464"/>
    <col min="8962" max="8962" width="3.625" style="464" customWidth="1"/>
    <col min="8963" max="8963" width="24" style="464" customWidth="1"/>
    <col min="8964" max="8964" width="10.125" style="464" bestFit="1" customWidth="1"/>
    <col min="8965" max="8965" width="6.625" style="464" bestFit="1" customWidth="1"/>
    <col min="8966" max="8967" width="7.625" style="464"/>
    <col min="8968" max="8968" width="6.625" style="464" bestFit="1" customWidth="1"/>
    <col min="8969" max="8972" width="7.625" style="464"/>
    <col min="8973" max="8973" width="2.5" style="464" customWidth="1"/>
    <col min="8974" max="9217" width="7.625" style="464"/>
    <col min="9218" max="9218" width="3.625" style="464" customWidth="1"/>
    <col min="9219" max="9219" width="24" style="464" customWidth="1"/>
    <col min="9220" max="9220" width="10.125" style="464" bestFit="1" customWidth="1"/>
    <col min="9221" max="9221" width="6.625" style="464" bestFit="1" customWidth="1"/>
    <col min="9222" max="9223" width="7.625" style="464"/>
    <col min="9224" max="9224" width="6.625" style="464" bestFit="1" customWidth="1"/>
    <col min="9225" max="9228" width="7.625" style="464"/>
    <col min="9229" max="9229" width="2.5" style="464" customWidth="1"/>
    <col min="9230" max="9473" width="7.625" style="464"/>
    <col min="9474" max="9474" width="3.625" style="464" customWidth="1"/>
    <col min="9475" max="9475" width="24" style="464" customWidth="1"/>
    <col min="9476" max="9476" width="10.125" style="464" bestFit="1" customWidth="1"/>
    <col min="9477" max="9477" width="6.625" style="464" bestFit="1" customWidth="1"/>
    <col min="9478" max="9479" width="7.625" style="464"/>
    <col min="9480" max="9480" width="6.625" style="464" bestFit="1" customWidth="1"/>
    <col min="9481" max="9484" width="7.625" style="464"/>
    <col min="9485" max="9485" width="2.5" style="464" customWidth="1"/>
    <col min="9486" max="9729" width="7.625" style="464"/>
    <col min="9730" max="9730" width="3.625" style="464" customWidth="1"/>
    <col min="9731" max="9731" width="24" style="464" customWidth="1"/>
    <col min="9732" max="9732" width="10.125" style="464" bestFit="1" customWidth="1"/>
    <col min="9733" max="9733" width="6.625" style="464" bestFit="1" customWidth="1"/>
    <col min="9734" max="9735" width="7.625" style="464"/>
    <col min="9736" max="9736" width="6.625" style="464" bestFit="1" customWidth="1"/>
    <col min="9737" max="9740" width="7.625" style="464"/>
    <col min="9741" max="9741" width="2.5" style="464" customWidth="1"/>
    <col min="9742" max="9985" width="7.625" style="464"/>
    <col min="9986" max="9986" width="3.625" style="464" customWidth="1"/>
    <col min="9987" max="9987" width="24" style="464" customWidth="1"/>
    <col min="9988" max="9988" width="10.125" style="464" bestFit="1" customWidth="1"/>
    <col min="9989" max="9989" width="6.625" style="464" bestFit="1" customWidth="1"/>
    <col min="9990" max="9991" width="7.625" style="464"/>
    <col min="9992" max="9992" width="6.625" style="464" bestFit="1" customWidth="1"/>
    <col min="9993" max="9996" width="7.625" style="464"/>
    <col min="9997" max="9997" width="2.5" style="464" customWidth="1"/>
    <col min="9998" max="10241" width="7.625" style="464"/>
    <col min="10242" max="10242" width="3.625" style="464" customWidth="1"/>
    <col min="10243" max="10243" width="24" style="464" customWidth="1"/>
    <col min="10244" max="10244" width="10.125" style="464" bestFit="1" customWidth="1"/>
    <col min="10245" max="10245" width="6.625" style="464" bestFit="1" customWidth="1"/>
    <col min="10246" max="10247" width="7.625" style="464"/>
    <col min="10248" max="10248" width="6.625" style="464" bestFit="1" customWidth="1"/>
    <col min="10249" max="10252" width="7.625" style="464"/>
    <col min="10253" max="10253" width="2.5" style="464" customWidth="1"/>
    <col min="10254" max="10497" width="7.625" style="464"/>
    <col min="10498" max="10498" width="3.625" style="464" customWidth="1"/>
    <col min="10499" max="10499" width="24" style="464" customWidth="1"/>
    <col min="10500" max="10500" width="10.125" style="464" bestFit="1" customWidth="1"/>
    <col min="10501" max="10501" width="6.625" style="464" bestFit="1" customWidth="1"/>
    <col min="10502" max="10503" width="7.625" style="464"/>
    <col min="10504" max="10504" width="6.625" style="464" bestFit="1" customWidth="1"/>
    <col min="10505" max="10508" width="7.625" style="464"/>
    <col min="10509" max="10509" width="2.5" style="464" customWidth="1"/>
    <col min="10510" max="10753" width="7.625" style="464"/>
    <col min="10754" max="10754" width="3.625" style="464" customWidth="1"/>
    <col min="10755" max="10755" width="24" style="464" customWidth="1"/>
    <col min="10756" max="10756" width="10.125" style="464" bestFit="1" customWidth="1"/>
    <col min="10757" max="10757" width="6.625" style="464" bestFit="1" customWidth="1"/>
    <col min="10758" max="10759" width="7.625" style="464"/>
    <col min="10760" max="10760" width="6.625" style="464" bestFit="1" customWidth="1"/>
    <col min="10761" max="10764" width="7.625" style="464"/>
    <col min="10765" max="10765" width="2.5" style="464" customWidth="1"/>
    <col min="10766" max="11009" width="7.625" style="464"/>
    <col min="11010" max="11010" width="3.625" style="464" customWidth="1"/>
    <col min="11011" max="11011" width="24" style="464" customWidth="1"/>
    <col min="11012" max="11012" width="10.125" style="464" bestFit="1" customWidth="1"/>
    <col min="11013" max="11013" width="6.625" style="464" bestFit="1" customWidth="1"/>
    <col min="11014" max="11015" width="7.625" style="464"/>
    <col min="11016" max="11016" width="6.625" style="464" bestFit="1" customWidth="1"/>
    <col min="11017" max="11020" width="7.625" style="464"/>
    <col min="11021" max="11021" width="2.5" style="464" customWidth="1"/>
    <col min="11022" max="11265" width="7.625" style="464"/>
    <col min="11266" max="11266" width="3.625" style="464" customWidth="1"/>
    <col min="11267" max="11267" width="24" style="464" customWidth="1"/>
    <col min="11268" max="11268" width="10.125" style="464" bestFit="1" customWidth="1"/>
    <col min="11269" max="11269" width="6.625" style="464" bestFit="1" customWidth="1"/>
    <col min="11270" max="11271" width="7.625" style="464"/>
    <col min="11272" max="11272" width="6.625" style="464" bestFit="1" customWidth="1"/>
    <col min="11273" max="11276" width="7.625" style="464"/>
    <col min="11277" max="11277" width="2.5" style="464" customWidth="1"/>
    <col min="11278" max="11521" width="7.625" style="464"/>
    <col min="11522" max="11522" width="3.625" style="464" customWidth="1"/>
    <col min="11523" max="11523" width="24" style="464" customWidth="1"/>
    <col min="11524" max="11524" width="10.125" style="464" bestFit="1" customWidth="1"/>
    <col min="11525" max="11525" width="6.625" style="464" bestFit="1" customWidth="1"/>
    <col min="11526" max="11527" width="7.625" style="464"/>
    <col min="11528" max="11528" width="6.625" style="464" bestFit="1" customWidth="1"/>
    <col min="11529" max="11532" width="7.625" style="464"/>
    <col min="11533" max="11533" width="2.5" style="464" customWidth="1"/>
    <col min="11534" max="11777" width="7.625" style="464"/>
    <col min="11778" max="11778" width="3.625" style="464" customWidth="1"/>
    <col min="11779" max="11779" width="24" style="464" customWidth="1"/>
    <col min="11780" max="11780" width="10.125" style="464" bestFit="1" customWidth="1"/>
    <col min="11781" max="11781" width="6.625" style="464" bestFit="1" customWidth="1"/>
    <col min="11782" max="11783" width="7.625" style="464"/>
    <col min="11784" max="11784" width="6.625" style="464" bestFit="1" customWidth="1"/>
    <col min="11785" max="11788" width="7.625" style="464"/>
    <col min="11789" max="11789" width="2.5" style="464" customWidth="1"/>
    <col min="11790" max="12033" width="7.625" style="464"/>
    <col min="12034" max="12034" width="3.625" style="464" customWidth="1"/>
    <col min="12035" max="12035" width="24" style="464" customWidth="1"/>
    <col min="12036" max="12036" width="10.125" style="464" bestFit="1" customWidth="1"/>
    <col min="12037" max="12037" width="6.625" style="464" bestFit="1" customWidth="1"/>
    <col min="12038" max="12039" width="7.625" style="464"/>
    <col min="12040" max="12040" width="6.625" style="464" bestFit="1" customWidth="1"/>
    <col min="12041" max="12044" width="7.625" style="464"/>
    <col min="12045" max="12045" width="2.5" style="464" customWidth="1"/>
    <col min="12046" max="12289" width="7.625" style="464"/>
    <col min="12290" max="12290" width="3.625" style="464" customWidth="1"/>
    <col min="12291" max="12291" width="24" style="464" customWidth="1"/>
    <col min="12292" max="12292" width="10.125" style="464" bestFit="1" customWidth="1"/>
    <col min="12293" max="12293" width="6.625" style="464" bestFit="1" customWidth="1"/>
    <col min="12294" max="12295" width="7.625" style="464"/>
    <col min="12296" max="12296" width="6.625" style="464" bestFit="1" customWidth="1"/>
    <col min="12297" max="12300" width="7.625" style="464"/>
    <col min="12301" max="12301" width="2.5" style="464" customWidth="1"/>
    <col min="12302" max="12545" width="7.625" style="464"/>
    <col min="12546" max="12546" width="3.625" style="464" customWidth="1"/>
    <col min="12547" max="12547" width="24" style="464" customWidth="1"/>
    <col min="12548" max="12548" width="10.125" style="464" bestFit="1" customWidth="1"/>
    <col min="12549" max="12549" width="6.625" style="464" bestFit="1" customWidth="1"/>
    <col min="12550" max="12551" width="7.625" style="464"/>
    <col min="12552" max="12552" width="6.625" style="464" bestFit="1" customWidth="1"/>
    <col min="12553" max="12556" width="7.625" style="464"/>
    <col min="12557" max="12557" width="2.5" style="464" customWidth="1"/>
    <col min="12558" max="12801" width="7.625" style="464"/>
    <col min="12802" max="12802" width="3.625" style="464" customWidth="1"/>
    <col min="12803" max="12803" width="24" style="464" customWidth="1"/>
    <col min="12804" max="12804" width="10.125" style="464" bestFit="1" customWidth="1"/>
    <col min="12805" max="12805" width="6.625" style="464" bestFit="1" customWidth="1"/>
    <col min="12806" max="12807" width="7.625" style="464"/>
    <col min="12808" max="12808" width="6.625" style="464" bestFit="1" customWidth="1"/>
    <col min="12809" max="12812" width="7.625" style="464"/>
    <col min="12813" max="12813" width="2.5" style="464" customWidth="1"/>
    <col min="12814" max="13057" width="7.625" style="464"/>
    <col min="13058" max="13058" width="3.625" style="464" customWidth="1"/>
    <col min="13059" max="13059" width="24" style="464" customWidth="1"/>
    <col min="13060" max="13060" width="10.125" style="464" bestFit="1" customWidth="1"/>
    <col min="13061" max="13061" width="6.625" style="464" bestFit="1" customWidth="1"/>
    <col min="13062" max="13063" width="7.625" style="464"/>
    <col min="13064" max="13064" width="6.625" style="464" bestFit="1" customWidth="1"/>
    <col min="13065" max="13068" width="7.625" style="464"/>
    <col min="13069" max="13069" width="2.5" style="464" customWidth="1"/>
    <col min="13070" max="13313" width="7.625" style="464"/>
    <col min="13314" max="13314" width="3.625" style="464" customWidth="1"/>
    <col min="13315" max="13315" width="24" style="464" customWidth="1"/>
    <col min="13316" max="13316" width="10.125" style="464" bestFit="1" customWidth="1"/>
    <col min="13317" max="13317" width="6.625" style="464" bestFit="1" customWidth="1"/>
    <col min="13318" max="13319" width="7.625" style="464"/>
    <col min="13320" max="13320" width="6.625" style="464" bestFit="1" customWidth="1"/>
    <col min="13321" max="13324" width="7.625" style="464"/>
    <col min="13325" max="13325" width="2.5" style="464" customWidth="1"/>
    <col min="13326" max="13569" width="7.625" style="464"/>
    <col min="13570" max="13570" width="3.625" style="464" customWidth="1"/>
    <col min="13571" max="13571" width="24" style="464" customWidth="1"/>
    <col min="13572" max="13572" width="10.125" style="464" bestFit="1" customWidth="1"/>
    <col min="13573" max="13573" width="6.625" style="464" bestFit="1" customWidth="1"/>
    <col min="13574" max="13575" width="7.625" style="464"/>
    <col min="13576" max="13576" width="6.625" style="464" bestFit="1" customWidth="1"/>
    <col min="13577" max="13580" width="7.625" style="464"/>
    <col min="13581" max="13581" width="2.5" style="464" customWidth="1"/>
    <col min="13582" max="13825" width="7.625" style="464"/>
    <col min="13826" max="13826" width="3.625" style="464" customWidth="1"/>
    <col min="13827" max="13827" width="24" style="464" customWidth="1"/>
    <col min="13828" max="13828" width="10.125" style="464" bestFit="1" customWidth="1"/>
    <col min="13829" max="13829" width="6.625" style="464" bestFit="1" customWidth="1"/>
    <col min="13830" max="13831" width="7.625" style="464"/>
    <col min="13832" max="13832" width="6.625" style="464" bestFit="1" customWidth="1"/>
    <col min="13833" max="13836" width="7.625" style="464"/>
    <col min="13837" max="13837" width="2.5" style="464" customWidth="1"/>
    <col min="13838" max="14081" width="7.625" style="464"/>
    <col min="14082" max="14082" width="3.625" style="464" customWidth="1"/>
    <col min="14083" max="14083" width="24" style="464" customWidth="1"/>
    <col min="14084" max="14084" width="10.125" style="464" bestFit="1" customWidth="1"/>
    <col min="14085" max="14085" width="6.625" style="464" bestFit="1" customWidth="1"/>
    <col min="14086" max="14087" width="7.625" style="464"/>
    <col min="14088" max="14088" width="6.625" style="464" bestFit="1" customWidth="1"/>
    <col min="14089" max="14092" width="7.625" style="464"/>
    <col min="14093" max="14093" width="2.5" style="464" customWidth="1"/>
    <col min="14094" max="14337" width="7.625" style="464"/>
    <col min="14338" max="14338" width="3.625" style="464" customWidth="1"/>
    <col min="14339" max="14339" width="24" style="464" customWidth="1"/>
    <col min="14340" max="14340" width="10.125" style="464" bestFit="1" customWidth="1"/>
    <col min="14341" max="14341" width="6.625" style="464" bestFit="1" customWidth="1"/>
    <col min="14342" max="14343" width="7.625" style="464"/>
    <col min="14344" max="14344" width="6.625" style="464" bestFit="1" customWidth="1"/>
    <col min="14345" max="14348" width="7.625" style="464"/>
    <col min="14349" max="14349" width="2.5" style="464" customWidth="1"/>
    <col min="14350" max="14593" width="7.625" style="464"/>
    <col min="14594" max="14594" width="3.625" style="464" customWidth="1"/>
    <col min="14595" max="14595" width="24" style="464" customWidth="1"/>
    <col min="14596" max="14596" width="10.125" style="464" bestFit="1" customWidth="1"/>
    <col min="14597" max="14597" width="6.625" style="464" bestFit="1" customWidth="1"/>
    <col min="14598" max="14599" width="7.625" style="464"/>
    <col min="14600" max="14600" width="6.625" style="464" bestFit="1" customWidth="1"/>
    <col min="14601" max="14604" width="7.625" style="464"/>
    <col min="14605" max="14605" width="2.5" style="464" customWidth="1"/>
    <col min="14606" max="14849" width="7.625" style="464"/>
    <col min="14850" max="14850" width="3.625" style="464" customWidth="1"/>
    <col min="14851" max="14851" width="24" style="464" customWidth="1"/>
    <col min="14852" max="14852" width="10.125" style="464" bestFit="1" customWidth="1"/>
    <col min="14853" max="14853" width="6.625" style="464" bestFit="1" customWidth="1"/>
    <col min="14854" max="14855" width="7.625" style="464"/>
    <col min="14856" max="14856" width="6.625" style="464" bestFit="1" customWidth="1"/>
    <col min="14857" max="14860" width="7.625" style="464"/>
    <col min="14861" max="14861" width="2.5" style="464" customWidth="1"/>
    <col min="14862" max="15105" width="7.625" style="464"/>
    <col min="15106" max="15106" width="3.625" style="464" customWidth="1"/>
    <col min="15107" max="15107" width="24" style="464" customWidth="1"/>
    <col min="15108" max="15108" width="10.125" style="464" bestFit="1" customWidth="1"/>
    <col min="15109" max="15109" width="6.625" style="464" bestFit="1" customWidth="1"/>
    <col min="15110" max="15111" width="7.625" style="464"/>
    <col min="15112" max="15112" width="6.625" style="464" bestFit="1" customWidth="1"/>
    <col min="15113" max="15116" width="7.625" style="464"/>
    <col min="15117" max="15117" width="2.5" style="464" customWidth="1"/>
    <col min="15118" max="15361" width="7.625" style="464"/>
    <col min="15362" max="15362" width="3.625" style="464" customWidth="1"/>
    <col min="15363" max="15363" width="24" style="464" customWidth="1"/>
    <col min="15364" max="15364" width="10.125" style="464" bestFit="1" customWidth="1"/>
    <col min="15365" max="15365" width="6.625" style="464" bestFit="1" customWidth="1"/>
    <col min="15366" max="15367" width="7.625" style="464"/>
    <col min="15368" max="15368" width="6.625" style="464" bestFit="1" customWidth="1"/>
    <col min="15369" max="15372" width="7.625" style="464"/>
    <col min="15373" max="15373" width="2.5" style="464" customWidth="1"/>
    <col min="15374" max="15617" width="7.625" style="464"/>
    <col min="15618" max="15618" width="3.625" style="464" customWidth="1"/>
    <col min="15619" max="15619" width="24" style="464" customWidth="1"/>
    <col min="15620" max="15620" width="10.125" style="464" bestFit="1" customWidth="1"/>
    <col min="15621" max="15621" width="6.625" style="464" bestFit="1" customWidth="1"/>
    <col min="15622" max="15623" width="7.625" style="464"/>
    <col min="15624" max="15624" width="6.625" style="464" bestFit="1" customWidth="1"/>
    <col min="15625" max="15628" width="7.625" style="464"/>
    <col min="15629" max="15629" width="2.5" style="464" customWidth="1"/>
    <col min="15630" max="15873" width="7.625" style="464"/>
    <col min="15874" max="15874" width="3.625" style="464" customWidth="1"/>
    <col min="15875" max="15875" width="24" style="464" customWidth="1"/>
    <col min="15876" max="15876" width="10.125" style="464" bestFit="1" customWidth="1"/>
    <col min="15877" max="15877" width="6.625" style="464" bestFit="1" customWidth="1"/>
    <col min="15878" max="15879" width="7.625" style="464"/>
    <col min="15880" max="15880" width="6.625" style="464" bestFit="1" customWidth="1"/>
    <col min="15881" max="15884" width="7.625" style="464"/>
    <col min="15885" max="15885" width="2.5" style="464" customWidth="1"/>
    <col min="15886" max="16129" width="7.625" style="464"/>
    <col min="16130" max="16130" width="3.625" style="464" customWidth="1"/>
    <col min="16131" max="16131" width="24" style="464" customWidth="1"/>
    <col min="16132" max="16132" width="10.125" style="464" bestFit="1" customWidth="1"/>
    <col min="16133" max="16133" width="6.625" style="464" bestFit="1" customWidth="1"/>
    <col min="16134" max="16135" width="7.625" style="464"/>
    <col min="16136" max="16136" width="6.625" style="464" bestFit="1" customWidth="1"/>
    <col min="16137" max="16140" width="7.625" style="464"/>
    <col min="16141" max="16141" width="2.5" style="464" customWidth="1"/>
    <col min="16142" max="16384" width="7.625" style="464"/>
  </cols>
  <sheetData>
    <row r="1" spans="2:22" ht="10.15" customHeight="1"/>
    <row r="2" spans="2:22" ht="15">
      <c r="B2" s="159" t="str">
        <f>'Income Statement'!B2</f>
        <v>Five9, Inc (Nasdaq: FIVN)</v>
      </c>
      <c r="C2" s="452"/>
      <c r="D2" s="453"/>
      <c r="E2" s="453"/>
      <c r="F2" s="851"/>
      <c r="G2" s="453"/>
      <c r="H2" s="453"/>
      <c r="I2" s="842"/>
      <c r="J2" s="453"/>
      <c r="K2" s="453"/>
      <c r="L2" s="842"/>
      <c r="O2" s="453"/>
      <c r="P2" s="453"/>
      <c r="Q2" s="453"/>
    </row>
    <row r="3" spans="2:22" ht="5.45" customHeight="1">
      <c r="B3" s="453"/>
      <c r="C3" s="453"/>
      <c r="D3" s="453"/>
      <c r="E3" s="453"/>
      <c r="F3" s="852"/>
      <c r="G3" s="453"/>
      <c r="H3" s="453"/>
      <c r="I3" s="842"/>
      <c r="J3" s="453"/>
      <c r="K3" s="453"/>
      <c r="L3" s="842"/>
      <c r="O3" s="453"/>
      <c r="P3" s="453"/>
      <c r="Q3" s="453"/>
    </row>
    <row r="4" spans="2:22" ht="14.1" customHeight="1">
      <c r="B4" s="832" t="s">
        <v>146</v>
      </c>
      <c r="C4" s="833"/>
      <c r="D4" s="834" t="s">
        <v>509</v>
      </c>
      <c r="E4" s="834" t="str">
        <f>K4</f>
        <v>4Q25</v>
      </c>
      <c r="F4" s="835" t="s">
        <v>359</v>
      </c>
      <c r="G4" s="834" t="s">
        <v>525</v>
      </c>
      <c r="H4" s="834" t="str">
        <f>K4</f>
        <v>4Q25</v>
      </c>
      <c r="I4" s="835" t="s">
        <v>360</v>
      </c>
      <c r="J4" s="834" t="str">
        <f>K4&amp;"E"</f>
        <v>4Q25E</v>
      </c>
      <c r="K4" s="834" t="s">
        <v>531</v>
      </c>
      <c r="L4" s="836" t="s">
        <v>361</v>
      </c>
      <c r="M4" s="494"/>
      <c r="N4" s="494"/>
      <c r="O4" s="543" t="s">
        <v>449</v>
      </c>
      <c r="P4" s="544" t="s">
        <v>450</v>
      </c>
      <c r="Q4" s="545" t="s">
        <v>451</v>
      </c>
      <c r="R4" s="544" t="s">
        <v>367</v>
      </c>
      <c r="S4" s="546" t="s">
        <v>368</v>
      </c>
      <c r="T4" s="545" t="s">
        <v>369</v>
      </c>
    </row>
    <row r="5" spans="2:22" s="468" customFormat="1" ht="18" customHeight="1">
      <c r="B5" s="520" t="s">
        <v>363</v>
      </c>
      <c r="C5" s="507"/>
      <c r="D5" s="509">
        <f>'Income Statement'!BP28</f>
        <v>278660</v>
      </c>
      <c r="E5" s="509">
        <f t="shared" ref="E5:E39" si="0">K5</f>
        <v>300282</v>
      </c>
      <c r="F5" s="843">
        <f>E5/D5-1</f>
        <v>7.7592765377162198E-2</v>
      </c>
      <c r="G5" s="509">
        <f>'Income Statement'!BT28</f>
        <v>285832</v>
      </c>
      <c r="H5" s="509">
        <f t="shared" ref="H5:H39" si="1">K5</f>
        <v>300282</v>
      </c>
      <c r="I5" s="843">
        <f>H5/G5-1</f>
        <v>5.0554171681267412E-2</v>
      </c>
      <c r="J5" s="509">
        <v>298082.60200000001</v>
      </c>
      <c r="K5" s="509">
        <f>'Income Statement'!BU28</f>
        <v>300282</v>
      </c>
      <c r="L5" s="843">
        <f>K5/J5-1</f>
        <v>7.3784849744433778E-3</v>
      </c>
      <c r="M5" s="513"/>
      <c r="N5" s="513"/>
      <c r="O5" s="763">
        <v>170900</v>
      </c>
      <c r="P5" s="763">
        <f>(179000+180000)/2</f>
        <v>179500</v>
      </c>
      <c r="Q5" s="763">
        <v>174100</v>
      </c>
      <c r="R5" s="763">
        <v>756000</v>
      </c>
      <c r="S5" s="763">
        <f>(770000+773000)/2</f>
        <v>771500</v>
      </c>
      <c r="T5" s="763">
        <v>756800</v>
      </c>
      <c r="V5" s="464" t="s">
        <v>467</v>
      </c>
    </row>
    <row r="6" spans="2:22" ht="14.1" customHeight="1">
      <c r="B6" s="521"/>
      <c r="C6" s="454" t="s">
        <v>364</v>
      </c>
      <c r="D6" s="457">
        <f>'Income Statement'!BP35</f>
        <v>111603</v>
      </c>
      <c r="E6" s="457">
        <f t="shared" si="0"/>
        <v>123898</v>
      </c>
      <c r="F6" s="844">
        <f>E6/D6-1</f>
        <v>0.11016728940978293</v>
      </c>
      <c r="G6" s="457">
        <f>'Income Statement'!BT35</f>
        <v>118234</v>
      </c>
      <c r="H6" s="457">
        <f t="shared" si="1"/>
        <v>123898</v>
      </c>
      <c r="I6" s="844">
        <f>H6/G6-1</f>
        <v>4.7905001945294901E-2</v>
      </c>
      <c r="J6" s="457">
        <v>119233.04080000002</v>
      </c>
      <c r="K6" s="457">
        <f>'Income Statement'!BU35</f>
        <v>123898</v>
      </c>
      <c r="L6" s="844">
        <f>K6/J6-1</f>
        <v>3.9124718858968954E-2</v>
      </c>
      <c r="O6" s="765"/>
      <c r="P6" s="765"/>
      <c r="Q6" s="765"/>
      <c r="R6" s="765"/>
      <c r="S6" s="766"/>
      <c r="T6" s="765"/>
    </row>
    <row r="7" spans="2:22" s="468" customFormat="1" ht="14.1" customHeight="1">
      <c r="B7" s="520" t="s">
        <v>101</v>
      </c>
      <c r="C7" s="507"/>
      <c r="D7" s="514">
        <f>D5-D6</f>
        <v>167057</v>
      </c>
      <c r="E7" s="514">
        <f t="shared" si="0"/>
        <v>176384</v>
      </c>
      <c r="F7" s="843">
        <f>E7/D7-1</f>
        <v>5.5831243228359195E-2</v>
      </c>
      <c r="G7" s="514">
        <f>G5-G6</f>
        <v>167598</v>
      </c>
      <c r="H7" s="514">
        <f t="shared" si="1"/>
        <v>176384</v>
      </c>
      <c r="I7" s="843">
        <f>H7/G7-1</f>
        <v>5.2423059941049344E-2</v>
      </c>
      <c r="J7" s="514">
        <v>178849.5612</v>
      </c>
      <c r="K7" s="514">
        <f>K5-K6</f>
        <v>176384</v>
      </c>
      <c r="L7" s="843">
        <f>K7/J7-1</f>
        <v>-1.3785670948573747E-2</v>
      </c>
      <c r="M7" s="515"/>
      <c r="N7" s="515"/>
      <c r="O7" s="767">
        <v>102000</v>
      </c>
      <c r="P7" s="768"/>
      <c r="Q7" s="767">
        <v>103300</v>
      </c>
      <c r="R7" s="767"/>
      <c r="S7" s="769"/>
      <c r="T7" s="767">
        <v>453300</v>
      </c>
    </row>
    <row r="8" spans="2:22" s="508" customFormat="1" ht="12.4" customHeight="1">
      <c r="B8" s="522"/>
      <c r="C8" s="504" t="s">
        <v>103</v>
      </c>
      <c r="D8" s="505">
        <f>D7/D5</f>
        <v>0.59950118423885734</v>
      </c>
      <c r="E8" s="505">
        <f t="shared" si="0"/>
        <v>0.58739451582179414</v>
      </c>
      <c r="F8" s="843"/>
      <c r="G8" s="505">
        <f>G7/G5</f>
        <v>0.58635142321363598</v>
      </c>
      <c r="H8" s="505">
        <f t="shared" si="1"/>
        <v>0.58739451582179414</v>
      </c>
      <c r="I8" s="843"/>
      <c r="J8" s="505">
        <v>0.6</v>
      </c>
      <c r="K8" s="505">
        <f>K7/K5</f>
        <v>0.58739451582179414</v>
      </c>
      <c r="L8" s="843"/>
      <c r="M8" s="506"/>
      <c r="N8" s="875">
        <f>+K8-J8</f>
        <v>-1.2605484178205839E-2</v>
      </c>
      <c r="O8" s="770">
        <f t="shared" ref="O8:T8" si="2">IF(AND(ISNUMBER(O$5), ISNUMBER(O7)), O7/O$5, "- ")</f>
        <v>0.59684025746050318</v>
      </c>
      <c r="P8" s="770" t="str">
        <f t="shared" si="2"/>
        <v xml:space="preserve">- </v>
      </c>
      <c r="Q8" s="770">
        <f t="shared" si="2"/>
        <v>0.59333716255025848</v>
      </c>
      <c r="R8" s="770" t="str">
        <f t="shared" si="2"/>
        <v xml:space="preserve">- </v>
      </c>
      <c r="S8" s="771" t="str">
        <f t="shared" si="2"/>
        <v xml:space="preserve">- </v>
      </c>
      <c r="T8" s="770">
        <f t="shared" si="2"/>
        <v>0.59896934460887952</v>
      </c>
      <c r="V8" s="900"/>
    </row>
    <row r="9" spans="2:22" ht="7.7" customHeight="1">
      <c r="B9" s="521"/>
      <c r="C9" s="454"/>
      <c r="D9" s="458"/>
      <c r="E9" s="459"/>
      <c r="F9" s="843"/>
      <c r="G9" s="458"/>
      <c r="H9" s="458"/>
      <c r="I9" s="843"/>
      <c r="J9" s="458"/>
      <c r="K9" s="458"/>
      <c r="L9" s="843"/>
      <c r="M9" s="496"/>
      <c r="N9" s="496"/>
      <c r="O9" s="772"/>
      <c r="P9" s="772"/>
      <c r="Q9" s="772"/>
      <c r="R9" s="772"/>
      <c r="S9" s="773"/>
      <c r="T9" s="772"/>
    </row>
    <row r="10" spans="2:22" ht="14.1" customHeight="1">
      <c r="B10" s="523" t="s">
        <v>100</v>
      </c>
      <c r="C10" s="455"/>
      <c r="D10" s="458"/>
      <c r="E10" s="459"/>
      <c r="F10" s="843"/>
      <c r="G10" s="458"/>
      <c r="H10" s="458"/>
      <c r="I10" s="843"/>
      <c r="J10" s="458"/>
      <c r="K10" s="458"/>
      <c r="L10" s="843"/>
      <c r="M10" s="496"/>
      <c r="N10" s="496"/>
      <c r="O10" s="774"/>
      <c r="P10" s="774"/>
      <c r="Q10" s="774"/>
      <c r="R10" s="774"/>
      <c r="S10" s="773"/>
      <c r="T10" s="774"/>
    </row>
    <row r="11" spans="2:22" ht="14.1" customHeight="1">
      <c r="B11" s="521"/>
      <c r="C11" s="454" t="s">
        <v>18</v>
      </c>
      <c r="D11" s="460">
        <f>'Income Statement'!BP41</f>
        <v>33221</v>
      </c>
      <c r="E11" s="460">
        <f t="shared" si="0"/>
        <v>27217</v>
      </c>
      <c r="F11" s="843">
        <f>E11/D11-1</f>
        <v>-0.1807290569218265</v>
      </c>
      <c r="G11" s="460">
        <f>'Income Statement'!BT41</f>
        <v>27127</v>
      </c>
      <c r="H11" s="460">
        <f t="shared" si="1"/>
        <v>27217</v>
      </c>
      <c r="I11" s="843">
        <f>H11/G11-1</f>
        <v>3.3177277251446036E-3</v>
      </c>
      <c r="J11" s="460">
        <v>32789.086220000005</v>
      </c>
      <c r="K11" s="460">
        <f>'Income Statement'!BU41</f>
        <v>27217</v>
      </c>
      <c r="L11" s="843">
        <f>K11/J11-1</f>
        <v>-0.16993722187357752</v>
      </c>
      <c r="O11" s="775"/>
      <c r="P11" s="775"/>
      <c r="Q11" s="775"/>
      <c r="R11" s="775"/>
      <c r="S11" s="773"/>
      <c r="T11" s="775"/>
    </row>
    <row r="12" spans="2:22" ht="14.1" customHeight="1">
      <c r="B12" s="524"/>
      <c r="C12" s="453" t="s">
        <v>362</v>
      </c>
      <c r="D12" s="460">
        <f>'Income Statement'!BP43</f>
        <v>60261</v>
      </c>
      <c r="E12" s="460">
        <f t="shared" si="0"/>
        <v>67757</v>
      </c>
      <c r="F12" s="843">
        <f>E12/D12-1</f>
        <v>0.12439222714525155</v>
      </c>
      <c r="G12" s="460">
        <f>'Income Statement'!BT43</f>
        <v>63074</v>
      </c>
      <c r="H12" s="460">
        <f t="shared" si="1"/>
        <v>67757</v>
      </c>
      <c r="I12" s="843">
        <f>H12/G12-1</f>
        <v>7.4246123600849812E-2</v>
      </c>
      <c r="J12" s="460">
        <v>67068.585449999999</v>
      </c>
      <c r="K12" s="460">
        <f>'Income Statement'!BU43</f>
        <v>67757</v>
      </c>
      <c r="L12" s="843">
        <f>K12/J12-1</f>
        <v>1.0264336803602614E-2</v>
      </c>
      <c r="O12" s="764"/>
      <c r="P12" s="764"/>
      <c r="Q12" s="764"/>
      <c r="R12" s="764"/>
      <c r="S12" s="773"/>
      <c r="T12" s="764"/>
    </row>
    <row r="13" spans="2:22" ht="14.1" customHeight="1">
      <c r="B13" s="524"/>
      <c r="C13" s="453" t="s">
        <v>19</v>
      </c>
      <c r="D13" s="460">
        <f>'Income Statement'!BP45</f>
        <v>24056</v>
      </c>
      <c r="E13" s="460">
        <f t="shared" si="0"/>
        <v>19795</v>
      </c>
      <c r="F13" s="844">
        <f>E13/D13-1</f>
        <v>-0.17712836714333224</v>
      </c>
      <c r="G13" s="460">
        <f>'Income Statement'!BT45</f>
        <v>20285</v>
      </c>
      <c r="H13" s="460">
        <f t="shared" si="1"/>
        <v>19795</v>
      </c>
      <c r="I13" s="844">
        <f>H13/G13-1</f>
        <v>-2.4155780133103266E-2</v>
      </c>
      <c r="J13" s="460">
        <v>21760.029945999999</v>
      </c>
      <c r="K13" s="460">
        <f>'Income Statement'!BU45</f>
        <v>19795</v>
      </c>
      <c r="L13" s="844">
        <f>K13/J13-1</f>
        <v>-9.030456074171056E-2</v>
      </c>
      <c r="O13" s="776"/>
      <c r="P13" s="776"/>
      <c r="Q13" s="776"/>
      <c r="R13" s="776"/>
      <c r="S13" s="766"/>
      <c r="T13" s="776"/>
    </row>
    <row r="14" spans="2:22" s="468" customFormat="1" ht="14.1" customHeight="1">
      <c r="B14" s="520" t="s">
        <v>147</v>
      </c>
      <c r="C14" s="507"/>
      <c r="D14" s="525">
        <f>SUM(D11:D13)</f>
        <v>117538</v>
      </c>
      <c r="E14" s="525">
        <f t="shared" si="0"/>
        <v>114769</v>
      </c>
      <c r="F14" s="843">
        <f>E14/D14-1</f>
        <v>-2.3558338579863558E-2</v>
      </c>
      <c r="G14" s="525">
        <f>SUM(G11:G13)</f>
        <v>110486</v>
      </c>
      <c r="H14" s="525">
        <f t="shared" si="1"/>
        <v>114769</v>
      </c>
      <c r="I14" s="843">
        <f>H14/G14-1</f>
        <v>3.8765092409898116E-2</v>
      </c>
      <c r="J14" s="525">
        <v>121617.70161600001</v>
      </c>
      <c r="K14" s="525">
        <f>SUM(K11:K13)</f>
        <v>114769</v>
      </c>
      <c r="L14" s="843">
        <f>K14/J14-1</f>
        <v>-5.6313361665264239E-2</v>
      </c>
      <c r="M14" s="516"/>
      <c r="N14" s="876">
        <f>+K14-J14</f>
        <v>-6848.7016160000057</v>
      </c>
      <c r="O14" s="763">
        <f>K14-J14</f>
        <v>-6848.7016160000057</v>
      </c>
      <c r="P14" s="777"/>
      <c r="Q14" s="777"/>
      <c r="R14" s="777"/>
      <c r="S14" s="769"/>
      <c r="T14" s="777"/>
    </row>
    <row r="15" spans="2:22" ht="7.7" customHeight="1">
      <c r="B15" s="521"/>
      <c r="C15" s="454"/>
      <c r="D15" s="460"/>
      <c r="E15" s="460"/>
      <c r="F15" s="843"/>
      <c r="G15" s="460"/>
      <c r="H15" s="460"/>
      <c r="I15" s="843"/>
      <c r="J15" s="460"/>
      <c r="K15" s="460"/>
      <c r="L15" s="843"/>
      <c r="O15" s="775"/>
      <c r="P15" s="775"/>
      <c r="Q15" s="775"/>
      <c r="R15" s="775"/>
      <c r="S15" s="773"/>
      <c r="T15" s="775"/>
    </row>
    <row r="16" spans="2:22" s="468" customFormat="1" ht="14.1" customHeight="1">
      <c r="B16" s="523" t="s">
        <v>365</v>
      </c>
      <c r="C16" s="455"/>
      <c r="D16" s="517">
        <f>D7-D14</f>
        <v>49519</v>
      </c>
      <c r="E16" s="517">
        <f t="shared" si="0"/>
        <v>61615</v>
      </c>
      <c r="F16" s="843">
        <f>E16/D16-1</f>
        <v>0.24426987620913176</v>
      </c>
      <c r="G16" s="517">
        <f>G7-G14</f>
        <v>57112</v>
      </c>
      <c r="H16" s="517">
        <f t="shared" si="1"/>
        <v>61615</v>
      </c>
      <c r="I16" s="843">
        <f>H16/G16-1</f>
        <v>7.8845076341224285E-2</v>
      </c>
      <c r="J16" s="517">
        <v>57231.859583999991</v>
      </c>
      <c r="K16" s="517">
        <f>K7-K14</f>
        <v>61615</v>
      </c>
      <c r="L16" s="843">
        <f>K16/J16-1</f>
        <v>7.6585671824393797E-2</v>
      </c>
      <c r="M16" s="518"/>
      <c r="N16" s="518"/>
      <c r="O16" s="763">
        <v>10800</v>
      </c>
      <c r="P16" s="778"/>
      <c r="Q16" s="763">
        <v>11900</v>
      </c>
      <c r="R16" s="763"/>
      <c r="S16" s="769"/>
      <c r="T16" s="763">
        <v>86000</v>
      </c>
    </row>
    <row r="17" spans="2:20" s="510" customFormat="1" ht="12.4" customHeight="1">
      <c r="B17" s="526"/>
      <c r="C17" s="504" t="s">
        <v>148</v>
      </c>
      <c r="D17" s="511">
        <f>D16/D5</f>
        <v>0.17770401205770472</v>
      </c>
      <c r="E17" s="511">
        <f t="shared" si="0"/>
        <v>0.20519045430628544</v>
      </c>
      <c r="F17" s="843"/>
      <c r="G17" s="511">
        <f>G16/G5</f>
        <v>0.19980967841249406</v>
      </c>
      <c r="H17" s="511">
        <f t="shared" si="1"/>
        <v>0.20519045430628544</v>
      </c>
      <c r="I17" s="843"/>
      <c r="J17" s="511">
        <v>0.19199999999999995</v>
      </c>
      <c r="K17" s="511">
        <f>K16/K5</f>
        <v>0.20519045430628544</v>
      </c>
      <c r="L17" s="843"/>
      <c r="M17" s="512"/>
      <c r="N17" s="512"/>
      <c r="O17" s="770">
        <f t="shared" ref="O17:T17" si="3">IF(AND(ISNUMBER(O$5), ISNUMBER(O16)), O16/O$5, "- ")</f>
        <v>6.3194850789935642E-2</v>
      </c>
      <c r="P17" s="770" t="str">
        <f t="shared" si="3"/>
        <v xml:space="preserve">- </v>
      </c>
      <c r="Q17" s="770">
        <f t="shared" si="3"/>
        <v>6.8351522113727747E-2</v>
      </c>
      <c r="R17" s="770" t="str">
        <f t="shared" si="3"/>
        <v xml:space="preserve">- </v>
      </c>
      <c r="S17" s="771" t="str">
        <f t="shared" si="3"/>
        <v xml:space="preserve">- </v>
      </c>
      <c r="T17" s="770">
        <f t="shared" si="3"/>
        <v>0.11363636363636363</v>
      </c>
    </row>
    <row r="18" spans="2:20" s="498" customFormat="1" ht="7.7" customHeight="1">
      <c r="B18" s="527"/>
      <c r="C18" s="495"/>
      <c r="D18" s="499"/>
      <c r="E18" s="500"/>
      <c r="F18" s="843"/>
      <c r="G18" s="499"/>
      <c r="H18" s="499"/>
      <c r="I18" s="843"/>
      <c r="J18" s="499"/>
      <c r="K18" s="499"/>
      <c r="L18" s="843"/>
      <c r="M18" s="497"/>
      <c r="N18" s="497"/>
      <c r="O18" s="779"/>
      <c r="P18" s="779"/>
      <c r="Q18" s="779"/>
      <c r="R18" s="779"/>
      <c r="S18" s="780"/>
      <c r="T18" s="780"/>
    </row>
    <row r="19" spans="2:20" ht="14.1" customHeight="1">
      <c r="B19" s="521" t="s">
        <v>149</v>
      </c>
      <c r="C19" s="454"/>
      <c r="D19" s="501">
        <f>'Income Statement'!BP64</f>
        <v>45339</v>
      </c>
      <c r="E19" s="501">
        <f t="shared" si="0"/>
        <v>41819</v>
      </c>
      <c r="F19" s="843">
        <f>E19/D19-1</f>
        <v>-7.7637354154260096E-2</v>
      </c>
      <c r="G19" s="501">
        <f>'Income Statement'!BT64</f>
        <v>41069</v>
      </c>
      <c r="H19" s="501">
        <f t="shared" si="1"/>
        <v>41819</v>
      </c>
      <c r="I19" s="843">
        <f>H19/G19-1</f>
        <v>1.8261949402225586E-2</v>
      </c>
      <c r="J19" s="501">
        <v>45600</v>
      </c>
      <c r="K19" s="501">
        <f>'Income Statement'!BU64</f>
        <v>41819</v>
      </c>
      <c r="L19" s="843">
        <f>K19/J19-1</f>
        <v>-8.2916666666666639E-2</v>
      </c>
      <c r="M19" s="496"/>
      <c r="N19" s="496"/>
      <c r="O19" s="826"/>
      <c r="P19" s="764"/>
      <c r="Q19" s="764"/>
      <c r="R19" s="764"/>
      <c r="S19" s="773"/>
      <c r="T19" s="773"/>
    </row>
    <row r="20" spans="2:20" ht="7.7" customHeight="1">
      <c r="B20" s="521"/>
      <c r="C20" s="454"/>
      <c r="D20" s="501"/>
      <c r="E20" s="502"/>
      <c r="F20" s="843"/>
      <c r="G20" s="501"/>
      <c r="H20" s="502"/>
      <c r="I20" s="843"/>
      <c r="J20" s="501"/>
      <c r="K20" s="501"/>
      <c r="L20" s="843"/>
      <c r="M20" s="496"/>
      <c r="N20" s="496"/>
      <c r="O20" s="764"/>
      <c r="P20" s="764"/>
      <c r="Q20" s="764"/>
      <c r="R20" s="764"/>
      <c r="S20" s="773"/>
      <c r="T20" s="773"/>
    </row>
    <row r="21" spans="2:20" s="468" customFormat="1" ht="14.1" customHeight="1">
      <c r="B21" s="523" t="s">
        <v>2</v>
      </c>
      <c r="C21" s="455"/>
      <c r="D21" s="462">
        <f>D16-D19</f>
        <v>4180</v>
      </c>
      <c r="E21" s="462">
        <f t="shared" si="0"/>
        <v>19796</v>
      </c>
      <c r="F21" s="843">
        <f>E21/D21-1</f>
        <v>3.7358851674641151</v>
      </c>
      <c r="G21" s="462">
        <f>G16-G19</f>
        <v>16043</v>
      </c>
      <c r="H21" s="462">
        <f t="shared" si="1"/>
        <v>19796</v>
      </c>
      <c r="I21" s="843">
        <f>H21/G21-1</f>
        <v>0.23393380290469357</v>
      </c>
      <c r="J21" s="462">
        <v>11631.859583999991</v>
      </c>
      <c r="K21" s="462">
        <f>K16-K19</f>
        <v>19796</v>
      </c>
      <c r="L21" s="843">
        <f>K21/J21-1</f>
        <v>0.7018774906146612</v>
      </c>
      <c r="M21" s="518"/>
      <c r="N21" s="518"/>
      <c r="O21" s="764"/>
      <c r="P21" s="764"/>
      <c r="Q21" s="764"/>
      <c r="R21" s="764"/>
      <c r="S21" s="769"/>
      <c r="T21" s="769"/>
    </row>
    <row r="22" spans="2:20" s="510" customFormat="1" ht="12.4" customHeight="1">
      <c r="B22" s="526"/>
      <c r="C22" s="504" t="s">
        <v>150</v>
      </c>
      <c r="D22" s="511">
        <f>D21/D5</f>
        <v>1.5000358860259815E-2</v>
      </c>
      <c r="E22" s="511">
        <f t="shared" si="0"/>
        <v>6.5924697451062664E-2</v>
      </c>
      <c r="F22" s="843"/>
      <c r="G22" s="511">
        <f>G21/G5</f>
        <v>5.612737552128523E-2</v>
      </c>
      <c r="H22" s="511">
        <f t="shared" si="1"/>
        <v>6.5924697451062664E-2</v>
      </c>
      <c r="I22" s="843"/>
      <c r="J22" s="511">
        <v>3.9022269350694916E-2</v>
      </c>
      <c r="K22" s="511">
        <f>K21/K5</f>
        <v>6.5924697451062664E-2</v>
      </c>
      <c r="L22" s="843"/>
      <c r="M22" s="512"/>
      <c r="N22" s="512"/>
      <c r="O22" s="770" t="str">
        <f t="shared" ref="O22:T22" si="4">IF(AND(ISNUMBER(O$5), ISNUMBER(O21)), O21/O$5, "- ")</f>
        <v xml:space="preserve">- </v>
      </c>
      <c r="P22" s="770" t="str">
        <f t="shared" si="4"/>
        <v xml:space="preserve">- </v>
      </c>
      <c r="Q22" s="770" t="str">
        <f t="shared" si="4"/>
        <v xml:space="preserve">- </v>
      </c>
      <c r="R22" s="770" t="str">
        <f t="shared" si="4"/>
        <v xml:space="preserve">- </v>
      </c>
      <c r="S22" s="771" t="str">
        <f t="shared" si="4"/>
        <v xml:space="preserve">- </v>
      </c>
      <c r="T22" s="770" t="str">
        <f t="shared" si="4"/>
        <v xml:space="preserve">- </v>
      </c>
    </row>
    <row r="23" spans="2:20" ht="7.7" customHeight="1">
      <c r="B23" s="523"/>
      <c r="C23" s="455"/>
      <c r="D23" s="460"/>
      <c r="E23" s="460"/>
      <c r="F23" s="843"/>
      <c r="G23" s="460"/>
      <c r="H23" s="460"/>
      <c r="I23" s="843"/>
      <c r="J23" s="460"/>
      <c r="K23" s="460"/>
      <c r="L23" s="843"/>
      <c r="M23" s="496"/>
      <c r="N23" s="496"/>
      <c r="O23" s="775"/>
      <c r="P23" s="775"/>
      <c r="Q23" s="775"/>
      <c r="R23" s="775"/>
      <c r="S23" s="773"/>
      <c r="T23" s="773"/>
    </row>
    <row r="24" spans="2:20" ht="14.1" customHeight="1">
      <c r="B24" s="523" t="s">
        <v>348</v>
      </c>
      <c r="C24" s="455"/>
      <c r="D24" s="460">
        <f>'Income Statement'!BP74</f>
        <v>6971</v>
      </c>
      <c r="E24" s="460">
        <f>K24</f>
        <v>3234</v>
      </c>
      <c r="F24" s="843"/>
      <c r="G24" s="460">
        <f>'Income Statement'!BT74</f>
        <v>2573</v>
      </c>
      <c r="H24" s="460">
        <f>K24</f>
        <v>3234</v>
      </c>
      <c r="I24" s="843"/>
      <c r="J24" s="460">
        <v>2400</v>
      </c>
      <c r="K24" s="460">
        <f>'Income Statement'!BU74</f>
        <v>3234</v>
      </c>
      <c r="L24" s="843"/>
      <c r="M24" s="496"/>
      <c r="N24" s="496"/>
      <c r="O24" s="775"/>
      <c r="P24" s="775"/>
      <c r="Q24" s="775"/>
      <c r="R24" s="775"/>
      <c r="S24" s="773"/>
      <c r="T24" s="773"/>
    </row>
    <row r="25" spans="2:20" ht="14.1" customHeight="1">
      <c r="B25" s="521" t="s">
        <v>349</v>
      </c>
      <c r="C25" s="455"/>
      <c r="D25" s="463">
        <f>'Income Statement'!BP79</f>
        <v>10956</v>
      </c>
      <c r="E25" s="463">
        <f>K25</f>
        <v>4138</v>
      </c>
      <c r="F25" s="843"/>
      <c r="G25" s="463">
        <f>'Income Statement'!BT79</f>
        <v>3611</v>
      </c>
      <c r="H25" s="463">
        <f t="shared" si="1"/>
        <v>4138</v>
      </c>
      <c r="I25" s="843"/>
      <c r="J25" s="463">
        <v>3600</v>
      </c>
      <c r="K25" s="463">
        <f>'Income Statement'!BU79</f>
        <v>4138</v>
      </c>
      <c r="L25" s="843"/>
      <c r="M25" s="496"/>
      <c r="N25" s="496"/>
      <c r="O25" s="775"/>
      <c r="P25" s="775"/>
      <c r="Q25" s="775"/>
      <c r="R25" s="775"/>
      <c r="S25" s="773"/>
      <c r="T25" s="773"/>
    </row>
    <row r="26" spans="2:20" ht="7.7" customHeight="1">
      <c r="B26" s="528"/>
      <c r="E26" s="465"/>
      <c r="F26" s="843"/>
      <c r="H26" s="465"/>
      <c r="I26" s="843"/>
      <c r="L26" s="843"/>
      <c r="O26" s="775"/>
      <c r="P26" s="775"/>
      <c r="Q26" s="775"/>
      <c r="R26" s="775"/>
      <c r="S26" s="773"/>
      <c r="T26" s="773"/>
    </row>
    <row r="27" spans="2:20" ht="14.1" customHeight="1">
      <c r="B27" s="528" t="s">
        <v>151</v>
      </c>
      <c r="D27" s="456">
        <f>D16+D25</f>
        <v>60475</v>
      </c>
      <c r="E27" s="456">
        <f t="shared" si="0"/>
        <v>65753</v>
      </c>
      <c r="F27" s="843">
        <f>E27/D27-1</f>
        <v>8.7275733774286879E-2</v>
      </c>
      <c r="G27" s="456">
        <f>G16+G25</f>
        <v>60723</v>
      </c>
      <c r="H27" s="456">
        <f t="shared" si="1"/>
        <v>65753</v>
      </c>
      <c r="I27" s="843">
        <f>H27/G27-1</f>
        <v>8.2835169540371956E-2</v>
      </c>
      <c r="J27" s="456">
        <v>60831.859583999991</v>
      </c>
      <c r="K27" s="456">
        <f>K16+K25</f>
        <v>65753</v>
      </c>
      <c r="L27" s="843">
        <f>K27/J27-1</f>
        <v>8.0897418715346392E-2</v>
      </c>
      <c r="O27" s="775"/>
      <c r="P27" s="775"/>
      <c r="Q27" s="775"/>
      <c r="R27" s="775"/>
      <c r="S27" s="773"/>
      <c r="T27" s="773"/>
    </row>
    <row r="28" spans="2:20" ht="14.1" customHeight="1">
      <c r="B28" s="529"/>
      <c r="C28" s="530" t="s">
        <v>83</v>
      </c>
      <c r="D28" s="531">
        <f>'Income Statement'!BP87</f>
        <v>224</v>
      </c>
      <c r="E28" s="531">
        <f t="shared" si="0"/>
        <v>3317</v>
      </c>
      <c r="F28" s="844"/>
      <c r="G28" s="531">
        <f>'Income Statement'!BT87</f>
        <v>119</v>
      </c>
      <c r="H28" s="531">
        <f t="shared" si="1"/>
        <v>3317</v>
      </c>
      <c r="I28" s="844"/>
      <c r="J28" s="531">
        <v>1000</v>
      </c>
      <c r="K28" s="531">
        <f>'Income Statement'!BU87</f>
        <v>3317</v>
      </c>
      <c r="L28" s="844"/>
      <c r="O28" s="775"/>
      <c r="P28" s="775">
        <v>500</v>
      </c>
      <c r="Q28" s="775"/>
      <c r="R28" s="775"/>
      <c r="S28" s="773">
        <v>1900</v>
      </c>
      <c r="T28" s="773"/>
    </row>
    <row r="29" spans="2:20" s="468" customFormat="1" ht="14.1" customHeight="1">
      <c r="B29" s="532" t="s">
        <v>152</v>
      </c>
      <c r="C29" s="533"/>
      <c r="D29" s="534">
        <f>D27-D28</f>
        <v>60251</v>
      </c>
      <c r="E29" s="534">
        <f t="shared" si="0"/>
        <v>62436</v>
      </c>
      <c r="F29" s="843">
        <f>E29/D29-1</f>
        <v>3.6264958257954172E-2</v>
      </c>
      <c r="G29" s="534">
        <f>G27-G28</f>
        <v>60604</v>
      </c>
      <c r="H29" s="534">
        <f t="shared" si="1"/>
        <v>62436</v>
      </c>
      <c r="I29" s="843">
        <f>H29/G29-1</f>
        <v>3.0229027786944807E-2</v>
      </c>
      <c r="J29" s="534">
        <v>59831.859583999991</v>
      </c>
      <c r="K29" s="534">
        <f>K27-K28</f>
        <v>62436</v>
      </c>
      <c r="L29" s="843">
        <f>K29/J29-1</f>
        <v>4.352431019370151E-2</v>
      </c>
      <c r="M29" s="513"/>
      <c r="N29" s="513"/>
      <c r="O29" s="764"/>
      <c r="P29" s="764"/>
      <c r="Q29" s="764"/>
      <c r="R29" s="764"/>
      <c r="S29" s="769"/>
      <c r="T29" s="769"/>
    </row>
    <row r="30" spans="2:20" ht="7.7" customHeight="1">
      <c r="B30" s="535"/>
      <c r="C30" s="466"/>
      <c r="D30" s="467"/>
      <c r="E30" s="467"/>
      <c r="F30" s="843"/>
      <c r="G30" s="467"/>
      <c r="H30" s="467"/>
      <c r="I30" s="843"/>
      <c r="J30" s="467"/>
      <c r="K30" s="467"/>
      <c r="L30" s="843"/>
      <c r="O30" s="775"/>
      <c r="P30" s="775"/>
      <c r="Q30" s="775"/>
      <c r="R30" s="775"/>
      <c r="S30" s="773"/>
      <c r="T30" s="773"/>
    </row>
    <row r="31" spans="2:20" ht="14.1" customHeight="1">
      <c r="B31" s="528" t="s">
        <v>153</v>
      </c>
      <c r="D31" s="456">
        <f>D21+D24</f>
        <v>11151</v>
      </c>
      <c r="E31" s="456">
        <f t="shared" si="0"/>
        <v>23030</v>
      </c>
      <c r="F31" s="843">
        <f>E31/D31-1</f>
        <v>1.0652856246076583</v>
      </c>
      <c r="G31" s="456">
        <f>G21+G24</f>
        <v>18616</v>
      </c>
      <c r="H31" s="456">
        <f t="shared" si="1"/>
        <v>23030</v>
      </c>
      <c r="I31" s="843">
        <f>H31/G31-1</f>
        <v>0.23710786420283636</v>
      </c>
      <c r="J31" s="456">
        <v>14031.859583999991</v>
      </c>
      <c r="K31" s="456">
        <f>K21+K24</f>
        <v>23030</v>
      </c>
      <c r="L31" s="843">
        <f>K31/J31-1</f>
        <v>0.64126499856514063</v>
      </c>
      <c r="O31" s="775"/>
      <c r="P31" s="775"/>
      <c r="Q31" s="775"/>
      <c r="R31" s="775"/>
      <c r="S31" s="773"/>
      <c r="T31" s="773"/>
    </row>
    <row r="32" spans="2:20" ht="14.1" customHeight="1">
      <c r="B32" s="529"/>
      <c r="C32" s="530" t="s">
        <v>83</v>
      </c>
      <c r="D32" s="531">
        <f>'Income Statement'!BP93</f>
        <v>-426</v>
      </c>
      <c r="E32" s="531">
        <f t="shared" si="0"/>
        <v>3317</v>
      </c>
      <c r="F32" s="844"/>
      <c r="G32" s="531">
        <f>'Income Statement'!BT93</f>
        <v>643</v>
      </c>
      <c r="H32" s="531">
        <f t="shared" si="1"/>
        <v>3317</v>
      </c>
      <c r="I32" s="844"/>
      <c r="J32" s="531">
        <v>1000</v>
      </c>
      <c r="K32" s="531">
        <f>'Income Statement'!BU93</f>
        <v>3317</v>
      </c>
      <c r="L32" s="844"/>
      <c r="O32" s="775"/>
      <c r="P32" s="775"/>
      <c r="Q32" s="775"/>
      <c r="R32" s="775"/>
      <c r="S32" s="773"/>
      <c r="T32" s="773"/>
    </row>
    <row r="33" spans="2:20" s="468" customFormat="1" ht="14.1" customHeight="1">
      <c r="B33" s="532" t="s">
        <v>3</v>
      </c>
      <c r="C33" s="533"/>
      <c r="D33" s="534">
        <f>D31-D32</f>
        <v>11577</v>
      </c>
      <c r="E33" s="534">
        <f t="shared" si="0"/>
        <v>19713</v>
      </c>
      <c r="F33" s="843">
        <f>E33/D33-1</f>
        <v>0.70277273905156767</v>
      </c>
      <c r="G33" s="534">
        <f>G31-G32</f>
        <v>17973</v>
      </c>
      <c r="H33" s="534">
        <f t="shared" si="1"/>
        <v>19713</v>
      </c>
      <c r="I33" s="843">
        <f>H33/G33-1</f>
        <v>9.6811884493406719E-2</v>
      </c>
      <c r="J33" s="534">
        <v>13031.859583999991</v>
      </c>
      <c r="K33" s="534">
        <f>K31-K32</f>
        <v>19713</v>
      </c>
      <c r="L33" s="843">
        <f>K33/J33-1</f>
        <v>0.51267744046312869</v>
      </c>
      <c r="M33" s="513"/>
      <c r="N33" s="513"/>
      <c r="O33" s="764"/>
      <c r="P33" s="764"/>
      <c r="Q33" s="764"/>
      <c r="R33" s="764"/>
      <c r="S33" s="769"/>
      <c r="T33" s="769"/>
    </row>
    <row r="34" spans="2:20" ht="7.7" customHeight="1" thickBot="1">
      <c r="B34" s="536"/>
      <c r="C34" s="468"/>
      <c r="D34" s="469"/>
      <c r="E34" s="469"/>
      <c r="F34" s="845"/>
      <c r="G34" s="469"/>
      <c r="H34" s="469"/>
      <c r="I34" s="845"/>
      <c r="J34" s="469"/>
      <c r="K34" s="469"/>
      <c r="L34" s="845"/>
      <c r="O34" s="775"/>
      <c r="P34" s="781"/>
      <c r="Q34" s="775"/>
      <c r="R34" s="775"/>
      <c r="S34" s="773"/>
      <c r="T34" s="773"/>
    </row>
    <row r="35" spans="2:20" ht="14.1" customHeight="1">
      <c r="B35" s="537" t="s">
        <v>80</v>
      </c>
      <c r="C35" s="538"/>
      <c r="D35" s="539">
        <f>D29/D39</f>
        <v>0.79278674719404207</v>
      </c>
      <c r="E35" s="539">
        <f t="shared" si="0"/>
        <v>0.80433886426878287</v>
      </c>
      <c r="F35" s="843">
        <f>E35/D35-1</f>
        <v>1.4571531519198544E-2</v>
      </c>
      <c r="G35" s="539">
        <f>G29/G39</f>
        <v>0.77814157133135597</v>
      </c>
      <c r="H35" s="539">
        <f t="shared" si="1"/>
        <v>0.80433886426878287</v>
      </c>
      <c r="I35" s="843">
        <f>H35/G35-1</f>
        <v>3.3666486797003792E-2</v>
      </c>
      <c r="J35" s="539">
        <v>0.76332699161808037</v>
      </c>
      <c r="K35" s="539">
        <f>K29/K39</f>
        <v>0.80433886426878287</v>
      </c>
      <c r="L35" s="843">
        <f>K35/J35-1</f>
        <v>5.3727790450284862E-2</v>
      </c>
      <c r="O35" s="815">
        <v>0.13</v>
      </c>
      <c r="P35" s="815">
        <f>(0.17+0.19)/2</f>
        <v>0.18</v>
      </c>
      <c r="Q35" s="815">
        <v>0.15</v>
      </c>
      <c r="R35" s="815">
        <v>1.1399999999999999</v>
      </c>
      <c r="S35" s="815">
        <f>(1.22+1.24)/2</f>
        <v>1.23</v>
      </c>
      <c r="T35" s="815">
        <v>1.1200000000000001</v>
      </c>
    </row>
    <row r="36" spans="2:20" ht="14.1" customHeight="1" thickBot="1">
      <c r="B36" s="540" t="s">
        <v>4</v>
      </c>
      <c r="C36" s="470"/>
      <c r="D36" s="519">
        <f>D33/D38</f>
        <v>0.15348004772636881</v>
      </c>
      <c r="E36" s="519">
        <f t="shared" si="0"/>
        <v>0.25433175502199745</v>
      </c>
      <c r="F36" s="846"/>
      <c r="G36" s="519">
        <f>G33/G38</f>
        <v>0.23182592095758953</v>
      </c>
      <c r="H36" s="519">
        <f t="shared" si="1"/>
        <v>0.25433175502199745</v>
      </c>
      <c r="I36" s="846"/>
      <c r="J36" s="519">
        <v>0.16701516870866856</v>
      </c>
      <c r="K36" s="519">
        <f>K33/K38</f>
        <v>0.25433175502199745</v>
      </c>
      <c r="L36" s="846"/>
      <c r="O36" s="775"/>
      <c r="P36" s="775"/>
      <c r="Q36" s="775"/>
      <c r="R36" s="773"/>
      <c r="S36" s="773"/>
      <c r="T36" s="773"/>
    </row>
    <row r="37" spans="2:20" ht="7.7" customHeight="1">
      <c r="B37" s="528"/>
      <c r="E37" s="465"/>
      <c r="F37" s="847"/>
      <c r="H37" s="465"/>
      <c r="I37" s="847"/>
      <c r="L37" s="847"/>
      <c r="O37" s="775"/>
      <c r="P37" s="775"/>
      <c r="Q37" s="775"/>
      <c r="R37" s="773"/>
      <c r="S37" s="773"/>
      <c r="T37" s="773"/>
    </row>
    <row r="38" spans="2:20" ht="14.1" customHeight="1">
      <c r="B38" s="528" t="s">
        <v>78</v>
      </c>
      <c r="D38" s="471">
        <f>'Income Statement'!BP103</f>
        <v>75430</v>
      </c>
      <c r="E38" s="471">
        <f t="shared" si="0"/>
        <v>77509</v>
      </c>
      <c r="F38" s="847"/>
      <c r="G38" s="471">
        <f>'Income Statement'!BT103</f>
        <v>77528</v>
      </c>
      <c r="H38" s="471">
        <f t="shared" si="1"/>
        <v>77509</v>
      </c>
      <c r="I38" s="847"/>
      <c r="J38" s="471">
        <v>78028</v>
      </c>
      <c r="K38" s="471">
        <f>'Income Statement'!BU103</f>
        <v>77509</v>
      </c>
      <c r="L38" s="847"/>
      <c r="O38" s="775"/>
      <c r="P38" s="775"/>
      <c r="Q38" s="775"/>
      <c r="R38" s="773"/>
      <c r="S38" s="773"/>
      <c r="T38" s="773"/>
    </row>
    <row r="39" spans="2:20" ht="14.1" customHeight="1">
      <c r="B39" s="529" t="s">
        <v>77</v>
      </c>
      <c r="C39" s="541"/>
      <c r="D39" s="542">
        <f>'Income Statement'!BP104</f>
        <v>75999</v>
      </c>
      <c r="E39" s="542">
        <f t="shared" si="0"/>
        <v>77624</v>
      </c>
      <c r="F39" s="848"/>
      <c r="G39" s="542">
        <f>'Income Statement'!BT104</f>
        <v>77883</v>
      </c>
      <c r="H39" s="542">
        <f t="shared" si="1"/>
        <v>77624</v>
      </c>
      <c r="I39" s="848"/>
      <c r="J39" s="542">
        <v>78383</v>
      </c>
      <c r="K39" s="542">
        <f>'Income Statement'!BU104</f>
        <v>77624</v>
      </c>
      <c r="L39" s="848"/>
      <c r="O39" s="775"/>
      <c r="P39" s="775">
        <v>72000</v>
      </c>
      <c r="Q39" s="775"/>
      <c r="R39" s="773"/>
      <c r="S39" s="773">
        <v>73000</v>
      </c>
      <c r="T39" s="773"/>
    </row>
    <row r="40" spans="2:20" ht="3.95" customHeight="1">
      <c r="D40" s="471"/>
      <c r="E40" s="471"/>
      <c r="F40" s="873"/>
      <c r="G40" s="471"/>
      <c r="H40" s="471"/>
      <c r="I40" s="873"/>
      <c r="J40" s="471"/>
      <c r="K40" s="471"/>
      <c r="L40" s="873"/>
      <c r="M40" s="874"/>
      <c r="N40" s="874"/>
      <c r="O40" s="775"/>
      <c r="P40" s="775"/>
      <c r="Q40" s="775"/>
      <c r="R40" s="773"/>
      <c r="S40" s="773"/>
      <c r="T40" s="773"/>
    </row>
    <row r="41" spans="2:20" ht="3" customHeight="1">
      <c r="D41" s="471"/>
      <c r="E41" s="471"/>
      <c r="F41" s="853"/>
      <c r="G41" s="471"/>
      <c r="H41" s="471"/>
      <c r="I41" s="472"/>
      <c r="J41" s="471"/>
      <c r="K41" s="471"/>
      <c r="L41" s="842"/>
      <c r="O41" s="453"/>
      <c r="P41" s="453"/>
      <c r="Q41" s="453"/>
    </row>
    <row r="42" spans="2:20">
      <c r="B42" s="473" t="s">
        <v>154</v>
      </c>
      <c r="C42" s="453"/>
      <c r="D42" s="474"/>
      <c r="E42" s="475"/>
      <c r="F42" s="854"/>
      <c r="G42" s="474"/>
      <c r="H42" s="476"/>
      <c r="I42" s="842"/>
      <c r="J42" s="477"/>
      <c r="K42" s="474"/>
      <c r="L42" s="842" t="s">
        <v>468</v>
      </c>
      <c r="O42" s="453"/>
      <c r="P42" s="453">
        <f>(10000+11000)/2</f>
        <v>10500</v>
      </c>
      <c r="Q42" s="453"/>
      <c r="S42" s="464">
        <f>(69000+71000)/2</f>
        <v>70000</v>
      </c>
    </row>
    <row r="43" spans="2:20">
      <c r="B43" s="466"/>
      <c r="C43" s="466"/>
      <c r="D43" s="478"/>
      <c r="E43" s="479"/>
      <c r="F43" s="461"/>
      <c r="G43" s="478"/>
      <c r="H43" s="456"/>
      <c r="I43" s="461"/>
      <c r="J43" s="456"/>
      <c r="K43" s="478"/>
      <c r="L43" s="461"/>
      <c r="M43" s="493"/>
      <c r="N43" s="493"/>
      <c r="O43" s="453"/>
      <c r="P43" s="453"/>
      <c r="Q43" s="466"/>
    </row>
    <row r="44" spans="2:20">
      <c r="B44" s="466"/>
      <c r="C44" s="466"/>
      <c r="D44" s="479"/>
      <c r="E44" s="479"/>
      <c r="F44" s="461"/>
      <c r="G44" s="479"/>
      <c r="H44" s="456"/>
      <c r="I44" s="461"/>
      <c r="J44" s="456"/>
      <c r="K44" s="479"/>
      <c r="L44" s="461"/>
      <c r="M44" s="493"/>
      <c r="N44" s="493"/>
      <c r="O44" s="453"/>
      <c r="P44" s="453"/>
      <c r="Q44" s="466"/>
    </row>
    <row r="45" spans="2:20" s="59" customFormat="1">
      <c r="E45" s="67"/>
      <c r="F45" s="849"/>
      <c r="H45" s="67"/>
      <c r="I45" s="849"/>
      <c r="L45" s="849"/>
      <c r="M45" s="503"/>
      <c r="N45" s="503"/>
    </row>
    <row r="46" spans="2:20">
      <c r="B46" s="480"/>
      <c r="C46" s="453"/>
      <c r="D46" s="481"/>
      <c r="E46" s="482"/>
      <c r="F46" s="483"/>
      <c r="G46" s="481"/>
      <c r="H46" s="484"/>
      <c r="I46" s="485"/>
      <c r="J46" s="486"/>
      <c r="K46" s="481"/>
      <c r="L46" s="850"/>
      <c r="M46" s="493"/>
      <c r="N46" s="493"/>
      <c r="O46" s="453"/>
      <c r="P46" s="453"/>
      <c r="Q46" s="453"/>
    </row>
    <row r="47" spans="2:20">
      <c r="B47" s="453"/>
      <c r="C47" s="453"/>
      <c r="D47" s="487"/>
      <c r="E47" s="487"/>
      <c r="F47" s="855"/>
      <c r="G47" s="488"/>
      <c r="H47" s="453"/>
      <c r="I47" s="842"/>
      <c r="J47" s="453"/>
      <c r="K47" s="453"/>
      <c r="L47" s="842"/>
      <c r="M47" s="493"/>
      <c r="N47" s="493"/>
      <c r="O47" s="453"/>
      <c r="P47" s="453"/>
      <c r="Q47" s="453"/>
    </row>
    <row r="48" spans="2:20">
      <c r="B48" s="453"/>
      <c r="C48" s="453"/>
      <c r="D48" s="489"/>
      <c r="E48" s="489"/>
      <c r="F48" s="856"/>
      <c r="G48" s="488"/>
      <c r="H48" s="453"/>
      <c r="I48" s="842"/>
      <c r="J48" s="453"/>
      <c r="K48" s="453"/>
      <c r="L48" s="842"/>
      <c r="M48" s="493"/>
      <c r="N48" s="493"/>
      <c r="O48" s="453"/>
      <c r="P48" s="453"/>
      <c r="Q48" s="453"/>
    </row>
    <row r="49" spans="2:17">
      <c r="B49" s="453"/>
      <c r="C49" s="453"/>
      <c r="D49" s="453"/>
      <c r="E49" s="453"/>
      <c r="F49" s="842"/>
      <c r="G49" s="453"/>
      <c r="H49" s="453"/>
      <c r="I49" s="842"/>
      <c r="J49" s="453"/>
      <c r="K49" s="453"/>
      <c r="L49" s="842"/>
      <c r="O49" s="453"/>
      <c r="P49" s="453"/>
      <c r="Q49" s="453"/>
    </row>
    <row r="50" spans="2:17">
      <c r="B50" s="480"/>
      <c r="C50" s="480"/>
      <c r="D50" s="453"/>
      <c r="E50" s="453"/>
      <c r="F50" s="842"/>
      <c r="G50" s="490"/>
      <c r="H50" s="453"/>
      <c r="I50" s="842"/>
      <c r="J50" s="453"/>
      <c r="K50" s="453"/>
      <c r="L50" s="842"/>
      <c r="O50" s="453"/>
      <c r="P50" s="453"/>
      <c r="Q50" s="453"/>
    </row>
    <row r="51" spans="2:17">
      <c r="B51" s="453"/>
      <c r="C51" s="453"/>
      <c r="D51" s="488"/>
      <c r="E51" s="488"/>
      <c r="F51" s="857"/>
      <c r="G51" s="491"/>
      <c r="H51" s="453"/>
      <c r="I51" s="842"/>
      <c r="J51" s="453"/>
      <c r="K51" s="453"/>
      <c r="L51" s="842"/>
      <c r="O51" s="453"/>
      <c r="P51" s="453"/>
      <c r="Q51" s="453"/>
    </row>
    <row r="52" spans="2:17">
      <c r="B52" s="453"/>
      <c r="C52" s="453"/>
      <c r="D52" s="488"/>
      <c r="E52" s="488"/>
      <c r="F52" s="857"/>
      <c r="G52" s="491"/>
      <c r="H52" s="453"/>
      <c r="I52" s="842"/>
      <c r="J52" s="453"/>
      <c r="K52" s="453"/>
      <c r="L52" s="842"/>
      <c r="O52" s="453"/>
      <c r="P52" s="453"/>
      <c r="Q52" s="453"/>
    </row>
    <row r="53" spans="2:17">
      <c r="B53" s="453"/>
      <c r="C53" s="453"/>
      <c r="D53" s="488"/>
      <c r="E53" s="488"/>
      <c r="F53" s="857"/>
      <c r="G53" s="491"/>
      <c r="H53" s="453"/>
      <c r="I53" s="842"/>
      <c r="J53" s="453"/>
      <c r="K53" s="453"/>
      <c r="L53" s="842"/>
      <c r="O53" s="453"/>
      <c r="P53" s="453"/>
      <c r="Q53" s="453"/>
    </row>
    <row r="54" spans="2:17">
      <c r="B54" s="453"/>
      <c r="C54" s="453"/>
      <c r="D54" s="453"/>
      <c r="E54" s="453"/>
      <c r="F54" s="842"/>
      <c r="G54" s="453"/>
      <c r="H54" s="453"/>
      <c r="I54" s="842"/>
      <c r="J54" s="453"/>
      <c r="K54" s="453"/>
      <c r="L54" s="842"/>
      <c r="O54" s="453"/>
      <c r="P54" s="453"/>
      <c r="Q54" s="453"/>
    </row>
    <row r="55" spans="2:17">
      <c r="B55" s="473"/>
      <c r="C55" s="473"/>
      <c r="D55" s="453"/>
      <c r="E55" s="453"/>
      <c r="F55" s="842"/>
      <c r="G55" s="453"/>
      <c r="H55" s="453"/>
      <c r="I55" s="842"/>
      <c r="J55" s="453"/>
      <c r="K55" s="453"/>
      <c r="L55" s="842"/>
      <c r="O55" s="453"/>
      <c r="P55" s="453"/>
      <c r="Q55" s="453"/>
    </row>
    <row r="56" spans="2:17">
      <c r="B56" s="453"/>
      <c r="C56" s="453"/>
      <c r="D56" s="453"/>
      <c r="E56" s="453"/>
      <c r="F56" s="842"/>
      <c r="G56" s="453"/>
      <c r="H56" s="453"/>
      <c r="I56" s="842"/>
      <c r="J56" s="453"/>
      <c r="K56" s="453"/>
      <c r="L56" s="842"/>
      <c r="O56" s="453"/>
      <c r="P56" s="453"/>
      <c r="Q56" s="453"/>
    </row>
  </sheetData>
  <pageMargins left="0.75" right="0.75" top="1" bottom="1" header="0.5" footer="0.5"/>
  <pageSetup scale="8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F902-F43A-46DB-9B36-07BFEA30495F}">
  <sheetPr>
    <tabColor rgb="FF002060"/>
  </sheetPr>
  <dimension ref="A1:K16"/>
  <sheetViews>
    <sheetView workbookViewId="0">
      <selection activeCell="B30" sqref="B30"/>
    </sheetView>
  </sheetViews>
  <sheetFormatPr defaultRowHeight="13.5" outlineLevelCol="1"/>
  <cols>
    <col min="1" max="1" width="8.625"/>
    <col min="2" max="2" width="16.125" customWidth="1"/>
    <col min="3" max="3" width="12.375" bestFit="1" customWidth="1"/>
    <col min="4" max="4" width="13.125" bestFit="1" customWidth="1"/>
    <col min="5" max="5" width="11.875" customWidth="1"/>
    <col min="6" max="6" width="8.375" customWidth="1"/>
    <col min="7" max="7" width="9.125" hidden="1" customWidth="1" outlineLevel="1"/>
    <col min="8" max="8" width="10.875" hidden="1" customWidth="1" outlineLevel="1"/>
    <col min="9" max="9" width="8.125" hidden="1" customWidth="1" outlineLevel="1"/>
    <col min="10" max="10" width="12.625" hidden="1" customWidth="1" outlineLevel="1"/>
    <col min="11" max="11" width="9" collapsed="1"/>
  </cols>
  <sheetData>
    <row r="1" spans="1:10">
      <c r="A1" s="877"/>
      <c r="B1" s="877"/>
      <c r="C1" s="877"/>
      <c r="D1" s="877"/>
      <c r="E1" s="877"/>
      <c r="F1" s="877"/>
      <c r="G1" s="877"/>
      <c r="H1" s="877"/>
      <c r="I1" s="877"/>
      <c r="J1" s="877"/>
    </row>
    <row r="2" spans="1:10">
      <c r="A2" s="877"/>
      <c r="B2" s="877"/>
      <c r="C2" s="877"/>
      <c r="D2" s="877"/>
      <c r="E2" s="877"/>
      <c r="F2" s="877"/>
      <c r="G2" s="877"/>
      <c r="H2" s="877"/>
      <c r="I2" s="877"/>
      <c r="J2" s="877"/>
    </row>
    <row r="3" spans="1:10">
      <c r="A3" s="877"/>
      <c r="B3" s="877"/>
      <c r="C3" s="877"/>
      <c r="D3" s="877"/>
      <c r="E3" s="877"/>
      <c r="F3" s="877"/>
      <c r="G3" s="877"/>
      <c r="H3" s="877"/>
      <c r="I3" s="877"/>
      <c r="J3" s="877"/>
    </row>
    <row r="4" spans="1:10" s="880" customFormat="1">
      <c r="A4" s="877"/>
      <c r="B4" s="877"/>
      <c r="C4" s="877"/>
      <c r="D4" s="877"/>
      <c r="E4" s="877"/>
      <c r="F4" s="877"/>
      <c r="G4" s="877"/>
      <c r="H4" s="877"/>
      <c r="I4" s="877"/>
      <c r="J4" s="877"/>
    </row>
    <row r="5" spans="1:10" s="880" customFormat="1" ht="23.25">
      <c r="A5" s="877"/>
      <c r="B5" s="877"/>
      <c r="C5" s="881" t="s">
        <v>532</v>
      </c>
      <c r="D5" s="882" t="s">
        <v>533</v>
      </c>
      <c r="E5" s="882" t="s">
        <v>534</v>
      </c>
      <c r="F5" s="883" t="s">
        <v>487</v>
      </c>
      <c r="G5" s="882" t="s">
        <v>526</v>
      </c>
      <c r="H5" s="882" t="s">
        <v>527</v>
      </c>
      <c r="I5" s="883" t="s">
        <v>528</v>
      </c>
      <c r="J5" s="884" t="s">
        <v>488</v>
      </c>
    </row>
    <row r="6" spans="1:10" s="880" customFormat="1">
      <c r="C6" s="885" t="s">
        <v>484</v>
      </c>
      <c r="D6" s="886">
        <v>1254</v>
      </c>
      <c r="E6" s="886">
        <v>1254</v>
      </c>
      <c r="F6" s="887">
        <f>E6-D6</f>
        <v>0</v>
      </c>
      <c r="G6" s="888">
        <v>284.5</v>
      </c>
      <c r="H6" s="886">
        <f>Comparison!K5/1000</f>
        <v>300.28199999999998</v>
      </c>
      <c r="I6" s="887">
        <f>H6-G6</f>
        <v>15.781999999999982</v>
      </c>
      <c r="J6" s="887">
        <f>F6-I6</f>
        <v>-15.781999999999982</v>
      </c>
    </row>
    <row r="7" spans="1:10" s="880" customFormat="1">
      <c r="C7" s="889" t="s">
        <v>480</v>
      </c>
      <c r="D7" s="890">
        <f>D6/('Income Statement'!BV28/1000)-1</f>
        <v>9.1300231139825661E-2</v>
      </c>
      <c r="E7" s="890">
        <f>E6/('Income Statement'!BV28/1000)-1</f>
        <v>9.1300231139825661E-2</v>
      </c>
      <c r="F7" s="891"/>
      <c r="G7" s="892"/>
      <c r="H7" s="890"/>
      <c r="I7" s="891"/>
      <c r="J7" s="893"/>
    </row>
    <row r="8" spans="1:10" s="880" customFormat="1">
      <c r="C8" s="894" t="s">
        <v>80</v>
      </c>
      <c r="D8" s="895">
        <v>3.18</v>
      </c>
      <c r="E8" s="895">
        <v>3.18</v>
      </c>
      <c r="F8" s="896">
        <f>E8-D8</f>
        <v>0</v>
      </c>
      <c r="G8" s="897">
        <v>0.73</v>
      </c>
      <c r="H8" s="903">
        <f>Comparison!K35</f>
        <v>0.80433886426878287</v>
      </c>
      <c r="I8" s="896">
        <f>H8-G8</f>
        <v>7.4338864268782889E-2</v>
      </c>
      <c r="J8" s="898">
        <f>F8-I8</f>
        <v>-7.4338864268782889E-2</v>
      </c>
    </row>
    <row r="9" spans="1:10" s="880" customFormat="1"/>
    <row r="10" spans="1:10" s="880" customFormat="1"/>
    <row r="11" spans="1:10" s="880" customFormat="1"/>
    <row r="12" spans="1:10" s="880" customFormat="1"/>
    <row r="13" spans="1:10" s="880" customFormat="1"/>
    <row r="14" spans="1:10" s="880" customFormat="1"/>
    <row r="15" spans="1:10" s="880" customFormat="1"/>
    <row r="16" spans="1:10" s="880" customFormat="1"/>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pageSetUpPr fitToPage="1"/>
  </sheetPr>
  <dimension ref="A1:CD162"/>
  <sheetViews>
    <sheetView showGridLines="0" tabSelected="1" zoomScale="110" zoomScaleNormal="110" workbookViewId="0">
      <pane xSplit="3" ySplit="4" topLeftCell="BQ25" activePane="bottomRight" state="frozen"/>
      <selection pane="topRight" activeCell="D1" sqref="D1"/>
      <selection pane="bottomLeft" activeCell="A5" sqref="A5"/>
      <selection pane="bottomRight" activeCell="BQ25" sqref="BQ25"/>
    </sheetView>
  </sheetViews>
  <sheetFormatPr defaultColWidth="9" defaultRowHeight="12.75" outlineLevelRow="1" outlineLevelCol="1"/>
  <cols>
    <col min="1" max="2" width="1.625" style="105" customWidth="1"/>
    <col min="3" max="3" width="33.625" style="105" customWidth="1"/>
    <col min="4" max="4" width="8.625" style="105" hidden="1" customWidth="1"/>
    <col min="5" max="8" width="8.625" style="105" hidden="1" customWidth="1" outlineLevel="1"/>
    <col min="9" max="9" width="8.625" style="105" hidden="1" customWidth="1" collapsed="1"/>
    <col min="10" max="13" width="8.625" style="105" hidden="1" customWidth="1" outlineLevel="1"/>
    <col min="14" max="14" width="8.625" style="105" hidden="1" customWidth="1" collapsed="1"/>
    <col min="15" max="18" width="8.625" style="105" hidden="1" customWidth="1" outlineLevel="1"/>
    <col min="19" max="19" width="8.625" style="105" hidden="1" customWidth="1" collapsed="1"/>
    <col min="20" max="23" width="8.625" style="105" hidden="1" customWidth="1" outlineLevel="1"/>
    <col min="24" max="24" width="8.625" style="105" hidden="1" customWidth="1" collapsed="1"/>
    <col min="25" max="28" width="8.625" style="105" hidden="1" customWidth="1" outlineLevel="1"/>
    <col min="29" max="29" width="8.625" style="105" hidden="1" customWidth="1" collapsed="1"/>
    <col min="30" max="33" width="8.625" style="105" hidden="1" customWidth="1" outlineLevel="1"/>
    <col min="34" max="34" width="8.625" style="105" hidden="1" customWidth="1" collapsed="1"/>
    <col min="35" max="38" width="8.625" style="105" hidden="1" customWidth="1" outlineLevel="1"/>
    <col min="39" max="39" width="8.625" style="105" hidden="1" customWidth="1" collapsed="1"/>
    <col min="40" max="43" width="8.625" style="105" hidden="1" customWidth="1" outlineLevel="1"/>
    <col min="44" max="44" width="8.625" style="105" customWidth="1" collapsed="1"/>
    <col min="45" max="48" width="8.625" style="105" hidden="1" customWidth="1" outlineLevel="1"/>
    <col min="49" max="49" width="8.625" style="105" customWidth="1" collapsed="1"/>
    <col min="50" max="53" width="8.625" style="105" hidden="1" customWidth="1" outlineLevel="1"/>
    <col min="54" max="54" width="8.625" style="105" customWidth="1" collapsed="1"/>
    <col min="55" max="58" width="8.625" style="105" hidden="1" customWidth="1" outlineLevel="1"/>
    <col min="59" max="59" width="8.625" style="105" customWidth="1" collapsed="1"/>
    <col min="60" max="63" width="8.625" style="105" customWidth="1" outlineLevel="1"/>
    <col min="64" max="64" width="8.625" style="105" customWidth="1"/>
    <col min="65" max="66" width="9.375" style="105" bestFit="1" customWidth="1" outlineLevel="1"/>
    <col min="67" max="68" width="8.625" style="105" customWidth="1" outlineLevel="1"/>
    <col min="69" max="69" width="10.375" style="105" customWidth="1"/>
    <col min="70" max="73" width="8.625" style="105" customWidth="1" outlineLevel="1"/>
    <col min="74" max="74" width="10.375" style="105" customWidth="1"/>
    <col min="75" max="78" width="8.625" style="105" customWidth="1" outlineLevel="1"/>
    <col min="79" max="79" width="10.375" style="105" customWidth="1"/>
    <col min="80" max="80" width="9" style="105"/>
    <col min="81" max="81" width="9.5" style="105" bestFit="1" customWidth="1"/>
    <col min="82" max="16384" width="9" style="105"/>
  </cols>
  <sheetData>
    <row r="1" spans="1:82" s="53" customFormat="1" ht="10.15" customHeight="1">
      <c r="AA1" s="128"/>
      <c r="AB1" s="128"/>
      <c r="AC1" s="128"/>
      <c r="AD1" s="128"/>
      <c r="AE1" s="128"/>
      <c r="AF1" s="128"/>
      <c r="AG1" s="128"/>
      <c r="AH1" s="828"/>
      <c r="AI1" s="128"/>
      <c r="AJ1" s="128"/>
      <c r="AK1" s="128"/>
      <c r="AL1" s="128"/>
      <c r="AM1" s="128"/>
      <c r="AN1" s="128"/>
      <c r="AO1" s="128"/>
      <c r="AP1" s="163"/>
      <c r="AQ1" s="128"/>
      <c r="AR1" s="128"/>
      <c r="AS1" s="128"/>
      <c r="AT1" s="128"/>
      <c r="AU1" s="163"/>
      <c r="AV1" s="128"/>
      <c r="AW1" s="128"/>
      <c r="AX1" s="128"/>
      <c r="AY1" s="128"/>
      <c r="AZ1" s="163"/>
      <c r="BA1" s="128"/>
      <c r="BB1" s="128"/>
      <c r="BC1" s="758"/>
      <c r="BD1" s="758"/>
      <c r="BE1" s="759"/>
      <c r="BF1" s="758"/>
      <c r="BG1" s="758"/>
      <c r="BH1" s="758"/>
      <c r="BI1" s="758"/>
      <c r="BJ1" s="759"/>
      <c r="BK1" s="758"/>
      <c r="BL1" s="758"/>
      <c r="BM1" s="758"/>
      <c r="BN1" s="758"/>
      <c r="BO1" s="759"/>
      <c r="BP1" s="910"/>
      <c r="BQ1" s="758"/>
      <c r="BR1" s="910"/>
      <c r="BS1" s="910"/>
      <c r="BT1" s="910"/>
      <c r="BU1" s="910"/>
      <c r="BV1" s="758"/>
      <c r="BW1" s="910"/>
      <c r="BX1" s="910"/>
      <c r="BY1" s="910"/>
      <c r="BZ1" s="910"/>
      <c r="CA1" s="758"/>
    </row>
    <row r="2" spans="1:82" s="53" customFormat="1" ht="15">
      <c r="A2" s="105"/>
      <c r="B2" s="159" t="s">
        <v>188</v>
      </c>
      <c r="C2" s="159"/>
      <c r="D2" s="159"/>
      <c r="E2" s="159"/>
      <c r="F2" s="159"/>
      <c r="G2" s="159"/>
      <c r="H2" s="159"/>
      <c r="I2" s="159"/>
      <c r="J2" s="159"/>
      <c r="K2" s="159"/>
      <c r="L2" s="159"/>
      <c r="M2" s="105"/>
      <c r="N2" s="105"/>
      <c r="O2" s="105"/>
      <c r="P2" s="105"/>
      <c r="Q2" s="105"/>
      <c r="R2" s="105"/>
      <c r="S2" s="105"/>
      <c r="T2" s="105"/>
      <c r="U2" s="105"/>
      <c r="V2" s="105"/>
      <c r="W2" s="105"/>
      <c r="X2" s="387"/>
      <c r="Y2" s="388"/>
      <c r="Z2" s="105"/>
      <c r="AA2" s="386"/>
      <c r="AB2" s="386"/>
      <c r="AC2" s="386"/>
      <c r="AD2" s="99"/>
      <c r="AE2" s="99"/>
      <c r="AF2" s="99"/>
      <c r="AG2" s="99"/>
      <c r="AH2" s="99"/>
      <c r="AI2" s="99"/>
      <c r="AJ2" s="99"/>
      <c r="AK2" s="99"/>
      <c r="AL2" s="395"/>
      <c r="AM2" s="99"/>
      <c r="AN2" s="99"/>
      <c r="AO2" s="128"/>
      <c r="AP2" s="99"/>
      <c r="AQ2" s="99"/>
      <c r="AR2" s="99"/>
      <c r="AS2" s="99"/>
      <c r="AT2" s="128"/>
      <c r="AU2" s="99"/>
      <c r="AV2" s="99"/>
      <c r="AW2" s="407"/>
      <c r="AX2" s="99"/>
      <c r="AY2" s="128"/>
      <c r="AZ2" s="99"/>
      <c r="BA2" s="99"/>
      <c r="BB2" s="99"/>
      <c r="BC2" s="879"/>
      <c r="BD2" s="128"/>
      <c r="BE2" s="99"/>
      <c r="BF2" s="99"/>
      <c r="BG2" s="99"/>
      <c r="BH2" s="99"/>
      <c r="BI2" s="128"/>
      <c r="BJ2" s="99"/>
      <c r="BK2" s="99"/>
      <c r="BL2" s="99"/>
      <c r="BM2" s="99"/>
      <c r="BN2" s="128"/>
      <c r="BO2" s="99"/>
      <c r="BP2" s="99"/>
      <c r="BQ2" s="99"/>
      <c r="BR2" s="99"/>
      <c r="BS2" s="99"/>
      <c r="BT2" s="99"/>
      <c r="BU2" s="99"/>
      <c r="BV2" s="99"/>
      <c r="BW2" s="99"/>
      <c r="BX2" s="99"/>
      <c r="BY2" s="99"/>
      <c r="BZ2" s="99"/>
      <c r="CA2" s="99"/>
    </row>
    <row r="3" spans="1:82" s="53" customFormat="1" ht="4.9000000000000004" customHeight="1" thickBot="1">
      <c r="A3" s="105"/>
      <c r="B3" s="105"/>
      <c r="C3" s="159"/>
      <c r="D3" s="159"/>
      <c r="E3" s="159"/>
      <c r="F3" s="159"/>
      <c r="G3" s="159"/>
      <c r="H3" s="159"/>
      <c r="I3" s="159"/>
      <c r="J3" s="159"/>
      <c r="K3" s="159"/>
      <c r="L3" s="159"/>
      <c r="M3" s="105"/>
      <c r="N3" s="105"/>
      <c r="O3" s="124"/>
      <c r="P3" s="124"/>
      <c r="Q3" s="124"/>
      <c r="R3" s="124"/>
      <c r="S3" s="105"/>
      <c r="T3" s="124"/>
      <c r="U3" s="124"/>
      <c r="V3" s="124"/>
      <c r="W3" s="124"/>
      <c r="X3" s="105"/>
      <c r="Y3" s="124"/>
      <c r="Z3" s="124"/>
      <c r="AA3" s="386"/>
      <c r="AB3" s="386"/>
      <c r="AC3" s="386"/>
      <c r="AD3" s="386"/>
      <c r="AE3" s="386"/>
      <c r="AF3" s="386"/>
      <c r="AG3" s="386"/>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row>
    <row r="4" spans="1:82" s="53" customFormat="1" ht="13.5" thickBot="1">
      <c r="A4" s="105"/>
      <c r="B4" s="837" t="s">
        <v>111</v>
      </c>
      <c r="C4" s="838"/>
      <c r="D4" s="839">
        <v>2011</v>
      </c>
      <c r="E4" s="840" t="s">
        <v>187</v>
      </c>
      <c r="F4" s="840" t="s">
        <v>186</v>
      </c>
      <c r="G4" s="840" t="s">
        <v>185</v>
      </c>
      <c r="H4" s="840" t="s">
        <v>184</v>
      </c>
      <c r="I4" s="839">
        <v>2012</v>
      </c>
      <c r="J4" s="840" t="s">
        <v>110</v>
      </c>
      <c r="K4" s="840" t="s">
        <v>109</v>
      </c>
      <c r="L4" s="840" t="s">
        <v>108</v>
      </c>
      <c r="M4" s="840" t="s">
        <v>107</v>
      </c>
      <c r="N4" s="839">
        <v>2013</v>
      </c>
      <c r="O4" s="840" t="s">
        <v>68</v>
      </c>
      <c r="P4" s="840" t="s">
        <v>67</v>
      </c>
      <c r="Q4" s="840" t="s">
        <v>66</v>
      </c>
      <c r="R4" s="840" t="s">
        <v>65</v>
      </c>
      <c r="S4" s="839">
        <v>2014</v>
      </c>
      <c r="T4" s="840" t="s">
        <v>64</v>
      </c>
      <c r="U4" s="840" t="s">
        <v>63</v>
      </c>
      <c r="V4" s="840" t="s">
        <v>62</v>
      </c>
      <c r="W4" s="840" t="s">
        <v>156</v>
      </c>
      <c r="X4" s="839">
        <v>2015</v>
      </c>
      <c r="Y4" s="840" t="s">
        <v>179</v>
      </c>
      <c r="Z4" s="840" t="s">
        <v>180</v>
      </c>
      <c r="AA4" s="840" t="s">
        <v>249</v>
      </c>
      <c r="AB4" s="840" t="s">
        <v>253</v>
      </c>
      <c r="AC4" s="839">
        <v>2016</v>
      </c>
      <c r="AD4" s="840" t="s">
        <v>257</v>
      </c>
      <c r="AE4" s="840" t="s">
        <v>258</v>
      </c>
      <c r="AF4" s="840" t="s">
        <v>259</v>
      </c>
      <c r="AG4" s="840" t="s">
        <v>260</v>
      </c>
      <c r="AH4" s="839">
        <v>2017</v>
      </c>
      <c r="AI4" s="840" t="s">
        <v>261</v>
      </c>
      <c r="AJ4" s="840" t="s">
        <v>264</v>
      </c>
      <c r="AK4" s="840" t="s">
        <v>273</v>
      </c>
      <c r="AL4" s="840" t="s">
        <v>275</v>
      </c>
      <c r="AM4" s="839">
        <v>2018</v>
      </c>
      <c r="AN4" s="840" t="s">
        <v>279</v>
      </c>
      <c r="AO4" s="840" t="s">
        <v>284</v>
      </c>
      <c r="AP4" s="840" t="s">
        <v>286</v>
      </c>
      <c r="AQ4" s="840" t="s">
        <v>289</v>
      </c>
      <c r="AR4" s="839">
        <v>2019</v>
      </c>
      <c r="AS4" s="840" t="s">
        <v>291</v>
      </c>
      <c r="AT4" s="840" t="s">
        <v>292</v>
      </c>
      <c r="AU4" s="840" t="s">
        <v>293</v>
      </c>
      <c r="AV4" s="840" t="s">
        <v>294</v>
      </c>
      <c r="AW4" s="839">
        <v>2020</v>
      </c>
      <c r="AX4" s="840" t="s">
        <v>347</v>
      </c>
      <c r="AY4" s="840" t="s">
        <v>358</v>
      </c>
      <c r="AZ4" s="840" t="s">
        <v>366</v>
      </c>
      <c r="BA4" s="840" t="s">
        <v>444</v>
      </c>
      <c r="BB4" s="839">
        <v>2021</v>
      </c>
      <c r="BC4" s="840" t="s">
        <v>464</v>
      </c>
      <c r="BD4" s="840" t="s">
        <v>472</v>
      </c>
      <c r="BE4" s="840" t="s">
        <v>476</v>
      </c>
      <c r="BF4" s="840" t="s">
        <v>479</v>
      </c>
      <c r="BG4" s="839">
        <v>2022</v>
      </c>
      <c r="BH4" s="840" t="s">
        <v>486</v>
      </c>
      <c r="BI4" s="840" t="s">
        <v>489</v>
      </c>
      <c r="BJ4" s="840" t="s">
        <v>492</v>
      </c>
      <c r="BK4" s="840" t="s">
        <v>495</v>
      </c>
      <c r="BL4" s="839">
        <v>2023</v>
      </c>
      <c r="BM4" s="840" t="s">
        <v>498</v>
      </c>
      <c r="BN4" s="840" t="s">
        <v>503</v>
      </c>
      <c r="BO4" s="840" t="s">
        <v>505</v>
      </c>
      <c r="BP4" s="840" t="s">
        <v>509</v>
      </c>
      <c r="BQ4" s="839">
        <v>2024</v>
      </c>
      <c r="BR4" s="840" t="s">
        <v>519</v>
      </c>
      <c r="BS4" s="840" t="s">
        <v>524</v>
      </c>
      <c r="BT4" s="840" t="s">
        <v>525</v>
      </c>
      <c r="BU4" s="840" t="s">
        <v>531</v>
      </c>
      <c r="BV4" s="839">
        <v>2025</v>
      </c>
      <c r="BW4" s="840" t="s">
        <v>514</v>
      </c>
      <c r="BX4" s="840" t="s">
        <v>515</v>
      </c>
      <c r="BY4" s="840" t="s">
        <v>516</v>
      </c>
      <c r="BZ4" s="840" t="s">
        <v>517</v>
      </c>
      <c r="CA4" s="839" t="s">
        <v>518</v>
      </c>
      <c r="CD4" s="830"/>
    </row>
    <row r="5" spans="1:82" s="53" customFormat="1" ht="18" customHeight="1" outlineLevel="1">
      <c r="A5" s="99"/>
      <c r="B5" s="608" t="s">
        <v>1</v>
      </c>
      <c r="C5" s="259"/>
      <c r="D5" s="95">
        <v>43188</v>
      </c>
      <c r="E5" s="96">
        <v>14321.10974</v>
      </c>
      <c r="F5" s="96">
        <v>15027.739539999999</v>
      </c>
      <c r="G5" s="96">
        <v>16202.042969999999</v>
      </c>
      <c r="H5" s="96">
        <v>18271.429219999998</v>
      </c>
      <c r="I5" s="95">
        <f>SUM(E5:H5)</f>
        <v>63822.321469999995</v>
      </c>
      <c r="J5" s="98">
        <v>19115.124780000002</v>
      </c>
      <c r="K5" s="96">
        <v>20282.90121</v>
      </c>
      <c r="L5" s="96">
        <v>21091.220200000003</v>
      </c>
      <c r="M5" s="100">
        <v>23642.753809999995</v>
      </c>
      <c r="N5" s="270">
        <f>SUM(J5:M5)</f>
        <v>84132</v>
      </c>
      <c r="O5" s="96">
        <v>24274</v>
      </c>
      <c r="P5" s="96">
        <v>24685</v>
      </c>
      <c r="Q5" s="96">
        <v>25869</v>
      </c>
      <c r="R5" s="96">
        <v>28274</v>
      </c>
      <c r="S5" s="95">
        <f>SUM(O5:R5)</f>
        <v>103102</v>
      </c>
      <c r="T5" s="107">
        <v>30274</v>
      </c>
      <c r="U5" s="107">
        <v>30274</v>
      </c>
      <c r="V5" s="107">
        <v>32287</v>
      </c>
      <c r="W5" s="96">
        <v>36033</v>
      </c>
      <c r="X5" s="95">
        <f>SUM(T5:W5)</f>
        <v>128868</v>
      </c>
      <c r="Y5" s="96">
        <v>38015</v>
      </c>
      <c r="Z5" s="202">
        <v>38886</v>
      </c>
      <c r="AA5" s="202">
        <v>40982</v>
      </c>
      <c r="AB5" s="202">
        <v>44207</v>
      </c>
      <c r="AC5" s="204">
        <f>SUM(Y5:AB5)</f>
        <v>162090</v>
      </c>
      <c r="AD5" s="202">
        <v>47014</v>
      </c>
      <c r="AE5" s="202">
        <v>47727</v>
      </c>
      <c r="AF5" s="202">
        <v>50081</v>
      </c>
      <c r="AG5" s="202">
        <v>55403</v>
      </c>
      <c r="AH5" s="95">
        <f>SUM(AD5:AG5)</f>
        <v>200225</v>
      </c>
      <c r="AI5" s="202">
        <v>58905</v>
      </c>
      <c r="AJ5" s="372">
        <v>61120</v>
      </c>
      <c r="AK5" s="202">
        <v>65304</v>
      </c>
      <c r="AL5" s="202">
        <v>72335</v>
      </c>
      <c r="AM5" s="95">
        <f>SUM(AI5:AL5)</f>
        <v>257664</v>
      </c>
      <c r="AN5" s="202">
        <v>74538</v>
      </c>
      <c r="AO5" s="202">
        <f>77436</f>
        <v>77436</v>
      </c>
      <c r="AP5" s="202">
        <v>83769</v>
      </c>
      <c r="AQ5" s="202">
        <f>92263</f>
        <v>92263</v>
      </c>
      <c r="AR5" s="95">
        <f>SUM(AN5:AQ5)</f>
        <v>328006</v>
      </c>
      <c r="AS5" s="202">
        <v>95088</v>
      </c>
      <c r="AT5" s="202">
        <v>99792</v>
      </c>
      <c r="AU5" s="202">
        <f>112143</f>
        <v>112143</v>
      </c>
      <c r="AV5" s="202">
        <f>127885</f>
        <v>127885</v>
      </c>
      <c r="AW5" s="95">
        <f>SUM(AS5:AV5)</f>
        <v>434908</v>
      </c>
      <c r="AX5" s="202">
        <v>137882</v>
      </c>
      <c r="AY5" s="202">
        <v>143782</v>
      </c>
      <c r="AZ5" s="202">
        <v>154328</v>
      </c>
      <c r="BA5" s="202">
        <v>173599</v>
      </c>
      <c r="BB5" s="95">
        <f>SUM(AX5:BA5)</f>
        <v>609591</v>
      </c>
      <c r="BC5" s="202">
        <v>182777</v>
      </c>
      <c r="BD5" s="202">
        <v>189382</v>
      </c>
      <c r="BE5" s="202">
        <v>198342</v>
      </c>
      <c r="BF5" s="202">
        <v>208345</v>
      </c>
      <c r="BG5" s="95">
        <f>SUM(BC5:BF5)</f>
        <v>778846</v>
      </c>
      <c r="BH5" s="202">
        <v>218439</v>
      </c>
      <c r="BI5" s="202">
        <v>222882</v>
      </c>
      <c r="BJ5" s="202">
        <v>230105</v>
      </c>
      <c r="BK5" s="202">
        <v>239062</v>
      </c>
      <c r="BL5" s="95">
        <f>SUM(BH5:BK5)</f>
        <v>910488</v>
      </c>
      <c r="BM5" s="202">
        <v>247010</v>
      </c>
      <c r="BN5" s="202">
        <v>252086</v>
      </c>
      <c r="BO5" s="202">
        <v>264182</v>
      </c>
      <c r="BP5" s="202">
        <v>278660</v>
      </c>
      <c r="BQ5" s="95">
        <f>SUM(BM5:BP5)</f>
        <v>1041938</v>
      </c>
      <c r="BR5" s="202">
        <v>279705</v>
      </c>
      <c r="BS5" s="202">
        <v>283269</v>
      </c>
      <c r="BT5" s="202">
        <v>285832</v>
      </c>
      <c r="BU5" s="202">
        <v>300282</v>
      </c>
      <c r="BV5" s="95">
        <f>SUM(BR5:BU5)</f>
        <v>1149088</v>
      </c>
      <c r="BW5" s="202">
        <f>BW9+BW24</f>
        <v>299228.40899999999</v>
      </c>
      <c r="BX5" s="202">
        <f>BX9+BX24</f>
        <v>306327.09660000005</v>
      </c>
      <c r="BY5" s="202">
        <f>BY9+BY24</f>
        <v>313729.20319999999</v>
      </c>
      <c r="BZ5" s="202">
        <f>BZ9+BZ24</f>
        <v>337396.85519999999</v>
      </c>
      <c r="CA5" s="95">
        <f>SUM(BW5:BZ5)</f>
        <v>1256681.564</v>
      </c>
      <c r="CB5" s="163"/>
      <c r="CC5" s="163"/>
      <c r="CD5" s="163"/>
    </row>
    <row r="6" spans="1:82" s="623" customFormat="1" ht="12.4" customHeight="1" outlineLevel="1">
      <c r="A6" s="609"/>
      <c r="B6" s="610"/>
      <c r="C6" s="611" t="s">
        <v>106</v>
      </c>
      <c r="D6" s="612"/>
      <c r="E6" s="613"/>
      <c r="F6" s="613"/>
      <c r="G6" s="613"/>
      <c r="H6" s="613"/>
      <c r="I6" s="614">
        <f>I5/D5-1</f>
        <v>0.47777904672594218</v>
      </c>
      <c r="J6" s="615">
        <f t="shared" ref="J6:R6" si="0">J5/E5-1</f>
        <v>0.33475164474230201</v>
      </c>
      <c r="K6" s="616">
        <f t="shared" si="0"/>
        <v>0.34969741497130058</v>
      </c>
      <c r="L6" s="616">
        <f t="shared" si="0"/>
        <v>0.30176300847077719</v>
      </c>
      <c r="M6" s="617">
        <f t="shared" si="0"/>
        <v>0.29397397025299576</v>
      </c>
      <c r="N6" s="614">
        <f t="shared" si="0"/>
        <v>0.31822218406058256</v>
      </c>
      <c r="O6" s="615">
        <f t="shared" si="0"/>
        <v>0.26988446475629013</v>
      </c>
      <c r="P6" s="616">
        <f t="shared" si="0"/>
        <v>0.21703496676450063</v>
      </c>
      <c r="Q6" s="616">
        <f t="shared" si="0"/>
        <v>0.22652932142825932</v>
      </c>
      <c r="R6" s="617">
        <f t="shared" si="0"/>
        <v>0.19588438077975345</v>
      </c>
      <c r="S6" s="612">
        <f t="shared" ref="S6:AB6" si="1">S5/N5-1</f>
        <v>0.22547900917605657</v>
      </c>
      <c r="T6" s="610">
        <f t="shared" si="1"/>
        <v>0.24717805058910769</v>
      </c>
      <c r="U6" s="613">
        <f t="shared" si="1"/>
        <v>0.22641280129633379</v>
      </c>
      <c r="V6" s="613">
        <f t="shared" si="1"/>
        <v>0.24809617689125973</v>
      </c>
      <c r="W6" s="613">
        <f t="shared" si="1"/>
        <v>0.27442173021150174</v>
      </c>
      <c r="X6" s="612">
        <f t="shared" si="1"/>
        <v>0.24990785823747363</v>
      </c>
      <c r="Y6" s="618">
        <f t="shared" si="1"/>
        <v>0.25569795864438127</v>
      </c>
      <c r="Z6" s="619">
        <f t="shared" si="1"/>
        <v>0.28446852084296759</v>
      </c>
      <c r="AA6" s="619">
        <f t="shared" si="1"/>
        <v>0.26930343481896735</v>
      </c>
      <c r="AB6" s="619">
        <f t="shared" si="1"/>
        <v>0.22684761191130343</v>
      </c>
      <c r="AC6" s="620">
        <f t="shared" ref="AC6:AQ6" si="2">AC5/X5-1</f>
        <v>0.25779867771673337</v>
      </c>
      <c r="AD6" s="621">
        <f t="shared" si="2"/>
        <v>0.23672234644219392</v>
      </c>
      <c r="AE6" s="622">
        <f t="shared" si="2"/>
        <v>0.22735688936892462</v>
      </c>
      <c r="AF6" s="622">
        <f t="shared" si="2"/>
        <v>0.22202430335269141</v>
      </c>
      <c r="AG6" s="622">
        <f t="shared" si="2"/>
        <v>0.25326305788676007</v>
      </c>
      <c r="AH6" s="612">
        <f t="shared" si="2"/>
        <v>0.2352705287186132</v>
      </c>
      <c r="AI6" s="610">
        <f t="shared" si="2"/>
        <v>0.25292466073935427</v>
      </c>
      <c r="AJ6" s="613">
        <f t="shared" si="2"/>
        <v>0.28061684162004741</v>
      </c>
      <c r="AK6" s="613">
        <f>AK5/AF5-1</f>
        <v>0.30396757253249729</v>
      </c>
      <c r="AL6" s="613">
        <f t="shared" si="2"/>
        <v>0.30561521939245173</v>
      </c>
      <c r="AM6" s="612">
        <f>AM5/AH5-1</f>
        <v>0.28687226869771498</v>
      </c>
      <c r="AN6" s="610">
        <f t="shared" si="2"/>
        <v>0.26539343009931238</v>
      </c>
      <c r="AO6" s="613">
        <f t="shared" si="2"/>
        <v>0.26695026178010473</v>
      </c>
      <c r="AP6" s="613">
        <f t="shared" si="2"/>
        <v>0.2827545020213158</v>
      </c>
      <c r="AQ6" s="613">
        <f t="shared" si="2"/>
        <v>0.27549595631437063</v>
      </c>
      <c r="AR6" s="612">
        <f t="shared" ref="AR6:CA6" si="3">AR5/AM5-1</f>
        <v>0.27299894436164918</v>
      </c>
      <c r="AS6" s="613">
        <f t="shared" si="3"/>
        <v>0.27569830153747077</v>
      </c>
      <c r="AT6" s="613">
        <f t="shared" si="3"/>
        <v>0.28870292887029292</v>
      </c>
      <c r="AU6" s="613">
        <f t="shared" si="3"/>
        <v>0.33871718654872329</v>
      </c>
      <c r="AV6" s="613">
        <f t="shared" si="3"/>
        <v>0.38609193284415211</v>
      </c>
      <c r="AW6" s="612">
        <f t="shared" si="3"/>
        <v>0.32591476985177104</v>
      </c>
      <c r="AX6" s="613">
        <f t="shared" si="3"/>
        <v>0.45004627292613164</v>
      </c>
      <c r="AY6" s="613">
        <f t="shared" si="3"/>
        <v>0.44081689915023259</v>
      </c>
      <c r="AZ6" s="613">
        <f t="shared" si="3"/>
        <v>0.37617149532293581</v>
      </c>
      <c r="BA6" s="613">
        <f t="shared" si="3"/>
        <v>0.35746178206982826</v>
      </c>
      <c r="BB6" s="612">
        <f t="shared" si="3"/>
        <v>0.40165506267992312</v>
      </c>
      <c r="BC6" s="613">
        <f t="shared" si="3"/>
        <v>0.32560450240060335</v>
      </c>
      <c r="BD6" s="613">
        <f t="shared" si="3"/>
        <v>0.31714679167072379</v>
      </c>
      <c r="BE6" s="613">
        <f t="shared" si="3"/>
        <v>0.28519776061375768</v>
      </c>
      <c r="BF6" s="613">
        <f t="shared" si="3"/>
        <v>0.20015092252835553</v>
      </c>
      <c r="BG6" s="612">
        <f t="shared" si="3"/>
        <v>0.27765337742847263</v>
      </c>
      <c r="BH6" s="613">
        <f t="shared" si="3"/>
        <v>0.19511207646476314</v>
      </c>
      <c r="BI6" s="613">
        <f t="shared" si="3"/>
        <v>0.17689115121817278</v>
      </c>
      <c r="BJ6" s="613">
        <f t="shared" si="3"/>
        <v>0.1601425820048199</v>
      </c>
      <c r="BK6" s="613">
        <f t="shared" si="3"/>
        <v>0.14743334373275108</v>
      </c>
      <c r="BL6" s="612">
        <f t="shared" si="3"/>
        <v>0.16902186054752799</v>
      </c>
      <c r="BM6" s="613">
        <f t="shared" si="3"/>
        <v>0.13079624059806161</v>
      </c>
      <c r="BN6" s="613">
        <f t="shared" si="3"/>
        <v>0.13102897497330424</v>
      </c>
      <c r="BO6" s="613">
        <f t="shared" si="3"/>
        <v>0.14809326177179982</v>
      </c>
      <c r="BP6" s="613">
        <f t="shared" si="3"/>
        <v>0.1656390392450493</v>
      </c>
      <c r="BQ6" s="612">
        <f t="shared" si="3"/>
        <v>0.14437312737784569</v>
      </c>
      <c r="BR6" s="613">
        <f t="shared" si="3"/>
        <v>0.13236306222420136</v>
      </c>
      <c r="BS6" s="613">
        <f t="shared" si="3"/>
        <v>0.12369984846441295</v>
      </c>
      <c r="BT6" s="613">
        <f t="shared" si="3"/>
        <v>8.195107918026201E-2</v>
      </c>
      <c r="BU6" s="613">
        <f t="shared" si="3"/>
        <v>7.7592765377162198E-2</v>
      </c>
      <c r="BV6" s="612">
        <f t="shared" si="3"/>
        <v>0.10283721296276749</v>
      </c>
      <c r="BW6" s="613">
        <f t="shared" si="3"/>
        <v>6.9799999999999862E-2</v>
      </c>
      <c r="BX6" s="613">
        <f t="shared" si="3"/>
        <v>8.1400000000000139E-2</v>
      </c>
      <c r="BY6" s="613">
        <f t="shared" si="3"/>
        <v>9.7599999999999909E-2</v>
      </c>
      <c r="BZ6" s="613">
        <f t="shared" si="3"/>
        <v>0.12359999999999993</v>
      </c>
      <c r="CA6" s="612">
        <f t="shared" si="3"/>
        <v>9.3633876604750865E-2</v>
      </c>
    </row>
    <row r="7" spans="1:82" s="623" customFormat="1" ht="12.4" customHeight="1" outlineLevel="1">
      <c r="A7" s="609"/>
      <c r="B7" s="610"/>
      <c r="C7" s="611" t="s">
        <v>105</v>
      </c>
      <c r="D7" s="612"/>
      <c r="E7" s="613"/>
      <c r="F7" s="613">
        <f>F5/E5-1</f>
        <v>4.9341832639290928E-2</v>
      </c>
      <c r="G7" s="613">
        <f>G5/F5-1</f>
        <v>7.8142386409766118E-2</v>
      </c>
      <c r="H7" s="613">
        <f>H5/G5-1</f>
        <v>0.12772378482341473</v>
      </c>
      <c r="I7" s="612"/>
      <c r="J7" s="610">
        <f>J5/H5-1</f>
        <v>4.6175674045054516E-2</v>
      </c>
      <c r="K7" s="613">
        <f>K5/J5-1</f>
        <v>6.1091750299314462E-2</v>
      </c>
      <c r="L7" s="613">
        <f>L5/K5-1</f>
        <v>3.9852237193833018E-2</v>
      </c>
      <c r="M7" s="613">
        <f>M5/L5-1</f>
        <v>0.12097610217923727</v>
      </c>
      <c r="N7" s="612"/>
      <c r="O7" s="613">
        <f>O5/M5-1</f>
        <v>2.6699351313847819E-2</v>
      </c>
      <c r="P7" s="613">
        <f>P5/O5-1</f>
        <v>1.6931696465353863E-2</v>
      </c>
      <c r="Q7" s="613">
        <f>Q5/P5-1</f>
        <v>4.7964350820336232E-2</v>
      </c>
      <c r="R7" s="613">
        <f>R5/Q5-1</f>
        <v>9.2968417797363534E-2</v>
      </c>
      <c r="S7" s="612"/>
      <c r="T7" s="613">
        <f>T5/R5-1</f>
        <v>7.0736365565537307E-2</v>
      </c>
      <c r="U7" s="613">
        <f>U5/T5-1</f>
        <v>0</v>
      </c>
      <c r="V7" s="613">
        <f>V5/U5-1</f>
        <v>6.6492700006606231E-2</v>
      </c>
      <c r="W7" s="613">
        <f>W5/V5-1</f>
        <v>0.11602192833028768</v>
      </c>
      <c r="X7" s="612"/>
      <c r="Y7" s="619">
        <f>Y5/W5-1</f>
        <v>5.5005134182554816E-2</v>
      </c>
      <c r="Z7" s="619">
        <f>Z5/Y5-1</f>
        <v>2.291200841772989E-2</v>
      </c>
      <c r="AA7" s="619">
        <f>AA5/Z5-1</f>
        <v>5.3901146942344269E-2</v>
      </c>
      <c r="AB7" s="622">
        <f>AB5/AA5-1</f>
        <v>7.8693084768922894E-2</v>
      </c>
      <c r="AC7" s="620"/>
      <c r="AD7" s="622">
        <f>AD5/AB5-1</f>
        <v>6.3496731286900365E-2</v>
      </c>
      <c r="AE7" s="622">
        <f>AE5/AD5-1</f>
        <v>1.5165695324796946E-2</v>
      </c>
      <c r="AF7" s="622">
        <f>AF5/AE5-1</f>
        <v>4.9322186602971163E-2</v>
      </c>
      <c r="AG7" s="622">
        <f>AG5/AF5-1</f>
        <v>0.10626784608933537</v>
      </c>
      <c r="AH7" s="612"/>
      <c r="AI7" s="622">
        <f>AI5/AG5-1</f>
        <v>6.3209573488800297E-2</v>
      </c>
      <c r="AJ7" s="613">
        <f>AJ5/AI5-1</f>
        <v>3.760291995586118E-2</v>
      </c>
      <c r="AK7" s="622">
        <f>AK5/AJ5-1</f>
        <v>6.8455497382198915E-2</v>
      </c>
      <c r="AL7" s="622">
        <f>AL5/AK5-1</f>
        <v>0.10766568663481557</v>
      </c>
      <c r="AM7" s="612"/>
      <c r="AN7" s="622">
        <f>AN5/AL5-1</f>
        <v>3.0455519458076896E-2</v>
      </c>
      <c r="AO7" s="622">
        <f>AO5/AN5-1</f>
        <v>3.8879497705868182E-2</v>
      </c>
      <c r="AP7" s="622">
        <f>AP5/AO5-1</f>
        <v>8.1783666511699993E-2</v>
      </c>
      <c r="AQ7" s="622">
        <f>AQ5/AP5-1</f>
        <v>0.10139789182155701</v>
      </c>
      <c r="AR7" s="612"/>
      <c r="AS7" s="622">
        <f>AS5/AQ5-1</f>
        <v>3.0618991361651027E-2</v>
      </c>
      <c r="AT7" s="622">
        <f>AT5/AS5-1</f>
        <v>4.9469964664310861E-2</v>
      </c>
      <c r="AU7" s="622">
        <f>AU5/AT5-1</f>
        <v>0.12376743626743636</v>
      </c>
      <c r="AV7" s="622">
        <f>AV5/AU5-1</f>
        <v>0.14037434347217381</v>
      </c>
      <c r="AW7" s="612"/>
      <c r="AX7" s="622">
        <f>AX5/AV5-1</f>
        <v>7.8171794972045294E-2</v>
      </c>
      <c r="AY7" s="622">
        <f>AY5/AX5-1</f>
        <v>4.2790211920337606E-2</v>
      </c>
      <c r="AZ7" s="622">
        <f>AZ5/AY5-1</f>
        <v>7.334715054735641E-2</v>
      </c>
      <c r="BA7" s="622">
        <f>BA5/AZ5-1</f>
        <v>0.12487040588875642</v>
      </c>
      <c r="BB7" s="612"/>
      <c r="BC7" s="622">
        <f>BC5/BA5-1</f>
        <v>5.2868968139217376E-2</v>
      </c>
      <c r="BD7" s="622">
        <f>BD5/BC5-1</f>
        <v>3.6136931889679813E-2</v>
      </c>
      <c r="BE7" s="622">
        <f>BE5/BD5-1</f>
        <v>4.7311782534771085E-2</v>
      </c>
      <c r="BF7" s="622">
        <f>BF5/BE5-1</f>
        <v>5.0433090318742435E-2</v>
      </c>
      <c r="BG7" s="612"/>
      <c r="BH7" s="622">
        <f>BH5/BF5-1</f>
        <v>4.8448486884734354E-2</v>
      </c>
      <c r="BI7" s="622">
        <f>BI5/BH5-1</f>
        <v>2.0339774490818918E-2</v>
      </c>
      <c r="BJ7" s="622">
        <f>BJ5/BI5-1</f>
        <v>3.2407282777433766E-2</v>
      </c>
      <c r="BK7" s="622">
        <f>BK5/BJ5-1</f>
        <v>3.8925707829034595E-2</v>
      </c>
      <c r="BL7" s="612"/>
      <c r="BM7" s="622">
        <f>BM5/BK5-1</f>
        <v>3.3246605483096436E-2</v>
      </c>
      <c r="BN7" s="622">
        <f>BN5/BM5-1</f>
        <v>2.0549775312740381E-2</v>
      </c>
      <c r="BO7" s="622">
        <f>BO5/BN5-1</f>
        <v>4.7983624636037003E-2</v>
      </c>
      <c r="BP7" s="622">
        <f>BP5/BO5-1</f>
        <v>5.480312814650512E-2</v>
      </c>
      <c r="BQ7" s="612"/>
      <c r="BR7" s="622">
        <f>BR5/BP5-1</f>
        <v>3.7500897150648527E-3</v>
      </c>
      <c r="BS7" s="622">
        <f>BS5/BR5-1</f>
        <v>1.2741996031533143E-2</v>
      </c>
      <c r="BT7" s="622">
        <f>BT5/BS5-1</f>
        <v>9.0479367668188093E-3</v>
      </c>
      <c r="BU7" s="622">
        <f>BU5/BT5-1</f>
        <v>5.0554171681267412E-2</v>
      </c>
      <c r="BV7" s="612"/>
      <c r="BW7" s="622">
        <f>BW5/BU5-1</f>
        <v>-3.5086718484624857E-3</v>
      </c>
      <c r="BX7" s="622">
        <f>BX5/BW5-1</f>
        <v>2.3723307635539648E-2</v>
      </c>
      <c r="BY7" s="622">
        <f>BY5/BX5-1</f>
        <v>2.4164060842666979E-2</v>
      </c>
      <c r="BZ7" s="622">
        <f>BZ5/BY5-1</f>
        <v>7.5439747905495569E-2</v>
      </c>
      <c r="CA7" s="612"/>
    </row>
    <row r="8" spans="1:82" s="578" customFormat="1" ht="7.7" customHeight="1" outlineLevel="1">
      <c r="A8" s="570"/>
      <c r="B8" s="571"/>
      <c r="C8" s="572"/>
      <c r="D8" s="573"/>
      <c r="E8" s="574"/>
      <c r="F8" s="574"/>
      <c r="G8" s="574"/>
      <c r="H8" s="574"/>
      <c r="I8" s="573"/>
      <c r="J8" s="574"/>
      <c r="K8" s="574"/>
      <c r="L8" s="574"/>
      <c r="M8" s="574"/>
      <c r="N8" s="573"/>
      <c r="O8" s="574"/>
      <c r="P8" s="574"/>
      <c r="Q8" s="574"/>
      <c r="R8" s="574"/>
      <c r="S8" s="573"/>
      <c r="T8" s="574"/>
      <c r="U8" s="574"/>
      <c r="V8" s="574"/>
      <c r="W8" s="574"/>
      <c r="X8" s="573"/>
      <c r="Y8" s="575"/>
      <c r="Z8" s="575"/>
      <c r="AA8" s="575"/>
      <c r="AB8" s="577"/>
      <c r="AC8" s="576"/>
      <c r="AD8" s="577"/>
      <c r="AE8" s="577"/>
      <c r="AF8" s="577"/>
      <c r="AG8" s="577"/>
      <c r="AH8" s="573"/>
      <c r="AI8" s="577"/>
      <c r="AJ8" s="574"/>
      <c r="AK8" s="577"/>
      <c r="AL8" s="577"/>
      <c r="AM8" s="573"/>
      <c r="AN8" s="577"/>
      <c r="AO8" s="577"/>
      <c r="AP8" s="577"/>
      <c r="AQ8" s="577"/>
      <c r="AR8" s="573"/>
      <c r="AS8" s="577"/>
      <c r="AT8" s="577"/>
      <c r="AU8" s="577"/>
      <c r="AV8" s="577"/>
      <c r="AW8" s="573"/>
      <c r="AX8" s="577"/>
      <c r="AY8" s="577"/>
      <c r="AZ8" s="577"/>
      <c r="BA8" s="577"/>
      <c r="BB8" s="573"/>
      <c r="BC8" s="577"/>
      <c r="BD8" s="577"/>
      <c r="BE8" s="577"/>
      <c r="BF8" s="577"/>
      <c r="BG8" s="573"/>
      <c r="BH8" s="577"/>
      <c r="BI8" s="577"/>
      <c r="BJ8" s="577"/>
      <c r="BK8" s="577"/>
      <c r="BL8" s="573"/>
      <c r="BM8" s="577"/>
      <c r="BN8" s="577"/>
      <c r="BO8" s="577"/>
      <c r="BP8" s="577"/>
      <c r="BQ8" s="573"/>
      <c r="BR8" s="577"/>
      <c r="BS8" s="577"/>
      <c r="BT8" s="577"/>
      <c r="BU8" s="577"/>
      <c r="BV8" s="573"/>
      <c r="BW8" s="577"/>
      <c r="BX8" s="577"/>
      <c r="BY8" s="577"/>
      <c r="BZ8" s="577"/>
      <c r="CA8" s="573"/>
    </row>
    <row r="9" spans="1:82" s="53" customFormat="1" ht="14.1" customHeight="1" outlineLevel="1">
      <c r="A9" s="99"/>
      <c r="B9" s="909" t="s">
        <v>287</v>
      </c>
      <c r="C9" s="396"/>
      <c r="D9" s="95"/>
      <c r="E9" s="96"/>
      <c r="F9" s="96"/>
      <c r="G9" s="96"/>
      <c r="H9" s="96"/>
      <c r="I9" s="95"/>
      <c r="J9" s="98"/>
      <c r="K9" s="96"/>
      <c r="L9" s="96"/>
      <c r="M9" s="100"/>
      <c r="N9" s="95"/>
      <c r="O9" s="96"/>
      <c r="P9" s="96"/>
      <c r="Q9" s="96"/>
      <c r="R9" s="96"/>
      <c r="S9" s="95"/>
      <c r="T9" s="202">
        <f>T10*T5</f>
        <v>29365.78</v>
      </c>
      <c r="U9" s="202">
        <f>U10*U5</f>
        <v>29063.039999999997</v>
      </c>
      <c r="V9" s="202">
        <f>V10*V5</f>
        <v>30995.52</v>
      </c>
      <c r="W9" s="202">
        <f>W10*W5</f>
        <v>34591.68</v>
      </c>
      <c r="X9" s="95"/>
      <c r="Y9" s="202">
        <f>Y10*Y5</f>
        <v>36114.25</v>
      </c>
      <c r="Z9" s="202">
        <f>Z10*Z5</f>
        <v>36552.839999999997</v>
      </c>
      <c r="AA9" s="202">
        <f>AA10*AA5</f>
        <v>39342.720000000001</v>
      </c>
      <c r="AB9" s="202">
        <f>AB10*AB5</f>
        <v>41996.65</v>
      </c>
      <c r="AC9" s="204"/>
      <c r="AD9" s="202">
        <f>AD10*AD5</f>
        <v>44193.159999999996</v>
      </c>
      <c r="AE9" s="202">
        <f>AE10*AE5</f>
        <v>44863.38</v>
      </c>
      <c r="AF9" s="202">
        <f>AF10*AF5</f>
        <v>46575.33</v>
      </c>
      <c r="AG9" s="202">
        <f>AG10*AG5</f>
        <v>52632.85</v>
      </c>
      <c r="AH9" s="95">
        <f>SUM(AD9:AG9)</f>
        <v>188264.72</v>
      </c>
      <c r="AI9" s="202">
        <f>AI10*AI5</f>
        <v>54192.600000000006</v>
      </c>
      <c r="AJ9" s="202">
        <f>AJ10*AJ5</f>
        <v>56841.600000000006</v>
      </c>
      <c r="AK9" s="202">
        <f>AK10*AK5</f>
        <v>60732.72</v>
      </c>
      <c r="AL9" s="202">
        <f>AL10*AL5</f>
        <v>67271.55</v>
      </c>
      <c r="AM9" s="95">
        <f>SUM(AI9:AL9)</f>
        <v>239038.47000000003</v>
      </c>
      <c r="AN9" s="202">
        <f>AN10*AN5</f>
        <v>69320.34</v>
      </c>
      <c r="AO9" s="202">
        <f>AO10*AO5</f>
        <v>71241.12000000001</v>
      </c>
      <c r="AP9" s="202">
        <f>AP10*AP5</f>
        <v>76229.790000000008</v>
      </c>
      <c r="AQ9" s="202">
        <f>AQ10*AQ5</f>
        <v>84881.96</v>
      </c>
      <c r="AR9" s="95">
        <f>SUM(AN9:AQ9)</f>
        <v>301673.21000000002</v>
      </c>
      <c r="AS9" s="202">
        <f>AS10*AS5</f>
        <v>86530.08</v>
      </c>
      <c r="AT9" s="202">
        <f>AT10*AT5</f>
        <v>91808.639999999999</v>
      </c>
      <c r="AU9" s="202">
        <f>AU10*AU5</f>
        <v>104292.99</v>
      </c>
      <c r="AV9" s="202">
        <f>AV10*AV5</f>
        <v>118933.05</v>
      </c>
      <c r="AW9" s="95">
        <f>SUM(AS9:AV9)</f>
        <v>401564.76</v>
      </c>
      <c r="AX9" s="202">
        <f>AX10*AX5</f>
        <v>126851.44</v>
      </c>
      <c r="AY9" s="202">
        <f>AY10*AY5</f>
        <v>132279.44</v>
      </c>
      <c r="AZ9" s="202">
        <f>AZ10*AZ5</f>
        <v>141981.76000000001</v>
      </c>
      <c r="BA9" s="202">
        <f>BA10*BA5</f>
        <v>161447.07</v>
      </c>
      <c r="BB9" s="95">
        <f>SUM(AX9:BA9)</f>
        <v>562559.71</v>
      </c>
      <c r="BC9" s="202">
        <f>BC10*BC5</f>
        <v>166327.07</v>
      </c>
      <c r="BD9" s="286">
        <f>BD10*BD5</f>
        <v>172337.62</v>
      </c>
      <c r="BE9" s="286">
        <f>BE10*BE5</f>
        <v>180491.22</v>
      </c>
      <c r="BF9" s="286">
        <f>BF10*BF5</f>
        <v>191677.4</v>
      </c>
      <c r="BG9" s="95">
        <f>SUM(BC9:BF9)</f>
        <v>710833.31</v>
      </c>
      <c r="BH9" s="202">
        <f>BH10*BH5</f>
        <v>200963.88</v>
      </c>
      <c r="BI9" s="202">
        <f>BI10*BI5</f>
        <v>202822.62</v>
      </c>
      <c r="BJ9" s="202">
        <f>BJ10*BJ5</f>
        <v>211696.6</v>
      </c>
      <c r="BK9" s="202">
        <f>BK10*BK5</f>
        <v>219937.04</v>
      </c>
      <c r="BL9" s="95">
        <f>SUM(BH9:BK9)</f>
        <v>835420.14</v>
      </c>
      <c r="BM9" s="202">
        <f>BM10*BM5</f>
        <v>229719.30000000002</v>
      </c>
      <c r="BN9" s="202">
        <f>BN10*BN5</f>
        <v>231919.12000000002</v>
      </c>
      <c r="BO9" s="202">
        <f>+BO14+BO19</f>
        <v>245689.26</v>
      </c>
      <c r="BP9" s="202">
        <f>+BP14+BP19</f>
        <v>259153.80000000002</v>
      </c>
      <c r="BQ9" s="95">
        <f>SUM(BM9:BP9)</f>
        <v>966481.4800000001</v>
      </c>
      <c r="BR9" s="202">
        <f>+BR14+BR19</f>
        <v>260125.65</v>
      </c>
      <c r="BS9" s="202">
        <f>+BS14+BS19</f>
        <v>263440.17000000004</v>
      </c>
      <c r="BT9" s="202">
        <f>+BT14+BT19</f>
        <v>265823.76</v>
      </c>
      <c r="BU9" s="202">
        <f>+BU14+BU19</f>
        <v>279262.26</v>
      </c>
      <c r="BV9" s="95">
        <f>SUM(BR9:BU9)</f>
        <v>1068651.8400000001</v>
      </c>
      <c r="BW9" s="202">
        <f>+BW14+BW19</f>
        <v>278865.88500000001</v>
      </c>
      <c r="BX9" s="202">
        <f>+BX14+BX19</f>
        <v>285705.11340000003</v>
      </c>
      <c r="BY9" s="202">
        <f>+BY14+BY19</f>
        <v>292920.6336</v>
      </c>
      <c r="BZ9" s="202">
        <f>+BZ14+BZ19</f>
        <v>315536.32559999998</v>
      </c>
      <c r="CA9" s="95">
        <f>SUM(BW9:BZ9)</f>
        <v>1173027.9575999998</v>
      </c>
    </row>
    <row r="10" spans="1:82" s="623" customFormat="1" ht="12.4" customHeight="1" outlineLevel="1">
      <c r="A10" s="609"/>
      <c r="B10" s="610"/>
      <c r="C10" s="611" t="s">
        <v>98</v>
      </c>
      <c r="D10" s="612"/>
      <c r="E10" s="613"/>
      <c r="F10" s="613"/>
      <c r="G10" s="613"/>
      <c r="H10" s="613"/>
      <c r="I10" s="614"/>
      <c r="J10" s="615"/>
      <c r="K10" s="616"/>
      <c r="L10" s="616"/>
      <c r="M10" s="617"/>
      <c r="N10" s="612"/>
      <c r="O10" s="615"/>
      <c r="P10" s="616"/>
      <c r="Q10" s="616"/>
      <c r="R10" s="617"/>
      <c r="S10" s="612"/>
      <c r="T10" s="613">
        <v>0.97</v>
      </c>
      <c r="U10" s="613">
        <v>0.96</v>
      </c>
      <c r="V10" s="613">
        <v>0.96</v>
      </c>
      <c r="W10" s="613">
        <v>0.96</v>
      </c>
      <c r="X10" s="612"/>
      <c r="Y10" s="613">
        <v>0.95</v>
      </c>
      <c r="Z10" s="613">
        <v>0.94</v>
      </c>
      <c r="AA10" s="613">
        <v>0.96</v>
      </c>
      <c r="AB10" s="613">
        <v>0.95</v>
      </c>
      <c r="AC10" s="620">
        <v>0.95</v>
      </c>
      <c r="AD10" s="613">
        <v>0.94</v>
      </c>
      <c r="AE10" s="613">
        <v>0.94</v>
      </c>
      <c r="AF10" s="613">
        <v>0.93</v>
      </c>
      <c r="AG10" s="613">
        <v>0.95</v>
      </c>
      <c r="AH10" s="612">
        <v>0.93</v>
      </c>
      <c r="AI10" s="613">
        <v>0.92</v>
      </c>
      <c r="AJ10" s="613">
        <v>0.93</v>
      </c>
      <c r="AK10" s="613">
        <v>0.93</v>
      </c>
      <c r="AL10" s="613">
        <v>0.93</v>
      </c>
      <c r="AM10" s="612">
        <v>0.93</v>
      </c>
      <c r="AN10" s="613">
        <v>0.93</v>
      </c>
      <c r="AO10" s="613">
        <v>0.92</v>
      </c>
      <c r="AP10" s="613">
        <v>0.91</v>
      </c>
      <c r="AQ10" s="622">
        <v>0.92</v>
      </c>
      <c r="AR10" s="612">
        <v>0.92</v>
      </c>
      <c r="AS10" s="622">
        <v>0.91</v>
      </c>
      <c r="AT10" s="613">
        <v>0.92</v>
      </c>
      <c r="AU10" s="613">
        <v>0.93</v>
      </c>
      <c r="AV10" s="613">
        <v>0.93</v>
      </c>
      <c r="AW10" s="612"/>
      <c r="AX10" s="613">
        <v>0.92</v>
      </c>
      <c r="AY10" s="613">
        <v>0.92</v>
      </c>
      <c r="AZ10" s="672">
        <v>0.92</v>
      </c>
      <c r="BA10" s="672">
        <v>0.93</v>
      </c>
      <c r="BB10" s="612"/>
      <c r="BC10" s="672">
        <v>0.91</v>
      </c>
      <c r="BD10" s="827">
        <v>0.91</v>
      </c>
      <c r="BE10" s="827">
        <v>0.91</v>
      </c>
      <c r="BF10" s="672">
        <v>0.92</v>
      </c>
      <c r="BG10" s="612"/>
      <c r="BH10" s="672">
        <v>0.92</v>
      </c>
      <c r="BI10" s="672">
        <v>0.91</v>
      </c>
      <c r="BJ10" s="672">
        <v>0.92</v>
      </c>
      <c r="BK10" s="672">
        <v>0.92</v>
      </c>
      <c r="BL10" s="612"/>
      <c r="BM10" s="672">
        <v>0.93</v>
      </c>
      <c r="BN10" s="905">
        <v>0.92</v>
      </c>
      <c r="BO10" s="672">
        <f>+BO15+BO20</f>
        <v>0.93</v>
      </c>
      <c r="BP10" s="672">
        <f>+BP15+BP20</f>
        <v>0.93</v>
      </c>
      <c r="BQ10" s="612"/>
      <c r="BR10" s="672">
        <f>BR9/BR5</f>
        <v>0.92999999999999994</v>
      </c>
      <c r="BS10" s="672">
        <f>BS9/BS5</f>
        <v>0.93000000000000016</v>
      </c>
      <c r="BT10" s="672">
        <f>BT9/BT5</f>
        <v>0.93</v>
      </c>
      <c r="BU10" s="672">
        <f>BU9/BU5</f>
        <v>0.93</v>
      </c>
      <c r="BV10" s="612"/>
      <c r="BW10" s="672">
        <f>BW9/BW5</f>
        <v>0.93194989717704246</v>
      </c>
      <c r="BX10" s="672">
        <f>BX9/BX5</f>
        <v>0.9326798594414647</v>
      </c>
      <c r="BY10" s="672">
        <f>BY9/BY5</f>
        <v>0.93367346938775508</v>
      </c>
      <c r="BZ10" s="672">
        <f>BZ9/BZ5</f>
        <v>0.93520825916696326</v>
      </c>
      <c r="CA10" s="612"/>
    </row>
    <row r="11" spans="1:82" s="623" customFormat="1" ht="12.4" customHeight="1" outlineLevel="1">
      <c r="A11" s="609"/>
      <c r="B11" s="610"/>
      <c r="C11" s="611" t="s">
        <v>106</v>
      </c>
      <c r="D11" s="612"/>
      <c r="E11" s="613"/>
      <c r="F11" s="613"/>
      <c r="G11" s="613"/>
      <c r="H11" s="613"/>
      <c r="I11" s="614"/>
      <c r="J11" s="615"/>
      <c r="K11" s="616"/>
      <c r="L11" s="616"/>
      <c r="M11" s="617"/>
      <c r="N11" s="612"/>
      <c r="O11" s="615"/>
      <c r="P11" s="616"/>
      <c r="Q11" s="616"/>
      <c r="R11" s="617"/>
      <c r="S11" s="612"/>
      <c r="T11" s="622" t="e">
        <f>T9/O9-1</f>
        <v>#DIV/0!</v>
      </c>
      <c r="U11" s="622" t="e">
        <f>U9/P9-1</f>
        <v>#DIV/0!</v>
      </c>
      <c r="V11" s="622" t="e">
        <f>V9/Q9-1</f>
        <v>#DIV/0!</v>
      </c>
      <c r="W11" s="622" t="e">
        <f>W9/R9-1</f>
        <v>#DIV/0!</v>
      </c>
      <c r="X11" s="612"/>
      <c r="Y11" s="622">
        <f>Y9/T9-1</f>
        <v>0.22980727908470344</v>
      </c>
      <c r="Z11" s="622">
        <f>Z9/U9-1</f>
        <v>0.25770875999207243</v>
      </c>
      <c r="AA11" s="622">
        <f>AA9/V9-1</f>
        <v>0.26930343481896735</v>
      </c>
      <c r="AB11" s="622">
        <f>AB9/W9-1</f>
        <v>0.2140679492872275</v>
      </c>
      <c r="AC11" s="620"/>
      <c r="AD11" s="622">
        <f>AD9/Y9-1</f>
        <v>0.22370421647964434</v>
      </c>
      <c r="AE11" s="622">
        <f>AE9/Z9-1</f>
        <v>0.22735688936892462</v>
      </c>
      <c r="AF11" s="622">
        <f>AF9/AA9-1</f>
        <v>0.18383604387291985</v>
      </c>
      <c r="AG11" s="622">
        <f>AG9/AB9-1</f>
        <v>0.25326305788675985</v>
      </c>
      <c r="AH11" s="612"/>
      <c r="AI11" s="622">
        <f>AI9/AD9-1</f>
        <v>0.22626668923426174</v>
      </c>
      <c r="AJ11" s="622">
        <f>AJ9/AE9-1</f>
        <v>0.26699325819855768</v>
      </c>
      <c r="AK11" s="622">
        <f>AK9/AF9-1</f>
        <v>0.30396757253249729</v>
      </c>
      <c r="AL11" s="622">
        <f>AL9/AG9-1</f>
        <v>0.27812858319471601</v>
      </c>
      <c r="AM11" s="612"/>
      <c r="AN11" s="622">
        <f t="shared" ref="AN11:BU11" si="4">AN9/AI9-1</f>
        <v>0.27914770651343512</v>
      </c>
      <c r="AO11" s="622">
        <f t="shared" si="4"/>
        <v>0.25332714068569495</v>
      </c>
      <c r="AP11" s="622">
        <f t="shared" si="4"/>
        <v>0.25516838369827677</v>
      </c>
      <c r="AQ11" s="622">
        <f t="shared" si="4"/>
        <v>0.26178094603142044</v>
      </c>
      <c r="AR11" s="612">
        <f t="shared" si="4"/>
        <v>0.2620278652218615</v>
      </c>
      <c r="AS11" s="622">
        <f t="shared" si="4"/>
        <v>0.24826392946139619</v>
      </c>
      <c r="AT11" s="613">
        <f t="shared" si="4"/>
        <v>0.2887029288702927</v>
      </c>
      <c r="AU11" s="613">
        <f t="shared" si="4"/>
        <v>0.36813954229704682</v>
      </c>
      <c r="AV11" s="613">
        <f t="shared" si="4"/>
        <v>0.40115814950550144</v>
      </c>
      <c r="AW11" s="612">
        <f>AW9/AR9-1</f>
        <v>0.33112502764166551</v>
      </c>
      <c r="AX11" s="613">
        <f t="shared" si="4"/>
        <v>0.46598084735389134</v>
      </c>
      <c r="AY11" s="613">
        <f t="shared" si="4"/>
        <v>0.44081689915023259</v>
      </c>
      <c r="AZ11" s="613">
        <f t="shared" si="4"/>
        <v>0.36137395236247416</v>
      </c>
      <c r="BA11" s="613">
        <f t="shared" si="4"/>
        <v>0.35746178206982848</v>
      </c>
      <c r="BB11" s="612">
        <f>BB9/AW9-1</f>
        <v>0.40091901988610745</v>
      </c>
      <c r="BC11" s="613">
        <f t="shared" si="4"/>
        <v>0.31119575780929254</v>
      </c>
      <c r="BD11" s="637">
        <f t="shared" si="4"/>
        <v>0.30282997871778106</v>
      </c>
      <c r="BE11" s="637">
        <f t="shared" si="4"/>
        <v>0.27122821973752109</v>
      </c>
      <c r="BF11" s="637">
        <f t="shared" si="4"/>
        <v>0.18724607389901826</v>
      </c>
      <c r="BG11" s="612">
        <f>BG9/BB9-1</f>
        <v>0.26356953291233753</v>
      </c>
      <c r="BH11" s="637">
        <f t="shared" si="4"/>
        <v>0.20824517620613414</v>
      </c>
      <c r="BI11" s="637">
        <f t="shared" si="4"/>
        <v>0.17689115121817278</v>
      </c>
      <c r="BJ11" s="637">
        <f t="shared" si="4"/>
        <v>0.17289140158729044</v>
      </c>
      <c r="BK11" s="637">
        <f t="shared" si="4"/>
        <v>0.14743334373275108</v>
      </c>
      <c r="BL11" s="612">
        <f>BL9/BG9-1</f>
        <v>0.17526869977435355</v>
      </c>
      <c r="BM11" s="637">
        <f t="shared" si="4"/>
        <v>0.14308750408282322</v>
      </c>
      <c r="BN11" s="637">
        <f t="shared" si="4"/>
        <v>0.14345786480817591</v>
      </c>
      <c r="BO11" s="637">
        <f t="shared" si="4"/>
        <v>0.160572536356276</v>
      </c>
      <c r="BP11" s="637">
        <f t="shared" si="4"/>
        <v>0.17830902880206079</v>
      </c>
      <c r="BQ11" s="612">
        <f>BQ9/BL9-1</f>
        <v>0.15688075224042364</v>
      </c>
      <c r="BR11" s="637">
        <f t="shared" si="4"/>
        <v>0.13236306222420136</v>
      </c>
      <c r="BS11" s="637">
        <f t="shared" si="4"/>
        <v>0.13591397725206966</v>
      </c>
      <c r="BT11" s="637">
        <f t="shared" si="4"/>
        <v>8.195107918026201E-2</v>
      </c>
      <c r="BU11" s="637">
        <f t="shared" si="4"/>
        <v>7.7592765377162198E-2</v>
      </c>
      <c r="BV11" s="612">
        <f t="shared" ref="BV11:CA11" si="5">BV9/BQ9-1</f>
        <v>0.10571372769605469</v>
      </c>
      <c r="BW11" s="637">
        <f t="shared" si="5"/>
        <v>7.2043010752688152E-2</v>
      </c>
      <c r="BX11" s="637">
        <f t="shared" si="5"/>
        <v>8.4516129032258025E-2</v>
      </c>
      <c r="BY11" s="637">
        <f t="shared" si="5"/>
        <v>0.10193548387096762</v>
      </c>
      <c r="BZ11" s="637">
        <f t="shared" si="5"/>
        <v>0.12989247311827956</v>
      </c>
      <c r="CA11" s="612">
        <f t="shared" si="5"/>
        <v>9.7670835058871752E-2</v>
      </c>
    </row>
    <row r="12" spans="1:82" s="623" customFormat="1" ht="12.4" customHeight="1" outlineLevel="1">
      <c r="A12" s="609"/>
      <c r="B12" s="610"/>
      <c r="C12" s="611" t="s">
        <v>105</v>
      </c>
      <c r="D12" s="612"/>
      <c r="E12" s="613"/>
      <c r="F12" s="613"/>
      <c r="G12" s="613"/>
      <c r="H12" s="613"/>
      <c r="I12" s="614"/>
      <c r="J12" s="615"/>
      <c r="K12" s="616"/>
      <c r="L12" s="616"/>
      <c r="M12" s="617"/>
      <c r="N12" s="612"/>
      <c r="O12" s="615"/>
      <c r="P12" s="616"/>
      <c r="Q12" s="616"/>
      <c r="R12" s="617"/>
      <c r="S12" s="612"/>
      <c r="T12" s="622" t="e">
        <f>T9/R9-1</f>
        <v>#DIV/0!</v>
      </c>
      <c r="U12" s="622">
        <f>U9/T9-1</f>
        <v>-1.0309278350515538E-2</v>
      </c>
      <c r="V12" s="622">
        <f>V9/U9-1</f>
        <v>6.6492700006606453E-2</v>
      </c>
      <c r="W12" s="622">
        <f>W9/V9-1</f>
        <v>0.11602192833028768</v>
      </c>
      <c r="X12" s="612"/>
      <c r="Y12" s="622">
        <f>Y9/W9-1</f>
        <v>4.4015497368153245E-2</v>
      </c>
      <c r="Z12" s="622">
        <f>Z9/Y9-1</f>
        <v>1.2144513592279971E-2</v>
      </c>
      <c r="AA12" s="622">
        <f>AA9/Z9-1</f>
        <v>7.6324575600692279E-2</v>
      </c>
      <c r="AB12" s="622">
        <f>AB9/AA9-1</f>
        <v>6.7456698469246623E-2</v>
      </c>
      <c r="AC12" s="620"/>
      <c r="AD12" s="622">
        <f>AD9/AB9-1</f>
        <v>5.2302028852301286E-2</v>
      </c>
      <c r="AE12" s="622">
        <f>AE9/AD9-1</f>
        <v>1.5165695324796946E-2</v>
      </c>
      <c r="AF12" s="622">
        <f>AF9/AE9-1</f>
        <v>3.8159184617833075E-2</v>
      </c>
      <c r="AG12" s="622">
        <f>AG9/AF9-1</f>
        <v>0.13005855245684783</v>
      </c>
      <c r="AH12" s="612"/>
      <c r="AI12" s="622">
        <f>AI9/AG9-1</f>
        <v>2.9634534325996276E-2</v>
      </c>
      <c r="AJ12" s="622">
        <f>AJ9/AI9-1</f>
        <v>4.8881212564076959E-2</v>
      </c>
      <c r="AK12" s="622">
        <f>AK9/AJ9-1</f>
        <v>6.8455497382198915E-2</v>
      </c>
      <c r="AL12" s="622">
        <f>AL9/AK9-1</f>
        <v>0.10766568663481557</v>
      </c>
      <c r="AM12" s="612"/>
      <c r="AN12" s="622">
        <f>AN9/AL9-1</f>
        <v>3.0455519458076896E-2</v>
      </c>
      <c r="AO12" s="622">
        <f>AO9/AN9-1</f>
        <v>2.7708750418708572E-2</v>
      </c>
      <c r="AP12" s="622">
        <f>AP9/AO9-1</f>
        <v>7.0025148397442338E-2</v>
      </c>
      <c r="AQ12" s="622">
        <f>AQ9/AP9-1</f>
        <v>0.11350116535805754</v>
      </c>
      <c r="AR12" s="612"/>
      <c r="AS12" s="622">
        <f>AS9/AQ9-1</f>
        <v>1.9416611020763419E-2</v>
      </c>
      <c r="AT12" s="622">
        <f>AT9/AS9-1</f>
        <v>6.1002601638644016E-2</v>
      </c>
      <c r="AU12" s="622">
        <f>AU9/AT9-1</f>
        <v>0.13598229970512588</v>
      </c>
      <c r="AV12" s="622">
        <f>AV9/AU9-1</f>
        <v>0.14037434347217381</v>
      </c>
      <c r="AW12" s="612"/>
      <c r="AX12" s="622">
        <f>AX9/AV9-1</f>
        <v>6.6578549864818815E-2</v>
      </c>
      <c r="AY12" s="622">
        <f>AY9/AX9-1</f>
        <v>4.2790211920337606E-2</v>
      </c>
      <c r="AZ12" s="622">
        <f>AZ9/AY9-1</f>
        <v>7.334715054735641E-2</v>
      </c>
      <c r="BA12" s="622">
        <f>BA9/AZ9-1</f>
        <v>0.13709725812667761</v>
      </c>
      <c r="BB12" s="612"/>
      <c r="BC12" s="622">
        <f>BC9/BA9-1</f>
        <v>3.0226624738374008E-2</v>
      </c>
      <c r="BD12" s="627">
        <f>BD9/BC9-1</f>
        <v>3.6136931889679813E-2</v>
      </c>
      <c r="BE12" s="627">
        <f>BE9/BD9-1</f>
        <v>4.7311782534771085E-2</v>
      </c>
      <c r="BF12" s="622">
        <f>BF9/BE9-1</f>
        <v>6.1976311091475722E-2</v>
      </c>
      <c r="BG12" s="612"/>
      <c r="BH12" s="622">
        <f>BH9/BF9-1</f>
        <v>4.8448486884734576E-2</v>
      </c>
      <c r="BI12" s="622">
        <f>BI9/BH9-1</f>
        <v>9.249124768092587E-3</v>
      </c>
      <c r="BJ12" s="622">
        <f>BJ9/BI9-1</f>
        <v>4.3752417753009976E-2</v>
      </c>
      <c r="BK12" s="622">
        <f>BK9/BJ9-1</f>
        <v>3.8925707829034595E-2</v>
      </c>
      <c r="BL12" s="612"/>
      <c r="BM12" s="622">
        <f>BM9/BK9-1</f>
        <v>4.4477546847043081E-2</v>
      </c>
      <c r="BN12" s="622">
        <f>BN9/BL9-1</f>
        <v>-0.72239223248795503</v>
      </c>
      <c r="BO12" s="622">
        <f>BO9/BN9-1</f>
        <v>5.937475099077627E-2</v>
      </c>
      <c r="BP12" s="622">
        <f>BP9/BO9-1</f>
        <v>5.480312814650512E-2</v>
      </c>
      <c r="BQ12" s="612"/>
      <c r="BR12" s="622">
        <f>BR9/BP9-1</f>
        <v>3.7500897150648527E-3</v>
      </c>
      <c r="BS12" s="622">
        <f>BS9/BR9-1</f>
        <v>1.2741996031533365E-2</v>
      </c>
      <c r="BT12" s="622">
        <f>BT9/BS9-1</f>
        <v>9.0479367668185873E-3</v>
      </c>
      <c r="BU12" s="622">
        <f>BU9/BT9-1</f>
        <v>5.0554171681267412E-2</v>
      </c>
      <c r="BV12" s="612"/>
      <c r="BW12" s="622">
        <f>BW9/BU9-1</f>
        <v>-1.4193647218926353E-3</v>
      </c>
      <c r="BX12" s="622">
        <f>BX9/BW9-1</f>
        <v>2.4525152655370697E-2</v>
      </c>
      <c r="BY12" s="622">
        <f>BY9/BX9-1</f>
        <v>2.525513146801095E-2</v>
      </c>
      <c r="BZ12" s="622">
        <f>BZ9/BY9-1</f>
        <v>7.7207575724703048E-2</v>
      </c>
      <c r="CA12" s="612"/>
    </row>
    <row r="13" spans="1:82" s="578" customFormat="1" ht="7.7" customHeight="1" outlineLevel="1">
      <c r="A13" s="570"/>
      <c r="B13" s="571"/>
      <c r="C13" s="580"/>
      <c r="D13" s="573"/>
      <c r="E13" s="574"/>
      <c r="F13" s="574"/>
      <c r="G13" s="574"/>
      <c r="H13" s="574"/>
      <c r="I13" s="573"/>
      <c r="J13" s="574"/>
      <c r="K13" s="574"/>
      <c r="L13" s="574"/>
      <c r="M13" s="574"/>
      <c r="N13" s="573"/>
      <c r="O13" s="574"/>
      <c r="P13" s="574"/>
      <c r="Q13" s="574"/>
      <c r="R13" s="574"/>
      <c r="S13" s="573"/>
      <c r="T13" s="577"/>
      <c r="U13" s="577"/>
      <c r="V13" s="577"/>
      <c r="W13" s="577"/>
      <c r="X13" s="573"/>
      <c r="Y13" s="577"/>
      <c r="Z13" s="577"/>
      <c r="AA13" s="577"/>
      <c r="AB13" s="577"/>
      <c r="AC13" s="576"/>
      <c r="AD13" s="577"/>
      <c r="AE13" s="577"/>
      <c r="AF13" s="577"/>
      <c r="AG13" s="577"/>
      <c r="AH13" s="573"/>
      <c r="AI13" s="577"/>
      <c r="AJ13" s="577"/>
      <c r="AK13" s="577"/>
      <c r="AL13" s="577"/>
      <c r="AM13" s="573"/>
      <c r="AN13" s="577"/>
      <c r="AO13" s="577"/>
      <c r="AP13" s="577"/>
      <c r="AQ13" s="577"/>
      <c r="AR13" s="573"/>
      <c r="AS13" s="577"/>
      <c r="AT13" s="574"/>
      <c r="AU13" s="574"/>
      <c r="AV13" s="574"/>
      <c r="AW13" s="573"/>
      <c r="AX13" s="574"/>
      <c r="AY13" s="574"/>
      <c r="AZ13" s="577"/>
      <c r="BA13" s="577"/>
      <c r="BB13" s="573"/>
      <c r="BC13" s="577"/>
      <c r="BD13" s="581"/>
      <c r="BE13" s="577"/>
      <c r="BF13" s="577"/>
      <c r="BG13" s="573"/>
      <c r="BH13" s="577"/>
      <c r="BI13" s="577"/>
      <c r="BJ13" s="577"/>
      <c r="BK13" s="577"/>
      <c r="BL13" s="573"/>
      <c r="BM13" s="577"/>
      <c r="BN13" s="577"/>
      <c r="BO13" s="577"/>
      <c r="BP13" s="577"/>
      <c r="BQ13" s="573"/>
      <c r="BR13" s="577"/>
      <c r="BS13" s="577"/>
      <c r="BT13" s="577"/>
      <c r="BU13" s="577"/>
      <c r="BV13" s="573"/>
      <c r="BW13" s="577"/>
      <c r="BX13" s="577"/>
      <c r="BY13" s="577"/>
      <c r="BZ13" s="577"/>
      <c r="CA13" s="573"/>
    </row>
    <row r="14" spans="1:82" s="53" customFormat="1" ht="14.1" customHeight="1" outlineLevel="1">
      <c r="A14" s="99"/>
      <c r="B14" s="571"/>
      <c r="C14" s="906" t="s">
        <v>507</v>
      </c>
      <c r="D14" s="95"/>
      <c r="E14" s="96"/>
      <c r="F14" s="96"/>
      <c r="G14" s="96"/>
      <c r="H14" s="96"/>
      <c r="I14" s="95"/>
      <c r="J14" s="98"/>
      <c r="K14" s="96"/>
      <c r="L14" s="96"/>
      <c r="M14" s="100"/>
      <c r="N14" s="95"/>
      <c r="O14" s="96"/>
      <c r="P14" s="96"/>
      <c r="Q14" s="96"/>
      <c r="R14" s="96"/>
      <c r="S14" s="95"/>
      <c r="T14" s="202"/>
      <c r="U14" s="202"/>
      <c r="V14" s="202"/>
      <c r="W14" s="202"/>
      <c r="X14" s="95"/>
      <c r="Y14" s="202"/>
      <c r="Z14" s="202"/>
      <c r="AA14" s="202"/>
      <c r="AB14" s="202"/>
      <c r="AC14" s="204"/>
      <c r="AD14" s="202"/>
      <c r="AE14" s="202"/>
      <c r="AF14" s="202"/>
      <c r="AG14" s="202"/>
      <c r="AH14" s="95"/>
      <c r="AI14" s="202"/>
      <c r="AJ14" s="202"/>
      <c r="AK14" s="202"/>
      <c r="AL14" s="202"/>
      <c r="AM14" s="95"/>
      <c r="AN14" s="202"/>
      <c r="AO14" s="202"/>
      <c r="AP14" s="202"/>
      <c r="AQ14" s="202"/>
      <c r="AR14" s="95"/>
      <c r="AS14" s="202"/>
      <c r="AT14" s="202"/>
      <c r="AU14" s="202"/>
      <c r="AV14" s="202"/>
      <c r="AW14" s="95"/>
      <c r="AX14" s="202"/>
      <c r="AY14" s="202"/>
      <c r="AZ14" s="202"/>
      <c r="BA14" s="202"/>
      <c r="BB14" s="95"/>
      <c r="BC14" s="202"/>
      <c r="BD14" s="286"/>
      <c r="BE14" s="286"/>
      <c r="BF14" s="286"/>
      <c r="BG14" s="95"/>
      <c r="BH14" s="202"/>
      <c r="BI14" s="202"/>
      <c r="BJ14" s="202"/>
      <c r="BK14" s="202"/>
      <c r="BL14" s="95"/>
      <c r="BM14" s="202">
        <f>((BR14)/(1.14))</f>
        <v>196284.21052631582</v>
      </c>
      <c r="BN14" s="202">
        <f>+BS14/1.16</f>
        <v>197799.90517241383</v>
      </c>
      <c r="BO14" s="202">
        <f>BO15*BO5</f>
        <v>211345.6</v>
      </c>
      <c r="BP14" s="202">
        <f>BP15*BP5</f>
        <v>220141.40000000002</v>
      </c>
      <c r="BQ14" s="95">
        <f>SUM(BM14:BP14)</f>
        <v>825571.11569872964</v>
      </c>
      <c r="BR14" s="202">
        <f>BR15*BR5</f>
        <v>223764</v>
      </c>
      <c r="BS14" s="202">
        <f>BS15*BS5</f>
        <v>229447.89</v>
      </c>
      <c r="BT14" s="202">
        <f>BT15*BT5</f>
        <v>231523.92</v>
      </c>
      <c r="BU14" s="202">
        <f>BU15*BU5</f>
        <v>246231.24</v>
      </c>
      <c r="BV14" s="95">
        <f>SUM(BR14:BU14)</f>
        <v>930967.05</v>
      </c>
      <c r="BW14" s="202">
        <f>BR14*(1+BW16)</f>
        <v>246140.40000000002</v>
      </c>
      <c r="BX14" s="202">
        <f>BS14*(1+BX16)</f>
        <v>252392.67900000003</v>
      </c>
      <c r="BY14" s="202">
        <f>BT14*(1+BY16)</f>
        <v>259306.79040000003</v>
      </c>
      <c r="BZ14" s="202">
        <f>BU14*(1+BZ16)</f>
        <v>283165.92599999998</v>
      </c>
      <c r="CA14" s="95">
        <f>SUM(BW14:BZ14)</f>
        <v>1041005.7954000001</v>
      </c>
    </row>
    <row r="15" spans="1:82" s="623" customFormat="1" ht="12.4" customHeight="1" outlineLevel="1">
      <c r="A15" s="609"/>
      <c r="B15" s="610"/>
      <c r="C15" s="907" t="s">
        <v>98</v>
      </c>
      <c r="D15" s="612"/>
      <c r="E15" s="613"/>
      <c r="F15" s="613"/>
      <c r="G15" s="613"/>
      <c r="H15" s="613"/>
      <c r="I15" s="614"/>
      <c r="J15" s="615"/>
      <c r="K15" s="616"/>
      <c r="L15" s="616"/>
      <c r="M15" s="617"/>
      <c r="N15" s="612"/>
      <c r="O15" s="615"/>
      <c r="P15" s="616"/>
      <c r="Q15" s="616"/>
      <c r="R15" s="617"/>
      <c r="S15" s="612"/>
      <c r="T15" s="613"/>
      <c r="U15" s="613"/>
      <c r="V15" s="613"/>
      <c r="W15" s="613"/>
      <c r="X15" s="612"/>
      <c r="Y15" s="613"/>
      <c r="Z15" s="613"/>
      <c r="AA15" s="613"/>
      <c r="AB15" s="613"/>
      <c r="AC15" s="620"/>
      <c r="AD15" s="613"/>
      <c r="AE15" s="613"/>
      <c r="AF15" s="613"/>
      <c r="AG15" s="613"/>
      <c r="AH15" s="612"/>
      <c r="AI15" s="613"/>
      <c r="AJ15" s="613"/>
      <c r="AK15" s="613"/>
      <c r="AL15" s="613"/>
      <c r="AM15" s="612"/>
      <c r="AN15" s="613"/>
      <c r="AO15" s="613"/>
      <c r="AP15" s="613"/>
      <c r="AQ15" s="622"/>
      <c r="AR15" s="612"/>
      <c r="AS15" s="622"/>
      <c r="AT15" s="613"/>
      <c r="AU15" s="613"/>
      <c r="AV15" s="613"/>
      <c r="AW15" s="612"/>
      <c r="AX15" s="613"/>
      <c r="AY15" s="613"/>
      <c r="AZ15" s="672"/>
      <c r="BA15" s="672"/>
      <c r="BB15" s="612"/>
      <c r="BC15" s="672"/>
      <c r="BD15" s="827"/>
      <c r="BE15" s="827"/>
      <c r="BF15" s="672"/>
      <c r="BG15" s="612"/>
      <c r="BH15" s="672"/>
      <c r="BI15" s="672"/>
      <c r="BJ15" s="672"/>
      <c r="BK15" s="672"/>
      <c r="BL15" s="612"/>
      <c r="BM15" s="672"/>
      <c r="BN15" s="905"/>
      <c r="BO15" s="672">
        <v>0.8</v>
      </c>
      <c r="BP15" s="672">
        <v>0.79</v>
      </c>
      <c r="BQ15" s="612"/>
      <c r="BR15" s="672">
        <v>0.8</v>
      </c>
      <c r="BS15" s="672">
        <v>0.81</v>
      </c>
      <c r="BT15" s="672">
        <v>0.81</v>
      </c>
      <c r="BU15" s="672">
        <v>0.82</v>
      </c>
      <c r="BV15" s="612"/>
      <c r="BW15" s="672">
        <f>BW14/BW5</f>
        <v>0.82258366049728937</v>
      </c>
      <c r="BX15" s="672">
        <f>BX14/BX5</f>
        <v>0.82393194007767712</v>
      </c>
      <c r="BY15" s="672">
        <f>BY14/BY5</f>
        <v>0.8265306122448981</v>
      </c>
      <c r="BZ15" s="672">
        <f>BZ14/BZ5</f>
        <v>0.83926664293342823</v>
      </c>
      <c r="CA15" s="612"/>
    </row>
    <row r="16" spans="1:82" s="623" customFormat="1" ht="12.4" customHeight="1" outlineLevel="1">
      <c r="A16" s="609"/>
      <c r="B16" s="610"/>
      <c r="C16" s="907" t="s">
        <v>106</v>
      </c>
      <c r="D16" s="612"/>
      <c r="E16" s="613"/>
      <c r="F16" s="613"/>
      <c r="G16" s="613"/>
      <c r="H16" s="613"/>
      <c r="I16" s="614"/>
      <c r="J16" s="615"/>
      <c r="K16" s="616"/>
      <c r="L16" s="616"/>
      <c r="M16" s="617"/>
      <c r="N16" s="612"/>
      <c r="O16" s="615"/>
      <c r="P16" s="616"/>
      <c r="Q16" s="616"/>
      <c r="R16" s="617"/>
      <c r="S16" s="612"/>
      <c r="T16" s="622"/>
      <c r="U16" s="622"/>
      <c r="V16" s="622"/>
      <c r="W16" s="622"/>
      <c r="X16" s="612"/>
      <c r="Y16" s="622"/>
      <c r="Z16" s="622"/>
      <c r="AA16" s="622"/>
      <c r="AB16" s="622"/>
      <c r="AC16" s="620"/>
      <c r="AD16" s="622"/>
      <c r="AE16" s="622"/>
      <c r="AF16" s="622"/>
      <c r="AG16" s="622"/>
      <c r="AH16" s="612"/>
      <c r="AI16" s="622"/>
      <c r="AJ16" s="622"/>
      <c r="AK16" s="622"/>
      <c r="AL16" s="622"/>
      <c r="AM16" s="612"/>
      <c r="AN16" s="622"/>
      <c r="AO16" s="622"/>
      <c r="AP16" s="622"/>
      <c r="AQ16" s="622"/>
      <c r="AR16" s="612"/>
      <c r="AS16" s="622"/>
      <c r="AT16" s="613"/>
      <c r="AU16" s="613"/>
      <c r="AV16" s="613"/>
      <c r="AW16" s="612"/>
      <c r="AX16" s="613"/>
      <c r="AY16" s="613"/>
      <c r="AZ16" s="613"/>
      <c r="BA16" s="613"/>
      <c r="BB16" s="612"/>
      <c r="BC16" s="613"/>
      <c r="BD16" s="637"/>
      <c r="BE16" s="637"/>
      <c r="BF16" s="637"/>
      <c r="BG16" s="612"/>
      <c r="BH16" s="637"/>
      <c r="BI16" s="637"/>
      <c r="BJ16" s="637"/>
      <c r="BK16" s="637"/>
      <c r="BL16" s="612"/>
      <c r="BM16" s="637"/>
      <c r="BN16" s="637"/>
      <c r="BO16" s="637"/>
      <c r="BP16" s="671"/>
      <c r="BQ16" s="612"/>
      <c r="BR16" s="672">
        <f>+BR14/BM14-1</f>
        <v>0.1399999999999999</v>
      </c>
      <c r="BS16" s="672">
        <f>+BS14/BN14-1</f>
        <v>0.15999999999999992</v>
      </c>
      <c r="BT16" s="672">
        <f>+BT14/BO14-1</f>
        <v>9.5475467670015357E-2</v>
      </c>
      <c r="BU16" s="672">
        <f>+BU14/BP14-1</f>
        <v>0.11851400963199099</v>
      </c>
      <c r="BV16" s="612"/>
      <c r="BW16" s="671">
        <v>0.1</v>
      </c>
      <c r="BX16" s="671">
        <v>0.1</v>
      </c>
      <c r="BY16" s="671">
        <v>0.12</v>
      </c>
      <c r="BZ16" s="671">
        <v>0.15</v>
      </c>
      <c r="CA16" s="612">
        <f>CA14/BV14-1</f>
        <v>0.11819832441975264</v>
      </c>
    </row>
    <row r="17" spans="1:82" s="623" customFormat="1" ht="12.4" customHeight="1" outlineLevel="1">
      <c r="A17" s="609"/>
      <c r="B17" s="610"/>
      <c r="C17" s="907" t="s">
        <v>105</v>
      </c>
      <c r="D17" s="612"/>
      <c r="E17" s="613"/>
      <c r="F17" s="613"/>
      <c r="G17" s="613"/>
      <c r="H17" s="613"/>
      <c r="I17" s="614"/>
      <c r="J17" s="615"/>
      <c r="K17" s="616"/>
      <c r="L17" s="616"/>
      <c r="M17" s="617"/>
      <c r="N17" s="612"/>
      <c r="O17" s="615"/>
      <c r="P17" s="616"/>
      <c r="Q17" s="616"/>
      <c r="R17" s="617"/>
      <c r="S17" s="612"/>
      <c r="T17" s="622"/>
      <c r="U17" s="622"/>
      <c r="V17" s="622"/>
      <c r="W17" s="622"/>
      <c r="X17" s="612"/>
      <c r="Y17" s="622"/>
      <c r="Z17" s="622"/>
      <c r="AA17" s="622"/>
      <c r="AB17" s="622"/>
      <c r="AC17" s="620"/>
      <c r="AD17" s="622"/>
      <c r="AE17" s="622"/>
      <c r="AF17" s="622"/>
      <c r="AG17" s="622"/>
      <c r="AH17" s="612"/>
      <c r="AI17" s="622"/>
      <c r="AJ17" s="622"/>
      <c r="AK17" s="622"/>
      <c r="AL17" s="622"/>
      <c r="AM17" s="612"/>
      <c r="AN17" s="622"/>
      <c r="AO17" s="622"/>
      <c r="AP17" s="622"/>
      <c r="AQ17" s="622"/>
      <c r="AR17" s="612"/>
      <c r="AS17" s="622"/>
      <c r="AT17" s="622"/>
      <c r="AU17" s="622"/>
      <c r="AV17" s="622"/>
      <c r="AW17" s="612"/>
      <c r="AX17" s="622"/>
      <c r="AY17" s="622"/>
      <c r="AZ17" s="622"/>
      <c r="BA17" s="622"/>
      <c r="BB17" s="612"/>
      <c r="BC17" s="622"/>
      <c r="BD17" s="627"/>
      <c r="BE17" s="627"/>
      <c r="BF17" s="622"/>
      <c r="BG17" s="612"/>
      <c r="BH17" s="622"/>
      <c r="BI17" s="622"/>
      <c r="BJ17" s="622"/>
      <c r="BK17" s="622"/>
      <c r="BL17" s="612"/>
      <c r="BM17" s="622"/>
      <c r="BN17" s="622"/>
      <c r="BO17" s="622"/>
      <c r="BP17" s="671"/>
      <c r="BQ17" s="612"/>
      <c r="BR17" s="622">
        <f>BR14/BP14-1</f>
        <v>1.6455787053230253E-2</v>
      </c>
      <c r="BS17" s="622">
        <f>BS14/BR14-1</f>
        <v>2.5401270981927349E-2</v>
      </c>
      <c r="BT17" s="622">
        <f>BT14/BS14-1</f>
        <v>9.0479367668188093E-3</v>
      </c>
      <c r="BU17" s="622">
        <f>BU14/BT14-1</f>
        <v>6.3523976269924898E-2</v>
      </c>
      <c r="BV17" s="612"/>
      <c r="BW17" s="622">
        <f>BW14/BU14-1</f>
        <v>-3.6892150646672395E-4</v>
      </c>
      <c r="BX17" s="622">
        <f>BX14/BW14-1</f>
        <v>2.5401270981927349E-2</v>
      </c>
      <c r="BY17" s="622">
        <f>BY14/BX14-1</f>
        <v>2.7394262889851806E-2</v>
      </c>
      <c r="BZ17" s="622">
        <f>BZ14/BY14-1</f>
        <v>9.2011225634297755E-2</v>
      </c>
      <c r="CA17" s="612"/>
    </row>
    <row r="18" spans="1:82" s="623" customFormat="1" ht="12.4" customHeight="1" outlineLevel="1">
      <c r="A18" s="609"/>
      <c r="B18" s="610"/>
      <c r="C18" s="908"/>
      <c r="D18" s="612"/>
      <c r="E18" s="613"/>
      <c r="F18" s="613"/>
      <c r="G18" s="613"/>
      <c r="H18" s="613"/>
      <c r="I18" s="614"/>
      <c r="J18" s="616"/>
      <c r="K18" s="616"/>
      <c r="L18" s="616"/>
      <c r="M18" s="616"/>
      <c r="N18" s="612"/>
      <c r="O18" s="616"/>
      <c r="P18" s="616"/>
      <c r="Q18" s="616"/>
      <c r="R18" s="616"/>
      <c r="S18" s="612"/>
      <c r="T18" s="622"/>
      <c r="U18" s="622"/>
      <c r="V18" s="622"/>
      <c r="W18" s="622"/>
      <c r="X18" s="612"/>
      <c r="Y18" s="622"/>
      <c r="Z18" s="622"/>
      <c r="AA18" s="622"/>
      <c r="AB18" s="622"/>
      <c r="AC18" s="620"/>
      <c r="AD18" s="622"/>
      <c r="AE18" s="622"/>
      <c r="AF18" s="622"/>
      <c r="AG18" s="622"/>
      <c r="AH18" s="612"/>
      <c r="AI18" s="622"/>
      <c r="AJ18" s="622"/>
      <c r="AK18" s="622"/>
      <c r="AL18" s="622"/>
      <c r="AM18" s="612"/>
      <c r="AN18" s="622"/>
      <c r="AO18" s="622"/>
      <c r="AP18" s="622"/>
      <c r="AQ18" s="622"/>
      <c r="AR18" s="612"/>
      <c r="AS18" s="622"/>
      <c r="AT18" s="622"/>
      <c r="AU18" s="622"/>
      <c r="AV18" s="622"/>
      <c r="AW18" s="612"/>
      <c r="AX18" s="622"/>
      <c r="AY18" s="622"/>
      <c r="AZ18" s="622"/>
      <c r="BA18" s="622"/>
      <c r="BB18" s="612"/>
      <c r="BC18" s="622"/>
      <c r="BD18" s="627"/>
      <c r="BE18" s="627"/>
      <c r="BF18" s="622"/>
      <c r="BG18" s="612"/>
      <c r="BH18" s="622"/>
      <c r="BI18" s="622"/>
      <c r="BJ18" s="622"/>
      <c r="BK18" s="622"/>
      <c r="BL18" s="612"/>
      <c r="BM18" s="622"/>
      <c r="BN18" s="622"/>
      <c r="BO18" s="622"/>
      <c r="BP18" s="622"/>
      <c r="BQ18" s="612"/>
      <c r="BR18" s="622"/>
      <c r="BS18" s="622"/>
      <c r="BT18" s="622"/>
      <c r="BU18" s="622"/>
      <c r="BV18" s="612"/>
      <c r="BW18" s="622"/>
      <c r="BX18" s="622"/>
      <c r="BY18" s="622"/>
      <c r="BZ18" s="622"/>
      <c r="CA18" s="612"/>
    </row>
    <row r="19" spans="1:82" s="53" customFormat="1" ht="14.1" customHeight="1" outlineLevel="1">
      <c r="A19" s="99"/>
      <c r="B19" s="571"/>
      <c r="C19" s="906" t="s">
        <v>508</v>
      </c>
      <c r="D19" s="95"/>
      <c r="E19" s="96"/>
      <c r="F19" s="96"/>
      <c r="G19" s="96"/>
      <c r="H19" s="96"/>
      <c r="I19" s="95"/>
      <c r="J19" s="98"/>
      <c r="K19" s="96"/>
      <c r="L19" s="96"/>
      <c r="M19" s="100"/>
      <c r="N19" s="95"/>
      <c r="O19" s="96"/>
      <c r="P19" s="96"/>
      <c r="Q19" s="96"/>
      <c r="R19" s="96"/>
      <c r="S19" s="95"/>
      <c r="T19" s="202"/>
      <c r="U19" s="202"/>
      <c r="V19" s="202"/>
      <c r="W19" s="202"/>
      <c r="X19" s="95"/>
      <c r="Y19" s="202"/>
      <c r="Z19" s="202"/>
      <c r="AA19" s="202"/>
      <c r="AB19" s="202"/>
      <c r="AC19" s="204"/>
      <c r="AD19" s="202"/>
      <c r="AE19" s="202"/>
      <c r="AF19" s="202"/>
      <c r="AG19" s="202"/>
      <c r="AH19" s="95"/>
      <c r="AI19" s="202"/>
      <c r="AJ19" s="202"/>
      <c r="AK19" s="202"/>
      <c r="AL19" s="202"/>
      <c r="AM19" s="95"/>
      <c r="AN19" s="202"/>
      <c r="AO19" s="202"/>
      <c r="AP19" s="202"/>
      <c r="AQ19" s="202"/>
      <c r="AR19" s="95"/>
      <c r="AS19" s="202"/>
      <c r="AT19" s="202"/>
      <c r="AU19" s="202"/>
      <c r="AV19" s="202"/>
      <c r="AW19" s="95"/>
      <c r="AX19" s="202"/>
      <c r="AY19" s="202"/>
      <c r="AZ19" s="202"/>
      <c r="BA19" s="202"/>
      <c r="BB19" s="95"/>
      <c r="BC19" s="202"/>
      <c r="BD19" s="286"/>
      <c r="BE19" s="286"/>
      <c r="BF19" s="286"/>
      <c r="BG19" s="95"/>
      <c r="BH19" s="202"/>
      <c r="BI19" s="202"/>
      <c r="BJ19" s="202"/>
      <c r="BK19" s="202"/>
      <c r="BL19" s="95"/>
      <c r="BM19" s="202">
        <f>+BM9-BM14</f>
        <v>33435.089473684202</v>
      </c>
      <c r="BN19" s="202">
        <f>+BN9-BN14</f>
        <v>34119.214827586198</v>
      </c>
      <c r="BO19" s="202">
        <f>BO20*BO5</f>
        <v>34343.660000000003</v>
      </c>
      <c r="BP19" s="202">
        <f>BP20*BP5</f>
        <v>39012.400000000001</v>
      </c>
      <c r="BQ19" s="95">
        <f>SUM(BM19:BP19)</f>
        <v>140910.3643012704</v>
      </c>
      <c r="BR19" s="202">
        <f>BR20*BR5</f>
        <v>36361.65</v>
      </c>
      <c r="BS19" s="202">
        <f>BS20*BS5</f>
        <v>33992.28</v>
      </c>
      <c r="BT19" s="202">
        <f>BT20*BT5</f>
        <v>34299.839999999997</v>
      </c>
      <c r="BU19" s="202">
        <f>BU20*BU5</f>
        <v>33031.019999999997</v>
      </c>
      <c r="BV19" s="95">
        <f>SUM(BR19:BU19)</f>
        <v>137684.78999999998</v>
      </c>
      <c r="BW19" s="202">
        <f>BR19*(1+BW21)</f>
        <v>32725.485000000001</v>
      </c>
      <c r="BX19" s="202">
        <f>BS19*(1+BX21)</f>
        <v>33312.434399999998</v>
      </c>
      <c r="BY19" s="202">
        <f>BT19*(1+BY21)</f>
        <v>33613.843199999996</v>
      </c>
      <c r="BZ19" s="202">
        <f>BU19*(1+BZ21)</f>
        <v>32370.399599999997</v>
      </c>
      <c r="CA19" s="95">
        <f>SUM(BW19:BZ19)</f>
        <v>132022.16219999999</v>
      </c>
    </row>
    <row r="20" spans="1:82" s="623" customFormat="1" ht="12.4" customHeight="1" outlineLevel="1">
      <c r="A20" s="609"/>
      <c r="B20" s="610"/>
      <c r="C20" s="907" t="s">
        <v>98</v>
      </c>
      <c r="D20" s="612"/>
      <c r="E20" s="613"/>
      <c r="F20" s="613"/>
      <c r="G20" s="613"/>
      <c r="H20" s="613"/>
      <c r="I20" s="614"/>
      <c r="J20" s="615"/>
      <c r="K20" s="616"/>
      <c r="L20" s="616"/>
      <c r="M20" s="617"/>
      <c r="N20" s="612"/>
      <c r="O20" s="615"/>
      <c r="P20" s="616"/>
      <c r="Q20" s="616"/>
      <c r="R20" s="617"/>
      <c r="S20" s="612"/>
      <c r="T20" s="613"/>
      <c r="U20" s="613"/>
      <c r="V20" s="613"/>
      <c r="W20" s="613"/>
      <c r="X20" s="612"/>
      <c r="Y20" s="613"/>
      <c r="Z20" s="613"/>
      <c r="AA20" s="613"/>
      <c r="AB20" s="613"/>
      <c r="AC20" s="620"/>
      <c r="AD20" s="613"/>
      <c r="AE20" s="613"/>
      <c r="AF20" s="613"/>
      <c r="AG20" s="613"/>
      <c r="AH20" s="612"/>
      <c r="AI20" s="613"/>
      <c r="AJ20" s="613"/>
      <c r="AK20" s="613"/>
      <c r="AL20" s="613"/>
      <c r="AM20" s="612"/>
      <c r="AN20" s="613"/>
      <c r="AO20" s="613"/>
      <c r="AP20" s="613"/>
      <c r="AQ20" s="622"/>
      <c r="AR20" s="612"/>
      <c r="AS20" s="622"/>
      <c r="AT20" s="613"/>
      <c r="AU20" s="613"/>
      <c r="AV20" s="613"/>
      <c r="AW20" s="612"/>
      <c r="AX20" s="613"/>
      <c r="AY20" s="613"/>
      <c r="AZ20" s="672"/>
      <c r="BA20" s="672"/>
      <c r="BB20" s="612"/>
      <c r="BC20" s="672"/>
      <c r="BD20" s="827"/>
      <c r="BE20" s="827"/>
      <c r="BF20" s="672"/>
      <c r="BG20" s="612"/>
      <c r="BH20" s="672"/>
      <c r="BI20" s="672"/>
      <c r="BJ20" s="672"/>
      <c r="BK20" s="672"/>
      <c r="BL20" s="612"/>
      <c r="BM20" s="672"/>
      <c r="BN20" s="905"/>
      <c r="BO20" s="672">
        <v>0.13</v>
      </c>
      <c r="BP20" s="672">
        <v>0.14000000000000001</v>
      </c>
      <c r="BQ20" s="612"/>
      <c r="BR20" s="672">
        <v>0.13</v>
      </c>
      <c r="BS20" s="672">
        <v>0.12</v>
      </c>
      <c r="BT20" s="672">
        <v>0.12</v>
      </c>
      <c r="BU20" s="672">
        <v>0.11</v>
      </c>
      <c r="BV20" s="612"/>
      <c r="BW20" s="672">
        <f>BW19/BW5</f>
        <v>0.10936623667975323</v>
      </c>
      <c r="BX20" s="672">
        <f>BX19/BX5</f>
        <v>0.10874791936378767</v>
      </c>
      <c r="BY20" s="672">
        <f>BY19/BY5</f>
        <v>0.10714285714285714</v>
      </c>
      <c r="BZ20" s="672">
        <f>BZ19/BZ5</f>
        <v>9.594161623353506E-2</v>
      </c>
      <c r="CA20" s="612"/>
      <c r="CC20" s="916"/>
    </row>
    <row r="21" spans="1:82" s="623" customFormat="1" ht="12.4" customHeight="1" outlineLevel="1">
      <c r="A21" s="609"/>
      <c r="B21" s="610"/>
      <c r="C21" s="907" t="s">
        <v>106</v>
      </c>
      <c r="D21" s="612"/>
      <c r="E21" s="613"/>
      <c r="F21" s="613"/>
      <c r="G21" s="613"/>
      <c r="H21" s="613"/>
      <c r="I21" s="614"/>
      <c r="J21" s="615"/>
      <c r="K21" s="616"/>
      <c r="L21" s="616"/>
      <c r="M21" s="617"/>
      <c r="N21" s="612"/>
      <c r="O21" s="615"/>
      <c r="P21" s="616"/>
      <c r="Q21" s="616"/>
      <c r="R21" s="617"/>
      <c r="S21" s="612"/>
      <c r="T21" s="622"/>
      <c r="U21" s="622"/>
      <c r="V21" s="622"/>
      <c r="W21" s="622"/>
      <c r="X21" s="612"/>
      <c r="Y21" s="622"/>
      <c r="Z21" s="622"/>
      <c r="AA21" s="622"/>
      <c r="AB21" s="622"/>
      <c r="AC21" s="620"/>
      <c r="AD21" s="622"/>
      <c r="AE21" s="622"/>
      <c r="AF21" s="622"/>
      <c r="AG21" s="622"/>
      <c r="AH21" s="612"/>
      <c r="AI21" s="622"/>
      <c r="AJ21" s="622"/>
      <c r="AK21" s="622"/>
      <c r="AL21" s="622"/>
      <c r="AM21" s="612"/>
      <c r="AN21" s="622"/>
      <c r="AO21" s="622"/>
      <c r="AP21" s="622"/>
      <c r="AQ21" s="622"/>
      <c r="AR21" s="612"/>
      <c r="AS21" s="622"/>
      <c r="AT21" s="613"/>
      <c r="AU21" s="613"/>
      <c r="AV21" s="613"/>
      <c r="AW21" s="612"/>
      <c r="AX21" s="613"/>
      <c r="AY21" s="613"/>
      <c r="AZ21" s="613"/>
      <c r="BA21" s="613"/>
      <c r="BB21" s="612"/>
      <c r="BC21" s="613"/>
      <c r="BD21" s="637"/>
      <c r="BE21" s="637"/>
      <c r="BF21" s="637"/>
      <c r="BG21" s="612"/>
      <c r="BH21" s="637"/>
      <c r="BI21" s="637"/>
      <c r="BJ21" s="637"/>
      <c r="BK21" s="637"/>
      <c r="BL21" s="612"/>
      <c r="BM21" s="637"/>
      <c r="BN21" s="637"/>
      <c r="BO21" s="637"/>
      <c r="BP21" s="671"/>
      <c r="BQ21" s="612"/>
      <c r="BR21" s="671">
        <f>BR19/BM19-1</f>
        <v>8.7529615514240211E-2</v>
      </c>
      <c r="BS21" s="671">
        <f>BS19/BN19-1</f>
        <v>-3.7203326110415436E-3</v>
      </c>
      <c r="BT21" s="622">
        <f>BT19/BO19-1</f>
        <v>-1.2759269105274695E-3</v>
      </c>
      <c r="BU21" s="622">
        <f>BU19/BP19-1</f>
        <v>-0.15331997006080134</v>
      </c>
      <c r="BV21" s="671">
        <f>BV19/BQ19-1</f>
        <v>-2.2890965595504742E-2</v>
      </c>
      <c r="BW21" s="671">
        <v>-0.1</v>
      </c>
      <c r="BX21" s="671">
        <v>-0.02</v>
      </c>
      <c r="BY21" s="671">
        <v>-0.02</v>
      </c>
      <c r="BZ21" s="671">
        <v>-0.02</v>
      </c>
      <c r="CA21" s="612">
        <f>CA19/BV19-1</f>
        <v>-4.1127475300648642E-2</v>
      </c>
    </row>
    <row r="22" spans="1:82" s="623" customFormat="1" ht="12.4" customHeight="1" outlineLevel="1">
      <c r="A22" s="609"/>
      <c r="B22" s="610"/>
      <c r="C22" s="907" t="s">
        <v>105</v>
      </c>
      <c r="D22" s="612"/>
      <c r="E22" s="613"/>
      <c r="F22" s="613"/>
      <c r="G22" s="613"/>
      <c r="H22" s="613"/>
      <c r="I22" s="614"/>
      <c r="J22" s="615"/>
      <c r="K22" s="616"/>
      <c r="L22" s="616"/>
      <c r="M22" s="617"/>
      <c r="N22" s="612"/>
      <c r="O22" s="615"/>
      <c r="P22" s="616"/>
      <c r="Q22" s="616"/>
      <c r="R22" s="617"/>
      <c r="S22" s="612"/>
      <c r="T22" s="622"/>
      <c r="U22" s="622"/>
      <c r="V22" s="622"/>
      <c r="W22" s="622"/>
      <c r="X22" s="612"/>
      <c r="Y22" s="622"/>
      <c r="Z22" s="622"/>
      <c r="AA22" s="622"/>
      <c r="AB22" s="622"/>
      <c r="AC22" s="620"/>
      <c r="AD22" s="622"/>
      <c r="AE22" s="622"/>
      <c r="AF22" s="622"/>
      <c r="AG22" s="622"/>
      <c r="AH22" s="612"/>
      <c r="AI22" s="622"/>
      <c r="AJ22" s="622"/>
      <c r="AK22" s="622"/>
      <c r="AL22" s="622"/>
      <c r="AM22" s="612"/>
      <c r="AN22" s="622"/>
      <c r="AO22" s="622"/>
      <c r="AP22" s="622"/>
      <c r="AQ22" s="622"/>
      <c r="AR22" s="612"/>
      <c r="AS22" s="622"/>
      <c r="AT22" s="622"/>
      <c r="AU22" s="622"/>
      <c r="AV22" s="622"/>
      <c r="AW22" s="612"/>
      <c r="AX22" s="622"/>
      <c r="AY22" s="622"/>
      <c r="AZ22" s="622"/>
      <c r="BA22" s="622"/>
      <c r="BB22" s="612"/>
      <c r="BC22" s="622"/>
      <c r="BD22" s="627"/>
      <c r="BE22" s="627"/>
      <c r="BF22" s="622"/>
      <c r="BG22" s="612"/>
      <c r="BH22" s="622"/>
      <c r="BI22" s="622"/>
      <c r="BJ22" s="622"/>
      <c r="BK22" s="622"/>
      <c r="BL22" s="612"/>
      <c r="BM22" s="622"/>
      <c r="BN22" s="622"/>
      <c r="BO22" s="622"/>
      <c r="BP22" s="671"/>
      <c r="BQ22" s="612"/>
      <c r="BR22" s="622">
        <f>BR19/BP19-1</f>
        <v>-6.7946345264582542E-2</v>
      </c>
      <c r="BS22" s="622">
        <f>BS19/BR19-1</f>
        <v>-6.5161234432430937E-2</v>
      </c>
      <c r="BT22" s="622">
        <f>BT19/BS19-1</f>
        <v>9.0479367668188093E-3</v>
      </c>
      <c r="BU22" s="622">
        <f>BU19/BT19-1</f>
        <v>-3.6992009292171613E-2</v>
      </c>
      <c r="BV22" s="612"/>
      <c r="BW22" s="622">
        <f>BW19/BU19-1</f>
        <v>-9.2499414187027229E-3</v>
      </c>
      <c r="BX22" s="622">
        <f>BX19/BW19-1</f>
        <v>1.7935544729130726E-2</v>
      </c>
      <c r="BY22" s="622">
        <f>BY19/BX19-1</f>
        <v>9.0479367668188093E-3</v>
      </c>
      <c r="BZ22" s="622">
        <f>BZ19/BY19-1</f>
        <v>-3.6992009292171613E-2</v>
      </c>
      <c r="CA22" s="612"/>
    </row>
    <row r="23" spans="1:82" s="578" customFormat="1" ht="7.7" customHeight="1" outlineLevel="1">
      <c r="A23" s="570"/>
      <c r="B23" s="571"/>
      <c r="C23" s="580"/>
      <c r="D23" s="573"/>
      <c r="E23" s="574"/>
      <c r="F23" s="574"/>
      <c r="G23" s="574"/>
      <c r="H23" s="574"/>
      <c r="I23" s="573"/>
      <c r="J23" s="574"/>
      <c r="K23" s="574"/>
      <c r="L23" s="574"/>
      <c r="M23" s="574"/>
      <c r="N23" s="573"/>
      <c r="O23" s="574"/>
      <c r="P23" s="574"/>
      <c r="Q23" s="574"/>
      <c r="R23" s="574"/>
      <c r="S23" s="573"/>
      <c r="T23" s="577"/>
      <c r="U23" s="577"/>
      <c r="V23" s="577"/>
      <c r="W23" s="577"/>
      <c r="X23" s="573"/>
      <c r="Y23" s="577"/>
      <c r="Z23" s="577"/>
      <c r="AA23" s="577"/>
      <c r="AB23" s="577"/>
      <c r="AC23" s="576"/>
      <c r="AD23" s="577"/>
      <c r="AE23" s="577"/>
      <c r="AF23" s="577"/>
      <c r="AG23" s="577"/>
      <c r="AH23" s="573"/>
      <c r="AI23" s="577"/>
      <c r="AJ23" s="577"/>
      <c r="AK23" s="577"/>
      <c r="AL23" s="577"/>
      <c r="AM23" s="573"/>
      <c r="AN23" s="577"/>
      <c r="AO23" s="577"/>
      <c r="AP23" s="577"/>
      <c r="AQ23" s="577"/>
      <c r="AR23" s="573"/>
      <c r="AS23" s="577"/>
      <c r="AT23" s="574"/>
      <c r="AU23" s="574"/>
      <c r="AV23" s="574"/>
      <c r="AW23" s="573"/>
      <c r="AX23" s="574"/>
      <c r="AY23" s="574"/>
      <c r="AZ23" s="577"/>
      <c r="BA23" s="577"/>
      <c r="BB23" s="573"/>
      <c r="BC23" s="577"/>
      <c r="BD23" s="581"/>
      <c r="BE23" s="577"/>
      <c r="BF23" s="577"/>
      <c r="BG23" s="573"/>
      <c r="BH23" s="577"/>
      <c r="BI23" s="577"/>
      <c r="BJ23" s="577"/>
      <c r="BK23" s="577"/>
      <c r="BL23" s="573"/>
      <c r="BM23" s="577"/>
      <c r="BN23" s="577"/>
      <c r="BO23" s="577"/>
      <c r="BP23" s="577"/>
      <c r="BQ23" s="573"/>
      <c r="BR23" s="577"/>
      <c r="BS23" s="577"/>
      <c r="BT23" s="577"/>
      <c r="BU23" s="577"/>
      <c r="BV23" s="573"/>
      <c r="BW23" s="577"/>
      <c r="BX23" s="577"/>
      <c r="BY23" s="577"/>
      <c r="BZ23" s="577"/>
      <c r="CA23" s="573"/>
    </row>
    <row r="24" spans="1:82" s="53" customFormat="1" ht="14.1" customHeight="1" outlineLevel="1">
      <c r="A24" s="99"/>
      <c r="B24" s="909" t="s">
        <v>288</v>
      </c>
      <c r="C24" s="396"/>
      <c r="D24" s="95"/>
      <c r="E24" s="96"/>
      <c r="F24" s="96"/>
      <c r="G24" s="96"/>
      <c r="H24" s="96"/>
      <c r="I24" s="95"/>
      <c r="J24" s="98"/>
      <c r="K24" s="96"/>
      <c r="L24" s="96"/>
      <c r="M24" s="100"/>
      <c r="N24" s="95"/>
      <c r="O24" s="96"/>
      <c r="P24" s="96"/>
      <c r="Q24" s="96"/>
      <c r="R24" s="96"/>
      <c r="S24" s="95"/>
      <c r="T24" s="202">
        <f>T25*T5</f>
        <v>908.22000000000082</v>
      </c>
      <c r="U24" s="202">
        <f>U25*U5</f>
        <v>1210.9600000000012</v>
      </c>
      <c r="V24" s="202">
        <f>V25*V5</f>
        <v>1291.4800000000012</v>
      </c>
      <c r="W24" s="202">
        <f>W25*W5</f>
        <v>1441.3200000000013</v>
      </c>
      <c r="X24" s="95"/>
      <c r="Y24" s="202">
        <f>Y25*Y5</f>
        <v>1900.7500000000016</v>
      </c>
      <c r="Z24" s="202">
        <f>Z25*Z5</f>
        <v>2333.1600000000021</v>
      </c>
      <c r="AA24" s="202">
        <f>AA25*AA5</f>
        <v>1639.2800000000016</v>
      </c>
      <c r="AB24" s="202">
        <f>AB25*AB5</f>
        <v>2210.3500000000022</v>
      </c>
      <c r="AC24" s="204"/>
      <c r="AD24" s="202">
        <f>AD25*AD5</f>
        <v>2820.8400000000024</v>
      </c>
      <c r="AE24" s="202">
        <f>AE25*AE5</f>
        <v>2863.6200000000026</v>
      </c>
      <c r="AF24" s="202">
        <f>AF25*AF5</f>
        <v>3505.6699999999973</v>
      </c>
      <c r="AG24" s="202">
        <f>AG25*AG5</f>
        <v>2770.1500000000024</v>
      </c>
      <c r="AH24" s="95"/>
      <c r="AI24" s="202">
        <f>AI25*AI5</f>
        <v>4712.3999999999978</v>
      </c>
      <c r="AJ24" s="202">
        <f>AJ25*AJ5</f>
        <v>4278.3999999999969</v>
      </c>
      <c r="AK24" s="202">
        <f>AK25*AK5</f>
        <v>4571.279999999997</v>
      </c>
      <c r="AL24" s="202">
        <f>AL25*AL5</f>
        <v>5063.4499999999962</v>
      </c>
      <c r="AM24" s="95">
        <f>SUM(AI24:AL24)</f>
        <v>18625.529999999988</v>
      </c>
      <c r="AN24" s="202">
        <f>AN25*AN5</f>
        <v>5217.6599999999962</v>
      </c>
      <c r="AO24" s="202">
        <f>AO25*AO5</f>
        <v>6194.8799999999965</v>
      </c>
      <c r="AP24" s="202">
        <f>AP25*AP5</f>
        <v>7539.2099999999973</v>
      </c>
      <c r="AQ24" s="202">
        <f>AQ25*AQ5</f>
        <v>7381.0399999999963</v>
      </c>
      <c r="AR24" s="95">
        <f>SUM(AN24:AQ24)</f>
        <v>26332.78999999999</v>
      </c>
      <c r="AS24" s="202">
        <f>AS25*AS5</f>
        <v>8557.9199999999964</v>
      </c>
      <c r="AT24" s="96">
        <f>AT25*AT5</f>
        <v>7983.3600000000006</v>
      </c>
      <c r="AU24" s="96">
        <f>AU25*AU5</f>
        <v>7850.0100000000011</v>
      </c>
      <c r="AV24" s="96">
        <f>AV25*AV5</f>
        <v>8951.9500000000007</v>
      </c>
      <c r="AW24" s="95">
        <f>SUM(AS24:AV24)</f>
        <v>33343.240000000005</v>
      </c>
      <c r="AX24" s="96">
        <f>AX25*AX5</f>
        <v>11030.559999999994</v>
      </c>
      <c r="AY24" s="96">
        <f>AY25*AY5</f>
        <v>11502.56</v>
      </c>
      <c r="AZ24" s="96">
        <f>AZ25*AZ5</f>
        <v>12346.24</v>
      </c>
      <c r="BA24" s="96">
        <f>BA25*BA5</f>
        <v>12151.93</v>
      </c>
      <c r="BB24" s="95">
        <f>SUM(AX24:BA24)</f>
        <v>47031.289999999994</v>
      </c>
      <c r="BC24" s="96">
        <f>BC25*BC5</f>
        <v>16449.929999999993</v>
      </c>
      <c r="BD24" s="107">
        <f>BD25*BD5</f>
        <v>17044.379999999994</v>
      </c>
      <c r="BE24" s="107">
        <f>BE25*BE5</f>
        <v>17850.779999999995</v>
      </c>
      <c r="BF24" s="107">
        <f>BF25*BF5</f>
        <v>16667.599999999991</v>
      </c>
      <c r="BG24" s="95">
        <f>SUM(BC24:BF24)</f>
        <v>68012.689999999973</v>
      </c>
      <c r="BH24" s="202">
        <f>BH25*BH5</f>
        <v>17475.119999999992</v>
      </c>
      <c r="BI24" s="202">
        <f>BI25*BI5</f>
        <v>20059.379999999994</v>
      </c>
      <c r="BJ24" s="202">
        <f>BJ25*BJ5</f>
        <v>18408.400000000001</v>
      </c>
      <c r="BK24" s="202">
        <f>BK25*BK5</f>
        <v>19124.96</v>
      </c>
      <c r="BL24" s="95">
        <f>SUM(BH24:BK24)</f>
        <v>75067.859999999986</v>
      </c>
      <c r="BM24" s="202">
        <f>BM25*BM5</f>
        <v>17290.699999999986</v>
      </c>
      <c r="BN24" s="202">
        <f>BN25*BN5</f>
        <v>20166.87999999999</v>
      </c>
      <c r="BO24" s="202">
        <f>BO25*BO5</f>
        <v>18492.739999999987</v>
      </c>
      <c r="BP24" s="202">
        <f>BP25*BP5</f>
        <v>19506.199999999986</v>
      </c>
      <c r="BQ24" s="95">
        <f>SUM(BM24:BP24)</f>
        <v>75456.519999999946</v>
      </c>
      <c r="BR24" s="202">
        <f>BR25*BR5</f>
        <v>19579.350000000002</v>
      </c>
      <c r="BS24" s="202">
        <f>BS25*BS5</f>
        <v>19828.830000000002</v>
      </c>
      <c r="BT24" s="202">
        <f>BT25*BT5</f>
        <v>20008.240000000002</v>
      </c>
      <c r="BU24" s="202">
        <f>BU25*BU5</f>
        <v>21019.74</v>
      </c>
      <c r="BV24" s="95">
        <f>SUM(BR24:BU24)</f>
        <v>80436.160000000018</v>
      </c>
      <c r="BW24" s="202">
        <f>BR24*(1+BW26)</f>
        <v>20362.524000000001</v>
      </c>
      <c r="BX24" s="202">
        <f>BS24*(1+BX26)</f>
        <v>20621.983200000002</v>
      </c>
      <c r="BY24" s="202">
        <f>BT24*(1+BY26)</f>
        <v>20808.569600000003</v>
      </c>
      <c r="BZ24" s="202">
        <f>BU24*(1+BZ26)</f>
        <v>21860.529600000002</v>
      </c>
      <c r="CA24" s="95">
        <f>SUM(BW24:BZ24)</f>
        <v>83653.606400000019</v>
      </c>
      <c r="CB24" s="163"/>
      <c r="CC24" s="163"/>
    </row>
    <row r="25" spans="1:82" s="623" customFormat="1" ht="12.4" customHeight="1" outlineLevel="1">
      <c r="A25" s="609"/>
      <c r="B25" s="610"/>
      <c r="C25" s="611" t="s">
        <v>98</v>
      </c>
      <c r="D25" s="612"/>
      <c r="E25" s="613"/>
      <c r="F25" s="613"/>
      <c r="G25" s="613"/>
      <c r="H25" s="613"/>
      <c r="I25" s="614"/>
      <c r="J25" s="615"/>
      <c r="K25" s="616"/>
      <c r="L25" s="616"/>
      <c r="M25" s="617"/>
      <c r="N25" s="614"/>
      <c r="O25" s="615"/>
      <c r="P25" s="616"/>
      <c r="Q25" s="616"/>
      <c r="R25" s="617"/>
      <c r="S25" s="612"/>
      <c r="T25" s="613">
        <f>1-T10</f>
        <v>3.0000000000000027E-2</v>
      </c>
      <c r="U25" s="613">
        <f>1-U10</f>
        <v>4.0000000000000036E-2</v>
      </c>
      <c r="V25" s="613">
        <f>1-V10</f>
        <v>4.0000000000000036E-2</v>
      </c>
      <c r="W25" s="613">
        <f>1-W10</f>
        <v>4.0000000000000036E-2</v>
      </c>
      <c r="X25" s="612"/>
      <c r="Y25" s="613">
        <f>1-Y10</f>
        <v>5.0000000000000044E-2</v>
      </c>
      <c r="Z25" s="613">
        <f>1-Z10</f>
        <v>6.0000000000000053E-2</v>
      </c>
      <c r="AA25" s="613">
        <f>1-AA10</f>
        <v>4.0000000000000036E-2</v>
      </c>
      <c r="AB25" s="613">
        <f>1-AB10</f>
        <v>5.0000000000000044E-2</v>
      </c>
      <c r="AC25" s="620"/>
      <c r="AD25" s="613">
        <f>1-AD10</f>
        <v>6.0000000000000053E-2</v>
      </c>
      <c r="AE25" s="613">
        <f>1-AE10</f>
        <v>6.0000000000000053E-2</v>
      </c>
      <c r="AF25" s="613">
        <f>1-AF10</f>
        <v>6.9999999999999951E-2</v>
      </c>
      <c r="AG25" s="613">
        <f>1-AG10</f>
        <v>5.0000000000000044E-2</v>
      </c>
      <c r="AH25" s="612"/>
      <c r="AI25" s="613">
        <f>1-AI10</f>
        <v>7.999999999999996E-2</v>
      </c>
      <c r="AJ25" s="613">
        <f>1-AJ10</f>
        <v>6.9999999999999951E-2</v>
      </c>
      <c r="AK25" s="613">
        <f>1-AK10</f>
        <v>6.9999999999999951E-2</v>
      </c>
      <c r="AL25" s="613">
        <f>1-AL10</f>
        <v>6.9999999999999951E-2</v>
      </c>
      <c r="AM25" s="612"/>
      <c r="AN25" s="613">
        <f>1-AN10</f>
        <v>6.9999999999999951E-2</v>
      </c>
      <c r="AO25" s="613">
        <f>1-AO10</f>
        <v>7.999999999999996E-2</v>
      </c>
      <c r="AP25" s="613">
        <f>1-AP10</f>
        <v>8.9999999999999969E-2</v>
      </c>
      <c r="AQ25" s="613">
        <f>1-AQ10</f>
        <v>7.999999999999996E-2</v>
      </c>
      <c r="AR25" s="612"/>
      <c r="AS25" s="613">
        <f>1-AS10</f>
        <v>8.9999999999999969E-2</v>
      </c>
      <c r="AT25" s="613">
        <v>0.08</v>
      </c>
      <c r="AU25" s="613">
        <v>7.0000000000000007E-2</v>
      </c>
      <c r="AV25" s="613">
        <v>7.0000000000000007E-2</v>
      </c>
      <c r="AW25" s="612"/>
      <c r="AX25" s="613">
        <f>1-AX10</f>
        <v>7.999999999999996E-2</v>
      </c>
      <c r="AY25" s="613">
        <v>0.08</v>
      </c>
      <c r="AZ25" s="672">
        <v>0.08</v>
      </c>
      <c r="BA25" s="672">
        <v>7.0000000000000007E-2</v>
      </c>
      <c r="BB25" s="612"/>
      <c r="BC25" s="672">
        <f>1-BC10</f>
        <v>8.9999999999999969E-2</v>
      </c>
      <c r="BD25" s="827">
        <f>1-BD10</f>
        <v>8.9999999999999969E-2</v>
      </c>
      <c r="BE25" s="827">
        <f>1-BE10</f>
        <v>8.9999999999999969E-2</v>
      </c>
      <c r="BF25" s="827">
        <f>1-BF10</f>
        <v>7.999999999999996E-2</v>
      </c>
      <c r="BG25" s="612"/>
      <c r="BH25" s="672">
        <f>1-BH10</f>
        <v>7.999999999999996E-2</v>
      </c>
      <c r="BI25" s="672">
        <f>1-BI10</f>
        <v>8.9999999999999969E-2</v>
      </c>
      <c r="BJ25" s="672">
        <v>0.08</v>
      </c>
      <c r="BK25" s="672">
        <v>0.08</v>
      </c>
      <c r="BL25" s="612"/>
      <c r="BM25" s="672">
        <f>1-BM10</f>
        <v>6.9999999999999951E-2</v>
      </c>
      <c r="BN25" s="672">
        <f>1-BN10</f>
        <v>7.999999999999996E-2</v>
      </c>
      <c r="BO25" s="672">
        <f>1-BO10</f>
        <v>6.9999999999999951E-2</v>
      </c>
      <c r="BP25" s="672">
        <f>1-BP10</f>
        <v>6.9999999999999951E-2</v>
      </c>
      <c r="BQ25" s="612"/>
      <c r="BR25" s="672">
        <v>7.0000000000000007E-2</v>
      </c>
      <c r="BS25" s="672">
        <v>7.0000000000000007E-2</v>
      </c>
      <c r="BT25" s="672">
        <v>7.0000000000000007E-2</v>
      </c>
      <c r="BU25" s="672">
        <v>7.0000000000000007E-2</v>
      </c>
      <c r="BV25" s="612"/>
      <c r="BW25" s="672">
        <f>1-BW10</f>
        <v>6.8050102822957537E-2</v>
      </c>
      <c r="BX25" s="672">
        <f>BX24/BX5</f>
        <v>6.7320140558535232E-2</v>
      </c>
      <c r="BY25" s="672">
        <f>BY24/BY5</f>
        <v>6.6326530612244902E-2</v>
      </c>
      <c r="BZ25" s="672">
        <f>BZ24/BZ5</f>
        <v>6.4791740833036668E-2</v>
      </c>
      <c r="CA25" s="612"/>
    </row>
    <row r="26" spans="1:82" s="623" customFormat="1" ht="12.4" customHeight="1" outlineLevel="1">
      <c r="A26" s="609"/>
      <c r="B26" s="610"/>
      <c r="C26" s="611" t="s">
        <v>106</v>
      </c>
      <c r="D26" s="612"/>
      <c r="E26" s="613"/>
      <c r="F26" s="613"/>
      <c r="G26" s="613"/>
      <c r="H26" s="613"/>
      <c r="I26" s="614"/>
      <c r="J26" s="615"/>
      <c r="K26" s="616"/>
      <c r="L26" s="616"/>
      <c r="M26" s="617"/>
      <c r="N26" s="614"/>
      <c r="O26" s="615"/>
      <c r="P26" s="616"/>
      <c r="Q26" s="616"/>
      <c r="R26" s="617"/>
      <c r="S26" s="612"/>
      <c r="T26" s="622" t="e">
        <f>T24/O24-1</f>
        <v>#DIV/0!</v>
      </c>
      <c r="U26" s="622" t="e">
        <f>U24/P24-1</f>
        <v>#DIV/0!</v>
      </c>
      <c r="V26" s="622" t="e">
        <f>V24/Q24-1</f>
        <v>#DIV/0!</v>
      </c>
      <c r="W26" s="622" t="e">
        <f>W24/R24-1</f>
        <v>#DIV/0!</v>
      </c>
      <c r="X26" s="612"/>
      <c r="Y26" s="622">
        <f>Y24/T24-1</f>
        <v>1.0928299310739686</v>
      </c>
      <c r="Z26" s="622">
        <f>Z24/U24-1</f>
        <v>0.92670278126445127</v>
      </c>
      <c r="AA26" s="622">
        <f>AA24/V24-1</f>
        <v>0.26930343481896757</v>
      </c>
      <c r="AB26" s="622">
        <f>AB24/W24-1</f>
        <v>0.53355951488912945</v>
      </c>
      <c r="AC26" s="620"/>
      <c r="AD26" s="622">
        <f>AD24/Y24-1</f>
        <v>0.4840668157306327</v>
      </c>
      <c r="AE26" s="622">
        <f>AE24/Z24-1</f>
        <v>0.22735688936892462</v>
      </c>
      <c r="AF26" s="622">
        <f>AF24/AA24-1</f>
        <v>1.1385425308672064</v>
      </c>
      <c r="AG26" s="622">
        <f>AG24/AB24-1</f>
        <v>0.25326305788675985</v>
      </c>
      <c r="AH26" s="612"/>
      <c r="AI26" s="622">
        <f>AI24/AD24-1</f>
        <v>0.67056621431913688</v>
      </c>
      <c r="AJ26" s="622">
        <f>AJ24/AE24-1</f>
        <v>0.49405298189005276</v>
      </c>
      <c r="AK26" s="622">
        <f>AK24/AF24-1</f>
        <v>0.30396757253249751</v>
      </c>
      <c r="AL26" s="622">
        <f>AL24/AG24-1</f>
        <v>0.8278613071494294</v>
      </c>
      <c r="AM26" s="612"/>
      <c r="AN26" s="622">
        <f t="shared" ref="AN26:BU26" si="6">AN24/AI24-1</f>
        <v>0.10721925133689814</v>
      </c>
      <c r="AO26" s="622">
        <f t="shared" si="6"/>
        <v>0.44794315632011994</v>
      </c>
      <c r="AP26" s="622">
        <f t="shared" si="6"/>
        <v>0.6492557883131207</v>
      </c>
      <c r="AQ26" s="622">
        <f t="shared" si="6"/>
        <v>0.45770966435928107</v>
      </c>
      <c r="AR26" s="612">
        <f t="shared" si="6"/>
        <v>0.41380084217737734</v>
      </c>
      <c r="AS26" s="622">
        <f t="shared" si="6"/>
        <v>0.64018353054817734</v>
      </c>
      <c r="AT26" s="613">
        <f t="shared" si="6"/>
        <v>0.28870292887029381</v>
      </c>
      <c r="AU26" s="613">
        <f t="shared" si="6"/>
        <v>4.1224478426785227E-2</v>
      </c>
      <c r="AV26" s="613">
        <f t="shared" si="6"/>
        <v>0.21283044123863371</v>
      </c>
      <c r="AW26" s="612">
        <f>AW24/AR24-1</f>
        <v>0.26622511325233744</v>
      </c>
      <c r="AX26" s="613">
        <f t="shared" si="6"/>
        <v>0.28893002037878346</v>
      </c>
      <c r="AY26" s="613">
        <f t="shared" si="6"/>
        <v>0.44081689915023237</v>
      </c>
      <c r="AZ26" s="613">
        <f t="shared" si="6"/>
        <v>0.5727674232262121</v>
      </c>
      <c r="BA26" s="613">
        <f t="shared" si="6"/>
        <v>0.35746178206982826</v>
      </c>
      <c r="BB26" s="612">
        <f>BB24/AW24-1</f>
        <v>0.41051949360649975</v>
      </c>
      <c r="BC26" s="613">
        <f t="shared" si="6"/>
        <v>0.49130506520067896</v>
      </c>
      <c r="BD26" s="637">
        <f t="shared" si="6"/>
        <v>0.48179014062956371</v>
      </c>
      <c r="BE26" s="637">
        <f t="shared" si="6"/>
        <v>0.44584748069047708</v>
      </c>
      <c r="BF26" s="637">
        <f t="shared" si="6"/>
        <v>0.37160105431811985</v>
      </c>
      <c r="BG26" s="612">
        <f>BG24/BB24-1</f>
        <v>0.44611576675868303</v>
      </c>
      <c r="BH26" s="637">
        <f t="shared" si="6"/>
        <v>6.232184574645605E-2</v>
      </c>
      <c r="BI26" s="637">
        <f t="shared" si="6"/>
        <v>0.17689115121817278</v>
      </c>
      <c r="BJ26" s="637">
        <f t="shared" si="6"/>
        <v>3.1237850670951417E-2</v>
      </c>
      <c r="BK26" s="637">
        <f t="shared" si="6"/>
        <v>0.14743334373275152</v>
      </c>
      <c r="BL26" s="612">
        <f>BL24/BG24-1</f>
        <v>0.10373314156519942</v>
      </c>
      <c r="BM26" s="637">
        <f t="shared" si="6"/>
        <v>-1.0553289476696315E-2</v>
      </c>
      <c r="BN26" s="637">
        <f t="shared" si="6"/>
        <v>5.3590888651591229E-3</v>
      </c>
      <c r="BO26" s="637">
        <f t="shared" si="6"/>
        <v>4.5816040503241506E-3</v>
      </c>
      <c r="BP26" s="637">
        <f t="shared" si="6"/>
        <v>1.9934159339417556E-2</v>
      </c>
      <c r="BQ26" s="612">
        <f>BQ24/BL24-1</f>
        <v>5.1774487776787836E-3</v>
      </c>
      <c r="BR26" s="637">
        <f t="shared" si="6"/>
        <v>0.13236306222420247</v>
      </c>
      <c r="BS26" s="637">
        <f t="shared" si="6"/>
        <v>-1.6762632593638083E-2</v>
      </c>
      <c r="BT26" s="637">
        <f t="shared" si="6"/>
        <v>8.1951079180262898E-2</v>
      </c>
      <c r="BU26" s="637">
        <f t="shared" si="6"/>
        <v>7.7592765377163087E-2</v>
      </c>
      <c r="BV26" s="612">
        <f>BV24/BQ24-1</f>
        <v>6.5993501953178768E-2</v>
      </c>
      <c r="BW26" s="671">
        <v>0.04</v>
      </c>
      <c r="BX26" s="671">
        <v>0.04</v>
      </c>
      <c r="BY26" s="671">
        <v>0.04</v>
      </c>
      <c r="BZ26" s="671">
        <v>0.04</v>
      </c>
      <c r="CA26" s="612">
        <f>CA24/BV24-1</f>
        <v>4.0000000000000036E-2</v>
      </c>
    </row>
    <row r="27" spans="1:82" s="660" customFormat="1" ht="14.1" customHeight="1" outlineLevel="1" thickBot="1">
      <c r="A27" s="649"/>
      <c r="B27" s="650"/>
      <c r="C27" s="651" t="s">
        <v>105</v>
      </c>
      <c r="D27" s="652"/>
      <c r="E27" s="653"/>
      <c r="F27" s="653"/>
      <c r="G27" s="653"/>
      <c r="H27" s="653"/>
      <c r="I27" s="654"/>
      <c r="J27" s="655"/>
      <c r="K27" s="656"/>
      <c r="L27" s="656"/>
      <c r="M27" s="657"/>
      <c r="N27" s="654"/>
      <c r="O27" s="655"/>
      <c r="P27" s="656"/>
      <c r="Q27" s="656"/>
      <c r="R27" s="657"/>
      <c r="S27" s="652"/>
      <c r="T27" s="658" t="e">
        <f>T24/R24-1</f>
        <v>#DIV/0!</v>
      </c>
      <c r="U27" s="658">
        <f>U24/T24-1</f>
        <v>0.33333333333333348</v>
      </c>
      <c r="V27" s="658">
        <f>V24/U24-1</f>
        <v>6.6492700006606231E-2</v>
      </c>
      <c r="W27" s="658">
        <f>W24/V24-1</f>
        <v>0.11602192833028768</v>
      </c>
      <c r="X27" s="652"/>
      <c r="Y27" s="658">
        <f>Y24/W24-1</f>
        <v>0.31875641772819341</v>
      </c>
      <c r="Z27" s="658">
        <f>Z24/Y24-1</f>
        <v>0.22749441010127591</v>
      </c>
      <c r="AA27" s="658">
        <f>AA24/Z24-1</f>
        <v>-0.29739923537177049</v>
      </c>
      <c r="AB27" s="658">
        <f>AB24/AA24-1</f>
        <v>0.34836635596115362</v>
      </c>
      <c r="AC27" s="659"/>
      <c r="AD27" s="658">
        <f>AD24/AB24-1</f>
        <v>0.27619607754428022</v>
      </c>
      <c r="AE27" s="658">
        <f>AE24/AD24-1</f>
        <v>1.5165695324796946E-2</v>
      </c>
      <c r="AF27" s="658">
        <f>AF24/AE24-1</f>
        <v>0.22420921770346425</v>
      </c>
      <c r="AG27" s="658">
        <f>AG24/AF24-1</f>
        <v>-0.20980868136475928</v>
      </c>
      <c r="AH27" s="652"/>
      <c r="AI27" s="658">
        <f>AI24/AG24-1</f>
        <v>0.70113531758207825</v>
      </c>
      <c r="AJ27" s="658">
        <f>AJ24/AI24-1</f>
        <v>-9.2097445038621717E-2</v>
      </c>
      <c r="AK27" s="658">
        <f>AK24/AJ24-1</f>
        <v>6.8455497382199137E-2</v>
      </c>
      <c r="AL27" s="658">
        <f>AL24/AK24-1</f>
        <v>0.10766568663481557</v>
      </c>
      <c r="AM27" s="652"/>
      <c r="AN27" s="658">
        <f>AN24/AL24-1</f>
        <v>3.0455519458077118E-2</v>
      </c>
      <c r="AO27" s="658">
        <f>AO24/AN24-1</f>
        <v>0.18729085452099237</v>
      </c>
      <c r="AP27" s="658">
        <f>AP24/AO24-1</f>
        <v>0.2170066248256628</v>
      </c>
      <c r="AQ27" s="658">
        <f>AQ24/AP24-1</f>
        <v>-2.0979651714171821E-2</v>
      </c>
      <c r="AR27" s="652"/>
      <c r="AS27" s="658">
        <f>AS24/AQ24-1</f>
        <v>0.15944636528185741</v>
      </c>
      <c r="AT27" s="658">
        <f>AT24/AS24-1</f>
        <v>-6.7137809187278741E-2</v>
      </c>
      <c r="AU27" s="658">
        <f>AU24/AT24-1</f>
        <v>-1.6703493265993186E-2</v>
      </c>
      <c r="AV27" s="658">
        <f>AV24/AU24-1</f>
        <v>0.14037434347217381</v>
      </c>
      <c r="AW27" s="652"/>
      <c r="AX27" s="622">
        <f>AX24/AV24-1</f>
        <v>0.23219633711090792</v>
      </c>
      <c r="AY27" s="622">
        <f>AY24/AX24-1</f>
        <v>4.2790211920338272E-2</v>
      </c>
      <c r="AZ27" s="622">
        <f>AZ24/AY24-1</f>
        <v>7.334715054735641E-2</v>
      </c>
      <c r="BA27" s="622">
        <f>BA24/AZ24-1</f>
        <v>-1.5738394847338077E-2</v>
      </c>
      <c r="BB27" s="612"/>
      <c r="BC27" s="622">
        <f>BC24/BA24-1</f>
        <v>0.35368867332185028</v>
      </c>
      <c r="BD27" s="622">
        <f>BD24/BC24-1</f>
        <v>3.6136931889679813E-2</v>
      </c>
      <c r="BE27" s="622">
        <f>BE24/BD24-1</f>
        <v>4.7311782534771085E-2</v>
      </c>
      <c r="BF27" s="622">
        <f>BF24/BE24-1</f>
        <v>-6.6281697494451453E-2</v>
      </c>
      <c r="BG27" s="652"/>
      <c r="BH27" s="622">
        <f>BH24/BF24-1</f>
        <v>4.8448486884734576E-2</v>
      </c>
      <c r="BI27" s="622">
        <f>BI24/BH24-1</f>
        <v>0.14788224630217139</v>
      </c>
      <c r="BJ27" s="622">
        <f>BJ24/BI24-1</f>
        <v>-8.2304637531169567E-2</v>
      </c>
      <c r="BK27" s="622">
        <f>BK24/BJ24-1</f>
        <v>3.8925707829034373E-2</v>
      </c>
      <c r="BL27" s="652"/>
      <c r="BM27" s="622">
        <f>BM24/BK24-1</f>
        <v>-9.5909220202291312E-2</v>
      </c>
      <c r="BN27" s="622">
        <f>BN24/BM24-1</f>
        <v>0.16634260035741799</v>
      </c>
      <c r="BO27" s="622">
        <f>BO24/BN24-1</f>
        <v>-8.30143284434679E-2</v>
      </c>
      <c r="BP27" s="622">
        <f>BP24/BO24-1</f>
        <v>5.480312814650512E-2</v>
      </c>
      <c r="BQ27" s="652"/>
      <c r="BR27" s="622">
        <f>BR24/BP24-1</f>
        <v>3.7500897150657408E-3</v>
      </c>
      <c r="BS27" s="622">
        <f>BS24/BR24-1</f>
        <v>1.2741996031533143E-2</v>
      </c>
      <c r="BT27" s="622">
        <f>BT24/BS24-1</f>
        <v>9.0479367668188093E-3</v>
      </c>
      <c r="BU27" s="622">
        <f>BU24/BT24-1</f>
        <v>5.0554171681267412E-2</v>
      </c>
      <c r="BV27" s="652"/>
      <c r="BW27" s="622">
        <f>BW24/BU24-1</f>
        <v>-3.126660938717607E-2</v>
      </c>
      <c r="BX27" s="622">
        <f>BX24/BW24-1</f>
        <v>1.2741996031533365E-2</v>
      </c>
      <c r="BY27" s="622">
        <f>BY24/BX24-1</f>
        <v>9.0479367668188093E-3</v>
      </c>
      <c r="BZ27" s="622">
        <f>BZ24/BY24-1</f>
        <v>5.055417168126719E-2</v>
      </c>
      <c r="CA27" s="652"/>
    </row>
    <row r="28" spans="1:82" s="116" customFormat="1" ht="14.1" customHeight="1" thickBot="1">
      <c r="A28" s="146"/>
      <c r="B28" s="271" t="s">
        <v>1</v>
      </c>
      <c r="C28" s="297"/>
      <c r="D28" s="298">
        <f>D5</f>
        <v>43188</v>
      </c>
      <c r="E28" s="293">
        <f>E5</f>
        <v>14321.10974</v>
      </c>
      <c r="F28" s="293">
        <f>F5</f>
        <v>15027.739539999999</v>
      </c>
      <c r="G28" s="293">
        <f>G5</f>
        <v>16202.042969999999</v>
      </c>
      <c r="H28" s="293">
        <f>H5</f>
        <v>18271.429219999998</v>
      </c>
      <c r="I28" s="294">
        <f>SUM(I5)</f>
        <v>63822.321469999995</v>
      </c>
      <c r="J28" s="293">
        <f>J5</f>
        <v>19115.124780000002</v>
      </c>
      <c r="K28" s="293">
        <f>K5</f>
        <v>20282.90121</v>
      </c>
      <c r="L28" s="293">
        <f>L5</f>
        <v>21091.220200000003</v>
      </c>
      <c r="M28" s="293">
        <f>M5</f>
        <v>23642.753809999995</v>
      </c>
      <c r="N28" s="279">
        <f>SUM(N5)</f>
        <v>84132</v>
      </c>
      <c r="O28" s="293">
        <f>O5</f>
        <v>24274</v>
      </c>
      <c r="P28" s="293">
        <f>P5</f>
        <v>24685</v>
      </c>
      <c r="Q28" s="293">
        <f>Q5</f>
        <v>25869</v>
      </c>
      <c r="R28" s="293">
        <f>R5</f>
        <v>28274</v>
      </c>
      <c r="S28" s="157">
        <f>SUM(S5)</f>
        <v>103102</v>
      </c>
      <c r="T28" s="293">
        <f>T5</f>
        <v>30274</v>
      </c>
      <c r="U28" s="293">
        <f>U5</f>
        <v>30274</v>
      </c>
      <c r="V28" s="293">
        <f>V5</f>
        <v>32287</v>
      </c>
      <c r="W28" s="293">
        <f>W5</f>
        <v>36033</v>
      </c>
      <c r="X28" s="157">
        <f>SUM(X5)</f>
        <v>128868</v>
      </c>
      <c r="Y28" s="293">
        <f>Y5</f>
        <v>38015</v>
      </c>
      <c r="Z28" s="293">
        <f>Z5</f>
        <v>38886</v>
      </c>
      <c r="AA28" s="293">
        <f>AA5</f>
        <v>40982</v>
      </c>
      <c r="AB28" s="293">
        <f>AB5</f>
        <v>44207</v>
      </c>
      <c r="AC28" s="157">
        <f>SUM(AC5)</f>
        <v>162090</v>
      </c>
      <c r="AD28" s="293">
        <f t="shared" ref="AD28:AW28" si="7">AD5</f>
        <v>47014</v>
      </c>
      <c r="AE28" s="293">
        <f t="shared" si="7"/>
        <v>47727</v>
      </c>
      <c r="AF28" s="293">
        <f t="shared" si="7"/>
        <v>50081</v>
      </c>
      <c r="AG28" s="293">
        <f t="shared" si="7"/>
        <v>55403</v>
      </c>
      <c r="AH28" s="157">
        <f t="shared" si="7"/>
        <v>200225</v>
      </c>
      <c r="AI28" s="293">
        <f t="shared" si="7"/>
        <v>58905</v>
      </c>
      <c r="AJ28" s="293">
        <f t="shared" si="7"/>
        <v>61120</v>
      </c>
      <c r="AK28" s="293">
        <f t="shared" si="7"/>
        <v>65304</v>
      </c>
      <c r="AL28" s="293">
        <f t="shared" si="7"/>
        <v>72335</v>
      </c>
      <c r="AM28" s="157">
        <f t="shared" si="7"/>
        <v>257664</v>
      </c>
      <c r="AN28" s="293">
        <f t="shared" si="7"/>
        <v>74538</v>
      </c>
      <c r="AO28" s="293">
        <f t="shared" si="7"/>
        <v>77436</v>
      </c>
      <c r="AP28" s="293">
        <f t="shared" si="7"/>
        <v>83769</v>
      </c>
      <c r="AQ28" s="293">
        <f t="shared" si="7"/>
        <v>92263</v>
      </c>
      <c r="AR28" s="157">
        <f t="shared" si="7"/>
        <v>328006</v>
      </c>
      <c r="AS28" s="293">
        <f t="shared" si="7"/>
        <v>95088</v>
      </c>
      <c r="AT28" s="293">
        <f t="shared" si="7"/>
        <v>99792</v>
      </c>
      <c r="AU28" s="293">
        <f t="shared" si="7"/>
        <v>112143</v>
      </c>
      <c r="AV28" s="293">
        <f t="shared" si="7"/>
        <v>127885</v>
      </c>
      <c r="AW28" s="157">
        <f t="shared" si="7"/>
        <v>434908</v>
      </c>
      <c r="AX28" s="293">
        <f>AX5</f>
        <v>137882</v>
      </c>
      <c r="AY28" s="293">
        <v>143782</v>
      </c>
      <c r="AZ28" s="293">
        <f t="shared" ref="AZ28:BI28" si="8">AZ5</f>
        <v>154328</v>
      </c>
      <c r="BA28" s="293">
        <f t="shared" si="8"/>
        <v>173599</v>
      </c>
      <c r="BB28" s="157">
        <f t="shared" si="8"/>
        <v>609591</v>
      </c>
      <c r="BC28" s="293">
        <f t="shared" si="8"/>
        <v>182777</v>
      </c>
      <c r="BD28" s="293">
        <f t="shared" si="8"/>
        <v>189382</v>
      </c>
      <c r="BE28" s="293">
        <f t="shared" si="8"/>
        <v>198342</v>
      </c>
      <c r="BF28" s="293">
        <f t="shared" si="8"/>
        <v>208345</v>
      </c>
      <c r="BG28" s="157">
        <f t="shared" si="8"/>
        <v>778846</v>
      </c>
      <c r="BH28" s="293">
        <f t="shared" si="8"/>
        <v>218439</v>
      </c>
      <c r="BI28" s="293">
        <f t="shared" si="8"/>
        <v>222882</v>
      </c>
      <c r="BJ28" s="293">
        <v>230105</v>
      </c>
      <c r="BK28" s="293">
        <f>BK5</f>
        <v>239062</v>
      </c>
      <c r="BL28" s="157">
        <f>BL5</f>
        <v>910488</v>
      </c>
      <c r="BM28" s="293">
        <f>BM5</f>
        <v>247010</v>
      </c>
      <c r="BN28" s="293">
        <f>BN5</f>
        <v>252086</v>
      </c>
      <c r="BO28" s="293">
        <f>BO5</f>
        <v>264182</v>
      </c>
      <c r="BP28" s="293">
        <v>278660</v>
      </c>
      <c r="BQ28" s="157">
        <f>BQ5</f>
        <v>1041938</v>
      </c>
      <c r="BR28" s="293">
        <v>279705</v>
      </c>
      <c r="BS28" s="293">
        <f t="shared" ref="BS28:CA28" si="9">BS5</f>
        <v>283269</v>
      </c>
      <c r="BT28" s="293">
        <f t="shared" si="9"/>
        <v>285832</v>
      </c>
      <c r="BU28" s="293">
        <f t="shared" si="9"/>
        <v>300282</v>
      </c>
      <c r="BV28" s="157">
        <f t="shared" si="9"/>
        <v>1149088</v>
      </c>
      <c r="BW28" s="293">
        <f t="shared" si="9"/>
        <v>299228.40899999999</v>
      </c>
      <c r="BX28" s="293">
        <f t="shared" si="9"/>
        <v>306327.09660000005</v>
      </c>
      <c r="BY28" s="293">
        <f t="shared" si="9"/>
        <v>313729.20319999999</v>
      </c>
      <c r="BZ28" s="293">
        <f t="shared" si="9"/>
        <v>337396.85519999999</v>
      </c>
      <c r="CA28" s="157">
        <f t="shared" si="9"/>
        <v>1256681.564</v>
      </c>
      <c r="CB28" s="829"/>
      <c r="CC28" s="829"/>
      <c r="CD28" s="829"/>
    </row>
    <row r="29" spans="1:82" s="623" customFormat="1" ht="14.1" customHeight="1">
      <c r="A29" s="609"/>
      <c r="B29" s="610"/>
      <c r="C29" s="611" t="s">
        <v>106</v>
      </c>
      <c r="D29" s="612"/>
      <c r="E29" s="613"/>
      <c r="F29" s="613"/>
      <c r="G29" s="613"/>
      <c r="H29" s="613"/>
      <c r="I29" s="614">
        <f t="shared" ref="I29:AN29" si="10">I28/D28-1</f>
        <v>0.47777904672594218</v>
      </c>
      <c r="J29" s="615">
        <f t="shared" si="10"/>
        <v>0.33475164474230201</v>
      </c>
      <c r="K29" s="616">
        <f t="shared" si="10"/>
        <v>0.34969741497130058</v>
      </c>
      <c r="L29" s="616">
        <f t="shared" si="10"/>
        <v>0.30176300847077719</v>
      </c>
      <c r="M29" s="617">
        <f t="shared" si="10"/>
        <v>0.29397397025299576</v>
      </c>
      <c r="N29" s="614">
        <f t="shared" si="10"/>
        <v>0.31822218406058256</v>
      </c>
      <c r="O29" s="615">
        <f t="shared" si="10"/>
        <v>0.26988446475629013</v>
      </c>
      <c r="P29" s="616">
        <f t="shared" si="10"/>
        <v>0.21703496676450063</v>
      </c>
      <c r="Q29" s="616">
        <f t="shared" si="10"/>
        <v>0.22652932142825932</v>
      </c>
      <c r="R29" s="617">
        <f t="shared" si="10"/>
        <v>0.19588438077975345</v>
      </c>
      <c r="S29" s="612">
        <f t="shared" si="10"/>
        <v>0.22547900917605657</v>
      </c>
      <c r="T29" s="610">
        <f t="shared" si="10"/>
        <v>0.24717805058910769</v>
      </c>
      <c r="U29" s="613">
        <f t="shared" si="10"/>
        <v>0.22641280129633379</v>
      </c>
      <c r="V29" s="613">
        <f t="shared" si="10"/>
        <v>0.24809617689125973</v>
      </c>
      <c r="W29" s="613">
        <f t="shared" si="10"/>
        <v>0.27442173021150174</v>
      </c>
      <c r="X29" s="612">
        <f t="shared" si="10"/>
        <v>0.24990785823747363</v>
      </c>
      <c r="Y29" s="618">
        <f t="shared" si="10"/>
        <v>0.25569795864438127</v>
      </c>
      <c r="Z29" s="619">
        <f t="shared" si="10"/>
        <v>0.28446852084296759</v>
      </c>
      <c r="AA29" s="619">
        <f t="shared" si="10"/>
        <v>0.26930343481896735</v>
      </c>
      <c r="AB29" s="619">
        <f t="shared" si="10"/>
        <v>0.22684761191130343</v>
      </c>
      <c r="AC29" s="620">
        <f t="shared" si="10"/>
        <v>0.25779867771673337</v>
      </c>
      <c r="AD29" s="621">
        <f t="shared" si="10"/>
        <v>0.23672234644219392</v>
      </c>
      <c r="AE29" s="622">
        <f t="shared" si="10"/>
        <v>0.22735688936892462</v>
      </c>
      <c r="AF29" s="622">
        <f t="shared" si="10"/>
        <v>0.22202430335269141</v>
      </c>
      <c r="AG29" s="622">
        <f t="shared" si="10"/>
        <v>0.25326305788676007</v>
      </c>
      <c r="AH29" s="612">
        <f t="shared" si="10"/>
        <v>0.2352705287186132</v>
      </c>
      <c r="AI29" s="610">
        <f t="shared" si="10"/>
        <v>0.25292466073935427</v>
      </c>
      <c r="AJ29" s="613">
        <f t="shared" si="10"/>
        <v>0.28061684162004741</v>
      </c>
      <c r="AK29" s="613">
        <f t="shared" si="10"/>
        <v>0.30396757253249729</v>
      </c>
      <c r="AL29" s="613">
        <f t="shared" si="10"/>
        <v>0.30561521939245173</v>
      </c>
      <c r="AM29" s="612">
        <f t="shared" si="10"/>
        <v>0.28687226869771498</v>
      </c>
      <c r="AN29" s="610">
        <f t="shared" si="10"/>
        <v>0.26539343009931238</v>
      </c>
      <c r="AO29" s="613">
        <f t="shared" ref="AO29:BT29" si="11">AO28/AJ28-1</f>
        <v>0.26695026178010473</v>
      </c>
      <c r="AP29" s="613">
        <f t="shared" si="11"/>
        <v>0.2827545020213158</v>
      </c>
      <c r="AQ29" s="613">
        <f t="shared" si="11"/>
        <v>0.27549595631437063</v>
      </c>
      <c r="AR29" s="612">
        <f t="shared" si="11"/>
        <v>0.27299894436164918</v>
      </c>
      <c r="AS29" s="613">
        <f t="shared" si="11"/>
        <v>0.27569830153747077</v>
      </c>
      <c r="AT29" s="613">
        <f t="shared" si="11"/>
        <v>0.28870292887029292</v>
      </c>
      <c r="AU29" s="613">
        <f t="shared" si="11"/>
        <v>0.33871718654872329</v>
      </c>
      <c r="AV29" s="613">
        <f t="shared" si="11"/>
        <v>0.38609193284415211</v>
      </c>
      <c r="AW29" s="612">
        <f t="shared" si="11"/>
        <v>0.32591476985177104</v>
      </c>
      <c r="AX29" s="613">
        <f t="shared" si="11"/>
        <v>0.45004627292613164</v>
      </c>
      <c r="AY29" s="613">
        <f t="shared" si="11"/>
        <v>0.44081689915023259</v>
      </c>
      <c r="AZ29" s="613">
        <f t="shared" si="11"/>
        <v>0.37617149532293581</v>
      </c>
      <c r="BA29" s="613">
        <f t="shared" si="11"/>
        <v>0.35746178206982826</v>
      </c>
      <c r="BB29" s="612">
        <f t="shared" si="11"/>
        <v>0.40165506267992312</v>
      </c>
      <c r="BC29" s="613">
        <f t="shared" si="11"/>
        <v>0.32560450240060335</v>
      </c>
      <c r="BD29" s="613">
        <f t="shared" si="11"/>
        <v>0.31714679167072379</v>
      </c>
      <c r="BE29" s="613">
        <f t="shared" si="11"/>
        <v>0.28519776061375768</v>
      </c>
      <c r="BF29" s="613">
        <f t="shared" si="11"/>
        <v>0.20015092252835553</v>
      </c>
      <c r="BG29" s="612">
        <f t="shared" si="11"/>
        <v>0.27765337742847263</v>
      </c>
      <c r="BH29" s="613">
        <f t="shared" si="11"/>
        <v>0.19511207646476314</v>
      </c>
      <c r="BI29" s="613">
        <f t="shared" si="11"/>
        <v>0.17689115121817278</v>
      </c>
      <c r="BJ29" s="613">
        <f t="shared" si="11"/>
        <v>0.1601425820048199</v>
      </c>
      <c r="BK29" s="613">
        <f t="shared" si="11"/>
        <v>0.14743334373275108</v>
      </c>
      <c r="BL29" s="612">
        <f t="shared" si="11"/>
        <v>0.16902186054752799</v>
      </c>
      <c r="BM29" s="613">
        <f t="shared" si="11"/>
        <v>0.13079624059806161</v>
      </c>
      <c r="BN29" s="613">
        <f t="shared" si="11"/>
        <v>0.13102897497330424</v>
      </c>
      <c r="BO29" s="613">
        <f t="shared" si="11"/>
        <v>0.14809326177179982</v>
      </c>
      <c r="BP29" s="613">
        <f t="shared" si="11"/>
        <v>0.1656390392450493</v>
      </c>
      <c r="BQ29" s="612">
        <f t="shared" si="11"/>
        <v>0.14437312737784569</v>
      </c>
      <c r="BR29" s="613">
        <f t="shared" si="11"/>
        <v>0.13236306222420136</v>
      </c>
      <c r="BS29" s="613">
        <f t="shared" si="11"/>
        <v>0.12369984846441295</v>
      </c>
      <c r="BT29" s="613">
        <f t="shared" si="11"/>
        <v>8.195107918026201E-2</v>
      </c>
      <c r="BU29" s="613">
        <f t="shared" ref="BU29:CZ29" si="12">BU28/BP28-1</f>
        <v>7.7592765377162198E-2</v>
      </c>
      <c r="BV29" s="612">
        <f t="shared" si="12"/>
        <v>0.10283721296276749</v>
      </c>
      <c r="BW29" s="613">
        <f t="shared" si="12"/>
        <v>6.9799999999999862E-2</v>
      </c>
      <c r="BX29" s="613">
        <f t="shared" si="12"/>
        <v>8.1400000000000139E-2</v>
      </c>
      <c r="BY29" s="613">
        <f t="shared" si="12"/>
        <v>9.7599999999999909E-2</v>
      </c>
      <c r="BZ29" s="613">
        <f t="shared" si="12"/>
        <v>0.12359999999999993</v>
      </c>
      <c r="CA29" s="612">
        <f t="shared" si="12"/>
        <v>9.3633876604750865E-2</v>
      </c>
    </row>
    <row r="30" spans="1:82" s="623" customFormat="1" ht="12.4" customHeight="1">
      <c r="A30" s="609"/>
      <c r="B30" s="610"/>
      <c r="C30" s="611" t="s">
        <v>105</v>
      </c>
      <c r="D30" s="612"/>
      <c r="E30" s="613"/>
      <c r="F30" s="613">
        <f>F28/E28-1</f>
        <v>4.9341832639290928E-2</v>
      </c>
      <c r="G30" s="613">
        <f>G28/F28-1</f>
        <v>7.8142386409766118E-2</v>
      </c>
      <c r="H30" s="613">
        <f>H28/G28-1</f>
        <v>0.12772378482341473</v>
      </c>
      <c r="I30" s="612"/>
      <c r="J30" s="610">
        <f>J28/H28-1</f>
        <v>4.6175674045054516E-2</v>
      </c>
      <c r="K30" s="613">
        <f>K28/J28-1</f>
        <v>6.1091750299314462E-2</v>
      </c>
      <c r="L30" s="613">
        <f>L28/K28-1</f>
        <v>3.9852237193833018E-2</v>
      </c>
      <c r="M30" s="613">
        <f>M28/L28-1</f>
        <v>0.12097610217923727</v>
      </c>
      <c r="N30" s="612"/>
      <c r="O30" s="613">
        <f>O28/M28-1</f>
        <v>2.6699351313847819E-2</v>
      </c>
      <c r="P30" s="613">
        <f>P28/O28-1</f>
        <v>1.6931696465353863E-2</v>
      </c>
      <c r="Q30" s="613">
        <f>Q28/P28-1</f>
        <v>4.7964350820336232E-2</v>
      </c>
      <c r="R30" s="613">
        <f>R28/Q28-1</f>
        <v>9.2968417797363534E-2</v>
      </c>
      <c r="S30" s="612"/>
      <c r="T30" s="613">
        <f>T28/R28-1</f>
        <v>7.0736365565537307E-2</v>
      </c>
      <c r="U30" s="613">
        <f>U28/T28-1</f>
        <v>0</v>
      </c>
      <c r="V30" s="613">
        <f>V28/U28-1</f>
        <v>6.6492700006606231E-2</v>
      </c>
      <c r="W30" s="613">
        <f>W28/V28-1</f>
        <v>0.11602192833028768</v>
      </c>
      <c r="X30" s="612"/>
      <c r="Y30" s="619">
        <f>Y28/W28-1</f>
        <v>5.5005134182554816E-2</v>
      </c>
      <c r="Z30" s="619">
        <f>Z28/Y28-1</f>
        <v>2.291200841772989E-2</v>
      </c>
      <c r="AA30" s="619">
        <f>AA28/Z28-1</f>
        <v>5.3901146942344269E-2</v>
      </c>
      <c r="AB30" s="622">
        <f>AB28/AA28-1</f>
        <v>7.8693084768922894E-2</v>
      </c>
      <c r="AC30" s="620"/>
      <c r="AD30" s="622">
        <f>AD28/AB28-1</f>
        <v>6.3496731286900365E-2</v>
      </c>
      <c r="AE30" s="622">
        <f>AE28/AD28-1</f>
        <v>1.5165695324796946E-2</v>
      </c>
      <c r="AF30" s="622">
        <f>AF28/AE28-1</f>
        <v>4.9322186602971163E-2</v>
      </c>
      <c r="AG30" s="622">
        <f>AG28/AF28-1</f>
        <v>0.10626784608933537</v>
      </c>
      <c r="AH30" s="612"/>
      <c r="AI30" s="622">
        <f>AI28/AG28-1</f>
        <v>6.3209573488800297E-2</v>
      </c>
      <c r="AJ30" s="613">
        <f>AJ28/AI28-1</f>
        <v>3.760291995586118E-2</v>
      </c>
      <c r="AK30" s="622">
        <f>AK28/AJ28-1</f>
        <v>6.8455497382198915E-2</v>
      </c>
      <c r="AL30" s="622">
        <f>AL28/AK28-1</f>
        <v>0.10766568663481557</v>
      </c>
      <c r="AM30" s="612"/>
      <c r="AN30" s="622">
        <f>AN28/AL28-1</f>
        <v>3.0455519458076896E-2</v>
      </c>
      <c r="AO30" s="622">
        <f>AO28/AN28-1</f>
        <v>3.8879497705868182E-2</v>
      </c>
      <c r="AP30" s="622">
        <f>AP28/AO28-1</f>
        <v>8.1783666511699993E-2</v>
      </c>
      <c r="AQ30" s="622">
        <f>AQ28/AP28-1</f>
        <v>0.10139789182155701</v>
      </c>
      <c r="AR30" s="612"/>
      <c r="AS30" s="622">
        <f>AS28/AQ28-1</f>
        <v>3.0618991361651027E-2</v>
      </c>
      <c r="AT30" s="622">
        <f>AT28/AS28-1</f>
        <v>4.9469964664310861E-2</v>
      </c>
      <c r="AU30" s="622">
        <f>AU28/AT28-1</f>
        <v>0.12376743626743636</v>
      </c>
      <c r="AV30" s="622">
        <f>AV28/AU28-1</f>
        <v>0.14037434347217381</v>
      </c>
      <c r="AW30" s="612"/>
      <c r="AX30" s="622">
        <f>AX28/AV28-1</f>
        <v>7.8171794972045294E-2</v>
      </c>
      <c r="AY30" s="622">
        <f>AY28/AX28-1</f>
        <v>4.2790211920337606E-2</v>
      </c>
      <c r="AZ30" s="622">
        <f>AZ28/AY28-1</f>
        <v>7.334715054735641E-2</v>
      </c>
      <c r="BA30" s="622">
        <f>BA28/AZ28-1</f>
        <v>0.12487040588875642</v>
      </c>
      <c r="BB30" s="612"/>
      <c r="BC30" s="622">
        <f>BC28/BA28-1</f>
        <v>5.2868968139217376E-2</v>
      </c>
      <c r="BD30" s="622">
        <f>BD28/BC28-1</f>
        <v>3.6136931889679813E-2</v>
      </c>
      <c r="BE30" s="622">
        <f>BE28/BD28-1</f>
        <v>4.7311782534771085E-2</v>
      </c>
      <c r="BF30" s="622">
        <f>BF28/BE28-1</f>
        <v>5.0433090318742435E-2</v>
      </c>
      <c r="BG30" s="612"/>
      <c r="BH30" s="622">
        <f>BH28/BF28-1</f>
        <v>4.8448486884734354E-2</v>
      </c>
      <c r="BI30" s="622">
        <f>BI28/BH28-1</f>
        <v>2.0339774490818918E-2</v>
      </c>
      <c r="BJ30" s="622">
        <f>BJ28/BI28-1</f>
        <v>3.2407282777433766E-2</v>
      </c>
      <c r="BK30" s="622">
        <f>BK28/BJ28-1</f>
        <v>3.8925707829034595E-2</v>
      </c>
      <c r="BL30" s="612"/>
      <c r="BM30" s="622">
        <f>BM28/BK28-1</f>
        <v>3.3246605483096436E-2</v>
      </c>
      <c r="BN30" s="622">
        <f>BN28/BM28-1</f>
        <v>2.0549775312740381E-2</v>
      </c>
      <c r="BO30" s="622">
        <f>BO28/BN28-1</f>
        <v>4.7983624636037003E-2</v>
      </c>
      <c r="BP30" s="622">
        <f>BP28/BO28-1</f>
        <v>5.480312814650512E-2</v>
      </c>
      <c r="BQ30" s="612"/>
      <c r="BR30" s="622">
        <f>BR28/BP28-1</f>
        <v>3.7500897150648527E-3</v>
      </c>
      <c r="BS30" s="622">
        <f>BS28/BR28-1</f>
        <v>1.2741996031533143E-2</v>
      </c>
      <c r="BT30" s="622">
        <f>BT28/BS28-1</f>
        <v>9.0479367668188093E-3</v>
      </c>
      <c r="BU30" s="622">
        <f>BU28/BT28-1</f>
        <v>5.0554171681267412E-2</v>
      </c>
      <c r="BV30" s="612"/>
      <c r="BW30" s="622">
        <f>BW28/BU28-1</f>
        <v>-3.5086718484624857E-3</v>
      </c>
      <c r="BX30" s="622">
        <f>BX28/BW28-1</f>
        <v>2.3723307635539648E-2</v>
      </c>
      <c r="BY30" s="622">
        <f>BY28/BX28-1</f>
        <v>2.4164060842666979E-2</v>
      </c>
      <c r="BZ30" s="622">
        <f>BZ28/BY28-1</f>
        <v>7.5439747905495569E-2</v>
      </c>
      <c r="CA30" s="612"/>
    </row>
    <row r="31" spans="1:82" s="53" customFormat="1" ht="7.7" customHeight="1">
      <c r="A31" s="105"/>
      <c r="B31" s="112"/>
      <c r="C31" s="169"/>
      <c r="D31" s="158"/>
      <c r="E31" s="105"/>
      <c r="F31" s="105"/>
      <c r="G31" s="105"/>
      <c r="H31" s="105"/>
      <c r="I31" s="158"/>
      <c r="J31" s="105"/>
      <c r="K31" s="105"/>
      <c r="L31" s="105"/>
      <c r="M31" s="154"/>
      <c r="N31" s="123"/>
      <c r="O31" s="124"/>
      <c r="P31" s="124"/>
      <c r="Q31" s="124"/>
      <c r="R31" s="124"/>
      <c r="S31" s="123"/>
      <c r="T31" s="121"/>
      <c r="U31" s="121"/>
      <c r="V31" s="121"/>
      <c r="W31" s="121"/>
      <c r="X31" s="120"/>
      <c r="Y31" s="122"/>
      <c r="Z31" s="122"/>
      <c r="AA31" s="105"/>
      <c r="AB31" s="105"/>
      <c r="AC31" s="216"/>
      <c r="AD31" s="209"/>
      <c r="AE31" s="209"/>
      <c r="AF31" s="209"/>
      <c r="AG31" s="209"/>
      <c r="AH31" s="120"/>
      <c r="AI31" s="209"/>
      <c r="AJ31" s="121"/>
      <c r="AK31" s="209"/>
      <c r="AL31" s="209"/>
      <c r="AM31" s="120"/>
      <c r="AN31" s="209"/>
      <c r="AO31" s="209"/>
      <c r="AP31" s="209"/>
      <c r="AQ31" s="209"/>
      <c r="AR31" s="120"/>
      <c r="AS31" s="209"/>
      <c r="AT31" s="209"/>
      <c r="AU31" s="209"/>
      <c r="AV31" s="209"/>
      <c r="AW31" s="120"/>
      <c r="AX31" s="209"/>
      <c r="AY31" s="209"/>
      <c r="AZ31" s="209"/>
      <c r="BA31" s="209"/>
      <c r="BB31" s="120"/>
      <c r="BC31" s="209"/>
      <c r="BD31" s="209"/>
      <c r="BE31" s="209"/>
      <c r="BF31" s="209"/>
      <c r="BG31" s="120"/>
      <c r="BH31" s="209"/>
      <c r="BI31" s="209"/>
      <c r="BJ31" s="209"/>
      <c r="BK31" s="209"/>
      <c r="BL31" s="120"/>
      <c r="BM31" s="209"/>
      <c r="BN31" s="209"/>
      <c r="BO31" s="209"/>
      <c r="BP31" s="209"/>
      <c r="BQ31" s="120"/>
      <c r="BR31" s="209"/>
      <c r="BS31" s="209"/>
      <c r="BT31" s="209"/>
      <c r="BU31" s="209"/>
      <c r="BV31" s="120"/>
      <c r="BW31" s="209"/>
      <c r="BX31" s="209"/>
      <c r="BY31" s="209"/>
      <c r="BZ31" s="209"/>
      <c r="CA31" s="120"/>
    </row>
    <row r="32" spans="1:82" s="53" customFormat="1" ht="14.1" customHeight="1">
      <c r="A32" s="105"/>
      <c r="B32" s="152" t="s">
        <v>104</v>
      </c>
      <c r="C32" s="226"/>
      <c r="D32" s="272"/>
      <c r="E32" s="283"/>
      <c r="F32" s="283"/>
      <c r="G32" s="283"/>
      <c r="H32" s="283"/>
      <c r="I32" s="272"/>
      <c r="J32" s="283"/>
      <c r="K32" s="283"/>
      <c r="L32" s="283"/>
      <c r="M32" s="154"/>
      <c r="N32" s="123"/>
      <c r="O32" s="124"/>
      <c r="P32" s="124"/>
      <c r="Q32" s="124"/>
      <c r="R32" s="124"/>
      <c r="S32" s="123"/>
      <c r="T32" s="121"/>
      <c r="U32" s="121"/>
      <c r="V32" s="121"/>
      <c r="W32" s="121"/>
      <c r="X32" s="120"/>
      <c r="Y32" s="122"/>
      <c r="Z32" s="122"/>
      <c r="AA32" s="105"/>
      <c r="AB32" s="197"/>
      <c r="AC32" s="216"/>
      <c r="AD32" s="209"/>
      <c r="AE32" s="209"/>
      <c r="AF32" s="209"/>
      <c r="AG32" s="209"/>
      <c r="AH32" s="120"/>
      <c r="AI32" s="209"/>
      <c r="AJ32" s="121"/>
      <c r="AK32" s="209"/>
      <c r="AL32" s="209"/>
      <c r="AM32" s="120"/>
      <c r="AN32" s="209"/>
      <c r="AO32" s="209"/>
      <c r="AP32" s="209"/>
      <c r="AQ32" s="209"/>
      <c r="AR32" s="120"/>
      <c r="AS32" s="209"/>
      <c r="AT32" s="209"/>
      <c r="AU32" s="209"/>
      <c r="AV32" s="209"/>
      <c r="AW32" s="120"/>
      <c r="AX32" s="124"/>
      <c r="AY32" s="124"/>
      <c r="AZ32" s="209"/>
      <c r="BA32" s="209"/>
      <c r="BB32" s="120"/>
      <c r="BC32" s="209"/>
      <c r="BD32" s="209"/>
      <c r="BE32" s="209"/>
      <c r="BF32" s="209"/>
      <c r="BG32" s="120"/>
      <c r="BH32" s="209"/>
      <c r="BI32" s="209"/>
      <c r="BJ32" s="209"/>
      <c r="BK32" s="209"/>
      <c r="BL32" s="120"/>
      <c r="BM32" s="209"/>
      <c r="BN32" s="209"/>
      <c r="BO32" s="209"/>
      <c r="BP32" s="209"/>
      <c r="BQ32" s="120"/>
      <c r="BR32" s="209"/>
      <c r="BS32" s="209"/>
      <c r="BT32" s="209"/>
      <c r="BU32" s="209"/>
      <c r="BV32" s="120"/>
      <c r="BW32" s="209"/>
      <c r="BX32" s="209"/>
      <c r="BY32" s="209"/>
      <c r="BZ32" s="209"/>
      <c r="CA32" s="120"/>
    </row>
    <row r="33" spans="1:79" s="53" customFormat="1" ht="14.1" customHeight="1">
      <c r="A33" s="105"/>
      <c r="B33" s="149"/>
      <c r="C33" s="396" t="s">
        <v>104</v>
      </c>
      <c r="D33" s="306">
        <v>24546</v>
      </c>
      <c r="E33" s="287">
        <v>8959</v>
      </c>
      <c r="F33" s="287">
        <v>9224</v>
      </c>
      <c r="G33" s="287">
        <v>9887</v>
      </c>
      <c r="H33" s="287">
        <v>11176</v>
      </c>
      <c r="I33" s="277">
        <f>SUM(E33:H33)</f>
        <v>39246</v>
      </c>
      <c r="J33" s="287">
        <f>11681-32</f>
        <v>11649</v>
      </c>
      <c r="K33" s="287">
        <f>12215-44</f>
        <v>12171</v>
      </c>
      <c r="L33" s="287">
        <f>12265-51</f>
        <v>12214</v>
      </c>
      <c r="M33" s="154">
        <f>12646-67-72</f>
        <v>12507</v>
      </c>
      <c r="N33" s="123">
        <f>SUM(J33:M33)</f>
        <v>48541</v>
      </c>
      <c r="O33" s="124">
        <f>13148-88-87</f>
        <v>12973</v>
      </c>
      <c r="P33" s="124">
        <f>13469-121-88</f>
        <v>13260</v>
      </c>
      <c r="Q33" s="124">
        <f>13504-158-88</f>
        <v>13258</v>
      </c>
      <c r="R33" s="124">
        <f>14540-176-87</f>
        <v>14277</v>
      </c>
      <c r="S33" s="123">
        <f>SUM(O33:R33)</f>
        <v>53768</v>
      </c>
      <c r="T33" s="124">
        <f>14778-188-88</f>
        <v>14502</v>
      </c>
      <c r="U33" s="124">
        <f>14270-218-88</f>
        <v>13964</v>
      </c>
      <c r="V33" s="124">
        <f>14812-233-88</f>
        <v>14491</v>
      </c>
      <c r="W33" s="124">
        <f>15635-227-87</f>
        <v>15321</v>
      </c>
      <c r="X33" s="123">
        <f>SUM(T33:W33)</f>
        <v>58278</v>
      </c>
      <c r="Y33" s="124">
        <f>16610-88-265</f>
        <v>16257</v>
      </c>
      <c r="Z33" s="203">
        <f>16764-88-329</f>
        <v>16347</v>
      </c>
      <c r="AA33" s="203">
        <f>17790-88-357</f>
        <v>17345</v>
      </c>
      <c r="AB33" s="203">
        <f>15770-424-87+3114</f>
        <v>18373</v>
      </c>
      <c r="AC33" s="199">
        <f>SUM(Y33:AB33)</f>
        <v>68322</v>
      </c>
      <c r="AD33" s="203">
        <f>19971-88-434</f>
        <v>19449</v>
      </c>
      <c r="AE33" s="203">
        <f>20273-575-88</f>
        <v>19610</v>
      </c>
      <c r="AF33" s="203">
        <f>20497-599-87</f>
        <v>19811</v>
      </c>
      <c r="AG33" s="203">
        <f>22363-88-594</f>
        <v>21681</v>
      </c>
      <c r="AH33" s="123">
        <f>SUM(AD33:AG33)</f>
        <v>80551</v>
      </c>
      <c r="AI33" s="203">
        <f>24702-88-678</f>
        <v>23936</v>
      </c>
      <c r="AJ33" s="124">
        <f>24814-853-88</f>
        <v>23873</v>
      </c>
      <c r="AK33" s="203">
        <f>26179-860-88</f>
        <v>25231</v>
      </c>
      <c r="AL33" s="203">
        <f>28339-942-88</f>
        <v>27309</v>
      </c>
      <c r="AM33" s="123">
        <f>SUM(AI33:AL33)</f>
        <v>100349</v>
      </c>
      <c r="AN33" s="124">
        <f>30851-1229-88</f>
        <v>29534</v>
      </c>
      <c r="AO33" s="203">
        <f>31248-1658-88</f>
        <v>29502</v>
      </c>
      <c r="AP33" s="203">
        <f>34472-1702-88</f>
        <v>32682</v>
      </c>
      <c r="AQ33" s="203">
        <f>37940-1745-618</f>
        <v>35577</v>
      </c>
      <c r="AR33" s="123">
        <f>SUM(AN33:AQ33)</f>
        <v>127295</v>
      </c>
      <c r="AS33" s="124">
        <f>40037-1090-1989</f>
        <v>36958</v>
      </c>
      <c r="AT33" s="203">
        <f>42453-1738-2499-618</f>
        <v>37598</v>
      </c>
      <c r="AU33" s="203">
        <f>46561-2603-1738</f>
        <v>42220</v>
      </c>
      <c r="AV33" s="203">
        <f>51233-2331-2283</f>
        <v>46619</v>
      </c>
      <c r="AW33" s="123">
        <f>SUM(AS33:AV33)</f>
        <v>163395</v>
      </c>
      <c r="AX33" s="124">
        <f>59803-3105-2947-30</f>
        <v>53721</v>
      </c>
      <c r="AY33" s="124">
        <f>64395-3781-2947</f>
        <v>57667</v>
      </c>
      <c r="AZ33" s="203">
        <f>67137-2947-3994</f>
        <v>60196</v>
      </c>
      <c r="BA33" s="203">
        <f>79764-6854-2947</f>
        <v>69963</v>
      </c>
      <c r="BB33" s="123">
        <f>SUM(AX33:BA33)</f>
        <v>241547</v>
      </c>
      <c r="BC33" s="124">
        <f>88867-2947-7793-380-48</f>
        <v>77699</v>
      </c>
      <c r="BD33" s="124">
        <f>88229-2935-8538-3-80+3511</f>
        <v>80184</v>
      </c>
      <c r="BE33" s="203">
        <f>94111-2934-8329-96-187</f>
        <v>82565</v>
      </c>
      <c r="BF33" s="203">
        <f>96294-2890-8638-219-86</f>
        <v>84461</v>
      </c>
      <c r="BG33" s="123">
        <f>SUM(BC33:BF33)</f>
        <v>324909</v>
      </c>
      <c r="BH33" s="124">
        <f>104756-2846-9333-23-34</f>
        <v>92520</v>
      </c>
      <c r="BI33" s="203">
        <f>104361-2845-9888-51</f>
        <v>91577</v>
      </c>
      <c r="BJ33" s="203">
        <f>111080-3182-9856-18-492</f>
        <v>97532</v>
      </c>
      <c r="BK33" s="203">
        <f>112493-3146-9182-12-63</f>
        <v>100090</v>
      </c>
      <c r="BL33" s="123">
        <f>SUM(BH33:BK33)</f>
        <v>381719</v>
      </c>
      <c r="BM33" s="124">
        <f>114530-7603-2648-53-25</f>
        <v>104201</v>
      </c>
      <c r="BN33" s="203">
        <f>118414-7789-2648-72</f>
        <v>107905</v>
      </c>
      <c r="BO33" s="203">
        <f>121933-3196-7512-94-2115</f>
        <v>109016</v>
      </c>
      <c r="BP33" s="203">
        <f>122663-4099-6921-40</f>
        <v>111603</v>
      </c>
      <c r="BQ33" s="123">
        <f>SUM(BM33:BP33)</f>
        <v>432725</v>
      </c>
      <c r="BR33" s="124">
        <f>125973-7184-4100</f>
        <v>114689</v>
      </c>
      <c r="BS33" s="203">
        <f>127865-7296-3464-1565</f>
        <v>115540</v>
      </c>
      <c r="BT33" s="203">
        <f>128552-6852-3464-2</f>
        <v>118234</v>
      </c>
      <c r="BU33" s="203">
        <f>133844-3438-6504-4</f>
        <v>123898</v>
      </c>
      <c r="BV33" s="123">
        <f>SUM(BR33:BU33)</f>
        <v>472361</v>
      </c>
      <c r="BW33" s="124">
        <f>BW5*(1-BW34)</f>
        <v>122683.64769</v>
      </c>
      <c r="BX33" s="203">
        <f>BX5*(1-BX34)</f>
        <v>124062.47412300002</v>
      </c>
      <c r="BY33" s="203">
        <f>BY5*(1-BY34)</f>
        <v>125491.68128</v>
      </c>
      <c r="BZ33" s="203">
        <f>BZ5*(1-BZ34)</f>
        <v>134958.74208</v>
      </c>
      <c r="CA33" s="123">
        <f>SUM(BW33:BZ33)</f>
        <v>507196.54517300002</v>
      </c>
    </row>
    <row r="34" spans="1:79" s="623" customFormat="1" ht="12.4" customHeight="1">
      <c r="A34" s="613"/>
      <c r="B34" s="624"/>
      <c r="C34" s="625" t="s">
        <v>374</v>
      </c>
      <c r="D34" s="626">
        <f t="shared" ref="D34:AN34" si="13">(D5-D33)/D5</f>
        <v>0.43164767991108643</v>
      </c>
      <c r="E34" s="627">
        <f t="shared" si="13"/>
        <v>0.37441998820965672</v>
      </c>
      <c r="F34" s="627">
        <f t="shared" si="13"/>
        <v>0.38620176537874701</v>
      </c>
      <c r="G34" s="627">
        <f t="shared" si="13"/>
        <v>0.38976831389060307</v>
      </c>
      <c r="H34" s="627">
        <f t="shared" si="13"/>
        <v>0.38833465814668211</v>
      </c>
      <c r="I34" s="626">
        <f t="shared" si="13"/>
        <v>0.38507407602765154</v>
      </c>
      <c r="J34" s="627">
        <f t="shared" si="13"/>
        <v>0.39058728969489892</v>
      </c>
      <c r="K34" s="627">
        <f t="shared" si="13"/>
        <v>0.39993791450310967</v>
      </c>
      <c r="L34" s="627">
        <f t="shared" si="13"/>
        <v>0.42089647331072871</v>
      </c>
      <c r="M34" s="627">
        <f t="shared" si="13"/>
        <v>0.47100070911747982</v>
      </c>
      <c r="N34" s="626">
        <f t="shared" si="13"/>
        <v>0.42303760756905817</v>
      </c>
      <c r="O34" s="627">
        <f t="shared" si="13"/>
        <v>0.46555985828458435</v>
      </c>
      <c r="P34" s="627">
        <f t="shared" si="13"/>
        <v>0.46283167915738305</v>
      </c>
      <c r="Q34" s="627">
        <f t="shared" si="13"/>
        <v>0.48749468475781826</v>
      </c>
      <c r="R34" s="627">
        <f t="shared" si="13"/>
        <v>0.4950484544104124</v>
      </c>
      <c r="S34" s="612">
        <f t="shared" si="13"/>
        <v>0.47849702236620045</v>
      </c>
      <c r="T34" s="627">
        <f t="shared" si="13"/>
        <v>0.52097509414018628</v>
      </c>
      <c r="U34" s="627">
        <f t="shared" si="13"/>
        <v>0.5387461187817929</v>
      </c>
      <c r="V34" s="627">
        <f t="shared" si="13"/>
        <v>0.55118159011366807</v>
      </c>
      <c r="W34" s="627">
        <f t="shared" si="13"/>
        <v>0.574806427441512</v>
      </c>
      <c r="X34" s="612">
        <f t="shared" si="13"/>
        <v>0.54776981096936395</v>
      </c>
      <c r="Y34" s="618">
        <f t="shared" si="13"/>
        <v>0.57235301854531107</v>
      </c>
      <c r="Z34" s="619">
        <f t="shared" si="13"/>
        <v>0.57961734300262302</v>
      </c>
      <c r="AA34" s="619">
        <f t="shared" si="13"/>
        <v>0.57676540920404085</v>
      </c>
      <c r="AB34" s="619">
        <f t="shared" si="13"/>
        <v>0.58438708801773476</v>
      </c>
      <c r="AC34" s="620">
        <f t="shared" si="13"/>
        <v>0.57849342957616134</v>
      </c>
      <c r="AD34" s="621">
        <f t="shared" si="13"/>
        <v>0.58631471476581443</v>
      </c>
      <c r="AE34" s="622">
        <f t="shared" si="13"/>
        <v>0.58912146164644752</v>
      </c>
      <c r="AF34" s="622">
        <f t="shared" si="13"/>
        <v>0.60442083824204784</v>
      </c>
      <c r="AG34" s="622">
        <f t="shared" si="13"/>
        <v>0.60866740068227354</v>
      </c>
      <c r="AH34" s="612">
        <f t="shared" si="13"/>
        <v>0.59769759021101265</v>
      </c>
      <c r="AI34" s="610">
        <f t="shared" si="13"/>
        <v>0.59365079365079365</v>
      </c>
      <c r="AJ34" s="613">
        <f t="shared" si="13"/>
        <v>0.60940772251308906</v>
      </c>
      <c r="AK34" s="613">
        <f t="shared" si="13"/>
        <v>0.61363775572706114</v>
      </c>
      <c r="AL34" s="613">
        <f t="shared" si="13"/>
        <v>0.62246492016312993</v>
      </c>
      <c r="AM34" s="612">
        <f t="shared" si="13"/>
        <v>0.61054318802781915</v>
      </c>
      <c r="AN34" s="610">
        <f t="shared" si="13"/>
        <v>0.60377257237918913</v>
      </c>
      <c r="AO34" s="613">
        <f>(AO5-AO33)/AO5</f>
        <v>0.61901441190144124</v>
      </c>
      <c r="AP34" s="613">
        <f>(AP5-AP33)/AP5</f>
        <v>0.60985567453353862</v>
      </c>
      <c r="AQ34" s="613">
        <f>(AQ5-AQ33)/AQ5</f>
        <v>0.61439580330143173</v>
      </c>
      <c r="AR34" s="612">
        <f>(AR5-AR33)/AR5</f>
        <v>0.61191258696487261</v>
      </c>
      <c r="AS34" s="610">
        <f t="shared" ref="AS34:BC34" si="14">(AS5-AS33)/AS5</f>
        <v>0.61132845364294131</v>
      </c>
      <c r="AT34" s="613">
        <f t="shared" si="14"/>
        <v>0.62323633156966485</v>
      </c>
      <c r="AU34" s="613">
        <f t="shared" si="14"/>
        <v>0.62351640316381762</v>
      </c>
      <c r="AV34" s="613">
        <f t="shared" si="14"/>
        <v>0.63546154748406769</v>
      </c>
      <c r="AW34" s="612">
        <f>(AW5-AW33)/AW5</f>
        <v>0.62429985192270554</v>
      </c>
      <c r="AX34" s="613">
        <f t="shared" si="14"/>
        <v>0.61038424159788807</v>
      </c>
      <c r="AY34" s="613">
        <f t="shared" si="14"/>
        <v>0.59892754308606089</v>
      </c>
      <c r="AZ34" s="613">
        <f t="shared" si="14"/>
        <v>0.60994764397905754</v>
      </c>
      <c r="BA34" s="613">
        <f t="shared" si="14"/>
        <v>0.59698500567399582</v>
      </c>
      <c r="BB34" s="612">
        <f>(BB5-BB33)/BB5</f>
        <v>0.60375563287515732</v>
      </c>
      <c r="BC34" s="613">
        <f t="shared" si="14"/>
        <v>0.57489727919814859</v>
      </c>
      <c r="BD34" s="613">
        <f t="shared" ref="BD34:BS34" si="15">(BD5-BD33)/BD5</f>
        <v>0.57660178897677705</v>
      </c>
      <c r="BE34" s="613">
        <f t="shared" si="15"/>
        <v>0.58372407256153513</v>
      </c>
      <c r="BF34" s="613">
        <f t="shared" si="15"/>
        <v>0.59460990184549667</v>
      </c>
      <c r="BG34" s="612">
        <f>(BG5-BG33)/BG5</f>
        <v>0.58283280648549263</v>
      </c>
      <c r="BH34" s="613">
        <f t="shared" si="15"/>
        <v>0.57644926043426314</v>
      </c>
      <c r="BI34" s="613">
        <f t="shared" si="15"/>
        <v>0.58912339264723035</v>
      </c>
      <c r="BJ34" s="613">
        <f t="shared" si="15"/>
        <v>0.57614132678559793</v>
      </c>
      <c r="BK34" s="613">
        <f t="shared" si="15"/>
        <v>0.58132200015058855</v>
      </c>
      <c r="BL34" s="612">
        <f>(BL5-BL33)/BL5</f>
        <v>0.58075339817768057</v>
      </c>
      <c r="BM34" s="613">
        <f t="shared" si="15"/>
        <v>0.57815068215861709</v>
      </c>
      <c r="BN34" s="613">
        <f t="shared" si="15"/>
        <v>0.57195163555294626</v>
      </c>
      <c r="BO34" s="613">
        <f t="shared" si="15"/>
        <v>0.58734508785609918</v>
      </c>
      <c r="BP34" s="613">
        <f t="shared" si="15"/>
        <v>0.59950118423885734</v>
      </c>
      <c r="BQ34" s="612">
        <f>(BQ5-BQ33)/BQ5</f>
        <v>0.58469217938111484</v>
      </c>
      <c r="BR34" s="613">
        <f t="shared" si="15"/>
        <v>0.58996442680681427</v>
      </c>
      <c r="BS34" s="613">
        <f t="shared" si="15"/>
        <v>0.59211915176034091</v>
      </c>
      <c r="BT34" s="613">
        <f>(BT5-BT33)/BT5</f>
        <v>0.58635142321363598</v>
      </c>
      <c r="BU34" s="613">
        <f>(BU5-BU33)/BU5</f>
        <v>0.58739451582179414</v>
      </c>
      <c r="BV34" s="612">
        <f>(BV5-BV33)/BV5</f>
        <v>0.58892530424127654</v>
      </c>
      <c r="BW34" s="671">
        <v>0.59</v>
      </c>
      <c r="BX34" s="671">
        <v>0.59499999999999997</v>
      </c>
      <c r="BY34" s="671">
        <v>0.6</v>
      </c>
      <c r="BZ34" s="671">
        <v>0.6</v>
      </c>
      <c r="CA34" s="612">
        <f>(CA5-CA33)/CA5</f>
        <v>0.59640010667571142</v>
      </c>
    </row>
    <row r="35" spans="1:79" s="53" customFormat="1" ht="14.1" customHeight="1">
      <c r="A35" s="105"/>
      <c r="B35" s="155" t="s">
        <v>102</v>
      </c>
      <c r="C35" s="226"/>
      <c r="D35" s="277">
        <f>D33</f>
        <v>24546</v>
      </c>
      <c r="E35" s="287">
        <f>E33</f>
        <v>8959</v>
      </c>
      <c r="F35" s="287">
        <f>F33</f>
        <v>9224</v>
      </c>
      <c r="G35" s="287">
        <f>G33</f>
        <v>9887</v>
      </c>
      <c r="H35" s="287">
        <f>H33</f>
        <v>11176</v>
      </c>
      <c r="I35" s="277">
        <f>SUM(E35:H35)</f>
        <v>39246</v>
      </c>
      <c r="J35" s="287">
        <f>J33</f>
        <v>11649</v>
      </c>
      <c r="K35" s="287">
        <f>K33</f>
        <v>12171</v>
      </c>
      <c r="L35" s="287">
        <f>L33</f>
        <v>12214</v>
      </c>
      <c r="M35" s="287">
        <f>M33</f>
        <v>12507</v>
      </c>
      <c r="N35" s="151">
        <f>SUM(J35:M35)</f>
        <v>48541</v>
      </c>
      <c r="O35" s="201">
        <f>O33</f>
        <v>12973</v>
      </c>
      <c r="P35" s="201">
        <f>P33</f>
        <v>13260</v>
      </c>
      <c r="Q35" s="201">
        <f>Q33</f>
        <v>13258</v>
      </c>
      <c r="R35" s="201">
        <f>R33</f>
        <v>14277</v>
      </c>
      <c r="S35" s="151">
        <f>SUM(O35:R35)</f>
        <v>53768</v>
      </c>
      <c r="T35" s="201">
        <f>T33</f>
        <v>14502</v>
      </c>
      <c r="U35" s="201">
        <f>U33</f>
        <v>13964</v>
      </c>
      <c r="V35" s="201">
        <f>V33</f>
        <v>14491</v>
      </c>
      <c r="W35" s="201">
        <f>W33</f>
        <v>15321</v>
      </c>
      <c r="X35" s="151">
        <f>SUM(T35:W35)</f>
        <v>58278</v>
      </c>
      <c r="Y35" s="201">
        <f t="shared" ref="Y35:AH35" si="16">Y33</f>
        <v>16257</v>
      </c>
      <c r="Z35" s="201">
        <f t="shared" si="16"/>
        <v>16347</v>
      </c>
      <c r="AA35" s="201">
        <f t="shared" si="16"/>
        <v>17345</v>
      </c>
      <c r="AB35" s="201">
        <f t="shared" si="16"/>
        <v>18373</v>
      </c>
      <c r="AC35" s="198">
        <f t="shared" si="16"/>
        <v>68322</v>
      </c>
      <c r="AD35" s="286">
        <f t="shared" si="16"/>
        <v>19449</v>
      </c>
      <c r="AE35" s="286">
        <f t="shared" si="16"/>
        <v>19610</v>
      </c>
      <c r="AF35" s="286">
        <f t="shared" si="16"/>
        <v>19811</v>
      </c>
      <c r="AG35" s="286">
        <f t="shared" si="16"/>
        <v>21681</v>
      </c>
      <c r="AH35" s="150">
        <f t="shared" si="16"/>
        <v>80551</v>
      </c>
      <c r="AI35" s="286">
        <f t="shared" ref="AI35:CA35" si="17">AI33</f>
        <v>23936</v>
      </c>
      <c r="AJ35" s="107">
        <f t="shared" si="17"/>
        <v>23873</v>
      </c>
      <c r="AK35" s="286">
        <f t="shared" si="17"/>
        <v>25231</v>
      </c>
      <c r="AL35" s="286">
        <f t="shared" si="17"/>
        <v>27309</v>
      </c>
      <c r="AM35" s="150">
        <f t="shared" si="17"/>
        <v>100349</v>
      </c>
      <c r="AN35" s="107">
        <f t="shared" si="17"/>
        <v>29534</v>
      </c>
      <c r="AO35" s="286">
        <f t="shared" si="17"/>
        <v>29502</v>
      </c>
      <c r="AP35" s="286">
        <f t="shared" si="17"/>
        <v>32682</v>
      </c>
      <c r="AQ35" s="286">
        <f t="shared" si="17"/>
        <v>35577</v>
      </c>
      <c r="AR35" s="150">
        <f t="shared" si="17"/>
        <v>127295</v>
      </c>
      <c r="AS35" s="107">
        <f t="shared" si="17"/>
        <v>36958</v>
      </c>
      <c r="AT35" s="286">
        <f t="shared" si="17"/>
        <v>37598</v>
      </c>
      <c r="AU35" s="286">
        <f t="shared" si="17"/>
        <v>42220</v>
      </c>
      <c r="AV35" s="286">
        <f t="shared" si="17"/>
        <v>46619</v>
      </c>
      <c r="AW35" s="150">
        <f t="shared" si="17"/>
        <v>163395</v>
      </c>
      <c r="AX35" s="107">
        <f t="shared" si="17"/>
        <v>53721</v>
      </c>
      <c r="AY35" s="107">
        <f t="shared" si="17"/>
        <v>57667</v>
      </c>
      <c r="AZ35" s="286">
        <f t="shared" si="17"/>
        <v>60196</v>
      </c>
      <c r="BA35" s="286">
        <f t="shared" si="17"/>
        <v>69963</v>
      </c>
      <c r="BB35" s="150">
        <f t="shared" si="17"/>
        <v>241547</v>
      </c>
      <c r="BC35" s="107">
        <f t="shared" si="17"/>
        <v>77699</v>
      </c>
      <c r="BD35" s="107">
        <f t="shared" si="17"/>
        <v>80184</v>
      </c>
      <c r="BE35" s="107">
        <f t="shared" si="17"/>
        <v>82565</v>
      </c>
      <c r="BF35" s="286">
        <f t="shared" si="17"/>
        <v>84461</v>
      </c>
      <c r="BG35" s="150">
        <f t="shared" si="17"/>
        <v>324909</v>
      </c>
      <c r="BH35" s="107">
        <f t="shared" si="17"/>
        <v>92520</v>
      </c>
      <c r="BI35" s="286">
        <f t="shared" si="17"/>
        <v>91577</v>
      </c>
      <c r="BJ35" s="286">
        <f t="shared" si="17"/>
        <v>97532</v>
      </c>
      <c r="BK35" s="286">
        <f t="shared" si="17"/>
        <v>100090</v>
      </c>
      <c r="BL35" s="150">
        <f t="shared" si="17"/>
        <v>381719</v>
      </c>
      <c r="BM35" s="107">
        <f t="shared" si="17"/>
        <v>104201</v>
      </c>
      <c r="BN35" s="286">
        <f t="shared" si="17"/>
        <v>107905</v>
      </c>
      <c r="BO35" s="286">
        <f t="shared" si="17"/>
        <v>109016</v>
      </c>
      <c r="BP35" s="286">
        <f t="shared" si="17"/>
        <v>111603</v>
      </c>
      <c r="BQ35" s="150">
        <f t="shared" si="17"/>
        <v>432725</v>
      </c>
      <c r="BR35" s="107">
        <f t="shared" si="17"/>
        <v>114689</v>
      </c>
      <c r="BS35" s="286">
        <f t="shared" si="17"/>
        <v>115540</v>
      </c>
      <c r="BT35" s="286">
        <f t="shared" si="17"/>
        <v>118234</v>
      </c>
      <c r="BU35" s="286">
        <f t="shared" si="17"/>
        <v>123898</v>
      </c>
      <c r="BV35" s="150">
        <f t="shared" si="17"/>
        <v>472361</v>
      </c>
      <c r="BW35" s="107">
        <f t="shared" si="17"/>
        <v>122683.64769</v>
      </c>
      <c r="BX35" s="286">
        <f t="shared" si="17"/>
        <v>124062.47412300002</v>
      </c>
      <c r="BY35" s="286">
        <f t="shared" si="17"/>
        <v>125491.68128</v>
      </c>
      <c r="BZ35" s="286">
        <f t="shared" si="17"/>
        <v>134958.74208</v>
      </c>
      <c r="CA35" s="150">
        <f t="shared" si="17"/>
        <v>507196.54517300002</v>
      </c>
    </row>
    <row r="36" spans="1:79" s="53" customFormat="1" ht="7.7" customHeight="1" thickBot="1">
      <c r="A36" s="105"/>
      <c r="B36" s="227"/>
      <c r="C36" s="228"/>
      <c r="D36" s="307"/>
      <c r="E36" s="283"/>
      <c r="F36" s="283"/>
      <c r="G36" s="283"/>
      <c r="H36" s="283"/>
      <c r="I36" s="304"/>
      <c r="J36" s="283"/>
      <c r="K36" s="283"/>
      <c r="L36" s="283"/>
      <c r="M36" s="154"/>
      <c r="N36" s="148"/>
      <c r="O36" s="124"/>
      <c r="P36" s="124"/>
      <c r="Q36" s="124"/>
      <c r="R36" s="124"/>
      <c r="S36" s="148"/>
      <c r="T36" s="121"/>
      <c r="U36" s="121"/>
      <c r="V36" s="121"/>
      <c r="W36" s="121"/>
      <c r="X36" s="147"/>
      <c r="Y36" s="122"/>
      <c r="Z36" s="122"/>
      <c r="AA36" s="105"/>
      <c r="AB36" s="105"/>
      <c r="AC36" s="217"/>
      <c r="AD36" s="209"/>
      <c r="AE36" s="209"/>
      <c r="AF36" s="209"/>
      <c r="AG36" s="209"/>
      <c r="AH36" s="147"/>
      <c r="AI36" s="209"/>
      <c r="AJ36" s="121"/>
      <c r="AK36" s="209"/>
      <c r="AL36" s="209"/>
      <c r="AM36" s="147"/>
      <c r="AN36" s="121"/>
      <c r="AO36" s="209"/>
      <c r="AP36" s="209"/>
      <c r="AQ36" s="209"/>
      <c r="AR36" s="147"/>
      <c r="AS36" s="121"/>
      <c r="AT36" s="209"/>
      <c r="AU36" s="209"/>
      <c r="AV36" s="209"/>
      <c r="AW36" s="147"/>
      <c r="AX36" s="121"/>
      <c r="AY36" s="121"/>
      <c r="AZ36" s="209"/>
      <c r="BA36" s="209"/>
      <c r="BB36" s="147"/>
      <c r="BC36" s="121"/>
      <c r="BD36" s="209"/>
      <c r="BE36" s="209"/>
      <c r="BF36" s="209"/>
      <c r="BG36" s="147"/>
      <c r="BH36" s="121"/>
      <c r="BI36" s="209"/>
      <c r="BJ36" s="209"/>
      <c r="BK36" s="209"/>
      <c r="BL36" s="147"/>
      <c r="BM36" s="121"/>
      <c r="BN36" s="209"/>
      <c r="BO36" s="209"/>
      <c r="BP36" s="209"/>
      <c r="BQ36" s="147"/>
      <c r="BR36" s="121"/>
      <c r="BS36" s="209"/>
      <c r="BT36" s="209"/>
      <c r="BU36" s="209"/>
      <c r="BV36" s="147"/>
      <c r="BW36" s="121"/>
      <c r="BX36" s="209"/>
      <c r="BY36" s="209"/>
      <c r="BZ36" s="209"/>
      <c r="CA36" s="147"/>
    </row>
    <row r="37" spans="1:79" s="53" customFormat="1" ht="14.1" customHeight="1" thickBot="1">
      <c r="A37" s="146"/>
      <c r="B37" s="225" t="s">
        <v>101</v>
      </c>
      <c r="C37" s="261"/>
      <c r="D37" s="296">
        <f t="shared" ref="D37:AW37" si="18">D28-D35</f>
        <v>18642</v>
      </c>
      <c r="E37" s="295">
        <f t="shared" si="18"/>
        <v>5362.1097399999999</v>
      </c>
      <c r="F37" s="295">
        <f t="shared" si="18"/>
        <v>5803.7395399999987</v>
      </c>
      <c r="G37" s="295">
        <f t="shared" si="18"/>
        <v>6315.0429699999986</v>
      </c>
      <c r="H37" s="295">
        <f t="shared" si="18"/>
        <v>7095.4292199999982</v>
      </c>
      <c r="I37" s="296">
        <f t="shared" si="18"/>
        <v>24576.321469999995</v>
      </c>
      <c r="J37" s="295">
        <f t="shared" si="18"/>
        <v>7466.1247800000019</v>
      </c>
      <c r="K37" s="295">
        <f t="shared" si="18"/>
        <v>8111.90121</v>
      </c>
      <c r="L37" s="295">
        <f t="shared" si="18"/>
        <v>8877.2202000000034</v>
      </c>
      <c r="M37" s="295">
        <f t="shared" si="18"/>
        <v>11135.753809999995</v>
      </c>
      <c r="N37" s="257">
        <f t="shared" si="18"/>
        <v>35591</v>
      </c>
      <c r="O37" s="145">
        <f t="shared" si="18"/>
        <v>11301</v>
      </c>
      <c r="P37" s="145">
        <f t="shared" si="18"/>
        <v>11425</v>
      </c>
      <c r="Q37" s="145">
        <f t="shared" si="18"/>
        <v>12611</v>
      </c>
      <c r="R37" s="145">
        <f t="shared" si="18"/>
        <v>13997</v>
      </c>
      <c r="S37" s="144">
        <f t="shared" si="18"/>
        <v>49334</v>
      </c>
      <c r="T37" s="145">
        <f t="shared" si="18"/>
        <v>15772</v>
      </c>
      <c r="U37" s="145">
        <f t="shared" si="18"/>
        <v>16310</v>
      </c>
      <c r="V37" s="145">
        <f t="shared" si="18"/>
        <v>17796</v>
      </c>
      <c r="W37" s="145">
        <f t="shared" si="18"/>
        <v>20712</v>
      </c>
      <c r="X37" s="144">
        <f t="shared" si="18"/>
        <v>70590</v>
      </c>
      <c r="Y37" s="145">
        <f t="shared" si="18"/>
        <v>21758</v>
      </c>
      <c r="Z37" s="145">
        <f t="shared" si="18"/>
        <v>22539</v>
      </c>
      <c r="AA37" s="145">
        <f t="shared" si="18"/>
        <v>23637</v>
      </c>
      <c r="AB37" s="145">
        <f t="shared" si="18"/>
        <v>25834</v>
      </c>
      <c r="AC37" s="219">
        <f t="shared" si="18"/>
        <v>93768</v>
      </c>
      <c r="AD37" s="210">
        <f t="shared" si="18"/>
        <v>27565</v>
      </c>
      <c r="AE37" s="210">
        <f t="shared" si="18"/>
        <v>28117</v>
      </c>
      <c r="AF37" s="210">
        <f t="shared" si="18"/>
        <v>30270</v>
      </c>
      <c r="AG37" s="210">
        <f t="shared" si="18"/>
        <v>33722</v>
      </c>
      <c r="AH37" s="223">
        <f t="shared" si="18"/>
        <v>119674</v>
      </c>
      <c r="AI37" s="210">
        <f t="shared" si="18"/>
        <v>34969</v>
      </c>
      <c r="AJ37" s="293">
        <f t="shared" si="18"/>
        <v>37247</v>
      </c>
      <c r="AK37" s="210">
        <f t="shared" si="18"/>
        <v>40073</v>
      </c>
      <c r="AL37" s="210">
        <f t="shared" si="18"/>
        <v>45026</v>
      </c>
      <c r="AM37" s="223">
        <f t="shared" si="18"/>
        <v>157315</v>
      </c>
      <c r="AN37" s="145">
        <f t="shared" si="18"/>
        <v>45004</v>
      </c>
      <c r="AO37" s="210">
        <f t="shared" si="18"/>
        <v>47934</v>
      </c>
      <c r="AP37" s="210">
        <f t="shared" si="18"/>
        <v>51087</v>
      </c>
      <c r="AQ37" s="210">
        <f t="shared" si="18"/>
        <v>56686</v>
      </c>
      <c r="AR37" s="223">
        <f t="shared" si="18"/>
        <v>200711</v>
      </c>
      <c r="AS37" s="145">
        <f t="shared" si="18"/>
        <v>58130</v>
      </c>
      <c r="AT37" s="210">
        <f t="shared" si="18"/>
        <v>62194</v>
      </c>
      <c r="AU37" s="210">
        <f t="shared" si="18"/>
        <v>69923</v>
      </c>
      <c r="AV37" s="210">
        <f t="shared" si="18"/>
        <v>81266</v>
      </c>
      <c r="AW37" s="223">
        <f t="shared" si="18"/>
        <v>271513</v>
      </c>
      <c r="AX37" s="145">
        <f t="shared" ref="AX37:CA37" si="19">AX28-AX35</f>
        <v>84161</v>
      </c>
      <c r="AY37" s="145">
        <f t="shared" si="19"/>
        <v>86115</v>
      </c>
      <c r="AZ37" s="210">
        <f t="shared" si="19"/>
        <v>94132</v>
      </c>
      <c r="BA37" s="210">
        <f t="shared" si="19"/>
        <v>103636</v>
      </c>
      <c r="BB37" s="223">
        <f t="shared" si="19"/>
        <v>368044</v>
      </c>
      <c r="BC37" s="145">
        <f t="shared" si="19"/>
        <v>105078</v>
      </c>
      <c r="BD37" s="210">
        <f t="shared" si="19"/>
        <v>109198</v>
      </c>
      <c r="BE37" s="210">
        <f t="shared" si="19"/>
        <v>115777</v>
      </c>
      <c r="BF37" s="210">
        <f t="shared" si="19"/>
        <v>123884</v>
      </c>
      <c r="BG37" s="223">
        <f t="shared" si="19"/>
        <v>453937</v>
      </c>
      <c r="BH37" s="145">
        <f t="shared" si="19"/>
        <v>125919</v>
      </c>
      <c r="BI37" s="210">
        <f t="shared" si="19"/>
        <v>131305</v>
      </c>
      <c r="BJ37" s="210">
        <f t="shared" si="19"/>
        <v>132573</v>
      </c>
      <c r="BK37" s="210">
        <f t="shared" si="19"/>
        <v>138972</v>
      </c>
      <c r="BL37" s="223">
        <f t="shared" si="19"/>
        <v>528769</v>
      </c>
      <c r="BM37" s="145">
        <f t="shared" si="19"/>
        <v>142809</v>
      </c>
      <c r="BN37" s="210">
        <f t="shared" si="19"/>
        <v>144181</v>
      </c>
      <c r="BO37" s="210">
        <f t="shared" si="19"/>
        <v>155166</v>
      </c>
      <c r="BP37" s="210">
        <f t="shared" si="19"/>
        <v>167057</v>
      </c>
      <c r="BQ37" s="223">
        <f t="shared" si="19"/>
        <v>609213</v>
      </c>
      <c r="BR37" s="145">
        <f t="shared" si="19"/>
        <v>165016</v>
      </c>
      <c r="BS37" s="210">
        <f t="shared" si="19"/>
        <v>167729</v>
      </c>
      <c r="BT37" s="210">
        <f t="shared" si="19"/>
        <v>167598</v>
      </c>
      <c r="BU37" s="210">
        <f t="shared" si="19"/>
        <v>176384</v>
      </c>
      <c r="BV37" s="223">
        <f t="shared" si="19"/>
        <v>676727</v>
      </c>
      <c r="BW37" s="145">
        <f t="shared" si="19"/>
        <v>176544.76130999997</v>
      </c>
      <c r="BX37" s="210">
        <f t="shared" si="19"/>
        <v>182264.62247700003</v>
      </c>
      <c r="BY37" s="210">
        <f t="shared" si="19"/>
        <v>188237.52191999997</v>
      </c>
      <c r="BZ37" s="210">
        <f t="shared" si="19"/>
        <v>202438.11311999999</v>
      </c>
      <c r="CA37" s="223">
        <f t="shared" si="19"/>
        <v>749485.01882699993</v>
      </c>
    </row>
    <row r="38" spans="1:79" s="628" customFormat="1" ht="14.1" customHeight="1">
      <c r="A38" s="613"/>
      <c r="B38" s="629"/>
      <c r="C38" s="625" t="s">
        <v>374</v>
      </c>
      <c r="D38" s="630">
        <f t="shared" ref="D38:AW38" si="20">D37/D28</f>
        <v>0.43164767991108643</v>
      </c>
      <c r="E38" s="613">
        <f t="shared" si="20"/>
        <v>0.37441998820965672</v>
      </c>
      <c r="F38" s="613">
        <f t="shared" si="20"/>
        <v>0.38620176537874701</v>
      </c>
      <c r="G38" s="613">
        <f t="shared" si="20"/>
        <v>0.38976831389060307</v>
      </c>
      <c r="H38" s="613">
        <f t="shared" si="20"/>
        <v>0.38833465814668211</v>
      </c>
      <c r="I38" s="631">
        <f t="shared" si="20"/>
        <v>0.38507407602765154</v>
      </c>
      <c r="J38" s="613">
        <f t="shared" si="20"/>
        <v>0.39058728969489892</v>
      </c>
      <c r="K38" s="613">
        <f t="shared" si="20"/>
        <v>0.39993791450310967</v>
      </c>
      <c r="L38" s="613">
        <f t="shared" si="20"/>
        <v>0.42089647331072871</v>
      </c>
      <c r="M38" s="613">
        <f t="shared" si="20"/>
        <v>0.47100070911747982</v>
      </c>
      <c r="N38" s="631">
        <f t="shared" si="20"/>
        <v>0.42303760756905817</v>
      </c>
      <c r="O38" s="613">
        <f t="shared" si="20"/>
        <v>0.46555985828458435</v>
      </c>
      <c r="P38" s="613">
        <f t="shared" si="20"/>
        <v>0.46283167915738305</v>
      </c>
      <c r="Q38" s="613">
        <f t="shared" si="20"/>
        <v>0.48749468475781826</v>
      </c>
      <c r="R38" s="613">
        <f t="shared" si="20"/>
        <v>0.4950484544104124</v>
      </c>
      <c r="S38" s="631">
        <f t="shared" si="20"/>
        <v>0.47849702236620045</v>
      </c>
      <c r="T38" s="613">
        <f t="shared" si="20"/>
        <v>0.52097509414018628</v>
      </c>
      <c r="U38" s="613">
        <f t="shared" si="20"/>
        <v>0.5387461187817929</v>
      </c>
      <c r="V38" s="613">
        <f t="shared" si="20"/>
        <v>0.55118159011366807</v>
      </c>
      <c r="W38" s="613">
        <f t="shared" si="20"/>
        <v>0.574806427441512</v>
      </c>
      <c r="X38" s="631">
        <f t="shared" si="20"/>
        <v>0.54776981096936395</v>
      </c>
      <c r="Y38" s="613">
        <f t="shared" si="20"/>
        <v>0.57235301854531107</v>
      </c>
      <c r="Z38" s="613">
        <f t="shared" si="20"/>
        <v>0.57961734300262302</v>
      </c>
      <c r="AA38" s="613">
        <f t="shared" si="20"/>
        <v>0.57676540920404085</v>
      </c>
      <c r="AB38" s="613">
        <f t="shared" si="20"/>
        <v>0.58438708801773476</v>
      </c>
      <c r="AC38" s="632">
        <f t="shared" si="20"/>
        <v>0.57849342957616134</v>
      </c>
      <c r="AD38" s="622">
        <f t="shared" si="20"/>
        <v>0.58631471476581443</v>
      </c>
      <c r="AE38" s="622">
        <f t="shared" si="20"/>
        <v>0.58912146164644752</v>
      </c>
      <c r="AF38" s="622">
        <f t="shared" si="20"/>
        <v>0.60442083824204784</v>
      </c>
      <c r="AG38" s="622">
        <f t="shared" si="20"/>
        <v>0.60866740068227354</v>
      </c>
      <c r="AH38" s="631">
        <f t="shared" si="20"/>
        <v>0.59769759021101265</v>
      </c>
      <c r="AI38" s="622">
        <f t="shared" si="20"/>
        <v>0.59365079365079365</v>
      </c>
      <c r="AJ38" s="613">
        <f t="shared" si="20"/>
        <v>0.60940772251308906</v>
      </c>
      <c r="AK38" s="622">
        <f t="shared" si="20"/>
        <v>0.61363775572706114</v>
      </c>
      <c r="AL38" s="622">
        <f t="shared" si="20"/>
        <v>0.62246492016312993</v>
      </c>
      <c r="AM38" s="631">
        <f t="shared" si="20"/>
        <v>0.61054318802781915</v>
      </c>
      <c r="AN38" s="613">
        <f t="shared" si="20"/>
        <v>0.60377257237918913</v>
      </c>
      <c r="AO38" s="622">
        <f t="shared" si="20"/>
        <v>0.61901441190144124</v>
      </c>
      <c r="AP38" s="622">
        <f t="shared" si="20"/>
        <v>0.60985567453353862</v>
      </c>
      <c r="AQ38" s="622">
        <f t="shared" si="20"/>
        <v>0.61439580330143173</v>
      </c>
      <c r="AR38" s="631">
        <f t="shared" si="20"/>
        <v>0.61191258696487261</v>
      </c>
      <c r="AS38" s="613">
        <f t="shared" si="20"/>
        <v>0.61132845364294131</v>
      </c>
      <c r="AT38" s="622">
        <f t="shared" si="20"/>
        <v>0.62323633156966485</v>
      </c>
      <c r="AU38" s="622">
        <f t="shared" si="20"/>
        <v>0.62351640316381762</v>
      </c>
      <c r="AV38" s="622">
        <f t="shared" si="20"/>
        <v>0.63546154748406769</v>
      </c>
      <c r="AW38" s="631">
        <f t="shared" si="20"/>
        <v>0.62429985192270554</v>
      </c>
      <c r="AX38" s="613">
        <f>AX37/AX28</f>
        <v>0.61038424159788807</v>
      </c>
      <c r="AY38" s="613">
        <f>AY37/AY28</f>
        <v>0.59892754308606089</v>
      </c>
      <c r="AZ38" s="622">
        <f>AZ37/AZ28</f>
        <v>0.60994764397905754</v>
      </c>
      <c r="BA38" s="622">
        <v>0.61</v>
      </c>
      <c r="BB38" s="631">
        <f t="shared" ref="BB38:CA38" si="21">BB37/BB28</f>
        <v>0.60375563287515732</v>
      </c>
      <c r="BC38" s="613">
        <f t="shared" si="21"/>
        <v>0.57489727919814859</v>
      </c>
      <c r="BD38" s="622">
        <f t="shared" si="21"/>
        <v>0.57660178897677705</v>
      </c>
      <c r="BE38" s="622">
        <f t="shared" si="21"/>
        <v>0.58372407256153513</v>
      </c>
      <c r="BF38" s="622">
        <f t="shared" si="21"/>
        <v>0.59460990184549667</v>
      </c>
      <c r="BG38" s="631">
        <f t="shared" si="21"/>
        <v>0.58283280648549263</v>
      </c>
      <c r="BH38" s="613">
        <f t="shared" si="21"/>
        <v>0.57644926043426314</v>
      </c>
      <c r="BI38" s="622">
        <f t="shared" si="21"/>
        <v>0.58912339264723035</v>
      </c>
      <c r="BJ38" s="622">
        <f t="shared" si="21"/>
        <v>0.57614132678559793</v>
      </c>
      <c r="BK38" s="622">
        <f t="shared" si="21"/>
        <v>0.58132200015058855</v>
      </c>
      <c r="BL38" s="631">
        <f t="shared" si="21"/>
        <v>0.58075339817768057</v>
      </c>
      <c r="BM38" s="613">
        <f t="shared" si="21"/>
        <v>0.57815068215861709</v>
      </c>
      <c r="BN38" s="622">
        <f t="shared" si="21"/>
        <v>0.57195163555294626</v>
      </c>
      <c r="BO38" s="622">
        <f t="shared" si="21"/>
        <v>0.58734508785609918</v>
      </c>
      <c r="BP38" s="622">
        <f t="shared" si="21"/>
        <v>0.59950118423885734</v>
      </c>
      <c r="BQ38" s="631">
        <f t="shared" si="21"/>
        <v>0.58469217938111484</v>
      </c>
      <c r="BR38" s="613">
        <f t="shared" si="21"/>
        <v>0.58996442680681427</v>
      </c>
      <c r="BS38" s="622">
        <f t="shared" si="21"/>
        <v>0.59211915176034091</v>
      </c>
      <c r="BT38" s="622">
        <f t="shared" si="21"/>
        <v>0.58635142321363598</v>
      </c>
      <c r="BU38" s="622">
        <f t="shared" si="21"/>
        <v>0.58739451582179414</v>
      </c>
      <c r="BV38" s="631">
        <f t="shared" si="21"/>
        <v>0.58892530424127654</v>
      </c>
      <c r="BW38" s="613">
        <f t="shared" si="21"/>
        <v>0.59</v>
      </c>
      <c r="BX38" s="622">
        <f t="shared" si="21"/>
        <v>0.59499999999999997</v>
      </c>
      <c r="BY38" s="622">
        <f t="shared" si="21"/>
        <v>0.6</v>
      </c>
      <c r="BZ38" s="622">
        <f t="shared" si="21"/>
        <v>0.6</v>
      </c>
      <c r="CA38" s="631">
        <f t="shared" si="21"/>
        <v>0.59640010667571142</v>
      </c>
    </row>
    <row r="39" spans="1:79" s="53" customFormat="1" ht="7.7" customHeight="1">
      <c r="A39" s="105"/>
      <c r="B39" s="112"/>
      <c r="C39" s="169"/>
      <c r="D39" s="169"/>
      <c r="E39" s="105"/>
      <c r="F39" s="105"/>
      <c r="G39" s="105"/>
      <c r="H39" s="105"/>
      <c r="I39" s="158"/>
      <c r="J39" s="105"/>
      <c r="K39" s="105"/>
      <c r="L39" s="105"/>
      <c r="M39" s="124"/>
      <c r="N39" s="123"/>
      <c r="O39" s="124"/>
      <c r="P39" s="124"/>
      <c r="Q39" s="124"/>
      <c r="R39" s="124"/>
      <c r="S39" s="123"/>
      <c r="T39" s="121"/>
      <c r="U39" s="121"/>
      <c r="V39" s="121"/>
      <c r="W39" s="203"/>
      <c r="X39" s="120"/>
      <c r="Y39" s="203"/>
      <c r="Z39" s="203"/>
      <c r="AA39" s="203"/>
      <c r="AB39" s="203"/>
      <c r="AC39" s="218"/>
      <c r="AD39" s="203"/>
      <c r="AE39" s="203"/>
      <c r="AF39" s="203"/>
      <c r="AG39" s="203"/>
      <c r="AH39" s="120"/>
      <c r="AI39" s="383"/>
      <c r="AJ39" s="124"/>
      <c r="AK39" s="203"/>
      <c r="AL39" s="203"/>
      <c r="AM39" s="120"/>
      <c r="AN39" s="124"/>
      <c r="AO39" s="203"/>
      <c r="AP39" s="203"/>
      <c r="AQ39" s="203"/>
      <c r="AR39" s="120"/>
      <c r="AS39" s="124"/>
      <c r="AT39" s="203"/>
      <c r="AU39" s="203"/>
      <c r="AV39" s="203"/>
      <c r="AW39" s="120"/>
      <c r="AX39" s="124"/>
      <c r="AY39" s="124"/>
      <c r="AZ39" s="203"/>
      <c r="BA39" s="203"/>
      <c r="BB39" s="120"/>
      <c r="BC39" s="124"/>
      <c r="BD39" s="203"/>
      <c r="BE39" s="203"/>
      <c r="BF39" s="203"/>
      <c r="BG39" s="120"/>
      <c r="BH39" s="124"/>
      <c r="BI39" s="203"/>
      <c r="BJ39" s="203"/>
      <c r="BK39" s="203"/>
      <c r="BL39" s="120"/>
      <c r="BM39" s="124"/>
      <c r="BN39" s="203"/>
      <c r="BO39" s="203"/>
      <c r="BP39" s="203"/>
      <c r="BQ39" s="120"/>
      <c r="BR39" s="124"/>
      <c r="BS39" s="203"/>
      <c r="BT39" s="203"/>
      <c r="BU39" s="203"/>
      <c r="BV39" s="120"/>
      <c r="BW39" s="124"/>
      <c r="BX39" s="203"/>
      <c r="BY39" s="203"/>
      <c r="BZ39" s="203"/>
      <c r="CA39" s="120"/>
    </row>
    <row r="40" spans="1:79" s="53" customFormat="1" ht="14.1" customHeight="1">
      <c r="A40" s="105"/>
      <c r="B40" s="138" t="s">
        <v>100</v>
      </c>
      <c r="C40" s="169"/>
      <c r="D40" s="169"/>
      <c r="E40" s="105"/>
      <c r="F40" s="105"/>
      <c r="G40" s="105"/>
      <c r="H40" s="105"/>
      <c r="I40" s="158"/>
      <c r="J40" s="105"/>
      <c r="K40" s="105"/>
      <c r="L40" s="105"/>
      <c r="M40" s="124"/>
      <c r="N40" s="123"/>
      <c r="O40" s="124"/>
      <c r="P40" s="124"/>
      <c r="Q40" s="124"/>
      <c r="R40" s="124"/>
      <c r="S40" s="123"/>
      <c r="T40" s="121"/>
      <c r="U40" s="121"/>
      <c r="V40" s="121"/>
      <c r="W40" s="203"/>
      <c r="X40" s="120"/>
      <c r="Y40" s="203"/>
      <c r="Z40" s="203"/>
      <c r="AA40" s="203"/>
      <c r="AB40" s="203"/>
      <c r="AC40" s="216"/>
      <c r="AD40" s="203"/>
      <c r="AE40" s="203"/>
      <c r="AF40" s="203"/>
      <c r="AG40" s="203"/>
      <c r="AH40" s="120"/>
      <c r="AI40" s="203"/>
      <c r="AJ40" s="124"/>
      <c r="AK40" s="203"/>
      <c r="AL40" s="203"/>
      <c r="AM40" s="120"/>
      <c r="AN40" s="124"/>
      <c r="AO40" s="203"/>
      <c r="AP40" s="203"/>
      <c r="AQ40" s="203"/>
      <c r="AR40" s="120"/>
      <c r="AS40" s="124"/>
      <c r="AT40" s="203"/>
      <c r="AU40" s="203"/>
      <c r="AV40" s="203"/>
      <c r="AW40" s="120"/>
      <c r="AX40" s="124"/>
      <c r="AY40" s="124"/>
      <c r="AZ40" s="203"/>
      <c r="BA40" s="203"/>
      <c r="BB40" s="120"/>
      <c r="BC40" s="124"/>
      <c r="BD40" s="203"/>
      <c r="BE40" s="203"/>
      <c r="BF40" s="203"/>
      <c r="BG40" s="120"/>
      <c r="BH40" s="124"/>
      <c r="BI40" s="203"/>
      <c r="BJ40" s="203"/>
      <c r="BK40" s="203"/>
      <c r="BL40" s="120"/>
      <c r="BM40" s="124"/>
      <c r="BN40" s="203"/>
      <c r="BO40" s="203"/>
      <c r="BP40" s="203"/>
      <c r="BQ40" s="120"/>
      <c r="BR40" s="124"/>
      <c r="BS40" s="203"/>
      <c r="BT40" s="203"/>
      <c r="BU40" s="203"/>
      <c r="BV40" s="120"/>
      <c r="BW40" s="124"/>
      <c r="BX40" s="203"/>
      <c r="BY40" s="203"/>
      <c r="BZ40" s="203"/>
      <c r="CA40" s="120"/>
    </row>
    <row r="41" spans="1:79" s="53" customFormat="1" ht="18" customHeight="1">
      <c r="A41" s="99"/>
      <c r="B41" s="98"/>
      <c r="C41" s="169" t="s">
        <v>99</v>
      </c>
      <c r="D41" s="100">
        <v>8688</v>
      </c>
      <c r="E41" s="96">
        <v>2846</v>
      </c>
      <c r="F41" s="96">
        <v>3002</v>
      </c>
      <c r="G41" s="96">
        <v>3439</v>
      </c>
      <c r="H41" s="96">
        <v>3775</v>
      </c>
      <c r="I41" s="95">
        <f>SUM(E41:H41)</f>
        <v>13062</v>
      </c>
      <c r="J41" s="96">
        <f>4154-53</f>
        <v>4101</v>
      </c>
      <c r="K41" s="96">
        <f>4106-49</f>
        <v>4057</v>
      </c>
      <c r="L41" s="96">
        <f>4419-136</f>
        <v>4283</v>
      </c>
      <c r="M41" s="96">
        <f>4850-261</f>
        <v>4589</v>
      </c>
      <c r="N41" s="95">
        <f>SUM(J41:M41)</f>
        <v>17030</v>
      </c>
      <c r="O41" s="96">
        <f>5225-350</f>
        <v>4875</v>
      </c>
      <c r="P41" s="96">
        <f>5554-471</f>
        <v>5083</v>
      </c>
      <c r="Q41" s="96">
        <f>5503-583</f>
        <v>4920</v>
      </c>
      <c r="R41" s="96">
        <f>5828-527</f>
        <v>5301</v>
      </c>
      <c r="S41" s="95">
        <f>SUM(O41:R41)</f>
        <v>20179</v>
      </c>
      <c r="T41" s="96">
        <f>6038-574</f>
        <v>5464</v>
      </c>
      <c r="U41" s="96">
        <f>5568-340</f>
        <v>5228</v>
      </c>
      <c r="V41" s="96">
        <f>5473-475</f>
        <v>4998</v>
      </c>
      <c r="W41" s="96">
        <f>5580-401</f>
        <v>5179</v>
      </c>
      <c r="X41" s="95">
        <f>SUM(T41:W41)</f>
        <v>20869</v>
      </c>
      <c r="Y41" s="96">
        <f>5802-435</f>
        <v>5367</v>
      </c>
      <c r="Z41" s="202">
        <f>5799-528</f>
        <v>5271</v>
      </c>
      <c r="AA41" s="202">
        <f>6041-547</f>
        <v>5494</v>
      </c>
      <c r="AB41" s="202">
        <f>6236-549</f>
        <v>5687</v>
      </c>
      <c r="AC41" s="204">
        <f>SUM(Y41:AB41)</f>
        <v>21819</v>
      </c>
      <c r="AD41" s="202">
        <f>6847-637</f>
        <v>6210</v>
      </c>
      <c r="AE41" s="202">
        <f>6836-801</f>
        <v>6035</v>
      </c>
      <c r="AF41" s="202">
        <f>6689-797</f>
        <v>5892</v>
      </c>
      <c r="AG41" s="202">
        <f>6748-807</f>
        <v>5941</v>
      </c>
      <c r="AH41" s="95">
        <f>SUM(AD41:AG41)</f>
        <v>24078</v>
      </c>
      <c r="AI41" s="202">
        <f>7772-877</f>
        <v>6895</v>
      </c>
      <c r="AJ41" s="96">
        <f>8367-1064</f>
        <v>7303</v>
      </c>
      <c r="AK41" s="202">
        <f>9582-2352</f>
        <v>7230</v>
      </c>
      <c r="AL41" s="202">
        <f>8451-1010</f>
        <v>7441</v>
      </c>
      <c r="AM41" s="95">
        <f>SUM(AI41:AL41)</f>
        <v>28869</v>
      </c>
      <c r="AN41" s="96">
        <f>10546-1470</f>
        <v>9076</v>
      </c>
      <c r="AO41" s="202">
        <f>10811-1907</f>
        <v>8904</v>
      </c>
      <c r="AP41" s="202">
        <f>11665-2022</f>
        <v>9643</v>
      </c>
      <c r="AQ41" s="202">
        <f>12168-2259</f>
        <v>9909</v>
      </c>
      <c r="AR41" s="95">
        <f>SUM(AN41:AQ41)</f>
        <v>37532</v>
      </c>
      <c r="AS41" s="96">
        <f>15189-2806</f>
        <v>12383</v>
      </c>
      <c r="AT41" s="202">
        <f>17208-3684-327</f>
        <v>13197</v>
      </c>
      <c r="AU41" s="202">
        <f>17674-3876</f>
        <v>13798</v>
      </c>
      <c r="AV41" s="202">
        <f>18676-3675</f>
        <v>15001</v>
      </c>
      <c r="AW41" s="95">
        <f>SUM(AS41:AV41)</f>
        <v>54379</v>
      </c>
      <c r="AX41" s="96">
        <f>22121-4763</f>
        <v>17358</v>
      </c>
      <c r="AY41" s="96">
        <f>24648-6152</f>
        <v>18496</v>
      </c>
      <c r="AZ41" s="202">
        <f>29680-9101</f>
        <v>20579</v>
      </c>
      <c r="BA41" s="202">
        <f>30448-9163</f>
        <v>21285</v>
      </c>
      <c r="BB41" s="95">
        <f>SUM(AX41:BA41)</f>
        <v>77718</v>
      </c>
      <c r="BC41" s="96">
        <f>35824-10145-656-2629</f>
        <v>22394</v>
      </c>
      <c r="BD41" s="107">
        <f>34992-11818-1307-59-334</f>
        <v>21474</v>
      </c>
      <c r="BE41" s="107">
        <f>34113-10603-1654-557</f>
        <v>21299</v>
      </c>
      <c r="BF41" s="202">
        <f>36865-11799-1449-2615</f>
        <v>21002</v>
      </c>
      <c r="BG41" s="95">
        <f>SUM(BC41:BF41)</f>
        <v>86169</v>
      </c>
      <c r="BH41" s="96">
        <f>38108-12382</f>
        <v>25726</v>
      </c>
      <c r="BI41" s="202">
        <f>39210-13013</f>
        <v>26197</v>
      </c>
      <c r="BJ41" s="202">
        <f>40391-12980</f>
        <v>27411</v>
      </c>
      <c r="BK41" s="202">
        <f>38873-12055-12-197</f>
        <v>26609</v>
      </c>
      <c r="BL41" s="95">
        <f>SUM(BH41:BK41)</f>
        <v>105943</v>
      </c>
      <c r="BM41" s="96">
        <f>41518-10930-323</f>
        <v>30265</v>
      </c>
      <c r="BN41" s="202">
        <f>40717-9827-488</f>
        <v>30402</v>
      </c>
      <c r="BO41" s="202">
        <f>42482-8244-412-18-1942</f>
        <v>31866</v>
      </c>
      <c r="BP41" s="202">
        <f>41480-8259</f>
        <v>33221</v>
      </c>
      <c r="BQ41" s="95">
        <f>SUM(BM41:BP41)</f>
        <v>125754</v>
      </c>
      <c r="BR41" s="96">
        <f>41100-8690</f>
        <v>32410</v>
      </c>
      <c r="BS41" s="202">
        <f>39912-8829-742-1931</f>
        <v>28410</v>
      </c>
      <c r="BT41" s="202">
        <f>35218-6896-1170-25</f>
        <v>27127</v>
      </c>
      <c r="BU41" s="202">
        <f>36104-7349-1538</f>
        <v>27217</v>
      </c>
      <c r="BV41" s="95">
        <f>SUM(BR41:BU41)</f>
        <v>115164</v>
      </c>
      <c r="BW41" s="96">
        <f>BW28*BW42</f>
        <v>32915.124989999997</v>
      </c>
      <c r="BX41" s="202">
        <f>BX28*BX42</f>
        <v>32164.345143000002</v>
      </c>
      <c r="BY41" s="202">
        <f>BY28*BY42</f>
        <v>32941.566335999996</v>
      </c>
      <c r="BZ41" s="202">
        <f>BZ28*BZ42</f>
        <v>32727.494954400001</v>
      </c>
      <c r="CA41" s="95">
        <f>SUM(BW41:BZ41)</f>
        <v>130748.53142339998</v>
      </c>
    </row>
    <row r="42" spans="1:79" s="635" customFormat="1" ht="12.4" customHeight="1">
      <c r="A42" s="609"/>
      <c r="B42" s="610"/>
      <c r="C42" s="611" t="s">
        <v>98</v>
      </c>
      <c r="D42" s="611">
        <f t="shared" ref="D42:BC42" si="22">D41/D28</f>
        <v>0.20116699083078632</v>
      </c>
      <c r="E42" s="613">
        <f t="shared" si="22"/>
        <v>0.19872761620217849</v>
      </c>
      <c r="F42" s="613">
        <f t="shared" si="22"/>
        <v>0.19976390940297067</v>
      </c>
      <c r="G42" s="613">
        <f t="shared" si="22"/>
        <v>0.2122571830211607</v>
      </c>
      <c r="H42" s="613">
        <f t="shared" si="22"/>
        <v>0.20660671666931593</v>
      </c>
      <c r="I42" s="612">
        <f t="shared" si="22"/>
        <v>0.20466193800455629</v>
      </c>
      <c r="J42" s="613">
        <f t="shared" si="22"/>
        <v>0.21454215168351098</v>
      </c>
      <c r="K42" s="613">
        <f t="shared" si="22"/>
        <v>0.20002069516563009</v>
      </c>
      <c r="L42" s="613">
        <f t="shared" si="22"/>
        <v>0.20307028040037245</v>
      </c>
      <c r="M42" s="613">
        <f t="shared" si="22"/>
        <v>0.19409752505476016</v>
      </c>
      <c r="N42" s="612">
        <f t="shared" si="22"/>
        <v>0.20242000665620691</v>
      </c>
      <c r="O42" s="613">
        <f t="shared" si="22"/>
        <v>0.20083216610364998</v>
      </c>
      <c r="P42" s="613">
        <f t="shared" si="22"/>
        <v>0.20591452298966983</v>
      </c>
      <c r="Q42" s="613">
        <f t="shared" si="22"/>
        <v>0.19018902934013684</v>
      </c>
      <c r="R42" s="613">
        <f t="shared" si="22"/>
        <v>0.18748673693145645</v>
      </c>
      <c r="S42" s="612">
        <f t="shared" si="22"/>
        <v>0.19571880273903514</v>
      </c>
      <c r="T42" s="613">
        <f t="shared" si="22"/>
        <v>0.18048490453854793</v>
      </c>
      <c r="U42" s="613">
        <f t="shared" si="22"/>
        <v>0.17268943648014798</v>
      </c>
      <c r="V42" s="613">
        <f t="shared" si="22"/>
        <v>0.15479914516678539</v>
      </c>
      <c r="W42" s="613">
        <f t="shared" si="22"/>
        <v>0.14372935919851249</v>
      </c>
      <c r="X42" s="612">
        <f t="shared" si="22"/>
        <v>0.16194090076667597</v>
      </c>
      <c r="Y42" s="619">
        <f t="shared" si="22"/>
        <v>0.14118111271866368</v>
      </c>
      <c r="Z42" s="619">
        <f t="shared" si="22"/>
        <v>0.13555006943372935</v>
      </c>
      <c r="AA42" s="619">
        <f t="shared" si="22"/>
        <v>0.13405885510712021</v>
      </c>
      <c r="AB42" s="619">
        <f t="shared" si="22"/>
        <v>0.12864478476259417</v>
      </c>
      <c r="AC42" s="633">
        <f t="shared" si="22"/>
        <v>0.13461040162872479</v>
      </c>
      <c r="AD42" s="618">
        <f t="shared" si="22"/>
        <v>0.13208831411919852</v>
      </c>
      <c r="AE42" s="619">
        <f t="shared" si="22"/>
        <v>0.12644834160957111</v>
      </c>
      <c r="AF42" s="634">
        <f t="shared" si="22"/>
        <v>0.11764940795910625</v>
      </c>
      <c r="AG42" s="634">
        <f t="shared" si="22"/>
        <v>0.10723246033608289</v>
      </c>
      <c r="AH42" s="612">
        <f t="shared" si="22"/>
        <v>0.12025471344737171</v>
      </c>
      <c r="AI42" s="610">
        <f t="shared" si="22"/>
        <v>0.11705288175876412</v>
      </c>
      <c r="AJ42" s="613">
        <f t="shared" si="22"/>
        <v>0.11948625654450262</v>
      </c>
      <c r="AK42" s="613">
        <f t="shared" si="22"/>
        <v>0.11071297317162808</v>
      </c>
      <c r="AL42" s="613">
        <f t="shared" si="22"/>
        <v>0.10286859749775351</v>
      </c>
      <c r="AM42" s="612">
        <f t="shared" si="22"/>
        <v>0.11204126304023845</v>
      </c>
      <c r="AN42" s="613">
        <f t="shared" si="22"/>
        <v>0.1217633958517803</v>
      </c>
      <c r="AO42" s="613">
        <f t="shared" si="22"/>
        <v>0.11498527816519448</v>
      </c>
      <c r="AP42" s="613">
        <f t="shared" si="22"/>
        <v>0.11511418305100932</v>
      </c>
      <c r="AQ42" s="613">
        <f t="shared" si="22"/>
        <v>0.10739949925755721</v>
      </c>
      <c r="AR42" s="612">
        <f t="shared" si="22"/>
        <v>0.11442473613287561</v>
      </c>
      <c r="AS42" s="613">
        <f t="shared" si="22"/>
        <v>0.13022673733804477</v>
      </c>
      <c r="AT42" s="613">
        <f t="shared" si="22"/>
        <v>0.13224506974506975</v>
      </c>
      <c r="AU42" s="613">
        <f t="shared" si="22"/>
        <v>0.12303933370785515</v>
      </c>
      <c r="AV42" s="613">
        <f t="shared" si="22"/>
        <v>0.11730069984751926</v>
      </c>
      <c r="AW42" s="612">
        <f>AW41/AW28</f>
        <v>0.1250356397215043</v>
      </c>
      <c r="AX42" s="613">
        <f t="shared" si="22"/>
        <v>0.12589025398529177</v>
      </c>
      <c r="AY42" s="613">
        <f t="shared" si="22"/>
        <v>0.12863918988468653</v>
      </c>
      <c r="AZ42" s="613">
        <f t="shared" si="22"/>
        <v>0.13334586076408689</v>
      </c>
      <c r="BA42" s="613">
        <f t="shared" si="22"/>
        <v>0.12261015328429312</v>
      </c>
      <c r="BB42" s="612">
        <f>BB41/BB28</f>
        <v>0.12749203974468126</v>
      </c>
      <c r="BC42" s="613">
        <f t="shared" si="22"/>
        <v>0.12252088610711413</v>
      </c>
      <c r="BD42" s="613">
        <f t="shared" ref="BD42:BS42" si="23">BD41/BD28</f>
        <v>0.11338986809728485</v>
      </c>
      <c r="BE42" s="613">
        <f t="shared" si="23"/>
        <v>0.10738522350283854</v>
      </c>
      <c r="BF42" s="613">
        <f t="shared" si="23"/>
        <v>0.10080395497852121</v>
      </c>
      <c r="BG42" s="612">
        <f>BG41/BG28</f>
        <v>0.11063676259491607</v>
      </c>
      <c r="BH42" s="613">
        <f t="shared" si="23"/>
        <v>0.1177720095770444</v>
      </c>
      <c r="BI42" s="613">
        <f t="shared" si="23"/>
        <v>0.11753753107025242</v>
      </c>
      <c r="BJ42" s="613">
        <f t="shared" si="23"/>
        <v>0.11912387822950392</v>
      </c>
      <c r="BK42" s="613">
        <f t="shared" si="23"/>
        <v>0.11130585371158946</v>
      </c>
      <c r="BL42" s="612">
        <f>BL41/BL28</f>
        <v>0.11635848028749418</v>
      </c>
      <c r="BM42" s="613">
        <f t="shared" si="23"/>
        <v>0.12252540382980447</v>
      </c>
      <c r="BN42" s="613">
        <f t="shared" si="23"/>
        <v>0.12060169942003919</v>
      </c>
      <c r="BO42" s="613">
        <f t="shared" si="23"/>
        <v>0.12062138979945644</v>
      </c>
      <c r="BP42" s="613">
        <f t="shared" si="23"/>
        <v>0.11921696691308405</v>
      </c>
      <c r="BQ42" s="612">
        <f>BQ41/BQ28</f>
        <v>0.12069240204311581</v>
      </c>
      <c r="BR42" s="613">
        <f t="shared" si="23"/>
        <v>0.11587207951234337</v>
      </c>
      <c r="BS42" s="613">
        <f t="shared" si="23"/>
        <v>0.10029336072778879</v>
      </c>
      <c r="BT42" s="613">
        <f>BT41/BT28</f>
        <v>9.4905398975622043E-2</v>
      </c>
      <c r="BU42" s="613">
        <f>BU41/BU28</f>
        <v>9.0638133487854752E-2</v>
      </c>
      <c r="BV42" s="612">
        <f>BV41/BV28</f>
        <v>0.100222089169846</v>
      </c>
      <c r="BW42" s="671">
        <v>0.11</v>
      </c>
      <c r="BX42" s="671">
        <v>0.105</v>
      </c>
      <c r="BY42" s="674">
        <v>0.105</v>
      </c>
      <c r="BZ42" s="674">
        <v>9.7000000000000003E-2</v>
      </c>
      <c r="CA42" s="612">
        <f>CA41/CA28</f>
        <v>0.10404269082075909</v>
      </c>
    </row>
    <row r="43" spans="1:79" s="53" customFormat="1" ht="18" customHeight="1">
      <c r="A43" s="105"/>
      <c r="B43" s="112"/>
      <c r="C43" s="169" t="s">
        <v>175</v>
      </c>
      <c r="D43" s="100">
        <v>10171</v>
      </c>
      <c r="E43" s="96">
        <v>3289</v>
      </c>
      <c r="F43" s="96">
        <v>3993</v>
      </c>
      <c r="G43" s="96">
        <v>4309</v>
      </c>
      <c r="H43" s="96">
        <v>5105</v>
      </c>
      <c r="I43" s="95">
        <f>SUM(E43:H43)</f>
        <v>16696</v>
      </c>
      <c r="J43" s="96">
        <f>6147-105</f>
        <v>6042</v>
      </c>
      <c r="K43" s="96">
        <f>7227-134</f>
        <v>7093</v>
      </c>
      <c r="L43" s="96">
        <f>6964-182</f>
        <v>6782</v>
      </c>
      <c r="M43" s="96">
        <f>7727-330-23</f>
        <v>7374</v>
      </c>
      <c r="N43" s="123">
        <f>SUM(J43:M43)</f>
        <v>27291</v>
      </c>
      <c r="O43" s="124">
        <f>9022-326-28</f>
        <v>8668</v>
      </c>
      <c r="P43" s="124">
        <f>9674-368-28</f>
        <v>9278</v>
      </c>
      <c r="Q43" s="124">
        <f>9296-361-29</f>
        <v>8906</v>
      </c>
      <c r="R43" s="124">
        <f>9453-455-29</f>
        <v>8969</v>
      </c>
      <c r="S43" s="123">
        <f>SUM(O43:R43)</f>
        <v>35821</v>
      </c>
      <c r="T43" s="124">
        <f>9931-524-28</f>
        <v>9379</v>
      </c>
      <c r="U43" s="124">
        <f>10594-458-28</f>
        <v>10108</v>
      </c>
      <c r="V43" s="124">
        <f>10797-448-29</f>
        <v>10320</v>
      </c>
      <c r="W43" s="124">
        <f>10720-370-29</f>
        <v>10321</v>
      </c>
      <c r="X43" s="123">
        <f>SUM(T43:W43)</f>
        <v>40128</v>
      </c>
      <c r="Y43" s="124">
        <f>12706-434-28</f>
        <v>12244</v>
      </c>
      <c r="Z43" s="203">
        <f>12637-544-28</f>
        <v>12065</v>
      </c>
      <c r="AA43" s="203">
        <f>12925-626-29</f>
        <v>12270</v>
      </c>
      <c r="AB43" s="203">
        <f>14480-759-117+87</f>
        <v>13691</v>
      </c>
      <c r="AC43" s="123">
        <f>SUM(Y43:AB43)</f>
        <v>50270</v>
      </c>
      <c r="AD43" s="203">
        <f>15778-928-29</f>
        <v>14821</v>
      </c>
      <c r="AE43" s="203">
        <f>16932-1224-29</f>
        <v>15679</v>
      </c>
      <c r="AF43" s="203">
        <f>16502-1084-28</f>
        <v>15390</v>
      </c>
      <c r="AG43" s="203">
        <f>17358-1128-28</f>
        <v>16202</v>
      </c>
      <c r="AH43" s="123">
        <f>SUM(AD43:AG43)</f>
        <v>62092</v>
      </c>
      <c r="AI43" s="203">
        <f>17478-1362-28</f>
        <v>16088</v>
      </c>
      <c r="AJ43" s="124">
        <f>17912-1585-28</f>
        <v>16299</v>
      </c>
      <c r="AK43" s="203">
        <f>17818-1613</f>
        <v>16205</v>
      </c>
      <c r="AL43" s="203">
        <f>18793-1747</f>
        <v>17046</v>
      </c>
      <c r="AM43" s="123">
        <f>SUM(AI43:AL43)</f>
        <v>65638</v>
      </c>
      <c r="AN43" s="124">
        <f>21701-2249</f>
        <v>19452</v>
      </c>
      <c r="AO43" s="203">
        <f>23250-2749</f>
        <v>20501</v>
      </c>
      <c r="AP43" s="203">
        <f>25014-3017</f>
        <v>21997</v>
      </c>
      <c r="AQ43" s="203">
        <f>25627-3353</f>
        <v>22274</v>
      </c>
      <c r="AR43" s="123">
        <f>SUM(AN43:AQ43)</f>
        <v>84224</v>
      </c>
      <c r="AS43" s="124">
        <f>30160-4106</f>
        <v>26054</v>
      </c>
      <c r="AT43" s="203">
        <f>32231-5265-651</f>
        <v>26315</v>
      </c>
      <c r="AU43" s="203">
        <f>32969-5427</f>
        <v>27542</v>
      </c>
      <c r="AV43" s="203">
        <f>37053-5366</f>
        <v>31687</v>
      </c>
      <c r="AW43" s="123">
        <f>SUM(AS43:AV43)</f>
        <v>111598</v>
      </c>
      <c r="AX43" s="124">
        <f>44799-6771</f>
        <v>38028</v>
      </c>
      <c r="AY43" s="124">
        <f>46024-8208</f>
        <v>37816</v>
      </c>
      <c r="AZ43" s="203">
        <f>49712-8304</f>
        <v>41408</v>
      </c>
      <c r="BA43" s="203">
        <f>53394-11987</f>
        <v>41407</v>
      </c>
      <c r="BB43" s="123">
        <f>SUM(AX43:BA43)</f>
        <v>158659</v>
      </c>
      <c r="BC43" s="124">
        <f>64611-13424-46</f>
        <v>51141</v>
      </c>
      <c r="BD43" s="124">
        <f>64098-14963-23</f>
        <v>49112</v>
      </c>
      <c r="BE43" s="124">
        <f>67353-15761</f>
        <v>51592</v>
      </c>
      <c r="BF43" s="203">
        <f>65928-15152</f>
        <v>50776</v>
      </c>
      <c r="BG43" s="123">
        <f>SUM(BC43:BF43)</f>
        <v>202621</v>
      </c>
      <c r="BH43" s="124">
        <f>76314-17045-1</f>
        <v>59268</v>
      </c>
      <c r="BI43" s="203">
        <f>74077-17391</f>
        <v>56686</v>
      </c>
      <c r="BJ43" s="203">
        <f>73366-16404</f>
        <v>56962</v>
      </c>
      <c r="BK43" s="203">
        <f>72956-15389</f>
        <v>57567</v>
      </c>
      <c r="BL43" s="123">
        <f>SUM(BH43:BK43)</f>
        <v>230483</v>
      </c>
      <c r="BM43" s="124">
        <f>81109-14020</f>
        <v>67089</v>
      </c>
      <c r="BN43" s="203">
        <f>78332-13824</f>
        <v>64508</v>
      </c>
      <c r="BO43" s="203">
        <f>78615-12490-4424</f>
        <v>61701</v>
      </c>
      <c r="BP43" s="203">
        <f>73898-10880-2757</f>
        <v>60261</v>
      </c>
      <c r="BQ43" s="123">
        <f>SUM(BM43:BP43)</f>
        <v>253559</v>
      </c>
      <c r="BR43" s="124">
        <f>82855-11574</f>
        <v>71281</v>
      </c>
      <c r="BS43" s="203">
        <f>80668-13355-3319</f>
        <v>63994</v>
      </c>
      <c r="BT43" s="203">
        <f>71657-8401-182</f>
        <v>63074</v>
      </c>
      <c r="BU43" s="203">
        <f>76636-8879</f>
        <v>67757</v>
      </c>
      <c r="BV43" s="123">
        <f>SUM(BR43:BU43)</f>
        <v>266106</v>
      </c>
      <c r="BW43" s="124">
        <f>BW28*BW44</f>
        <v>71814.818159999995</v>
      </c>
      <c r="BX43" s="203">
        <f>BX28*BX44</f>
        <v>71986.86770100001</v>
      </c>
      <c r="BY43" s="203">
        <f>BY28*BY44</f>
        <v>72157.716736000002</v>
      </c>
      <c r="BZ43" s="203">
        <f>BZ28*BZ44</f>
        <v>75914.292419999998</v>
      </c>
      <c r="CA43" s="123">
        <f>SUM(BW43:BZ43)</f>
        <v>291873.69501700002</v>
      </c>
    </row>
    <row r="44" spans="1:79" s="635" customFormat="1" ht="12.4" customHeight="1">
      <c r="A44" s="609"/>
      <c r="B44" s="610"/>
      <c r="C44" s="611" t="s">
        <v>98</v>
      </c>
      <c r="D44" s="611">
        <f t="shared" ref="D44:BC44" si="24">D43/D28</f>
        <v>0.23550523293507455</v>
      </c>
      <c r="E44" s="613">
        <f t="shared" si="24"/>
        <v>0.22966097318656536</v>
      </c>
      <c r="F44" s="613">
        <f t="shared" si="24"/>
        <v>0.26570862433246567</v>
      </c>
      <c r="G44" s="613">
        <f t="shared" si="24"/>
        <v>0.26595411504454247</v>
      </c>
      <c r="H44" s="613">
        <f t="shared" si="24"/>
        <v>0.27939795724420075</v>
      </c>
      <c r="I44" s="612">
        <f t="shared" si="24"/>
        <v>0.26160126450191945</v>
      </c>
      <c r="J44" s="613">
        <f t="shared" si="24"/>
        <v>0.31608477943715518</v>
      </c>
      <c r="K44" s="613">
        <f t="shared" si="24"/>
        <v>0.34970342391171172</v>
      </c>
      <c r="L44" s="613">
        <f t="shared" si="24"/>
        <v>0.32155560160525937</v>
      </c>
      <c r="M44" s="613">
        <f t="shared" si="24"/>
        <v>0.31189260182039691</v>
      </c>
      <c r="N44" s="612">
        <f t="shared" si="24"/>
        <v>0.32438311225217514</v>
      </c>
      <c r="O44" s="613">
        <f t="shared" si="24"/>
        <v>0.35708989041773093</v>
      </c>
      <c r="P44" s="613">
        <f t="shared" si="24"/>
        <v>0.3758557828640875</v>
      </c>
      <c r="Q44" s="613">
        <f t="shared" si="24"/>
        <v>0.34427306815106884</v>
      </c>
      <c r="R44" s="613">
        <f t="shared" si="24"/>
        <v>0.31721723137865177</v>
      </c>
      <c r="S44" s="612">
        <f t="shared" si="24"/>
        <v>0.34743263952202674</v>
      </c>
      <c r="T44" s="613">
        <f t="shared" si="24"/>
        <v>0.30980379203276737</v>
      </c>
      <c r="U44" s="613">
        <f t="shared" si="24"/>
        <v>0.33388386073858756</v>
      </c>
      <c r="V44" s="613">
        <f t="shared" si="24"/>
        <v>0.31963328893982096</v>
      </c>
      <c r="W44" s="613">
        <f t="shared" si="24"/>
        <v>0.2864318818860489</v>
      </c>
      <c r="X44" s="612">
        <f t="shared" si="24"/>
        <v>0.3113883974299283</v>
      </c>
      <c r="Y44" s="619">
        <f t="shared" si="24"/>
        <v>0.32208338813626203</v>
      </c>
      <c r="Z44" s="619">
        <f t="shared" si="24"/>
        <v>0.31026590546726329</v>
      </c>
      <c r="AA44" s="619">
        <f t="shared" si="24"/>
        <v>0.29939973646966961</v>
      </c>
      <c r="AB44" s="619">
        <f t="shared" si="24"/>
        <v>0.30970208338046012</v>
      </c>
      <c r="AC44" s="633">
        <f t="shared" si="24"/>
        <v>0.31013634400641621</v>
      </c>
      <c r="AD44" s="618">
        <f t="shared" si="24"/>
        <v>0.31524652231250266</v>
      </c>
      <c r="AE44" s="619">
        <f t="shared" si="24"/>
        <v>0.32851425817671337</v>
      </c>
      <c r="AF44" s="634">
        <f t="shared" si="24"/>
        <v>0.30730217048381619</v>
      </c>
      <c r="AG44" s="634">
        <f t="shared" si="24"/>
        <v>0.29243903759724205</v>
      </c>
      <c r="AH44" s="612">
        <f t="shared" si="24"/>
        <v>0.31011112498439258</v>
      </c>
      <c r="AI44" s="610">
        <f t="shared" si="24"/>
        <v>0.27311773194126138</v>
      </c>
      <c r="AJ44" s="613">
        <f t="shared" si="24"/>
        <v>0.26667212041884819</v>
      </c>
      <c r="AK44" s="613">
        <f t="shared" si="24"/>
        <v>0.24814712728163665</v>
      </c>
      <c r="AL44" s="613">
        <f t="shared" si="24"/>
        <v>0.23565355636966889</v>
      </c>
      <c r="AM44" s="612">
        <f t="shared" si="24"/>
        <v>0.25474261053154496</v>
      </c>
      <c r="AN44" s="613">
        <f t="shared" si="24"/>
        <v>0.2609675601706512</v>
      </c>
      <c r="AO44" s="613">
        <f t="shared" si="24"/>
        <v>0.2647476625858774</v>
      </c>
      <c r="AP44" s="613">
        <f t="shared" si="24"/>
        <v>0.26259117334574844</v>
      </c>
      <c r="AQ44" s="613">
        <f t="shared" si="24"/>
        <v>0.241418553482978</v>
      </c>
      <c r="AR44" s="612">
        <f t="shared" si="24"/>
        <v>0.25677579068675571</v>
      </c>
      <c r="AS44" s="613">
        <f t="shared" si="24"/>
        <v>0.27399882214369847</v>
      </c>
      <c r="AT44" s="613">
        <f t="shared" si="24"/>
        <v>0.26369849286515951</v>
      </c>
      <c r="AU44" s="613">
        <f t="shared" si="24"/>
        <v>0.24559713936670144</v>
      </c>
      <c r="AV44" s="613">
        <f t="shared" si="24"/>
        <v>0.24777729991789499</v>
      </c>
      <c r="AW44" s="612">
        <f>AW43/AW28</f>
        <v>0.25660139615734823</v>
      </c>
      <c r="AX44" s="613">
        <f t="shared" si="24"/>
        <v>0.27580104727230531</v>
      </c>
      <c r="AY44" s="613">
        <f t="shared" si="24"/>
        <v>0.26300927793465106</v>
      </c>
      <c r="AZ44" s="613">
        <f t="shared" si="24"/>
        <v>0.26831164791871859</v>
      </c>
      <c r="BA44" s="613">
        <f t="shared" si="24"/>
        <v>0.23852095922211533</v>
      </c>
      <c r="BB44" s="612">
        <f>BB43/BB28</f>
        <v>0.26027123103851602</v>
      </c>
      <c r="BC44" s="613">
        <f t="shared" si="24"/>
        <v>0.27979997483271968</v>
      </c>
      <c r="BD44" s="613">
        <f t="shared" ref="BD44:BS44" si="25">BD43/BD28</f>
        <v>0.25932770801871352</v>
      </c>
      <c r="BE44" s="613">
        <f t="shared" si="25"/>
        <v>0.26011636466305676</v>
      </c>
      <c r="BF44" s="613">
        <f t="shared" si="25"/>
        <v>0.24371115217547817</v>
      </c>
      <c r="BG44" s="612">
        <f>BG43/BG28</f>
        <v>0.2601554094134142</v>
      </c>
      <c r="BH44" s="613">
        <f t="shared" si="25"/>
        <v>0.27132517544943896</v>
      </c>
      <c r="BI44" s="613">
        <f t="shared" si="25"/>
        <v>0.25433188862267925</v>
      </c>
      <c r="BJ44" s="613">
        <f t="shared" si="25"/>
        <v>0.24754785858629755</v>
      </c>
      <c r="BK44" s="613">
        <f t="shared" si="25"/>
        <v>0.24080364089650383</v>
      </c>
      <c r="BL44" s="612">
        <f>BL43/BL28</f>
        <v>0.25314227095799174</v>
      </c>
      <c r="BM44" s="613">
        <f t="shared" si="25"/>
        <v>0.27160438848629609</v>
      </c>
      <c r="BN44" s="613">
        <f t="shared" si="25"/>
        <v>0.25589679712479074</v>
      </c>
      <c r="BO44" s="613">
        <f t="shared" si="25"/>
        <v>0.23355489775987767</v>
      </c>
      <c r="BP44" s="613">
        <f t="shared" si="25"/>
        <v>0.21625278116701357</v>
      </c>
      <c r="BQ44" s="612">
        <f>BQ43/BQ28</f>
        <v>0.24335325134508964</v>
      </c>
      <c r="BR44" s="613">
        <f t="shared" si="25"/>
        <v>0.2548434958259595</v>
      </c>
      <c r="BS44" s="613">
        <f t="shared" si="25"/>
        <v>0.22591247189067634</v>
      </c>
      <c r="BT44" s="613">
        <f>BT43/BT28</f>
        <v>0.22066808474908337</v>
      </c>
      <c r="BU44" s="613">
        <f>BU43/BU28</f>
        <v>0.2256445607795339</v>
      </c>
      <c r="BV44" s="612">
        <f>BV43/BV28</f>
        <v>0.23158017488651869</v>
      </c>
      <c r="BW44" s="671">
        <v>0.24</v>
      </c>
      <c r="BX44" s="671">
        <v>0.23499999999999999</v>
      </c>
      <c r="BY44" s="674">
        <v>0.23</v>
      </c>
      <c r="BZ44" s="674">
        <v>0.22500000000000001</v>
      </c>
      <c r="CA44" s="612">
        <f>CA43/CA28</f>
        <v>0.23225748143226521</v>
      </c>
    </row>
    <row r="45" spans="1:79" s="582" customFormat="1" ht="18" customHeight="1">
      <c r="A45" s="570"/>
      <c r="B45" s="571"/>
      <c r="C45" s="169" t="s">
        <v>19</v>
      </c>
      <c r="D45" s="100">
        <v>6737</v>
      </c>
      <c r="E45" s="96">
        <v>2364</v>
      </c>
      <c r="F45" s="96">
        <v>2543</v>
      </c>
      <c r="G45" s="96">
        <v>2949</v>
      </c>
      <c r="H45" s="96">
        <v>3552</v>
      </c>
      <c r="I45" s="95">
        <f>SUM(E45:H45)</f>
        <v>11408</v>
      </c>
      <c r="J45" s="96">
        <f>3825-74</f>
        <v>3751</v>
      </c>
      <c r="K45" s="96">
        <f>4052-77</f>
        <v>3975</v>
      </c>
      <c r="L45" s="96">
        <f>4223-89</f>
        <v>4134</v>
      </c>
      <c r="M45" s="96">
        <f>5953-10-265</f>
        <v>5678</v>
      </c>
      <c r="N45" s="95">
        <f>SUM(J45:M45)</f>
        <v>17538</v>
      </c>
      <c r="O45" s="96">
        <f>6171-433-12</f>
        <v>5726</v>
      </c>
      <c r="P45" s="96">
        <f>3515-12-763</f>
        <v>2740</v>
      </c>
      <c r="Q45" s="96">
        <f>7967-11-775</f>
        <v>7181</v>
      </c>
      <c r="R45" s="96">
        <f>6763-799-12</f>
        <v>5952</v>
      </c>
      <c r="S45" s="95">
        <f>SUM(O45:R45)</f>
        <v>21599</v>
      </c>
      <c r="T45" s="96">
        <f>7275-949-12</f>
        <v>6314</v>
      </c>
      <c r="U45" s="96">
        <f>6027-814-12</f>
        <v>5201</v>
      </c>
      <c r="V45" s="96">
        <f>6087-789-11</f>
        <v>5287</v>
      </c>
      <c r="W45" s="96">
        <f>6433-722-12</f>
        <v>5699</v>
      </c>
      <c r="X45" s="95">
        <f>SUM(T45:W45)</f>
        <v>22501</v>
      </c>
      <c r="Y45" s="124">
        <f>6536-860-12</f>
        <v>5664</v>
      </c>
      <c r="Z45" s="203">
        <f>5882-1013-12</f>
        <v>4857</v>
      </c>
      <c r="AA45" s="203">
        <f>6143-989-12</f>
        <v>5142</v>
      </c>
      <c r="AB45" s="203">
        <f>6511-984</f>
        <v>5527</v>
      </c>
      <c r="AC45" s="123">
        <f>SUM(Y45:AB45)</f>
        <v>21190</v>
      </c>
      <c r="AD45" s="203">
        <f>8860-1130-1700-135</f>
        <v>5895</v>
      </c>
      <c r="AE45" s="203">
        <f>6845-1254</f>
        <v>5591</v>
      </c>
      <c r="AF45" s="203">
        <f>4679-1240+2133</f>
        <v>5572</v>
      </c>
      <c r="AG45" s="203">
        <f>8767-2111</f>
        <v>6656</v>
      </c>
      <c r="AH45" s="95">
        <f>SUM(AD45:AG45)</f>
        <v>23714</v>
      </c>
      <c r="AI45" s="203">
        <f>9103-2408</f>
        <v>6695</v>
      </c>
      <c r="AJ45" s="124">
        <f>9833-3295-241</f>
        <v>6297</v>
      </c>
      <c r="AK45" s="203">
        <f>10746-4044-258-117+88</f>
        <v>6415</v>
      </c>
      <c r="AL45" s="203">
        <f>10766-3794-93-93+88</f>
        <v>6874</v>
      </c>
      <c r="AM45" s="95">
        <f>SUM(AI45:AL45)</f>
        <v>26281</v>
      </c>
      <c r="AN45" s="124">
        <f>11762-3738-292</f>
        <v>7732</v>
      </c>
      <c r="AO45" s="203">
        <f>12042-4122-420-64</f>
        <v>7436</v>
      </c>
      <c r="AP45" s="203">
        <f>12146-4334</f>
        <v>7812</v>
      </c>
      <c r="AQ45" s="203">
        <f>13496-4511-338</f>
        <v>8647</v>
      </c>
      <c r="AR45" s="95">
        <f>SUM(AN45:AQ45)</f>
        <v>31627</v>
      </c>
      <c r="AS45" s="124">
        <f>14658-4893-329</f>
        <v>9436</v>
      </c>
      <c r="AT45" s="203">
        <f>16129-5343-1637-221</f>
        <v>8928</v>
      </c>
      <c r="AU45" s="203">
        <f>16724-5380-2030</f>
        <v>9314</v>
      </c>
      <c r="AV45" s="203">
        <f>18258-5504-2339</f>
        <v>10415</v>
      </c>
      <c r="AW45" s="95">
        <f>SUM(AS45:AV45)</f>
        <v>38093</v>
      </c>
      <c r="AX45" s="124">
        <f>22245-6269-1064-2500</f>
        <v>12412</v>
      </c>
      <c r="AY45" s="124">
        <f>22909-6760-973-2700</f>
        <v>12476</v>
      </c>
      <c r="AZ45" s="203">
        <f>26790-5996-60-9158</f>
        <v>11576</v>
      </c>
      <c r="BA45" s="203">
        <f>21972-7597-2351-380</f>
        <v>11644</v>
      </c>
      <c r="BB45" s="95">
        <f>SUM(AX45:BA45)</f>
        <v>48108</v>
      </c>
      <c r="BC45" s="124">
        <f>24314-8032-888-218-260-105</f>
        <v>14811</v>
      </c>
      <c r="BD45" s="124">
        <f>23824-9467-304-152-335</f>
        <v>13566</v>
      </c>
      <c r="BE45" s="124">
        <f>24496-9810-103-121</f>
        <v>14462</v>
      </c>
      <c r="BF45" s="203">
        <f>22509-8235-70-141</f>
        <v>14063</v>
      </c>
      <c r="BG45" s="95">
        <f>SUM(BC45:BF45)</f>
        <v>56902</v>
      </c>
      <c r="BH45" s="124">
        <f>28258-11983-1455+34-596+23</f>
        <v>14281</v>
      </c>
      <c r="BI45" s="203">
        <f>30477-13075-877-815+51</f>
        <v>15761</v>
      </c>
      <c r="BJ45" s="203">
        <f>31006-13371-268-659</f>
        <v>16708</v>
      </c>
      <c r="BK45" s="203">
        <f>33338-12945-3595-34</f>
        <v>16764</v>
      </c>
      <c r="BL45" s="95">
        <f>SUM(BH45:BK45)</f>
        <v>63514</v>
      </c>
      <c r="BM45" s="124">
        <f>30548-12131-556</f>
        <v>17861</v>
      </c>
      <c r="BN45" s="203">
        <f>33988-12192-3529-32</f>
        <v>18235</v>
      </c>
      <c r="BO45" s="203">
        <f>36575-1144-3-3980-11310</f>
        <v>20138</v>
      </c>
      <c r="BP45" s="203">
        <f>36439-12383</f>
        <v>24056</v>
      </c>
      <c r="BQ45" s="95">
        <f>SUM(BM45:BP45)</f>
        <v>80290</v>
      </c>
      <c r="BR45" s="124">
        <f>35205-11797-1265-141-982</f>
        <v>21020</v>
      </c>
      <c r="BS45" s="203">
        <f>36385-12379-746-952-95-974-368</f>
        <v>20871</v>
      </c>
      <c r="BT45" s="203">
        <f>34362-11190-448-196-1851-392</f>
        <v>20285</v>
      </c>
      <c r="BU45" s="203">
        <f>33902-10893-613-1728-873</f>
        <v>19795</v>
      </c>
      <c r="BV45" s="95">
        <f>SUM(BR45:BU45)</f>
        <v>81971</v>
      </c>
      <c r="BW45" s="124">
        <f>BW28*BW46</f>
        <v>21544.445447999999</v>
      </c>
      <c r="BX45" s="203">
        <f>BX28*BX46</f>
        <v>21442.896762000004</v>
      </c>
      <c r="BY45" s="203">
        <f>BY28*BY46</f>
        <v>20392.398207999999</v>
      </c>
      <c r="BZ45" s="203">
        <f>BZ28*BZ46</f>
        <v>20243.811311999998</v>
      </c>
      <c r="CA45" s="95">
        <f>SUM(BW45:BZ45)</f>
        <v>83623.551730000007</v>
      </c>
    </row>
    <row r="46" spans="1:79" s="635" customFormat="1" ht="12.4" customHeight="1">
      <c r="A46" s="609"/>
      <c r="B46" s="610"/>
      <c r="C46" s="611" t="s">
        <v>98</v>
      </c>
      <c r="D46" s="611">
        <f t="shared" ref="D46:BC46" si="26">D45/D28</f>
        <v>0.15599240529776789</v>
      </c>
      <c r="E46" s="613">
        <f t="shared" si="26"/>
        <v>0.16507100657131057</v>
      </c>
      <c r="F46" s="613">
        <f t="shared" si="26"/>
        <v>0.16922039360817936</v>
      </c>
      <c r="G46" s="613">
        <f t="shared" si="26"/>
        <v>0.18201408337580777</v>
      </c>
      <c r="H46" s="613">
        <f t="shared" si="26"/>
        <v>0.19440186956540667</v>
      </c>
      <c r="I46" s="612">
        <f t="shared" si="26"/>
        <v>0.17874624014362103</v>
      </c>
      <c r="J46" s="613">
        <f t="shared" si="26"/>
        <v>0.19623204363931962</v>
      </c>
      <c r="K46" s="613">
        <f t="shared" si="26"/>
        <v>0.19597788101636177</v>
      </c>
      <c r="L46" s="613">
        <f t="shared" si="26"/>
        <v>0.1960057294361755</v>
      </c>
      <c r="M46" s="613">
        <f t="shared" si="26"/>
        <v>0.24015814932685295</v>
      </c>
      <c r="N46" s="612">
        <f t="shared" si="26"/>
        <v>0.20845813721295109</v>
      </c>
      <c r="O46" s="613">
        <f t="shared" si="26"/>
        <v>0.23589025294553845</v>
      </c>
      <c r="P46" s="613">
        <f t="shared" si="26"/>
        <v>0.11099858213489974</v>
      </c>
      <c r="Q46" s="613">
        <f t="shared" si="26"/>
        <v>0.27759093896169162</v>
      </c>
      <c r="R46" s="613">
        <f t="shared" si="26"/>
        <v>0.21051142392303884</v>
      </c>
      <c r="S46" s="612">
        <f t="shared" si="26"/>
        <v>0.20949157145351205</v>
      </c>
      <c r="T46" s="613">
        <f t="shared" si="26"/>
        <v>0.20856180220651385</v>
      </c>
      <c r="U46" s="613">
        <f t="shared" si="26"/>
        <v>0.17179758208363613</v>
      </c>
      <c r="V46" s="613">
        <f t="shared" si="26"/>
        <v>0.16375011614581719</v>
      </c>
      <c r="W46" s="613">
        <f t="shared" si="26"/>
        <v>0.15816057502844616</v>
      </c>
      <c r="X46" s="612">
        <f t="shared" si="26"/>
        <v>0.174605022193252</v>
      </c>
      <c r="Y46" s="619">
        <f t="shared" si="26"/>
        <v>0.14899381822964619</v>
      </c>
      <c r="Z46" s="619">
        <f t="shared" si="26"/>
        <v>0.12490356426477396</v>
      </c>
      <c r="AA46" s="619">
        <f t="shared" si="26"/>
        <v>0.12546971841296178</v>
      </c>
      <c r="AB46" s="619">
        <f t="shared" si="26"/>
        <v>0.12502544845838895</v>
      </c>
      <c r="AC46" s="633">
        <f t="shared" si="26"/>
        <v>0.13072984144611019</v>
      </c>
      <c r="AD46" s="618">
        <f t="shared" si="26"/>
        <v>0.12538818224358703</v>
      </c>
      <c r="AE46" s="619">
        <f t="shared" si="26"/>
        <v>0.11714543130722652</v>
      </c>
      <c r="AF46" s="634">
        <f t="shared" si="26"/>
        <v>0.11125975919011202</v>
      </c>
      <c r="AG46" s="634">
        <f t="shared" si="26"/>
        <v>0.12013789866974713</v>
      </c>
      <c r="AH46" s="612">
        <f t="shared" si="26"/>
        <v>0.11843675864652266</v>
      </c>
      <c r="AI46" s="610">
        <f t="shared" si="26"/>
        <v>0.11365758424581954</v>
      </c>
      <c r="AJ46" s="613">
        <f t="shared" si="26"/>
        <v>0.10302683246073298</v>
      </c>
      <c r="AK46" s="613">
        <f t="shared" si="26"/>
        <v>9.823288006860223E-2</v>
      </c>
      <c r="AL46" s="613">
        <f t="shared" si="26"/>
        <v>9.5030068431602957E-2</v>
      </c>
      <c r="AM46" s="612">
        <f t="shared" si="26"/>
        <v>0.10199717461500249</v>
      </c>
      <c r="AN46" s="613">
        <f t="shared" si="26"/>
        <v>0.10373232445195739</v>
      </c>
      <c r="AO46" s="613">
        <f t="shared" si="26"/>
        <v>9.6027687380546511E-2</v>
      </c>
      <c r="AP46" s="613">
        <f t="shared" si="26"/>
        <v>9.3256455251942844E-2</v>
      </c>
      <c r="AQ46" s="613">
        <f t="shared" si="26"/>
        <v>9.3721210019184292E-2</v>
      </c>
      <c r="AR46" s="612">
        <f t="shared" si="26"/>
        <v>9.6422016670426755E-2</v>
      </c>
      <c r="AS46" s="613">
        <f t="shared" si="26"/>
        <v>9.9234393404004709E-2</v>
      </c>
      <c r="AT46" s="613">
        <f t="shared" si="26"/>
        <v>8.9466089466089471E-2</v>
      </c>
      <c r="AU46" s="613">
        <f t="shared" si="26"/>
        <v>8.3054671267934685E-2</v>
      </c>
      <c r="AV46" s="613">
        <f t="shared" si="26"/>
        <v>8.1440356570356184E-2</v>
      </c>
      <c r="AW46" s="612">
        <f>AW45/AW28</f>
        <v>8.7588639436386548E-2</v>
      </c>
      <c r="AX46" s="613">
        <f t="shared" si="26"/>
        <v>9.0019001755123951E-2</v>
      </c>
      <c r="AY46" s="613">
        <f t="shared" si="26"/>
        <v>8.6770249405349761E-2</v>
      </c>
      <c r="AZ46" s="613">
        <f t="shared" si="26"/>
        <v>7.5009071587787052E-2</v>
      </c>
      <c r="BA46" s="613">
        <f t="shared" si="26"/>
        <v>6.7074119090547751E-2</v>
      </c>
      <c r="BB46" s="612">
        <f>BB45/BB28</f>
        <v>7.8918487969802706E-2</v>
      </c>
      <c r="BC46" s="613">
        <f t="shared" si="26"/>
        <v>8.1033171569727044E-2</v>
      </c>
      <c r="BD46" s="613">
        <f t="shared" ref="BD46:BS46" si="27">BD45/BD28</f>
        <v>7.16329957440517E-2</v>
      </c>
      <c r="BE46" s="613">
        <f t="shared" si="27"/>
        <v>7.2914460880701013E-2</v>
      </c>
      <c r="BF46" s="613">
        <f t="shared" si="27"/>
        <v>6.7498620077275667E-2</v>
      </c>
      <c r="BG46" s="612">
        <f>BG45/BG28</f>
        <v>7.3059372456172333E-2</v>
      </c>
      <c r="BH46" s="613">
        <f t="shared" si="27"/>
        <v>6.5377519582125898E-2</v>
      </c>
      <c r="BI46" s="613">
        <f t="shared" si="27"/>
        <v>7.071454850548721E-2</v>
      </c>
      <c r="BJ46" s="613">
        <f t="shared" si="27"/>
        <v>7.2610330066708681E-2</v>
      </c>
      <c r="BK46" s="613">
        <f t="shared" si="27"/>
        <v>7.0124068233345327E-2</v>
      </c>
      <c r="BL46" s="612">
        <f>BL45/BL28</f>
        <v>6.9758195604994244E-2</v>
      </c>
      <c r="BM46" s="613">
        <f t="shared" si="27"/>
        <v>7.2308813408364037E-2</v>
      </c>
      <c r="BN46" s="613">
        <f t="shared" si="27"/>
        <v>7.2336424870877394E-2</v>
      </c>
      <c r="BO46" s="613">
        <f t="shared" si="27"/>
        <v>7.6227752080005456E-2</v>
      </c>
      <c r="BP46" s="613">
        <f t="shared" si="27"/>
        <v>8.6327424101055053E-2</v>
      </c>
      <c r="BQ46" s="612">
        <f>BQ45/BQ28</f>
        <v>7.7058327846762475E-2</v>
      </c>
      <c r="BR46" s="613">
        <f t="shared" si="27"/>
        <v>7.5150605101803686E-2</v>
      </c>
      <c r="BS46" s="613">
        <f t="shared" si="27"/>
        <v>7.3679082426951065E-2</v>
      </c>
      <c r="BT46" s="613">
        <f>BT45/BT28</f>
        <v>7.0968261076436515E-2</v>
      </c>
      <c r="BU46" s="613">
        <f>BU45/BU28</f>
        <v>6.5921367248120102E-2</v>
      </c>
      <c r="BV46" s="612">
        <f>BV45/BV28</f>
        <v>7.133570274861456E-2</v>
      </c>
      <c r="BW46" s="671">
        <v>7.1999999999999995E-2</v>
      </c>
      <c r="BX46" s="671">
        <v>7.0000000000000007E-2</v>
      </c>
      <c r="BY46" s="671">
        <v>6.5000000000000002E-2</v>
      </c>
      <c r="BZ46" s="671">
        <v>0.06</v>
      </c>
      <c r="CA46" s="612">
        <f>CA45/CA28</f>
        <v>6.6543151523467403E-2</v>
      </c>
    </row>
    <row r="47" spans="1:79" s="53" customFormat="1" ht="18" customHeight="1">
      <c r="A47" s="105"/>
      <c r="B47" s="112" t="s">
        <v>97</v>
      </c>
      <c r="C47" s="169"/>
      <c r="D47" s="100">
        <f>D45+D43+D41</f>
        <v>25596</v>
      </c>
      <c r="E47" s="96">
        <f>E45+E43+E41</f>
        <v>8499</v>
      </c>
      <c r="F47" s="96">
        <f>F45+F43+F41</f>
        <v>9538</v>
      </c>
      <c r="G47" s="96">
        <f>G45+G43+G41</f>
        <v>10697</v>
      </c>
      <c r="H47" s="96">
        <f>H45+H43+H41</f>
        <v>12432</v>
      </c>
      <c r="I47" s="95">
        <f>SUM(E47:H47)</f>
        <v>41166</v>
      </c>
      <c r="J47" s="96">
        <f>J45+J43+J41</f>
        <v>13894</v>
      </c>
      <c r="K47" s="96">
        <f>K45+K43+K41</f>
        <v>15125</v>
      </c>
      <c r="L47" s="96">
        <f>L45+L43+L41</f>
        <v>15199</v>
      </c>
      <c r="M47" s="96">
        <f>M45+M43+M41</f>
        <v>17641</v>
      </c>
      <c r="N47" s="123">
        <f t="shared" ref="N47:W47" si="28">N41+N43+N45</f>
        <v>61859</v>
      </c>
      <c r="O47" s="96">
        <f t="shared" si="28"/>
        <v>19269</v>
      </c>
      <c r="P47" s="96">
        <f t="shared" si="28"/>
        <v>17101</v>
      </c>
      <c r="Q47" s="96">
        <f t="shared" si="28"/>
        <v>21007</v>
      </c>
      <c r="R47" s="96">
        <f t="shared" si="28"/>
        <v>20222</v>
      </c>
      <c r="S47" s="95">
        <f t="shared" si="28"/>
        <v>77599</v>
      </c>
      <c r="T47" s="96">
        <f t="shared" si="28"/>
        <v>21157</v>
      </c>
      <c r="U47" s="96">
        <f t="shared" si="28"/>
        <v>20537</v>
      </c>
      <c r="V47" s="96">
        <f t="shared" si="28"/>
        <v>20605</v>
      </c>
      <c r="W47" s="96">
        <f t="shared" si="28"/>
        <v>21199</v>
      </c>
      <c r="X47" s="95">
        <f t="shared" ref="X47:AH47" si="29">X41+X43+X45</f>
        <v>83498</v>
      </c>
      <c r="Y47" s="96">
        <f t="shared" si="29"/>
        <v>23275</v>
      </c>
      <c r="Z47" s="96">
        <f t="shared" si="29"/>
        <v>22193</v>
      </c>
      <c r="AA47" s="96">
        <f t="shared" si="29"/>
        <v>22906</v>
      </c>
      <c r="AB47" s="96">
        <f t="shared" si="29"/>
        <v>24905</v>
      </c>
      <c r="AC47" s="95">
        <f t="shared" si="29"/>
        <v>93279</v>
      </c>
      <c r="AD47" s="202">
        <f t="shared" si="29"/>
        <v>26926</v>
      </c>
      <c r="AE47" s="202">
        <f t="shared" si="29"/>
        <v>27305</v>
      </c>
      <c r="AF47" s="202">
        <f t="shared" si="29"/>
        <v>26854</v>
      </c>
      <c r="AG47" s="202">
        <f t="shared" si="29"/>
        <v>28799</v>
      </c>
      <c r="AH47" s="95">
        <f t="shared" si="29"/>
        <v>109884</v>
      </c>
      <c r="AI47" s="202">
        <f t="shared" ref="AI47:CA47" si="30">AI41+AI43+AI45</f>
        <v>29678</v>
      </c>
      <c r="AJ47" s="96">
        <f t="shared" si="30"/>
        <v>29899</v>
      </c>
      <c r="AK47" s="96">
        <f t="shared" si="30"/>
        <v>29850</v>
      </c>
      <c r="AL47" s="202">
        <f t="shared" si="30"/>
        <v>31361</v>
      </c>
      <c r="AM47" s="95">
        <f t="shared" si="30"/>
        <v>120788</v>
      </c>
      <c r="AN47" s="96">
        <f t="shared" si="30"/>
        <v>36260</v>
      </c>
      <c r="AO47" s="202">
        <f t="shared" si="30"/>
        <v>36841</v>
      </c>
      <c r="AP47" s="202">
        <f t="shared" si="30"/>
        <v>39452</v>
      </c>
      <c r="AQ47" s="202">
        <f t="shared" si="30"/>
        <v>40830</v>
      </c>
      <c r="AR47" s="95">
        <f t="shared" si="30"/>
        <v>153383</v>
      </c>
      <c r="AS47" s="96">
        <f t="shared" si="30"/>
        <v>47873</v>
      </c>
      <c r="AT47" s="202">
        <f t="shared" si="30"/>
        <v>48440</v>
      </c>
      <c r="AU47" s="202">
        <f t="shared" si="30"/>
        <v>50654</v>
      </c>
      <c r="AV47" s="202">
        <f t="shared" si="30"/>
        <v>57103</v>
      </c>
      <c r="AW47" s="95">
        <f t="shared" si="30"/>
        <v>204070</v>
      </c>
      <c r="AX47" s="96">
        <f t="shared" si="30"/>
        <v>67798</v>
      </c>
      <c r="AY47" s="96">
        <f t="shared" si="30"/>
        <v>68788</v>
      </c>
      <c r="AZ47" s="202">
        <f t="shared" si="30"/>
        <v>73563</v>
      </c>
      <c r="BA47" s="202">
        <f t="shared" si="30"/>
        <v>74336</v>
      </c>
      <c r="BB47" s="95">
        <f t="shared" si="30"/>
        <v>284485</v>
      </c>
      <c r="BC47" s="96">
        <f t="shared" si="30"/>
        <v>88346</v>
      </c>
      <c r="BD47" s="96">
        <f t="shared" si="30"/>
        <v>84152</v>
      </c>
      <c r="BE47" s="96">
        <f t="shared" si="30"/>
        <v>87353</v>
      </c>
      <c r="BF47" s="202">
        <f t="shared" si="30"/>
        <v>85841</v>
      </c>
      <c r="BG47" s="95">
        <f t="shared" si="30"/>
        <v>345692</v>
      </c>
      <c r="BH47" s="96">
        <f t="shared" si="30"/>
        <v>99275</v>
      </c>
      <c r="BI47" s="202">
        <f t="shared" si="30"/>
        <v>98644</v>
      </c>
      <c r="BJ47" s="202">
        <f t="shared" si="30"/>
        <v>101081</v>
      </c>
      <c r="BK47" s="202">
        <f t="shared" si="30"/>
        <v>100940</v>
      </c>
      <c r="BL47" s="95">
        <f t="shared" si="30"/>
        <v>399940</v>
      </c>
      <c r="BM47" s="96">
        <f t="shared" si="30"/>
        <v>115215</v>
      </c>
      <c r="BN47" s="202">
        <f t="shared" si="30"/>
        <v>113145</v>
      </c>
      <c r="BO47" s="202">
        <f t="shared" si="30"/>
        <v>113705</v>
      </c>
      <c r="BP47" s="202">
        <f t="shared" si="30"/>
        <v>117538</v>
      </c>
      <c r="BQ47" s="95">
        <f t="shared" si="30"/>
        <v>459603</v>
      </c>
      <c r="BR47" s="96">
        <f t="shared" si="30"/>
        <v>124711</v>
      </c>
      <c r="BS47" s="202">
        <f t="shared" si="30"/>
        <v>113275</v>
      </c>
      <c r="BT47" s="202">
        <f t="shared" si="30"/>
        <v>110486</v>
      </c>
      <c r="BU47" s="202">
        <f t="shared" si="30"/>
        <v>114769</v>
      </c>
      <c r="BV47" s="95">
        <f t="shared" si="30"/>
        <v>463241</v>
      </c>
      <c r="BW47" s="96">
        <f t="shared" si="30"/>
        <v>126274.38859799999</v>
      </c>
      <c r="BX47" s="202">
        <f t="shared" si="30"/>
        <v>125594.10960600001</v>
      </c>
      <c r="BY47" s="202">
        <f t="shared" si="30"/>
        <v>125491.68127999999</v>
      </c>
      <c r="BZ47" s="202">
        <f t="shared" si="30"/>
        <v>128885.59868639999</v>
      </c>
      <c r="CA47" s="95">
        <f t="shared" si="30"/>
        <v>506245.77817040001</v>
      </c>
    </row>
    <row r="48" spans="1:79" s="53" customFormat="1" ht="7.7" customHeight="1">
      <c r="A48" s="105"/>
      <c r="B48" s="112"/>
      <c r="C48" s="169"/>
      <c r="D48" s="169"/>
      <c r="E48" s="105"/>
      <c r="F48" s="105"/>
      <c r="G48" s="105"/>
      <c r="H48" s="105"/>
      <c r="I48" s="158"/>
      <c r="J48" s="105"/>
      <c r="K48" s="105"/>
      <c r="L48" s="105"/>
      <c r="M48" s="124"/>
      <c r="N48" s="123"/>
      <c r="O48" s="124"/>
      <c r="P48" s="124"/>
      <c r="Q48" s="124"/>
      <c r="R48" s="124"/>
      <c r="S48" s="142"/>
      <c r="T48" s="124"/>
      <c r="U48" s="124"/>
      <c r="V48" s="124"/>
      <c r="W48" s="124"/>
      <c r="X48" s="142"/>
      <c r="Y48" s="122"/>
      <c r="Z48" s="122"/>
      <c r="AA48" s="105"/>
      <c r="AB48" s="105"/>
      <c r="AC48" s="120"/>
      <c r="AD48" s="209"/>
      <c r="AE48" s="209"/>
      <c r="AF48" s="209"/>
      <c r="AG48" s="209"/>
      <c r="AH48" s="120"/>
      <c r="AI48" s="209"/>
      <c r="AJ48" s="121"/>
      <c r="AK48" s="209"/>
      <c r="AL48" s="209"/>
      <c r="AM48" s="120"/>
      <c r="AN48" s="121"/>
      <c r="AO48" s="209"/>
      <c r="AP48" s="209"/>
      <c r="AQ48" s="209"/>
      <c r="AR48" s="120"/>
      <c r="AS48" s="121"/>
      <c r="AT48" s="209"/>
      <c r="AU48" s="209"/>
      <c r="AV48" s="209"/>
      <c r="AW48" s="120"/>
      <c r="AX48" s="121"/>
      <c r="AY48" s="121"/>
      <c r="AZ48" s="209"/>
      <c r="BA48" s="209"/>
      <c r="BB48" s="120"/>
      <c r="BC48" s="121"/>
      <c r="BD48" s="121"/>
      <c r="BE48" s="209"/>
      <c r="BF48" s="209"/>
      <c r="BG48" s="120"/>
      <c r="BH48" s="121"/>
      <c r="BI48" s="209"/>
      <c r="BJ48" s="209"/>
      <c r="BK48" s="209"/>
      <c r="BL48" s="120"/>
      <c r="BM48" s="121"/>
      <c r="BN48" s="209"/>
      <c r="BO48" s="209"/>
      <c r="BP48" s="209"/>
      <c r="BQ48" s="120"/>
      <c r="BR48" s="121"/>
      <c r="BS48" s="209"/>
      <c r="BT48" s="209"/>
      <c r="BU48" s="209"/>
      <c r="BV48" s="120"/>
      <c r="BW48" s="121"/>
      <c r="BX48" s="209"/>
      <c r="BY48" s="209"/>
      <c r="BZ48" s="209"/>
      <c r="CA48" s="120"/>
    </row>
    <row r="49" spans="1:79" s="116" customFormat="1" ht="14.1" customHeight="1">
      <c r="A49" s="146"/>
      <c r="B49" s="138" t="s">
        <v>96</v>
      </c>
      <c r="C49" s="173"/>
      <c r="D49" s="661">
        <f t="shared" ref="D49:N49" si="31">D37-D47</f>
        <v>-6954</v>
      </c>
      <c r="E49" s="393">
        <f t="shared" si="31"/>
        <v>-3136.8902600000001</v>
      </c>
      <c r="F49" s="393">
        <f t="shared" si="31"/>
        <v>-3734.2604600000013</v>
      </c>
      <c r="G49" s="393">
        <f t="shared" si="31"/>
        <v>-4381.9570300000014</v>
      </c>
      <c r="H49" s="393">
        <f t="shared" si="31"/>
        <v>-5336.5707800000018</v>
      </c>
      <c r="I49" s="662">
        <f t="shared" si="31"/>
        <v>-16589.678530000005</v>
      </c>
      <c r="J49" s="393">
        <f t="shared" si="31"/>
        <v>-6427.8752199999981</v>
      </c>
      <c r="K49" s="393">
        <f t="shared" si="31"/>
        <v>-7013.09879</v>
      </c>
      <c r="L49" s="393">
        <f t="shared" si="31"/>
        <v>-6321.7797999999966</v>
      </c>
      <c r="M49" s="393">
        <f t="shared" si="31"/>
        <v>-6505.2461900000053</v>
      </c>
      <c r="N49" s="662">
        <f t="shared" si="31"/>
        <v>-26268</v>
      </c>
      <c r="O49" s="393">
        <f t="shared" ref="O49:AH49" si="32">O37-O47</f>
        <v>-7968</v>
      </c>
      <c r="P49" s="393">
        <f t="shared" si="32"/>
        <v>-5676</v>
      </c>
      <c r="Q49" s="393">
        <f t="shared" si="32"/>
        <v>-8396</v>
      </c>
      <c r="R49" s="393">
        <f t="shared" si="32"/>
        <v>-6225</v>
      </c>
      <c r="S49" s="662">
        <f t="shared" si="32"/>
        <v>-28265</v>
      </c>
      <c r="T49" s="393">
        <f t="shared" si="32"/>
        <v>-5385</v>
      </c>
      <c r="U49" s="393">
        <f t="shared" si="32"/>
        <v>-4227</v>
      </c>
      <c r="V49" s="393">
        <f t="shared" si="32"/>
        <v>-2809</v>
      </c>
      <c r="W49" s="393">
        <f t="shared" si="32"/>
        <v>-487</v>
      </c>
      <c r="X49" s="662">
        <f t="shared" si="32"/>
        <v>-12908</v>
      </c>
      <c r="Y49" s="393">
        <f t="shared" si="32"/>
        <v>-1517</v>
      </c>
      <c r="Z49" s="393">
        <f t="shared" si="32"/>
        <v>346</v>
      </c>
      <c r="AA49" s="663">
        <f t="shared" si="32"/>
        <v>731</v>
      </c>
      <c r="AB49" s="663">
        <f t="shared" si="32"/>
        <v>929</v>
      </c>
      <c r="AC49" s="662">
        <f t="shared" si="32"/>
        <v>489</v>
      </c>
      <c r="AD49" s="664">
        <f t="shared" si="32"/>
        <v>639</v>
      </c>
      <c r="AE49" s="664">
        <f t="shared" si="32"/>
        <v>812</v>
      </c>
      <c r="AF49" s="664">
        <f t="shared" si="32"/>
        <v>3416</v>
      </c>
      <c r="AG49" s="664">
        <f t="shared" si="32"/>
        <v>4923</v>
      </c>
      <c r="AH49" s="662">
        <f t="shared" si="32"/>
        <v>9790</v>
      </c>
      <c r="AI49" s="664">
        <f t="shared" ref="AI49:CA49" si="33">AI37-AI47</f>
        <v>5291</v>
      </c>
      <c r="AJ49" s="393">
        <f t="shared" si="33"/>
        <v>7348</v>
      </c>
      <c r="AK49" s="664">
        <f t="shared" si="33"/>
        <v>10223</v>
      </c>
      <c r="AL49" s="664">
        <f t="shared" si="33"/>
        <v>13665</v>
      </c>
      <c r="AM49" s="662">
        <f t="shared" si="33"/>
        <v>36527</v>
      </c>
      <c r="AN49" s="393">
        <f t="shared" si="33"/>
        <v>8744</v>
      </c>
      <c r="AO49" s="664">
        <f t="shared" si="33"/>
        <v>11093</v>
      </c>
      <c r="AP49" s="664">
        <f t="shared" si="33"/>
        <v>11635</v>
      </c>
      <c r="AQ49" s="664">
        <f t="shared" si="33"/>
        <v>15856</v>
      </c>
      <c r="AR49" s="662">
        <f t="shared" si="33"/>
        <v>47328</v>
      </c>
      <c r="AS49" s="393">
        <f t="shared" si="33"/>
        <v>10257</v>
      </c>
      <c r="AT49" s="664">
        <f t="shared" si="33"/>
        <v>13754</v>
      </c>
      <c r="AU49" s="664">
        <f t="shared" si="33"/>
        <v>19269</v>
      </c>
      <c r="AV49" s="664">
        <f t="shared" si="33"/>
        <v>24163</v>
      </c>
      <c r="AW49" s="662">
        <f t="shared" si="33"/>
        <v>67443</v>
      </c>
      <c r="AX49" s="393">
        <f t="shared" si="33"/>
        <v>16363</v>
      </c>
      <c r="AY49" s="393">
        <f t="shared" si="33"/>
        <v>17327</v>
      </c>
      <c r="AZ49" s="664">
        <f t="shared" si="33"/>
        <v>20569</v>
      </c>
      <c r="BA49" s="664">
        <f t="shared" si="33"/>
        <v>29300</v>
      </c>
      <c r="BB49" s="662">
        <f t="shared" si="33"/>
        <v>83559</v>
      </c>
      <c r="BC49" s="393">
        <f t="shared" si="33"/>
        <v>16732</v>
      </c>
      <c r="BD49" s="393">
        <f t="shared" si="33"/>
        <v>25046</v>
      </c>
      <c r="BE49" s="664">
        <f t="shared" si="33"/>
        <v>28424</v>
      </c>
      <c r="BF49" s="664">
        <f t="shared" si="33"/>
        <v>38043</v>
      </c>
      <c r="BG49" s="662">
        <f t="shared" si="33"/>
        <v>108245</v>
      </c>
      <c r="BH49" s="393">
        <f t="shared" si="33"/>
        <v>26644</v>
      </c>
      <c r="BI49" s="664">
        <f t="shared" si="33"/>
        <v>32661</v>
      </c>
      <c r="BJ49" s="664">
        <f t="shared" si="33"/>
        <v>31492</v>
      </c>
      <c r="BK49" s="664">
        <f t="shared" si="33"/>
        <v>38032</v>
      </c>
      <c r="BL49" s="662">
        <f t="shared" si="33"/>
        <v>128829</v>
      </c>
      <c r="BM49" s="393">
        <f t="shared" si="33"/>
        <v>27594</v>
      </c>
      <c r="BN49" s="664">
        <f t="shared" si="33"/>
        <v>31036</v>
      </c>
      <c r="BO49" s="664">
        <f t="shared" si="33"/>
        <v>41461</v>
      </c>
      <c r="BP49" s="664">
        <f t="shared" si="33"/>
        <v>49519</v>
      </c>
      <c r="BQ49" s="662">
        <f t="shared" si="33"/>
        <v>149610</v>
      </c>
      <c r="BR49" s="393">
        <f t="shared" si="33"/>
        <v>40305</v>
      </c>
      <c r="BS49" s="664">
        <f t="shared" si="33"/>
        <v>54454</v>
      </c>
      <c r="BT49" s="664">
        <f t="shared" si="33"/>
        <v>57112</v>
      </c>
      <c r="BU49" s="664">
        <f t="shared" si="33"/>
        <v>61615</v>
      </c>
      <c r="BV49" s="662">
        <f t="shared" si="33"/>
        <v>213486</v>
      </c>
      <c r="BW49" s="393">
        <f t="shared" si="33"/>
        <v>50270.372711999982</v>
      </c>
      <c r="BX49" s="664">
        <f t="shared" si="33"/>
        <v>56670.512871000014</v>
      </c>
      <c r="BY49" s="664">
        <f t="shared" si="33"/>
        <v>62745.84063999998</v>
      </c>
      <c r="BZ49" s="664">
        <f t="shared" si="33"/>
        <v>73552.514433600008</v>
      </c>
      <c r="CA49" s="662">
        <f t="shared" si="33"/>
        <v>243239.24065659993</v>
      </c>
    </row>
    <row r="50" spans="1:79" s="635" customFormat="1" ht="12.4" customHeight="1">
      <c r="A50" s="609"/>
      <c r="B50" s="610"/>
      <c r="C50" s="611" t="s">
        <v>95</v>
      </c>
      <c r="D50" s="611">
        <f t="shared" ref="D50:AW50" si="34">D49/D28</f>
        <v>-0.16101694915254236</v>
      </c>
      <c r="E50" s="613">
        <f t="shared" si="34"/>
        <v>-0.21903960775039771</v>
      </c>
      <c r="F50" s="613">
        <f t="shared" si="34"/>
        <v>-0.2484911619648687</v>
      </c>
      <c r="G50" s="613">
        <f t="shared" si="34"/>
        <v>-0.27045706755090787</v>
      </c>
      <c r="H50" s="613">
        <f t="shared" si="34"/>
        <v>-0.29207188533224127</v>
      </c>
      <c r="I50" s="612">
        <f t="shared" si="34"/>
        <v>-0.25993536662244521</v>
      </c>
      <c r="J50" s="613">
        <f t="shared" si="34"/>
        <v>-0.33627168506508687</v>
      </c>
      <c r="K50" s="613">
        <f t="shared" si="34"/>
        <v>-0.34576408559059385</v>
      </c>
      <c r="L50" s="613">
        <f t="shared" si="34"/>
        <v>-0.2997351381310786</v>
      </c>
      <c r="M50" s="613">
        <f t="shared" si="34"/>
        <v>-0.2751475670845302</v>
      </c>
      <c r="N50" s="612">
        <f t="shared" si="34"/>
        <v>-0.31222364855227502</v>
      </c>
      <c r="O50" s="613">
        <f t="shared" si="34"/>
        <v>-0.32825245118233498</v>
      </c>
      <c r="P50" s="613">
        <f t="shared" si="34"/>
        <v>-0.22993720883127405</v>
      </c>
      <c r="Q50" s="613">
        <f t="shared" si="34"/>
        <v>-0.32455835169507907</v>
      </c>
      <c r="R50" s="613">
        <f t="shared" si="34"/>
        <v>-0.22016693782273467</v>
      </c>
      <c r="S50" s="612">
        <f t="shared" si="34"/>
        <v>-0.27414599134837347</v>
      </c>
      <c r="T50" s="613">
        <f t="shared" si="34"/>
        <v>-0.17787540463764287</v>
      </c>
      <c r="U50" s="613">
        <f t="shared" si="34"/>
        <v>-0.13962476052057871</v>
      </c>
      <c r="V50" s="613">
        <f t="shared" si="34"/>
        <v>-8.7000960138755537E-2</v>
      </c>
      <c r="W50" s="613">
        <f t="shared" si="34"/>
        <v>-1.3515388671495574E-2</v>
      </c>
      <c r="X50" s="612">
        <f t="shared" si="34"/>
        <v>-0.10016450942049229</v>
      </c>
      <c r="Y50" s="613">
        <f t="shared" si="34"/>
        <v>-3.9905300539260821E-2</v>
      </c>
      <c r="Z50" s="622">
        <f t="shared" si="34"/>
        <v>8.8978038368564515E-3</v>
      </c>
      <c r="AA50" s="613">
        <f t="shared" si="34"/>
        <v>1.78370992142892E-2</v>
      </c>
      <c r="AB50" s="613">
        <f t="shared" si="34"/>
        <v>2.1014771416291537E-2</v>
      </c>
      <c r="AC50" s="612">
        <f t="shared" si="34"/>
        <v>3.0168424949102352E-3</v>
      </c>
      <c r="AD50" s="622">
        <f t="shared" si="34"/>
        <v>1.3591696090526226E-2</v>
      </c>
      <c r="AE50" s="622">
        <f t="shared" si="34"/>
        <v>1.7013430552936491E-2</v>
      </c>
      <c r="AF50" s="622">
        <f t="shared" si="34"/>
        <v>6.8209500609013402E-2</v>
      </c>
      <c r="AG50" s="622">
        <f t="shared" si="34"/>
        <v>8.8858004079201483E-2</v>
      </c>
      <c r="AH50" s="612">
        <f t="shared" si="34"/>
        <v>4.8894993132725682E-2</v>
      </c>
      <c r="AI50" s="622">
        <f t="shared" si="34"/>
        <v>8.9822595704948646E-2</v>
      </c>
      <c r="AJ50" s="613">
        <f t="shared" si="34"/>
        <v>0.12022251308900524</v>
      </c>
      <c r="AK50" s="622">
        <f t="shared" si="34"/>
        <v>0.15654477520519416</v>
      </c>
      <c r="AL50" s="622">
        <f t="shared" si="34"/>
        <v>0.1889126978641045</v>
      </c>
      <c r="AM50" s="612">
        <f t="shared" si="34"/>
        <v>0.14176213984103328</v>
      </c>
      <c r="AN50" s="613">
        <f t="shared" si="34"/>
        <v>0.11730929190480023</v>
      </c>
      <c r="AO50" s="622">
        <f t="shared" si="34"/>
        <v>0.14325378376982281</v>
      </c>
      <c r="AP50" s="622">
        <f t="shared" si="34"/>
        <v>0.13889386288483807</v>
      </c>
      <c r="AQ50" s="622">
        <f t="shared" si="34"/>
        <v>0.17185654054171229</v>
      </c>
      <c r="AR50" s="612">
        <f t="shared" si="34"/>
        <v>0.14429004347481447</v>
      </c>
      <c r="AS50" s="613">
        <f t="shared" si="34"/>
        <v>0.10786850075719334</v>
      </c>
      <c r="AT50" s="622">
        <f t="shared" si="34"/>
        <v>0.13782667949334615</v>
      </c>
      <c r="AU50" s="622">
        <f t="shared" si="34"/>
        <v>0.17182525882132635</v>
      </c>
      <c r="AV50" s="622">
        <f t="shared" si="34"/>
        <v>0.1889431911482973</v>
      </c>
      <c r="AW50" s="612">
        <f t="shared" si="34"/>
        <v>0.15507417660746642</v>
      </c>
      <c r="AX50" s="613">
        <f t="shared" ref="AX50:CA50" si="35">AX49/AX28</f>
        <v>0.11867393858516703</v>
      </c>
      <c r="AY50" s="613">
        <f t="shared" si="35"/>
        <v>0.12050882586137347</v>
      </c>
      <c r="AZ50" s="622">
        <f t="shared" si="35"/>
        <v>0.1332810637084651</v>
      </c>
      <c r="BA50" s="622">
        <f t="shared" si="35"/>
        <v>0.16877977407703962</v>
      </c>
      <c r="BB50" s="612">
        <f t="shared" si="35"/>
        <v>0.13707387412215732</v>
      </c>
      <c r="BC50" s="613">
        <f t="shared" si="35"/>
        <v>9.1543246688587737E-2</v>
      </c>
      <c r="BD50" s="613">
        <f t="shared" si="35"/>
        <v>0.13225121711672705</v>
      </c>
      <c r="BE50" s="622">
        <f t="shared" si="35"/>
        <v>0.14330802351493885</v>
      </c>
      <c r="BF50" s="622">
        <f t="shared" si="35"/>
        <v>0.18259617461422159</v>
      </c>
      <c r="BG50" s="612">
        <f t="shared" si="35"/>
        <v>0.13898126202099004</v>
      </c>
      <c r="BH50" s="613">
        <f t="shared" si="35"/>
        <v>0.12197455582565385</v>
      </c>
      <c r="BI50" s="622">
        <f t="shared" si="35"/>
        <v>0.14653942444881149</v>
      </c>
      <c r="BJ50" s="622">
        <f t="shared" si="35"/>
        <v>0.13685925990308773</v>
      </c>
      <c r="BK50" s="622">
        <f t="shared" si="35"/>
        <v>0.15908843730914993</v>
      </c>
      <c r="BL50" s="612">
        <f t="shared" si="35"/>
        <v>0.14149445132720037</v>
      </c>
      <c r="BM50" s="613">
        <f t="shared" si="35"/>
        <v>0.11171207643415246</v>
      </c>
      <c r="BN50" s="622">
        <f t="shared" si="35"/>
        <v>0.12311671413723888</v>
      </c>
      <c r="BO50" s="622">
        <f t="shared" si="35"/>
        <v>0.15694104821675967</v>
      </c>
      <c r="BP50" s="622">
        <f t="shared" si="35"/>
        <v>0.17770401205770472</v>
      </c>
      <c r="BQ50" s="612">
        <f t="shared" si="35"/>
        <v>0.1435881981461469</v>
      </c>
      <c r="BR50" s="613">
        <f t="shared" si="35"/>
        <v>0.14409824636670779</v>
      </c>
      <c r="BS50" s="622">
        <f t="shared" si="35"/>
        <v>0.19223423671492468</v>
      </c>
      <c r="BT50" s="622">
        <f t="shared" si="35"/>
        <v>0.19980967841249406</v>
      </c>
      <c r="BU50" s="622">
        <f t="shared" si="35"/>
        <v>0.20519045430628544</v>
      </c>
      <c r="BV50" s="612">
        <f t="shared" si="35"/>
        <v>0.1857873374362973</v>
      </c>
      <c r="BW50" s="613">
        <f t="shared" si="35"/>
        <v>0.16799999999999995</v>
      </c>
      <c r="BX50" s="622">
        <f t="shared" si="35"/>
        <v>0.18500000000000003</v>
      </c>
      <c r="BY50" s="622">
        <f t="shared" si="35"/>
        <v>0.19999999999999996</v>
      </c>
      <c r="BZ50" s="622">
        <f t="shared" si="35"/>
        <v>0.21800000000000003</v>
      </c>
      <c r="CA50" s="612">
        <f t="shared" si="35"/>
        <v>0.19355678289921974</v>
      </c>
    </row>
    <row r="51" spans="1:79" s="582" customFormat="1" ht="7.7" customHeight="1">
      <c r="A51" s="570"/>
      <c r="B51" s="571"/>
      <c r="C51" s="572"/>
      <c r="D51" s="572"/>
      <c r="E51" s="574"/>
      <c r="F51" s="574"/>
      <c r="G51" s="574"/>
      <c r="H51" s="574"/>
      <c r="I51" s="573"/>
      <c r="J51" s="574"/>
      <c r="K51" s="574"/>
      <c r="L51" s="574"/>
      <c r="M51" s="583"/>
      <c r="N51" s="584"/>
      <c r="O51" s="585"/>
      <c r="P51" s="583"/>
      <c r="Q51" s="583"/>
      <c r="R51" s="583"/>
      <c r="S51" s="584"/>
      <c r="T51" s="586"/>
      <c r="U51" s="587"/>
      <c r="V51" s="587"/>
      <c r="W51" s="588"/>
      <c r="X51" s="589"/>
      <c r="Y51" s="579"/>
      <c r="Z51" s="590"/>
      <c r="AA51" s="583"/>
      <c r="AB51" s="574"/>
      <c r="AC51" s="591"/>
      <c r="AD51" s="592"/>
      <c r="AE51" s="593"/>
      <c r="AF51" s="592"/>
      <c r="AG51" s="593"/>
      <c r="AH51" s="589"/>
      <c r="AI51" s="592"/>
      <c r="AJ51" s="587"/>
      <c r="AK51" s="593"/>
      <c r="AL51" s="587"/>
      <c r="AM51" s="589"/>
      <c r="AN51" s="586"/>
      <c r="AO51" s="587"/>
      <c r="AP51" s="593"/>
      <c r="AQ51" s="587"/>
      <c r="AR51" s="589"/>
      <c r="AS51" s="586"/>
      <c r="AT51" s="594">
        <f>+AT49-13754</f>
        <v>0</v>
      </c>
      <c r="AU51" s="593"/>
      <c r="AV51" s="587"/>
      <c r="AW51" s="589"/>
      <c r="AX51" s="124"/>
      <c r="AY51" s="124"/>
      <c r="AZ51" s="593"/>
      <c r="BA51" s="587"/>
      <c r="BB51" s="589"/>
      <c r="BC51" s="586"/>
      <c r="BD51" s="593"/>
      <c r="BE51" s="593"/>
      <c r="BF51" s="587"/>
      <c r="BG51" s="589"/>
      <c r="BH51" s="586"/>
      <c r="BI51" s="593"/>
      <c r="BJ51" s="587"/>
      <c r="BK51" s="587"/>
      <c r="BL51" s="589"/>
      <c r="BM51" s="586"/>
      <c r="BN51" s="593"/>
      <c r="BO51" s="593"/>
      <c r="BP51" s="587"/>
      <c r="BQ51" s="589"/>
      <c r="BR51" s="586"/>
      <c r="BS51" s="593"/>
      <c r="BT51" s="593"/>
      <c r="BU51" s="593"/>
      <c r="BV51" s="589"/>
      <c r="BW51" s="586"/>
      <c r="BX51" s="593"/>
      <c r="BY51" s="593"/>
      <c r="BZ51" s="587"/>
      <c r="CA51" s="589"/>
    </row>
    <row r="52" spans="1:79" s="128" customFormat="1" ht="14.1" hidden="1" customHeight="1" outlineLevel="1">
      <c r="A52" s="99"/>
      <c r="B52" s="98" t="s">
        <v>94</v>
      </c>
      <c r="C52" s="100"/>
      <c r="D52" s="100"/>
      <c r="E52" s="96"/>
      <c r="F52" s="96"/>
      <c r="G52" s="96"/>
      <c r="H52" s="96"/>
      <c r="I52" s="95"/>
      <c r="J52" s="96"/>
      <c r="K52" s="96"/>
      <c r="L52" s="96"/>
      <c r="M52" s="96"/>
      <c r="N52" s="95"/>
      <c r="O52" s="96"/>
      <c r="P52" s="96"/>
      <c r="Q52" s="96"/>
      <c r="R52" s="96"/>
      <c r="S52" s="95"/>
      <c r="T52" s="134"/>
      <c r="U52" s="134"/>
      <c r="V52" s="134"/>
      <c r="W52" s="96"/>
      <c r="X52" s="97"/>
      <c r="Y52" s="90"/>
      <c r="Z52" s="140"/>
      <c r="AA52" s="96"/>
      <c r="AB52" s="202"/>
      <c r="AC52" s="97"/>
      <c r="AD52" s="211"/>
      <c r="AE52" s="211"/>
      <c r="AF52" s="211"/>
      <c r="AG52" s="211"/>
      <c r="AH52" s="97"/>
      <c r="AI52" s="211"/>
      <c r="AJ52" s="134"/>
      <c r="AK52" s="134"/>
      <c r="AL52" s="134"/>
      <c r="AM52" s="97"/>
      <c r="AN52" s="134"/>
      <c r="AO52" s="134"/>
      <c r="AP52" s="211"/>
      <c r="AQ52" s="134"/>
      <c r="AR52" s="97"/>
      <c r="AS52" s="134"/>
      <c r="AT52" s="211"/>
      <c r="AU52" s="211"/>
      <c r="AV52" s="134"/>
      <c r="AW52" s="97"/>
      <c r="AX52" s="124"/>
      <c r="AY52" s="202"/>
      <c r="AZ52" s="211"/>
      <c r="BA52" s="134"/>
      <c r="BB52" s="97"/>
      <c r="BC52" s="134"/>
      <c r="BD52" s="211">
        <f>BD49-25046</f>
        <v>0</v>
      </c>
      <c r="BE52" s="211"/>
      <c r="BF52" s="134"/>
      <c r="BG52" s="97"/>
      <c r="BH52" s="134"/>
      <c r="BI52" s="211"/>
      <c r="BJ52" s="134"/>
      <c r="BK52" s="134"/>
      <c r="BL52" s="97"/>
      <c r="BM52" s="134"/>
      <c r="BN52" s="211"/>
      <c r="BO52" s="202"/>
      <c r="BP52" s="673"/>
      <c r="BQ52" s="97"/>
      <c r="BR52" s="134"/>
      <c r="BS52" s="211"/>
      <c r="BT52" s="211"/>
      <c r="BU52" s="211"/>
      <c r="BV52" s="97"/>
      <c r="BW52" s="134"/>
      <c r="BX52" s="211"/>
      <c r="BY52" s="211"/>
      <c r="BZ52" s="134"/>
      <c r="CA52" s="97"/>
    </row>
    <row r="53" spans="1:79" s="128" customFormat="1" ht="14.1" hidden="1" customHeight="1" outlineLevel="1">
      <c r="A53" s="99"/>
      <c r="B53" s="98"/>
      <c r="C53" s="100" t="s">
        <v>174</v>
      </c>
      <c r="D53" s="100">
        <v>0</v>
      </c>
      <c r="E53" s="96">
        <v>0</v>
      </c>
      <c r="F53" s="96">
        <v>0</v>
      </c>
      <c r="G53" s="96">
        <v>0</v>
      </c>
      <c r="H53" s="96">
        <v>0</v>
      </c>
      <c r="I53" s="95">
        <f>SUM(E53:H53)</f>
        <v>0</v>
      </c>
      <c r="J53" s="96">
        <v>0</v>
      </c>
      <c r="K53" s="96">
        <v>0</v>
      </c>
      <c r="L53" s="96">
        <v>0</v>
      </c>
      <c r="M53" s="96">
        <v>105</v>
      </c>
      <c r="N53" s="95">
        <f>SUM(J53:M53)</f>
        <v>105</v>
      </c>
      <c r="O53" s="289">
        <v>128</v>
      </c>
      <c r="P53" s="289">
        <v>128</v>
      </c>
      <c r="Q53" s="289">
        <v>128</v>
      </c>
      <c r="R53" s="289">
        <v>128</v>
      </c>
      <c r="S53" s="95">
        <f t="shared" ref="S53:S63" si="36">SUM(O53:R53)</f>
        <v>512</v>
      </c>
      <c r="T53" s="96">
        <v>128</v>
      </c>
      <c r="U53" s="96">
        <v>128</v>
      </c>
      <c r="V53" s="96">
        <v>128</v>
      </c>
      <c r="W53" s="96">
        <v>128</v>
      </c>
      <c r="X53" s="95">
        <f>SUM(T53:W53)</f>
        <v>512</v>
      </c>
      <c r="Y53" s="96">
        <v>128</v>
      </c>
      <c r="Z53" s="202">
        <v>128</v>
      </c>
      <c r="AA53" s="202">
        <v>129</v>
      </c>
      <c r="AB53" s="202">
        <v>117</v>
      </c>
      <c r="AC53" s="95">
        <f t="shared" ref="AC53:AC63" si="37">SUM(Y53:AB53)</f>
        <v>502</v>
      </c>
      <c r="AD53" s="202">
        <v>117</v>
      </c>
      <c r="AE53" s="202">
        <v>117</v>
      </c>
      <c r="AF53" s="202">
        <v>115</v>
      </c>
      <c r="AG53" s="202">
        <v>116</v>
      </c>
      <c r="AH53" s="95">
        <f t="shared" ref="AH53:AH63" si="38">SUM(AD53:AG53)</f>
        <v>465</v>
      </c>
      <c r="AI53" s="202">
        <v>116</v>
      </c>
      <c r="AJ53" s="96">
        <v>116</v>
      </c>
      <c r="AK53" s="96">
        <v>117</v>
      </c>
      <c r="AL53" s="202">
        <v>93</v>
      </c>
      <c r="AM53" s="95">
        <f t="shared" ref="AM53:AM60" si="39">SUM(AI53:AL53)</f>
        <v>442</v>
      </c>
      <c r="AN53" s="96">
        <v>88</v>
      </c>
      <c r="AO53" s="96">
        <v>88</v>
      </c>
      <c r="AP53" s="96">
        <v>88</v>
      </c>
      <c r="AQ53" s="202">
        <v>618</v>
      </c>
      <c r="AR53" s="95">
        <f t="shared" ref="AR53:AR63" si="40">SUM(AN53:AQ53)</f>
        <v>882</v>
      </c>
      <c r="AS53" s="202">
        <v>1090</v>
      </c>
      <c r="AT53" s="202">
        <v>1738</v>
      </c>
      <c r="AU53" s="202">
        <v>1738</v>
      </c>
      <c r="AV53" s="202">
        <v>2283</v>
      </c>
      <c r="AW53" s="95">
        <f t="shared" ref="AW53:AW63" si="41">SUM(AS53:AV53)</f>
        <v>6849</v>
      </c>
      <c r="AX53" s="202">
        <v>2947</v>
      </c>
      <c r="AY53" s="202">
        <v>2947</v>
      </c>
      <c r="AZ53" s="202">
        <v>2947</v>
      </c>
      <c r="BA53" s="673">
        <v>2947</v>
      </c>
      <c r="BB53" s="95">
        <f t="shared" ref="BB53:BB63" si="42">SUM(AX53:BA53)</f>
        <v>11788</v>
      </c>
      <c r="BC53" s="673">
        <v>2947</v>
      </c>
      <c r="BD53" s="673">
        <v>2935</v>
      </c>
      <c r="BE53" s="673">
        <v>2934</v>
      </c>
      <c r="BF53" s="202">
        <v>2890</v>
      </c>
      <c r="BG53" s="95">
        <f t="shared" ref="BG53:BG63" si="43">SUM(BC53:BF53)</f>
        <v>11706</v>
      </c>
      <c r="BH53" s="96">
        <v>2846</v>
      </c>
      <c r="BI53" s="673">
        <v>2845</v>
      </c>
      <c r="BJ53" s="96">
        <v>3182</v>
      </c>
      <c r="BK53" s="673">
        <v>3146</v>
      </c>
      <c r="BL53" s="95">
        <f t="shared" ref="BL53:BL63" si="44">SUM(BH53:BK53)</f>
        <v>12019</v>
      </c>
      <c r="BM53" s="673">
        <v>2648</v>
      </c>
      <c r="BN53" s="673">
        <v>2648</v>
      </c>
      <c r="BO53" s="673">
        <v>3196</v>
      </c>
      <c r="BP53" s="673">
        <v>4099</v>
      </c>
      <c r="BQ53" s="95">
        <f t="shared" ref="BQ53:BQ63" si="45">SUM(BM53:BP53)</f>
        <v>12591</v>
      </c>
      <c r="BR53" s="673">
        <v>4100</v>
      </c>
      <c r="BS53" s="96">
        <v>3464</v>
      </c>
      <c r="BT53" s="96">
        <v>3464</v>
      </c>
      <c r="BU53" s="96">
        <v>3438</v>
      </c>
      <c r="BV53" s="95">
        <f t="shared" ref="BV53:BV63" si="46">SUM(BR53:BU53)</f>
        <v>14466</v>
      </c>
      <c r="BW53" s="445">
        <v>3500</v>
      </c>
      <c r="BX53" s="445">
        <v>3500</v>
      </c>
      <c r="BY53" s="445">
        <v>3500</v>
      </c>
      <c r="BZ53" s="445">
        <v>3500</v>
      </c>
      <c r="CA53" s="95">
        <f t="shared" ref="CA53:CA61" si="47">SUM(BW53:BZ53)</f>
        <v>14000</v>
      </c>
    </row>
    <row r="54" spans="1:79" s="128" customFormat="1" ht="14.1" hidden="1" customHeight="1" outlineLevel="1">
      <c r="A54" s="99"/>
      <c r="B54" s="98"/>
      <c r="C54" s="100" t="s">
        <v>242</v>
      </c>
      <c r="D54" s="100">
        <v>0</v>
      </c>
      <c r="E54" s="96">
        <v>0</v>
      </c>
      <c r="F54" s="96">
        <v>0</v>
      </c>
      <c r="G54" s="96">
        <v>0</v>
      </c>
      <c r="H54" s="96">
        <v>0</v>
      </c>
      <c r="I54" s="95">
        <f t="shared" ref="I54:I63" si="48">SUM(E54:H54)</f>
        <v>0</v>
      </c>
      <c r="J54" s="96">
        <v>0</v>
      </c>
      <c r="K54" s="96">
        <v>0</v>
      </c>
      <c r="L54" s="96">
        <v>0</v>
      </c>
      <c r="M54" s="96">
        <v>6</v>
      </c>
      <c r="N54" s="95">
        <f t="shared" ref="N54:N63" si="49">SUM(J54:M54)</f>
        <v>6</v>
      </c>
      <c r="O54" s="96">
        <v>51</v>
      </c>
      <c r="P54" s="96">
        <v>78</v>
      </c>
      <c r="Q54" s="96">
        <v>81</v>
      </c>
      <c r="R54" s="96">
        <v>83</v>
      </c>
      <c r="S54" s="95">
        <f t="shared" si="36"/>
        <v>293</v>
      </c>
      <c r="T54" s="96">
        <v>84</v>
      </c>
      <c r="U54" s="96">
        <v>87</v>
      </c>
      <c r="V54" s="96">
        <v>89</v>
      </c>
      <c r="W54" s="96">
        <v>90</v>
      </c>
      <c r="X54" s="95">
        <f t="shared" ref="X54:X63" si="50">SUM(T54:W54)</f>
        <v>350</v>
      </c>
      <c r="Y54" s="96">
        <v>91</v>
      </c>
      <c r="Z54" s="202">
        <v>87</v>
      </c>
      <c r="AA54" s="202">
        <v>43</v>
      </c>
      <c r="AB54" s="202">
        <v>20</v>
      </c>
      <c r="AC54" s="95">
        <f t="shared" si="37"/>
        <v>241</v>
      </c>
      <c r="AD54" s="202">
        <f>20-103</f>
        <v>-83</v>
      </c>
      <c r="AE54" s="202">
        <v>20</v>
      </c>
      <c r="AF54" s="202">
        <v>20</v>
      </c>
      <c r="AG54" s="202">
        <v>20</v>
      </c>
      <c r="AH54" s="95">
        <f t="shared" si="38"/>
        <v>-23</v>
      </c>
      <c r="AI54" s="202">
        <v>20</v>
      </c>
      <c r="AJ54" s="96">
        <v>20</v>
      </c>
      <c r="AK54" s="96">
        <v>89</v>
      </c>
      <c r="AL54" s="202">
        <v>93</v>
      </c>
      <c r="AM54" s="95">
        <f t="shared" si="39"/>
        <v>222</v>
      </c>
      <c r="AN54" s="96"/>
      <c r="AO54" s="96"/>
      <c r="AP54" s="96"/>
      <c r="AQ54" s="202"/>
      <c r="AR54" s="95">
        <f t="shared" si="40"/>
        <v>0</v>
      </c>
      <c r="AS54" s="202"/>
      <c r="AT54" s="202"/>
      <c r="AU54" s="202"/>
      <c r="AV54" s="202"/>
      <c r="AW54" s="95">
        <f t="shared" si="41"/>
        <v>0</v>
      </c>
      <c r="AX54" s="202"/>
      <c r="AY54" s="202"/>
      <c r="AZ54" s="202"/>
      <c r="BA54" s="673"/>
      <c r="BB54" s="95">
        <f t="shared" si="42"/>
        <v>0</v>
      </c>
      <c r="BC54" s="673"/>
      <c r="BD54" s="233"/>
      <c r="BE54" s="233"/>
      <c r="BF54" s="202"/>
      <c r="BG54" s="95">
        <f t="shared" si="43"/>
        <v>0</v>
      </c>
      <c r="BH54" s="96"/>
      <c r="BI54" s="233"/>
      <c r="BJ54" s="96"/>
      <c r="BK54" s="233"/>
      <c r="BL54" s="95">
        <f t="shared" si="44"/>
        <v>0</v>
      </c>
      <c r="BM54" s="673"/>
      <c r="BN54" s="233"/>
      <c r="BO54" s="673"/>
      <c r="BP54" s="673"/>
      <c r="BQ54" s="95">
        <f t="shared" si="45"/>
        <v>0</v>
      </c>
      <c r="BR54" s="673"/>
      <c r="BS54" s="96"/>
      <c r="BT54" s="96"/>
      <c r="BU54" s="96"/>
      <c r="BV54" s="95">
        <f t="shared" si="46"/>
        <v>0</v>
      </c>
      <c r="BW54" s="202"/>
      <c r="BX54" s="233"/>
      <c r="BY54" s="233"/>
      <c r="BZ54" s="233"/>
      <c r="CA54" s="95">
        <f t="shared" si="47"/>
        <v>0</v>
      </c>
    </row>
    <row r="55" spans="1:79" s="128" customFormat="1" ht="14.1" hidden="1" customHeight="1" outlineLevel="1">
      <c r="A55" s="99"/>
      <c r="B55" s="98"/>
      <c r="C55" s="100" t="s">
        <v>272</v>
      </c>
      <c r="D55" s="100"/>
      <c r="E55" s="96"/>
      <c r="F55" s="96"/>
      <c r="G55" s="96"/>
      <c r="H55" s="96"/>
      <c r="I55" s="95"/>
      <c r="J55" s="96"/>
      <c r="K55" s="96"/>
      <c r="L55" s="96"/>
      <c r="M55" s="96"/>
      <c r="N55" s="95"/>
      <c r="O55" s="96"/>
      <c r="P55" s="96"/>
      <c r="Q55" s="96"/>
      <c r="R55" s="96"/>
      <c r="S55" s="95"/>
      <c r="T55" s="96"/>
      <c r="U55" s="96"/>
      <c r="V55" s="96"/>
      <c r="W55" s="96"/>
      <c r="X55" s="95"/>
      <c r="Y55" s="96"/>
      <c r="Z55" s="202"/>
      <c r="AA55" s="202"/>
      <c r="AB55" s="202"/>
      <c r="AC55" s="95"/>
      <c r="AD55" s="202"/>
      <c r="AE55" s="202"/>
      <c r="AF55" s="202"/>
      <c r="AG55" s="202"/>
      <c r="AH55" s="95"/>
      <c r="AI55" s="202"/>
      <c r="AJ55" s="96">
        <v>1733</v>
      </c>
      <c r="AK55" s="96">
        <v>3049</v>
      </c>
      <c r="AL55" s="202">
        <v>3099</v>
      </c>
      <c r="AM55" s="95">
        <f t="shared" si="39"/>
        <v>7881</v>
      </c>
      <c r="AN55" s="96"/>
      <c r="AO55" s="96"/>
      <c r="AP55" s="96"/>
      <c r="AQ55" s="202"/>
      <c r="AR55" s="95">
        <f t="shared" si="40"/>
        <v>0</v>
      </c>
      <c r="AS55" s="202"/>
      <c r="AT55" s="202"/>
      <c r="AU55" s="202"/>
      <c r="AV55" s="202">
        <v>0</v>
      </c>
      <c r="AW55" s="95">
        <f t="shared" si="41"/>
        <v>0</v>
      </c>
      <c r="AX55" s="233">
        <v>0</v>
      </c>
      <c r="AY55" s="233"/>
      <c r="AZ55" s="233"/>
      <c r="BA55" s="673"/>
      <c r="BB55" s="95">
        <f t="shared" si="42"/>
        <v>0</v>
      </c>
      <c r="BC55" s="673"/>
      <c r="BD55" s="233"/>
      <c r="BE55" s="233"/>
      <c r="BF55" s="202"/>
      <c r="BG55" s="95">
        <f t="shared" si="43"/>
        <v>0</v>
      </c>
      <c r="BH55" s="96"/>
      <c r="BI55" s="233"/>
      <c r="BJ55" s="96"/>
      <c r="BK55" s="673"/>
      <c r="BL55" s="95">
        <f t="shared" si="44"/>
        <v>0</v>
      </c>
      <c r="BM55" s="673"/>
      <c r="BN55" s="233"/>
      <c r="BO55" s="673"/>
      <c r="BP55" s="673"/>
      <c r="BQ55" s="95">
        <f t="shared" si="45"/>
        <v>0</v>
      </c>
      <c r="BR55" s="673"/>
      <c r="BS55" s="96"/>
      <c r="BT55" s="96">
        <v>0</v>
      </c>
      <c r="BU55" s="96">
        <v>0</v>
      </c>
      <c r="BV55" s="95">
        <f t="shared" si="46"/>
        <v>0</v>
      </c>
      <c r="BW55" s="233"/>
      <c r="BX55" s="233"/>
      <c r="BY55" s="233"/>
      <c r="BZ55" s="233"/>
      <c r="CA55" s="95">
        <f t="shared" si="47"/>
        <v>0</v>
      </c>
    </row>
    <row r="56" spans="1:79" s="128" customFormat="1" ht="14.1" hidden="1" customHeight="1" outlineLevel="1">
      <c r="A56" s="99"/>
      <c r="B56" s="98"/>
      <c r="C56" s="100" t="s">
        <v>346</v>
      </c>
      <c r="D56" s="100"/>
      <c r="E56" s="96"/>
      <c r="F56" s="96"/>
      <c r="G56" s="96"/>
      <c r="H56" s="96"/>
      <c r="I56" s="95"/>
      <c r="J56" s="96"/>
      <c r="K56" s="96"/>
      <c r="L56" s="96"/>
      <c r="M56" s="96"/>
      <c r="N56" s="95"/>
      <c r="O56" s="96"/>
      <c r="P56" s="96"/>
      <c r="Q56" s="96"/>
      <c r="R56" s="96"/>
      <c r="S56" s="95"/>
      <c r="T56" s="96"/>
      <c r="U56" s="96"/>
      <c r="V56" s="96"/>
      <c r="W56" s="96"/>
      <c r="X56" s="95"/>
      <c r="Y56" s="96"/>
      <c r="Z56" s="202"/>
      <c r="AA56" s="202"/>
      <c r="AB56" s="202"/>
      <c r="AC56" s="95"/>
      <c r="AD56" s="202"/>
      <c r="AE56" s="202"/>
      <c r="AF56" s="202"/>
      <c r="AG56" s="202"/>
      <c r="AH56" s="95"/>
      <c r="AI56" s="202"/>
      <c r="AJ56" s="96"/>
      <c r="AK56" s="96"/>
      <c r="AL56" s="202"/>
      <c r="AM56" s="95"/>
      <c r="AN56" s="96">
        <v>217</v>
      </c>
      <c r="AO56" s="96"/>
      <c r="AP56" s="96"/>
      <c r="AQ56" s="202"/>
      <c r="AR56" s="95"/>
      <c r="AS56" s="202"/>
      <c r="AT56" s="202"/>
      <c r="AU56" s="202"/>
      <c r="AV56" s="202">
        <v>0</v>
      </c>
      <c r="AW56" s="95">
        <f t="shared" si="41"/>
        <v>0</v>
      </c>
      <c r="AX56" s="233"/>
      <c r="AY56" s="233"/>
      <c r="AZ56" s="233"/>
      <c r="BA56" s="673"/>
      <c r="BB56" s="95">
        <f t="shared" si="42"/>
        <v>0</v>
      </c>
      <c r="BC56" s="673"/>
      <c r="BD56" s="233"/>
      <c r="BE56" s="233"/>
      <c r="BF56" s="202"/>
      <c r="BG56" s="95">
        <f t="shared" si="43"/>
        <v>0</v>
      </c>
      <c r="BH56" s="96"/>
      <c r="BI56" s="233"/>
      <c r="BJ56" s="96"/>
      <c r="BK56" s="233"/>
      <c r="BL56" s="95">
        <f t="shared" si="44"/>
        <v>0</v>
      </c>
      <c r="BM56" s="673"/>
      <c r="BN56" s="233"/>
      <c r="BO56" s="673"/>
      <c r="BP56" s="673"/>
      <c r="BQ56" s="95">
        <f t="shared" si="45"/>
        <v>0</v>
      </c>
      <c r="BR56" s="673"/>
      <c r="BS56" s="96"/>
      <c r="BT56" s="96">
        <v>0</v>
      </c>
      <c r="BU56" s="96">
        <v>0</v>
      </c>
      <c r="BV56" s="95">
        <f t="shared" si="46"/>
        <v>0</v>
      </c>
      <c r="BW56" s="233"/>
      <c r="BX56" s="233"/>
      <c r="BY56" s="233"/>
      <c r="BZ56" s="233"/>
      <c r="CA56" s="95">
        <f t="shared" si="47"/>
        <v>0</v>
      </c>
    </row>
    <row r="57" spans="1:79" s="128" customFormat="1" ht="14.1" hidden="1" customHeight="1" outlineLevel="1">
      <c r="A57" s="99"/>
      <c r="B57" s="98"/>
      <c r="C57" s="100" t="s">
        <v>241</v>
      </c>
      <c r="D57" s="100">
        <v>0</v>
      </c>
      <c r="E57" s="96">
        <v>0</v>
      </c>
      <c r="F57" s="96">
        <v>0</v>
      </c>
      <c r="G57" s="96">
        <v>0</v>
      </c>
      <c r="H57" s="96">
        <v>0</v>
      </c>
      <c r="I57" s="95">
        <f t="shared" si="48"/>
        <v>0</v>
      </c>
      <c r="J57" s="96">
        <v>0</v>
      </c>
      <c r="K57" s="96">
        <v>0</v>
      </c>
      <c r="L57" s="96">
        <v>0</v>
      </c>
      <c r="M57" s="96">
        <v>0</v>
      </c>
      <c r="N57" s="95">
        <f t="shared" si="49"/>
        <v>0</v>
      </c>
      <c r="O57" s="96">
        <v>0</v>
      </c>
      <c r="P57" s="96">
        <v>0</v>
      </c>
      <c r="Q57" s="96">
        <v>2000</v>
      </c>
      <c r="R57" s="96">
        <v>0</v>
      </c>
      <c r="S57" s="95">
        <f t="shared" si="36"/>
        <v>2000</v>
      </c>
      <c r="T57" s="134">
        <v>0</v>
      </c>
      <c r="U57" s="96">
        <v>0</v>
      </c>
      <c r="V57" s="96">
        <v>0</v>
      </c>
      <c r="W57" s="96">
        <v>0</v>
      </c>
      <c r="X57" s="95">
        <f t="shared" si="50"/>
        <v>0</v>
      </c>
      <c r="Y57" s="96">
        <v>0</v>
      </c>
      <c r="Z57" s="202">
        <v>0</v>
      </c>
      <c r="AA57" s="202"/>
      <c r="AB57" s="202"/>
      <c r="AC57" s="95">
        <f t="shared" si="37"/>
        <v>0</v>
      </c>
      <c r="AD57" s="202"/>
      <c r="AE57" s="202"/>
      <c r="AF57" s="202"/>
      <c r="AG57" s="202"/>
      <c r="AH57" s="97">
        <f t="shared" si="38"/>
        <v>0</v>
      </c>
      <c r="AI57" s="202"/>
      <c r="AJ57" s="96"/>
      <c r="AK57" s="96"/>
      <c r="AL57" s="133"/>
      <c r="AM57" s="97">
        <f t="shared" si="39"/>
        <v>0</v>
      </c>
      <c r="AN57" s="96"/>
      <c r="AO57" s="96"/>
      <c r="AP57" s="96"/>
      <c r="AQ57" s="133"/>
      <c r="AR57" s="97">
        <f t="shared" si="40"/>
        <v>0</v>
      </c>
      <c r="AS57" s="96"/>
      <c r="AT57" s="202"/>
      <c r="AU57" s="202"/>
      <c r="AV57" s="202"/>
      <c r="AW57" s="95">
        <f t="shared" si="41"/>
        <v>0</v>
      </c>
      <c r="AX57" s="96"/>
      <c r="AY57" s="96"/>
      <c r="AZ57" s="96"/>
      <c r="BA57" s="673"/>
      <c r="BB57" s="95">
        <f t="shared" si="42"/>
        <v>0</v>
      </c>
      <c r="BC57" s="673"/>
      <c r="BD57" s="202"/>
      <c r="BE57" s="202"/>
      <c r="BF57" s="202"/>
      <c r="BG57" s="95">
        <f t="shared" si="43"/>
        <v>0</v>
      </c>
      <c r="BH57" s="96"/>
      <c r="BI57" s="202"/>
      <c r="BJ57" s="96"/>
      <c r="BK57" s="133"/>
      <c r="BL57" s="95">
        <f t="shared" si="44"/>
        <v>0</v>
      </c>
      <c r="BM57" s="673"/>
      <c r="BN57" s="202"/>
      <c r="BO57" s="673"/>
      <c r="BP57" s="673"/>
      <c r="BQ57" s="95">
        <f t="shared" si="45"/>
        <v>0</v>
      </c>
      <c r="BR57" s="673"/>
      <c r="BS57" s="96"/>
      <c r="BT57" s="96">
        <v>0</v>
      </c>
      <c r="BU57" s="96">
        <v>0</v>
      </c>
      <c r="BV57" s="95">
        <f t="shared" si="46"/>
        <v>0</v>
      </c>
      <c r="BW57" s="96"/>
      <c r="BX57" s="202"/>
      <c r="BY57" s="202"/>
      <c r="BZ57" s="133"/>
      <c r="CA57" s="95">
        <f t="shared" si="47"/>
        <v>0</v>
      </c>
    </row>
    <row r="58" spans="1:79" s="128" customFormat="1" ht="14.1" hidden="1" customHeight="1" outlineLevel="1">
      <c r="A58" s="99"/>
      <c r="B58" s="98"/>
      <c r="C58" s="100" t="s">
        <v>240</v>
      </c>
      <c r="D58" s="100">
        <v>0</v>
      </c>
      <c r="E58" s="96">
        <v>0</v>
      </c>
      <c r="F58" s="96">
        <v>0</v>
      </c>
      <c r="G58" s="96">
        <v>0</v>
      </c>
      <c r="H58" s="96">
        <v>0</v>
      </c>
      <c r="I58" s="95">
        <f t="shared" si="48"/>
        <v>0</v>
      </c>
      <c r="J58" s="96">
        <v>0</v>
      </c>
      <c r="K58" s="96">
        <v>0</v>
      </c>
      <c r="L58" s="96">
        <v>0</v>
      </c>
      <c r="M58" s="96">
        <v>0</v>
      </c>
      <c r="N58" s="95">
        <f t="shared" si="49"/>
        <v>0</v>
      </c>
      <c r="O58" s="96">
        <v>0</v>
      </c>
      <c r="P58" s="96">
        <v>-2766</v>
      </c>
      <c r="Q58" s="96">
        <v>0</v>
      </c>
      <c r="R58" s="96">
        <v>418</v>
      </c>
      <c r="S58" s="95">
        <f t="shared" si="36"/>
        <v>-2348</v>
      </c>
      <c r="T58" s="96">
        <v>0</v>
      </c>
      <c r="U58" s="96">
        <v>0</v>
      </c>
      <c r="V58" s="96">
        <v>0</v>
      </c>
      <c r="W58" s="96">
        <v>0</v>
      </c>
      <c r="X58" s="95">
        <f t="shared" si="50"/>
        <v>0</v>
      </c>
      <c r="Y58" s="96">
        <v>0</v>
      </c>
      <c r="Z58" s="202">
        <v>0</v>
      </c>
      <c r="AA58" s="286"/>
      <c r="AB58" s="202"/>
      <c r="AC58" s="95">
        <f t="shared" si="37"/>
        <v>0</v>
      </c>
      <c r="AD58" s="202"/>
      <c r="AE58" s="202"/>
      <c r="AF58" s="202"/>
      <c r="AG58" s="202"/>
      <c r="AH58" s="97">
        <f t="shared" si="38"/>
        <v>0</v>
      </c>
      <c r="AI58" s="202"/>
      <c r="AJ58" s="96"/>
      <c r="AK58" s="96"/>
      <c r="AL58" s="96"/>
      <c r="AM58" s="97">
        <f t="shared" si="39"/>
        <v>0</v>
      </c>
      <c r="AN58" s="96"/>
      <c r="AO58" s="96"/>
      <c r="AP58" s="96"/>
      <c r="AQ58" s="96"/>
      <c r="AR58" s="97">
        <f t="shared" si="40"/>
        <v>0</v>
      </c>
      <c r="AS58" s="96"/>
      <c r="AT58" s="202"/>
      <c r="AU58" s="202"/>
      <c r="AV58" s="202"/>
      <c r="AW58" s="95">
        <f t="shared" si="41"/>
        <v>0</v>
      </c>
      <c r="AX58" s="96"/>
      <c r="AY58" s="96"/>
      <c r="AZ58" s="96"/>
      <c r="BA58" s="673"/>
      <c r="BB58" s="95">
        <f t="shared" si="42"/>
        <v>0</v>
      </c>
      <c r="BC58" s="673"/>
      <c r="BD58" s="202"/>
      <c r="BE58" s="202"/>
      <c r="BF58" s="202"/>
      <c r="BG58" s="95">
        <f t="shared" si="43"/>
        <v>0</v>
      </c>
      <c r="BH58" s="96"/>
      <c r="BI58" s="202"/>
      <c r="BJ58" s="96"/>
      <c r="BK58" s="96"/>
      <c r="BL58" s="95">
        <f t="shared" si="44"/>
        <v>0</v>
      </c>
      <c r="BM58" s="673"/>
      <c r="BN58" s="202"/>
      <c r="BO58" s="673"/>
      <c r="BP58" s="673"/>
      <c r="BQ58" s="95">
        <f t="shared" si="45"/>
        <v>0</v>
      </c>
      <c r="BR58" s="673"/>
      <c r="BS58" s="96"/>
      <c r="BT58" s="96"/>
      <c r="BU58" s="96"/>
      <c r="BV58" s="95">
        <f t="shared" si="46"/>
        <v>0</v>
      </c>
      <c r="BW58" s="96"/>
      <c r="BX58" s="202"/>
      <c r="BY58" s="202"/>
      <c r="BZ58" s="96"/>
      <c r="CA58" s="95">
        <f t="shared" si="47"/>
        <v>0</v>
      </c>
    </row>
    <row r="59" spans="1:79" s="128" customFormat="1" ht="14.1" hidden="1" customHeight="1" outlineLevel="1">
      <c r="A59" s="99"/>
      <c r="B59" s="98"/>
      <c r="C59" s="100" t="s">
        <v>178</v>
      </c>
      <c r="D59" s="100"/>
      <c r="E59" s="96"/>
      <c r="F59" s="96"/>
      <c r="G59" s="96"/>
      <c r="H59" s="96"/>
      <c r="I59" s="95"/>
      <c r="J59" s="96"/>
      <c r="K59" s="96"/>
      <c r="L59" s="96"/>
      <c r="M59" s="96"/>
      <c r="N59" s="95"/>
      <c r="O59" s="96"/>
      <c r="P59" s="96"/>
      <c r="Q59" s="96"/>
      <c r="R59" s="96"/>
      <c r="S59" s="95"/>
      <c r="T59" s="96"/>
      <c r="U59" s="96"/>
      <c r="V59" s="96"/>
      <c r="W59" s="96"/>
      <c r="X59" s="95"/>
      <c r="Y59" s="96"/>
      <c r="Z59" s="202"/>
      <c r="AA59" s="286">
        <v>1026</v>
      </c>
      <c r="AB59" s="202">
        <v>-3114</v>
      </c>
      <c r="AC59" s="95">
        <f t="shared" si="37"/>
        <v>-2088</v>
      </c>
      <c r="AD59" s="202">
        <f>1700+135</f>
        <v>1835</v>
      </c>
      <c r="AE59" s="202">
        <v>-58</v>
      </c>
      <c r="AF59" s="202">
        <f>-2133-72</f>
        <v>-2205</v>
      </c>
      <c r="AG59" s="202">
        <v>-133</v>
      </c>
      <c r="AH59" s="95">
        <f t="shared" si="38"/>
        <v>-561</v>
      </c>
      <c r="AI59" s="202">
        <v>-352</v>
      </c>
      <c r="AJ59" s="96">
        <v>241</v>
      </c>
      <c r="AK59" s="96">
        <v>258</v>
      </c>
      <c r="AL59" s="96"/>
      <c r="AM59" s="95">
        <f t="shared" si="39"/>
        <v>147</v>
      </c>
      <c r="AN59" s="96">
        <f>-217+292</f>
        <v>75</v>
      </c>
      <c r="AO59" s="96">
        <f>420+64</f>
        <v>484</v>
      </c>
      <c r="AP59" s="96"/>
      <c r="AQ59" s="96">
        <v>338</v>
      </c>
      <c r="AR59" s="95">
        <f t="shared" si="40"/>
        <v>897</v>
      </c>
      <c r="AS59" s="96">
        <v>329</v>
      </c>
      <c r="AT59" s="286">
        <f>618+1637+1199</f>
        <v>3454</v>
      </c>
      <c r="AU59" s="202">
        <f>2030</f>
        <v>2030</v>
      </c>
      <c r="AV59" s="202">
        <v>2339</v>
      </c>
      <c r="AW59" s="95">
        <f t="shared" si="41"/>
        <v>8152</v>
      </c>
      <c r="AX59" s="96">
        <f>1094+2500</f>
        <v>3594</v>
      </c>
      <c r="AY59" s="96">
        <f>973+2700</f>
        <v>3673</v>
      </c>
      <c r="AZ59" s="96">
        <f>9158+60</f>
        <v>9218</v>
      </c>
      <c r="BA59" s="673">
        <f>2351+380</f>
        <v>2731</v>
      </c>
      <c r="BB59" s="95">
        <f t="shared" si="42"/>
        <v>19216</v>
      </c>
      <c r="BC59" s="673">
        <f>3332+1638+260</f>
        <v>5230</v>
      </c>
      <c r="BD59" s="816">
        <f>1714+883-3511</f>
        <v>-914</v>
      </c>
      <c r="BE59" s="673">
        <f>774+1944</f>
        <v>2718</v>
      </c>
      <c r="BF59" s="202">
        <f>2975+1605</f>
        <v>4580</v>
      </c>
      <c r="BG59" s="95">
        <f t="shared" si="43"/>
        <v>11614</v>
      </c>
      <c r="BH59" s="96">
        <f>1455+596</f>
        <v>2051</v>
      </c>
      <c r="BI59" s="673">
        <f>815+877</f>
        <v>1692</v>
      </c>
      <c r="BJ59" s="96">
        <f>18+492+268+659</f>
        <v>1437</v>
      </c>
      <c r="BK59" s="673">
        <f>3670+243</f>
        <v>3913</v>
      </c>
      <c r="BL59" s="95">
        <f t="shared" si="44"/>
        <v>9093</v>
      </c>
      <c r="BM59" s="673">
        <f>932+25</f>
        <v>957</v>
      </c>
      <c r="BN59" s="673">
        <f>32+4089</f>
        <v>4121</v>
      </c>
      <c r="BO59" s="673">
        <f>21+4486</f>
        <v>4507</v>
      </c>
      <c r="BP59" s="673">
        <f>2797</f>
        <v>2797</v>
      </c>
      <c r="BQ59" s="95">
        <f t="shared" si="45"/>
        <v>12382</v>
      </c>
      <c r="BR59" s="673">
        <f>1265+141+982</f>
        <v>2388</v>
      </c>
      <c r="BS59" s="96">
        <f>742+746+95+368</f>
        <v>1951</v>
      </c>
      <c r="BT59" s="96">
        <f>1170+448+392+2</f>
        <v>2012</v>
      </c>
      <c r="BU59" s="96">
        <v>2155</v>
      </c>
      <c r="BV59" s="95">
        <f t="shared" si="46"/>
        <v>8506</v>
      </c>
      <c r="BW59" s="445">
        <v>2100</v>
      </c>
      <c r="BX59" s="445">
        <v>2100</v>
      </c>
      <c r="BY59" s="445">
        <v>2100</v>
      </c>
      <c r="BZ59" s="445">
        <v>2100</v>
      </c>
      <c r="CA59" s="95">
        <f t="shared" si="47"/>
        <v>8400</v>
      </c>
    </row>
    <row r="60" spans="1:79" s="128" customFormat="1" ht="14.1" hidden="1" customHeight="1" outlineLevel="1">
      <c r="A60" s="99"/>
      <c r="B60" s="98"/>
      <c r="C60" s="169" t="s">
        <v>182</v>
      </c>
      <c r="D60" s="100">
        <v>0</v>
      </c>
      <c r="E60" s="96">
        <v>0</v>
      </c>
      <c r="F60" s="96">
        <v>0</v>
      </c>
      <c r="G60" s="96">
        <v>0</v>
      </c>
      <c r="H60" s="96">
        <v>0</v>
      </c>
      <c r="I60" s="95"/>
      <c r="J60" s="96">
        <v>-230</v>
      </c>
      <c r="K60" s="96">
        <v>785</v>
      </c>
      <c r="L60" s="96">
        <v>622</v>
      </c>
      <c r="M60" s="96">
        <v>694</v>
      </c>
      <c r="N60" s="95">
        <f t="shared" si="49"/>
        <v>1871</v>
      </c>
      <c r="O60" s="96">
        <v>-1745</v>
      </c>
      <c r="P60" s="96">
        <v>0</v>
      </c>
      <c r="Q60" s="96">
        <v>0</v>
      </c>
      <c r="R60" s="96">
        <v>0</v>
      </c>
      <c r="S60" s="95">
        <f t="shared" si="36"/>
        <v>-1745</v>
      </c>
      <c r="T60" s="96">
        <v>575</v>
      </c>
      <c r="U60" s="96">
        <v>190</v>
      </c>
      <c r="V60" s="96">
        <v>0</v>
      </c>
      <c r="W60" s="96">
        <v>0</v>
      </c>
      <c r="X60" s="95">
        <f t="shared" si="50"/>
        <v>765</v>
      </c>
      <c r="Y60" s="96">
        <v>0</v>
      </c>
      <c r="Z60" s="202">
        <v>0</v>
      </c>
      <c r="AA60" s="286"/>
      <c r="AB60" s="202"/>
      <c r="AC60" s="95">
        <f t="shared" si="37"/>
        <v>0</v>
      </c>
      <c r="AD60" s="202"/>
      <c r="AE60" s="202"/>
      <c r="AF60" s="202"/>
      <c r="AG60" s="202"/>
      <c r="AH60" s="97">
        <f t="shared" si="38"/>
        <v>0</v>
      </c>
      <c r="AI60" s="202"/>
      <c r="AJ60" s="96"/>
      <c r="AK60" s="96"/>
      <c r="AL60" s="96"/>
      <c r="AM60" s="97">
        <f t="shared" si="39"/>
        <v>0</v>
      </c>
      <c r="AN60" s="96"/>
      <c r="AO60" s="96"/>
      <c r="AP60" s="96"/>
      <c r="AQ60" s="96"/>
      <c r="AR60" s="97">
        <f t="shared" si="40"/>
        <v>0</v>
      </c>
      <c r="AS60" s="96"/>
      <c r="AT60" s="202"/>
      <c r="AU60" s="202"/>
      <c r="AV60" s="202"/>
      <c r="AW60" s="97">
        <f t="shared" si="41"/>
        <v>0</v>
      </c>
      <c r="AX60" s="96"/>
      <c r="AY60" s="202"/>
      <c r="AZ60" s="202"/>
      <c r="BA60" s="673"/>
      <c r="BB60" s="97">
        <f t="shared" si="42"/>
        <v>0</v>
      </c>
      <c r="BC60" s="673"/>
      <c r="BD60" s="202"/>
      <c r="BE60" s="202"/>
      <c r="BF60" s="202"/>
      <c r="BG60" s="97">
        <f t="shared" si="43"/>
        <v>0</v>
      </c>
      <c r="BH60" s="96"/>
      <c r="BI60" s="202"/>
      <c r="BJ60" s="96"/>
      <c r="BK60" s="96"/>
      <c r="BL60" s="97">
        <f t="shared" si="44"/>
        <v>0</v>
      </c>
      <c r="BM60" s="673"/>
      <c r="BN60" s="202"/>
      <c r="BO60" s="673"/>
      <c r="BP60" s="673"/>
      <c r="BQ60" s="97">
        <f t="shared" si="45"/>
        <v>0</v>
      </c>
      <c r="BR60" s="673"/>
      <c r="BS60" s="96"/>
      <c r="BT60" s="96"/>
      <c r="BU60" s="96"/>
      <c r="BV60" s="97">
        <f t="shared" si="46"/>
        <v>0</v>
      </c>
      <c r="BW60" s="96"/>
      <c r="BX60" s="202"/>
      <c r="BY60" s="202"/>
      <c r="BZ60" s="96"/>
      <c r="CA60" s="97">
        <f t="shared" si="47"/>
        <v>0</v>
      </c>
    </row>
    <row r="61" spans="1:79" s="128" customFormat="1" ht="14.1" hidden="1" customHeight="1" outlineLevel="1">
      <c r="A61" s="99"/>
      <c r="B61" s="98"/>
      <c r="C61" s="100" t="s">
        <v>239</v>
      </c>
      <c r="D61" s="220">
        <v>55</v>
      </c>
      <c r="E61" s="284">
        <v>120</v>
      </c>
      <c r="F61" s="284">
        <v>707</v>
      </c>
      <c r="G61" s="284">
        <v>730</v>
      </c>
      <c r="H61" s="284">
        <v>117</v>
      </c>
      <c r="I61" s="95">
        <f t="shared" si="48"/>
        <v>1674</v>
      </c>
      <c r="J61" s="107">
        <v>0</v>
      </c>
      <c r="K61" s="107">
        <v>0</v>
      </c>
      <c r="L61" s="107">
        <v>0</v>
      </c>
      <c r="M61" s="96">
        <v>0</v>
      </c>
      <c r="N61" s="95">
        <f t="shared" si="49"/>
        <v>0</v>
      </c>
      <c r="O61" s="96">
        <v>0</v>
      </c>
      <c r="P61" s="96">
        <v>0</v>
      </c>
      <c r="Q61" s="96">
        <v>0</v>
      </c>
      <c r="R61" s="96">
        <v>0</v>
      </c>
      <c r="S61" s="95">
        <f t="shared" si="36"/>
        <v>0</v>
      </c>
      <c r="T61" s="96">
        <v>0</v>
      </c>
      <c r="U61" s="96">
        <v>0</v>
      </c>
      <c r="V61" s="96">
        <v>0</v>
      </c>
      <c r="W61" s="96">
        <v>0</v>
      </c>
      <c r="X61" s="95">
        <f t="shared" si="50"/>
        <v>0</v>
      </c>
      <c r="Y61" s="96">
        <v>0</v>
      </c>
      <c r="Z61" s="202">
        <v>0</v>
      </c>
      <c r="AA61" s="202"/>
      <c r="AB61" s="202"/>
      <c r="AC61" s="95">
        <f t="shared" si="37"/>
        <v>0</v>
      </c>
      <c r="AD61" s="202"/>
      <c r="AE61" s="202"/>
      <c r="AF61" s="202"/>
      <c r="AG61" s="202"/>
      <c r="AH61" s="97">
        <f t="shared" si="38"/>
        <v>0</v>
      </c>
      <c r="AI61" s="202"/>
      <c r="AJ61" s="96"/>
      <c r="AK61" s="96"/>
      <c r="AL61" s="133"/>
      <c r="AM61" s="97">
        <f>SUM(AI61:AL61)</f>
        <v>0</v>
      </c>
      <c r="AN61" s="96"/>
      <c r="AO61" s="96"/>
      <c r="AP61" s="96"/>
      <c r="AQ61" s="133"/>
      <c r="AR61" s="97">
        <f t="shared" si="40"/>
        <v>0</v>
      </c>
      <c r="AS61" s="96"/>
      <c r="AT61" s="202"/>
      <c r="AU61" s="202"/>
      <c r="AV61" s="202"/>
      <c r="AW61" s="97">
        <f t="shared" si="41"/>
        <v>0</v>
      </c>
      <c r="AX61" s="96"/>
      <c r="AY61" s="202"/>
      <c r="AZ61" s="202"/>
      <c r="BA61" s="673"/>
      <c r="BB61" s="97">
        <f t="shared" si="42"/>
        <v>0</v>
      </c>
      <c r="BC61" s="673"/>
      <c r="BD61" s="202"/>
      <c r="BE61" s="202"/>
      <c r="BF61" s="202"/>
      <c r="BG61" s="97">
        <f t="shared" si="43"/>
        <v>0</v>
      </c>
      <c r="BH61" s="96"/>
      <c r="BI61" s="202"/>
      <c r="BJ61" s="96"/>
      <c r="BK61" s="133"/>
      <c r="BL61" s="97">
        <f t="shared" si="44"/>
        <v>0</v>
      </c>
      <c r="BM61" s="673"/>
      <c r="BN61" s="202"/>
      <c r="BO61" s="673"/>
      <c r="BP61" s="673"/>
      <c r="BQ61" s="97">
        <f t="shared" si="45"/>
        <v>0</v>
      </c>
      <c r="BR61" s="673"/>
      <c r="BS61" s="96"/>
      <c r="BT61" s="96"/>
      <c r="BU61" s="96"/>
      <c r="BV61" s="97">
        <f t="shared" si="46"/>
        <v>0</v>
      </c>
      <c r="BW61" s="96"/>
      <c r="BX61" s="202"/>
      <c r="BY61" s="202"/>
      <c r="BZ61" s="133"/>
      <c r="CA61" s="97">
        <f t="shared" si="47"/>
        <v>0</v>
      </c>
    </row>
    <row r="62" spans="1:79" s="128" customFormat="1" ht="14.1" hidden="1" customHeight="1" outlineLevel="1">
      <c r="A62" s="99"/>
      <c r="B62" s="98"/>
      <c r="C62" s="100" t="s">
        <v>504</v>
      </c>
      <c r="D62" s="220"/>
      <c r="E62" s="284"/>
      <c r="F62" s="284"/>
      <c r="G62" s="284"/>
      <c r="H62" s="284"/>
      <c r="I62" s="95"/>
      <c r="J62" s="107"/>
      <c r="K62" s="107"/>
      <c r="L62" s="107"/>
      <c r="M62" s="96"/>
      <c r="N62" s="95"/>
      <c r="O62" s="96"/>
      <c r="P62" s="96"/>
      <c r="Q62" s="96"/>
      <c r="R62" s="96"/>
      <c r="S62" s="95"/>
      <c r="T62" s="96"/>
      <c r="U62" s="96"/>
      <c r="V62" s="96"/>
      <c r="W62" s="96"/>
      <c r="X62" s="95"/>
      <c r="Y62" s="96"/>
      <c r="Z62" s="202"/>
      <c r="AA62" s="202"/>
      <c r="AB62" s="202"/>
      <c r="AC62" s="95"/>
      <c r="AD62" s="202"/>
      <c r="AE62" s="202"/>
      <c r="AF62" s="202"/>
      <c r="AG62" s="202"/>
      <c r="AH62" s="97"/>
      <c r="AI62" s="202"/>
      <c r="AJ62" s="96"/>
      <c r="AK62" s="96"/>
      <c r="AL62" s="133"/>
      <c r="AM62" s="97"/>
      <c r="AN62" s="96"/>
      <c r="AO62" s="96"/>
      <c r="AP62" s="96"/>
      <c r="AQ62" s="133"/>
      <c r="AR62" s="97"/>
      <c r="AS62" s="96"/>
      <c r="AT62" s="202"/>
      <c r="AU62" s="202"/>
      <c r="AV62" s="202"/>
      <c r="AW62" s="97"/>
      <c r="AX62" s="96"/>
      <c r="AY62" s="202"/>
      <c r="AZ62" s="202"/>
      <c r="BA62" s="673"/>
      <c r="BB62" s="97"/>
      <c r="BC62" s="673"/>
      <c r="BD62" s="202"/>
      <c r="BE62" s="202"/>
      <c r="BF62" s="202"/>
      <c r="BG62" s="97"/>
      <c r="BH62" s="96"/>
      <c r="BI62" s="202"/>
      <c r="BJ62" s="96"/>
      <c r="BK62" s="133"/>
      <c r="BL62" s="97"/>
      <c r="BM62" s="673"/>
      <c r="BN62" s="202"/>
      <c r="BO62" s="673">
        <v>9625</v>
      </c>
      <c r="BP62" s="673"/>
      <c r="BQ62" s="95">
        <f t="shared" si="45"/>
        <v>9625</v>
      </c>
      <c r="BR62" s="673"/>
      <c r="BS62" s="96">
        <f>1565+1931+3319+952+974</f>
        <v>8741</v>
      </c>
      <c r="BT62" s="96">
        <f>25+182+196+1851</f>
        <v>2254</v>
      </c>
      <c r="BU62" s="96">
        <f>1728+873</f>
        <v>2601</v>
      </c>
      <c r="BV62" s="97">
        <f>SUM(BR62:BU62)</f>
        <v>13596</v>
      </c>
      <c r="BW62" s="96"/>
      <c r="BX62" s="202"/>
      <c r="BY62" s="202"/>
      <c r="BZ62" s="133"/>
      <c r="CA62" s="97"/>
    </row>
    <row r="63" spans="1:79" s="128" customFormat="1" ht="14.1" hidden="1" customHeight="1" outlineLevel="1">
      <c r="A63" s="98"/>
      <c r="B63" s="98"/>
      <c r="C63" s="100" t="s">
        <v>93</v>
      </c>
      <c r="D63" s="100">
        <v>357</v>
      </c>
      <c r="E63" s="96">
        <v>78.275329999999997</v>
      </c>
      <c r="F63" s="96">
        <v>71.149019999999993</v>
      </c>
      <c r="G63" s="96">
        <v>119.27673</v>
      </c>
      <c r="H63" s="96">
        <v>195.57034000000002</v>
      </c>
      <c r="I63" s="95">
        <f t="shared" si="48"/>
        <v>464.27142000000003</v>
      </c>
      <c r="J63" s="96">
        <v>263.86584999999997</v>
      </c>
      <c r="K63" s="96">
        <v>304.17114000000004</v>
      </c>
      <c r="L63" s="96">
        <v>457.26569000000006</v>
      </c>
      <c r="M63" s="96">
        <v>922.86144999999999</v>
      </c>
      <c r="N63" s="95">
        <f t="shared" si="49"/>
        <v>1948.1641300000001</v>
      </c>
      <c r="O63" s="96">
        <v>1196</v>
      </c>
      <c r="P63" s="96">
        <v>1723</v>
      </c>
      <c r="Q63" s="96">
        <v>1877</v>
      </c>
      <c r="R63" s="96">
        <v>1957</v>
      </c>
      <c r="S63" s="95">
        <f t="shared" si="36"/>
        <v>6753</v>
      </c>
      <c r="T63" s="96">
        <v>2235</v>
      </c>
      <c r="U63" s="96">
        <v>1830</v>
      </c>
      <c r="V63" s="96">
        <v>1945</v>
      </c>
      <c r="W63" s="96">
        <v>1720</v>
      </c>
      <c r="X63" s="95">
        <f t="shared" si="50"/>
        <v>7730</v>
      </c>
      <c r="Y63" s="96">
        <v>1994</v>
      </c>
      <c r="Z63" s="202">
        <v>2414</v>
      </c>
      <c r="AA63" s="202">
        <v>2519</v>
      </c>
      <c r="AB63" s="202">
        <v>2716</v>
      </c>
      <c r="AC63" s="95">
        <f t="shared" si="37"/>
        <v>9643</v>
      </c>
      <c r="AD63" s="202">
        <v>3129</v>
      </c>
      <c r="AE63" s="202">
        <v>3854</v>
      </c>
      <c r="AF63" s="202">
        <v>3720</v>
      </c>
      <c r="AG63" s="202">
        <v>4640</v>
      </c>
      <c r="AH63" s="95">
        <f t="shared" si="38"/>
        <v>15343</v>
      </c>
      <c r="AI63" s="202">
        <v>5325</v>
      </c>
      <c r="AJ63" s="96">
        <v>6797</v>
      </c>
      <c r="AK63" s="96">
        <v>8869</v>
      </c>
      <c r="AL63" s="202">
        <v>7493</v>
      </c>
      <c r="AM63" s="95">
        <f>SUM(AI63:AL63)</f>
        <v>28484</v>
      </c>
      <c r="AN63" s="96">
        <v>8686</v>
      </c>
      <c r="AO63" s="96">
        <v>10436</v>
      </c>
      <c r="AP63" s="96">
        <v>11075</v>
      </c>
      <c r="AQ63" s="202">
        <v>11868</v>
      </c>
      <c r="AR63" s="95">
        <f t="shared" si="40"/>
        <v>42065</v>
      </c>
      <c r="AS63" s="202">
        <v>13794</v>
      </c>
      <c r="AT63" s="202">
        <v>16791</v>
      </c>
      <c r="AU63" s="202">
        <v>17286</v>
      </c>
      <c r="AV63" s="202">
        <v>16876</v>
      </c>
      <c r="AW63" s="95">
        <f t="shared" si="41"/>
        <v>64747</v>
      </c>
      <c r="AX63" s="202">
        <v>20908</v>
      </c>
      <c r="AY63" s="202">
        <v>24901</v>
      </c>
      <c r="AZ63" s="202">
        <v>27395</v>
      </c>
      <c r="BA63" s="673">
        <v>35601</v>
      </c>
      <c r="BB63" s="95">
        <f t="shared" si="42"/>
        <v>108805</v>
      </c>
      <c r="BC63" s="673">
        <v>39394</v>
      </c>
      <c r="BD63" s="673">
        <v>44786</v>
      </c>
      <c r="BE63" s="673">
        <v>44503</v>
      </c>
      <c r="BF63" s="202">
        <v>43824</v>
      </c>
      <c r="BG63" s="95">
        <f t="shared" si="43"/>
        <v>172507</v>
      </c>
      <c r="BH63" s="96">
        <v>50743</v>
      </c>
      <c r="BI63" s="673">
        <v>53367</v>
      </c>
      <c r="BJ63" s="96">
        <v>52611</v>
      </c>
      <c r="BK63" s="673">
        <v>49571</v>
      </c>
      <c r="BL63" s="95">
        <f t="shared" si="44"/>
        <v>206292</v>
      </c>
      <c r="BM63" s="673">
        <v>44684</v>
      </c>
      <c r="BN63" s="673">
        <v>43632</v>
      </c>
      <c r="BO63" s="673">
        <v>39556</v>
      </c>
      <c r="BP63" s="673">
        <v>38443</v>
      </c>
      <c r="BQ63" s="95">
        <f t="shared" si="45"/>
        <v>166315</v>
      </c>
      <c r="BR63" s="673">
        <v>39245</v>
      </c>
      <c r="BS63" s="96">
        <v>41859</v>
      </c>
      <c r="BT63" s="96">
        <v>33339</v>
      </c>
      <c r="BU63" s="96">
        <v>33625</v>
      </c>
      <c r="BV63" s="95">
        <f t="shared" si="46"/>
        <v>148068</v>
      </c>
      <c r="BW63" s="445">
        <v>35000</v>
      </c>
      <c r="BX63" s="445">
        <v>35000</v>
      </c>
      <c r="BY63" s="445">
        <v>40000</v>
      </c>
      <c r="BZ63" s="445">
        <v>42000</v>
      </c>
      <c r="CA63" s="95">
        <f>SUM(BW63:BZ63)</f>
        <v>152000</v>
      </c>
    </row>
    <row r="64" spans="1:79" s="135" customFormat="1" ht="14.1" customHeight="1" collapsed="1">
      <c r="A64" s="139"/>
      <c r="B64" s="138" t="s">
        <v>92</v>
      </c>
      <c r="C64" s="221"/>
      <c r="D64" s="221">
        <f t="shared" ref="D64:AH64" si="51">SUM(D53:D63)</f>
        <v>412</v>
      </c>
      <c r="E64" s="137">
        <f t="shared" si="51"/>
        <v>198.27533</v>
      </c>
      <c r="F64" s="137">
        <f t="shared" si="51"/>
        <v>778.14901999999995</v>
      </c>
      <c r="G64" s="137">
        <f t="shared" si="51"/>
        <v>849.27673000000004</v>
      </c>
      <c r="H64" s="137">
        <f t="shared" si="51"/>
        <v>312.57033999999999</v>
      </c>
      <c r="I64" s="136">
        <f t="shared" si="51"/>
        <v>2138.27142</v>
      </c>
      <c r="J64" s="137">
        <f t="shared" si="51"/>
        <v>33.865849999999966</v>
      </c>
      <c r="K64" s="137">
        <f t="shared" si="51"/>
        <v>1089.1711399999999</v>
      </c>
      <c r="L64" s="137">
        <f t="shared" si="51"/>
        <v>1079.2656900000002</v>
      </c>
      <c r="M64" s="137">
        <f t="shared" si="51"/>
        <v>1727.8614499999999</v>
      </c>
      <c r="N64" s="136">
        <f t="shared" si="51"/>
        <v>3930.1641300000001</v>
      </c>
      <c r="O64" s="137">
        <f t="shared" si="51"/>
        <v>-370</v>
      </c>
      <c r="P64" s="137">
        <f t="shared" si="51"/>
        <v>-837</v>
      </c>
      <c r="Q64" s="137">
        <f t="shared" si="51"/>
        <v>4086</v>
      </c>
      <c r="R64" s="137">
        <f t="shared" si="51"/>
        <v>2586</v>
      </c>
      <c r="S64" s="136">
        <f t="shared" si="51"/>
        <v>5465</v>
      </c>
      <c r="T64" s="137">
        <f t="shared" si="51"/>
        <v>3022</v>
      </c>
      <c r="U64" s="137">
        <f t="shared" si="51"/>
        <v>2235</v>
      </c>
      <c r="V64" s="137">
        <f t="shared" si="51"/>
        <v>2162</v>
      </c>
      <c r="W64" s="137">
        <f t="shared" si="51"/>
        <v>1938</v>
      </c>
      <c r="X64" s="136">
        <f t="shared" si="51"/>
        <v>9357</v>
      </c>
      <c r="Y64" s="137">
        <f t="shared" si="51"/>
        <v>2213</v>
      </c>
      <c r="Z64" s="360">
        <f t="shared" si="51"/>
        <v>2629</v>
      </c>
      <c r="AA64" s="137">
        <f t="shared" si="51"/>
        <v>3717</v>
      </c>
      <c r="AB64" s="137">
        <f t="shared" si="51"/>
        <v>-261</v>
      </c>
      <c r="AC64" s="136">
        <f t="shared" si="51"/>
        <v>8298</v>
      </c>
      <c r="AD64" s="137">
        <f t="shared" si="51"/>
        <v>4998</v>
      </c>
      <c r="AE64" s="360">
        <f t="shared" si="51"/>
        <v>3933</v>
      </c>
      <c r="AF64" s="360">
        <f t="shared" si="51"/>
        <v>1650</v>
      </c>
      <c r="AG64" s="360">
        <f t="shared" si="51"/>
        <v>4643</v>
      </c>
      <c r="AH64" s="136">
        <f t="shared" si="51"/>
        <v>15224</v>
      </c>
      <c r="AI64" s="360">
        <f t="shared" ref="AI64:CA64" si="52">SUM(AI53:AI63)</f>
        <v>5109</v>
      </c>
      <c r="AJ64" s="137">
        <f t="shared" si="52"/>
        <v>8907</v>
      </c>
      <c r="AK64" s="137">
        <f t="shared" si="52"/>
        <v>12382</v>
      </c>
      <c r="AL64" s="137">
        <f t="shared" si="52"/>
        <v>10778</v>
      </c>
      <c r="AM64" s="136">
        <f t="shared" si="52"/>
        <v>37176</v>
      </c>
      <c r="AN64" s="137">
        <f t="shared" si="52"/>
        <v>9066</v>
      </c>
      <c r="AO64" s="137">
        <f t="shared" si="52"/>
        <v>11008</v>
      </c>
      <c r="AP64" s="137">
        <f t="shared" si="52"/>
        <v>11163</v>
      </c>
      <c r="AQ64" s="137">
        <f t="shared" si="52"/>
        <v>12824</v>
      </c>
      <c r="AR64" s="136">
        <f t="shared" si="52"/>
        <v>43844</v>
      </c>
      <c r="AS64" s="137">
        <f t="shared" si="52"/>
        <v>15213</v>
      </c>
      <c r="AT64" s="137">
        <f t="shared" si="52"/>
        <v>21983</v>
      </c>
      <c r="AU64" s="137">
        <f t="shared" si="52"/>
        <v>21054</v>
      </c>
      <c r="AV64" s="137">
        <f t="shared" si="52"/>
        <v>21498</v>
      </c>
      <c r="AW64" s="136">
        <f t="shared" si="52"/>
        <v>79748</v>
      </c>
      <c r="AX64" s="137">
        <f t="shared" si="52"/>
        <v>27449</v>
      </c>
      <c r="AY64" s="137">
        <f t="shared" si="52"/>
        <v>31521</v>
      </c>
      <c r="AZ64" s="137">
        <f t="shared" si="52"/>
        <v>39560</v>
      </c>
      <c r="BA64" s="137">
        <f t="shared" si="52"/>
        <v>41279</v>
      </c>
      <c r="BB64" s="136">
        <f t="shared" si="52"/>
        <v>139809</v>
      </c>
      <c r="BC64" s="137">
        <f t="shared" si="52"/>
        <v>47571</v>
      </c>
      <c r="BD64" s="137">
        <f t="shared" si="52"/>
        <v>46807</v>
      </c>
      <c r="BE64" s="137">
        <f t="shared" si="52"/>
        <v>50155</v>
      </c>
      <c r="BF64" s="360">
        <f t="shared" si="52"/>
        <v>51294</v>
      </c>
      <c r="BG64" s="136">
        <f t="shared" si="52"/>
        <v>195827</v>
      </c>
      <c r="BH64" s="137">
        <f t="shared" si="52"/>
        <v>55640</v>
      </c>
      <c r="BI64" s="137">
        <f t="shared" si="52"/>
        <v>57904</v>
      </c>
      <c r="BJ64" s="137">
        <f t="shared" si="52"/>
        <v>57230</v>
      </c>
      <c r="BK64" s="137">
        <f t="shared" si="52"/>
        <v>56630</v>
      </c>
      <c r="BL64" s="136">
        <f t="shared" si="52"/>
        <v>227404</v>
      </c>
      <c r="BM64" s="137">
        <f t="shared" si="52"/>
        <v>48289</v>
      </c>
      <c r="BN64" s="137">
        <f t="shared" si="52"/>
        <v>50401</v>
      </c>
      <c r="BO64" s="137">
        <f t="shared" si="52"/>
        <v>56884</v>
      </c>
      <c r="BP64" s="137">
        <f t="shared" si="52"/>
        <v>45339</v>
      </c>
      <c r="BQ64" s="136">
        <f t="shared" si="52"/>
        <v>200913</v>
      </c>
      <c r="BR64" s="137">
        <f t="shared" si="52"/>
        <v>45733</v>
      </c>
      <c r="BS64" s="137">
        <f t="shared" si="52"/>
        <v>56015</v>
      </c>
      <c r="BT64" s="137">
        <f t="shared" si="52"/>
        <v>41069</v>
      </c>
      <c r="BU64" s="137">
        <f t="shared" si="52"/>
        <v>41819</v>
      </c>
      <c r="BV64" s="136">
        <f t="shared" si="52"/>
        <v>184636</v>
      </c>
      <c r="BW64" s="137">
        <f t="shared" si="52"/>
        <v>40600</v>
      </c>
      <c r="BX64" s="137">
        <f t="shared" si="52"/>
        <v>40600</v>
      </c>
      <c r="BY64" s="137">
        <f t="shared" si="52"/>
        <v>45600</v>
      </c>
      <c r="BZ64" s="137">
        <f t="shared" si="52"/>
        <v>47600</v>
      </c>
      <c r="CA64" s="136">
        <f t="shared" si="52"/>
        <v>174400</v>
      </c>
    </row>
    <row r="65" spans="1:79" s="135" customFormat="1" ht="9.9499999999999993" customHeight="1">
      <c r="A65" s="139"/>
      <c r="B65" s="138"/>
      <c r="C65" s="221"/>
      <c r="D65" s="221"/>
      <c r="E65" s="137"/>
      <c r="F65" s="137"/>
      <c r="G65" s="137"/>
      <c r="H65" s="137"/>
      <c r="I65" s="136"/>
      <c r="J65" s="137"/>
      <c r="K65" s="137"/>
      <c r="L65" s="137"/>
      <c r="M65" s="137"/>
      <c r="N65" s="136"/>
      <c r="O65" s="137"/>
      <c r="P65" s="137"/>
      <c r="Q65" s="137"/>
      <c r="R65" s="137"/>
      <c r="S65" s="136"/>
      <c r="T65" s="137"/>
      <c r="U65" s="137"/>
      <c r="V65" s="137"/>
      <c r="W65" s="137"/>
      <c r="X65" s="136"/>
      <c r="Y65" s="137"/>
      <c r="Z65" s="360"/>
      <c r="AA65" s="137"/>
      <c r="AB65" s="137"/>
      <c r="AC65" s="136"/>
      <c r="AD65" s="137"/>
      <c r="AE65" s="360"/>
      <c r="AF65" s="360"/>
      <c r="AG65" s="360"/>
      <c r="AH65" s="136"/>
      <c r="AI65" s="360"/>
      <c r="AJ65" s="137"/>
      <c r="AK65" s="137"/>
      <c r="AL65" s="137"/>
      <c r="AM65" s="136"/>
      <c r="AN65" s="137"/>
      <c r="AO65" s="137"/>
      <c r="AP65" s="137"/>
      <c r="AQ65" s="137"/>
      <c r="AR65" s="136"/>
      <c r="AS65" s="137"/>
      <c r="AT65" s="137"/>
      <c r="AU65" s="137"/>
      <c r="AV65" s="137"/>
      <c r="AW65" s="136"/>
      <c r="AX65" s="137"/>
      <c r="AY65" s="137"/>
      <c r="AZ65" s="137"/>
      <c r="BA65" s="137"/>
      <c r="BB65" s="136"/>
      <c r="BC65" s="137"/>
      <c r="BD65" s="137"/>
      <c r="BE65" s="137"/>
      <c r="BF65" s="360"/>
      <c r="BG65" s="136"/>
      <c r="BH65" s="137"/>
      <c r="BI65" s="137"/>
      <c r="BJ65" s="137"/>
      <c r="BK65" s="137"/>
      <c r="BL65" s="136"/>
      <c r="BM65" s="137"/>
      <c r="BN65" s="137"/>
      <c r="BO65" s="137"/>
      <c r="BP65" s="137"/>
      <c r="BQ65" s="136"/>
      <c r="BR65" s="137"/>
      <c r="BS65" s="137"/>
      <c r="BT65" s="137"/>
      <c r="BU65" s="137"/>
      <c r="BV65" s="136"/>
      <c r="BW65" s="137"/>
      <c r="BX65" s="137"/>
      <c r="BY65" s="137"/>
      <c r="BZ65" s="137"/>
      <c r="CA65" s="136"/>
    </row>
    <row r="66" spans="1:79" s="128" customFormat="1" ht="14.1" customHeight="1">
      <c r="A66" s="99"/>
      <c r="B66" s="112" t="s">
        <v>2</v>
      </c>
      <c r="C66" s="100"/>
      <c r="D66" s="100">
        <f t="shared" ref="D66:AI66" si="53">D49-D64</f>
        <v>-7366</v>
      </c>
      <c r="E66" s="96">
        <f t="shared" si="53"/>
        <v>-3335.1655900000001</v>
      </c>
      <c r="F66" s="96">
        <f t="shared" si="53"/>
        <v>-4512.4094800000012</v>
      </c>
      <c r="G66" s="96">
        <f t="shared" si="53"/>
        <v>-5231.233760000001</v>
      </c>
      <c r="H66" s="96">
        <f t="shared" si="53"/>
        <v>-5649.141120000002</v>
      </c>
      <c r="I66" s="95">
        <f t="shared" si="53"/>
        <v>-18727.949950000006</v>
      </c>
      <c r="J66" s="96">
        <f t="shared" si="53"/>
        <v>-6461.7410699999982</v>
      </c>
      <c r="K66" s="96">
        <f t="shared" si="53"/>
        <v>-8102.2699300000004</v>
      </c>
      <c r="L66" s="96">
        <f t="shared" si="53"/>
        <v>-7401.0454899999968</v>
      </c>
      <c r="M66" s="96">
        <f t="shared" si="53"/>
        <v>-8233.1076400000056</v>
      </c>
      <c r="N66" s="95">
        <f t="shared" si="53"/>
        <v>-30198.164130000001</v>
      </c>
      <c r="O66" s="96">
        <f t="shared" si="53"/>
        <v>-7598</v>
      </c>
      <c r="P66" s="96">
        <f t="shared" si="53"/>
        <v>-4839</v>
      </c>
      <c r="Q66" s="96">
        <f t="shared" si="53"/>
        <v>-12482</v>
      </c>
      <c r="R66" s="96">
        <f t="shared" si="53"/>
        <v>-8811</v>
      </c>
      <c r="S66" s="95">
        <f t="shared" si="53"/>
        <v>-33730</v>
      </c>
      <c r="T66" s="96">
        <f t="shared" si="53"/>
        <v>-8407</v>
      </c>
      <c r="U66" s="96">
        <f t="shared" si="53"/>
        <v>-6462</v>
      </c>
      <c r="V66" s="96">
        <f t="shared" si="53"/>
        <v>-4971</v>
      </c>
      <c r="W66" s="96">
        <f t="shared" si="53"/>
        <v>-2425</v>
      </c>
      <c r="X66" s="95">
        <f t="shared" si="53"/>
        <v>-22265</v>
      </c>
      <c r="Y66" s="96">
        <f t="shared" si="53"/>
        <v>-3730</v>
      </c>
      <c r="Z66" s="202">
        <f t="shared" si="53"/>
        <v>-2283</v>
      </c>
      <c r="AA66" s="96">
        <f t="shared" si="53"/>
        <v>-2986</v>
      </c>
      <c r="AB66" s="96">
        <f t="shared" si="53"/>
        <v>1190</v>
      </c>
      <c r="AC66" s="95">
        <f t="shared" si="53"/>
        <v>-7809</v>
      </c>
      <c r="AD66" s="202">
        <f t="shared" si="53"/>
        <v>-4359</v>
      </c>
      <c r="AE66" s="202">
        <f t="shared" si="53"/>
        <v>-3121</v>
      </c>
      <c r="AF66" s="202">
        <f t="shared" si="53"/>
        <v>1766</v>
      </c>
      <c r="AG66" s="202">
        <f t="shared" si="53"/>
        <v>280</v>
      </c>
      <c r="AH66" s="95">
        <f t="shared" si="53"/>
        <v>-5434</v>
      </c>
      <c r="AI66" s="202">
        <f t="shared" si="53"/>
        <v>182</v>
      </c>
      <c r="AJ66" s="96">
        <f t="shared" ref="AJ66:BG66" si="54">AJ49-AJ64</f>
        <v>-1559</v>
      </c>
      <c r="AK66" s="96">
        <f t="shared" si="54"/>
        <v>-2159</v>
      </c>
      <c r="AL66" s="96">
        <f t="shared" si="54"/>
        <v>2887</v>
      </c>
      <c r="AM66" s="95">
        <f t="shared" si="54"/>
        <v>-649</v>
      </c>
      <c r="AN66" s="96">
        <f t="shared" si="54"/>
        <v>-322</v>
      </c>
      <c r="AO66" s="96">
        <f t="shared" si="54"/>
        <v>85</v>
      </c>
      <c r="AP66" s="96">
        <f t="shared" si="54"/>
        <v>472</v>
      </c>
      <c r="AQ66" s="96">
        <f t="shared" si="54"/>
        <v>3032</v>
      </c>
      <c r="AR66" s="95">
        <f t="shared" si="54"/>
        <v>3484</v>
      </c>
      <c r="AS66" s="96">
        <f t="shared" si="54"/>
        <v>-4956</v>
      </c>
      <c r="AT66" s="202">
        <f t="shared" si="54"/>
        <v>-8229</v>
      </c>
      <c r="AU66" s="202">
        <f t="shared" si="54"/>
        <v>-1785</v>
      </c>
      <c r="AV66" s="96">
        <f t="shared" si="54"/>
        <v>2665</v>
      </c>
      <c r="AW66" s="95">
        <f t="shared" si="54"/>
        <v>-12305</v>
      </c>
      <c r="AX66" s="96">
        <f t="shared" si="54"/>
        <v>-11086</v>
      </c>
      <c r="AY66" s="202">
        <f t="shared" si="54"/>
        <v>-14194</v>
      </c>
      <c r="AZ66" s="202">
        <f t="shared" si="54"/>
        <v>-18991</v>
      </c>
      <c r="BA66" s="96">
        <f t="shared" si="54"/>
        <v>-11979</v>
      </c>
      <c r="BB66" s="95">
        <f t="shared" si="54"/>
        <v>-56250</v>
      </c>
      <c r="BC66" s="96">
        <f>BC49-BC64</f>
        <v>-30839</v>
      </c>
      <c r="BD66" s="286">
        <f t="shared" si="54"/>
        <v>-21761</v>
      </c>
      <c r="BE66" s="202">
        <f t="shared" si="54"/>
        <v>-21731</v>
      </c>
      <c r="BF66" s="202">
        <f t="shared" si="54"/>
        <v>-13251</v>
      </c>
      <c r="BG66" s="95">
        <f t="shared" si="54"/>
        <v>-87582</v>
      </c>
      <c r="BH66" s="96">
        <f t="shared" ref="BH66:CA66" si="55">BH49-BH64</f>
        <v>-28996</v>
      </c>
      <c r="BI66" s="202">
        <f t="shared" si="55"/>
        <v>-25243</v>
      </c>
      <c r="BJ66" s="96">
        <f t="shared" si="55"/>
        <v>-25738</v>
      </c>
      <c r="BK66" s="96">
        <f t="shared" si="55"/>
        <v>-18598</v>
      </c>
      <c r="BL66" s="95">
        <f t="shared" si="55"/>
        <v>-98575</v>
      </c>
      <c r="BM66" s="96">
        <f t="shared" si="55"/>
        <v>-20695</v>
      </c>
      <c r="BN66" s="202">
        <f t="shared" si="55"/>
        <v>-19365</v>
      </c>
      <c r="BO66" s="202">
        <f t="shared" si="55"/>
        <v>-15423</v>
      </c>
      <c r="BP66" s="96">
        <f t="shared" si="55"/>
        <v>4180</v>
      </c>
      <c r="BQ66" s="95">
        <f t="shared" si="55"/>
        <v>-51303</v>
      </c>
      <c r="BR66" s="96">
        <f t="shared" si="55"/>
        <v>-5428</v>
      </c>
      <c r="BS66" s="202">
        <f t="shared" si="55"/>
        <v>-1561</v>
      </c>
      <c r="BT66" s="202">
        <f t="shared" si="55"/>
        <v>16043</v>
      </c>
      <c r="BU66" s="202">
        <f t="shared" si="55"/>
        <v>19796</v>
      </c>
      <c r="BV66" s="95">
        <f t="shared" si="55"/>
        <v>28850</v>
      </c>
      <c r="BW66" s="96">
        <f t="shared" si="55"/>
        <v>9670.3727119999821</v>
      </c>
      <c r="BX66" s="202">
        <f t="shared" si="55"/>
        <v>16070.512871000014</v>
      </c>
      <c r="BY66" s="202">
        <f t="shared" si="55"/>
        <v>17145.84063999998</v>
      </c>
      <c r="BZ66" s="96">
        <f t="shared" si="55"/>
        <v>25952.514433600008</v>
      </c>
      <c r="CA66" s="95">
        <f t="shared" si="55"/>
        <v>68839.240656599926</v>
      </c>
    </row>
    <row r="67" spans="1:79" s="635" customFormat="1" ht="12.4" customHeight="1">
      <c r="A67" s="609"/>
      <c r="B67" s="610"/>
      <c r="C67" s="611" t="s">
        <v>91</v>
      </c>
      <c r="D67" s="612">
        <f t="shared" ref="D67:AI67" si="56">D66/D28</f>
        <v>-0.17055663610262109</v>
      </c>
      <c r="E67" s="610">
        <f t="shared" si="56"/>
        <v>-0.23288457742102325</v>
      </c>
      <c r="F67" s="613">
        <f t="shared" si="56"/>
        <v>-0.30027200484737715</v>
      </c>
      <c r="G67" s="613">
        <f t="shared" si="56"/>
        <v>-0.32287494667717215</v>
      </c>
      <c r="H67" s="613">
        <f t="shared" si="56"/>
        <v>-0.3091789400807477</v>
      </c>
      <c r="I67" s="612">
        <f t="shared" si="56"/>
        <v>-0.29343887089414594</v>
      </c>
      <c r="J67" s="613">
        <f t="shared" si="56"/>
        <v>-0.33804336327225365</v>
      </c>
      <c r="K67" s="613">
        <f t="shared" si="56"/>
        <v>-0.39946306724628572</v>
      </c>
      <c r="L67" s="613">
        <f t="shared" si="56"/>
        <v>-0.35090646343922743</v>
      </c>
      <c r="M67" s="613">
        <f t="shared" si="56"/>
        <v>-0.34822963966734327</v>
      </c>
      <c r="N67" s="612">
        <f t="shared" si="56"/>
        <v>-0.35893790864356012</v>
      </c>
      <c r="O67" s="613">
        <f t="shared" si="56"/>
        <v>-0.31300980472934004</v>
      </c>
      <c r="P67" s="613">
        <f t="shared" si="56"/>
        <v>-0.1960299777192627</v>
      </c>
      <c r="Q67" s="613">
        <f t="shared" si="56"/>
        <v>-0.4825080211836561</v>
      </c>
      <c r="R67" s="613">
        <f t="shared" si="56"/>
        <v>-0.31162905849897432</v>
      </c>
      <c r="S67" s="612">
        <f t="shared" si="56"/>
        <v>-0.32715175263331459</v>
      </c>
      <c r="T67" s="613">
        <f t="shared" si="56"/>
        <v>-0.27769703375834048</v>
      </c>
      <c r="U67" s="613">
        <f t="shared" si="56"/>
        <v>-0.21345048556517143</v>
      </c>
      <c r="V67" s="613">
        <f t="shared" si="56"/>
        <v>-0.15396289528293122</v>
      </c>
      <c r="W67" s="613">
        <f t="shared" si="56"/>
        <v>-6.7299419976132993E-2</v>
      </c>
      <c r="X67" s="612">
        <f t="shared" si="56"/>
        <v>-0.17277369090852657</v>
      </c>
      <c r="Y67" s="613">
        <f t="shared" si="56"/>
        <v>-9.8119163488096808E-2</v>
      </c>
      <c r="Z67" s="622">
        <f t="shared" si="56"/>
        <v>-5.8710075605616419E-2</v>
      </c>
      <c r="AA67" s="613">
        <f t="shared" si="56"/>
        <v>-7.2861256161241519E-2</v>
      </c>
      <c r="AB67" s="613">
        <f t="shared" si="56"/>
        <v>2.6918813762526295E-2</v>
      </c>
      <c r="AC67" s="612">
        <f t="shared" si="56"/>
        <v>-4.8176938737738297E-2</v>
      </c>
      <c r="AD67" s="622">
        <f t="shared" si="56"/>
        <v>-9.2717063002509897E-2</v>
      </c>
      <c r="AE67" s="622">
        <f t="shared" si="56"/>
        <v>-6.5392754625264532E-2</v>
      </c>
      <c r="AF67" s="622">
        <f t="shared" si="56"/>
        <v>3.5262874143886902E-2</v>
      </c>
      <c r="AG67" s="622">
        <f t="shared" si="56"/>
        <v>5.0538779488475353E-3</v>
      </c>
      <c r="AH67" s="612">
        <f t="shared" si="56"/>
        <v>-2.7139468098389311E-2</v>
      </c>
      <c r="AI67" s="622">
        <f t="shared" si="56"/>
        <v>3.0897207367795603E-3</v>
      </c>
      <c r="AJ67" s="613">
        <f t="shared" ref="AJ67:BG67" si="57">AJ66/AJ28</f>
        <v>-2.5507198952879583E-2</v>
      </c>
      <c r="AK67" s="613">
        <f t="shared" si="57"/>
        <v>-3.306076197476418E-2</v>
      </c>
      <c r="AL67" s="613">
        <f t="shared" si="57"/>
        <v>3.9911522775972902E-2</v>
      </c>
      <c r="AM67" s="612">
        <f t="shared" si="57"/>
        <v>-2.5187841530054647E-3</v>
      </c>
      <c r="AN67" s="613">
        <f t="shared" si="57"/>
        <v>-4.3199441895409056E-3</v>
      </c>
      <c r="AO67" s="613">
        <f t="shared" si="57"/>
        <v>1.0976806653236221E-3</v>
      </c>
      <c r="AP67" s="613">
        <f t="shared" si="57"/>
        <v>5.6345426112284977E-3</v>
      </c>
      <c r="AQ67" s="613">
        <f t="shared" si="57"/>
        <v>3.2862577631336508E-2</v>
      </c>
      <c r="AR67" s="612">
        <f t="shared" si="57"/>
        <v>1.0621756919080749E-2</v>
      </c>
      <c r="AS67" s="622">
        <f t="shared" si="57"/>
        <v>-5.2120141342756186E-2</v>
      </c>
      <c r="AT67" s="622">
        <f t="shared" si="57"/>
        <v>-8.2461519961519958E-2</v>
      </c>
      <c r="AU67" s="622">
        <f t="shared" si="57"/>
        <v>-1.5917177175570476E-2</v>
      </c>
      <c r="AV67" s="613">
        <f t="shared" si="57"/>
        <v>2.0839035070571218E-2</v>
      </c>
      <c r="AW67" s="612">
        <f t="shared" si="57"/>
        <v>-2.8293340200686121E-2</v>
      </c>
      <c r="AX67" s="622">
        <f t="shared" si="57"/>
        <v>-8.0402082940485342E-2</v>
      </c>
      <c r="AY67" s="622">
        <f t="shared" si="57"/>
        <v>-9.8718893881014319E-2</v>
      </c>
      <c r="AZ67" s="622">
        <f t="shared" si="57"/>
        <v>-0.12305608833134622</v>
      </c>
      <c r="BA67" s="613">
        <f t="shared" si="57"/>
        <v>-6.9003853708834731E-2</v>
      </c>
      <c r="BB67" s="612">
        <f t="shared" si="57"/>
        <v>-9.2274984374769317E-2</v>
      </c>
      <c r="BC67" s="622">
        <f t="shared" si="57"/>
        <v>-0.16872473013562975</v>
      </c>
      <c r="BD67" s="622">
        <f t="shared" si="57"/>
        <v>-0.11490532363160173</v>
      </c>
      <c r="BE67" s="622">
        <f t="shared" si="57"/>
        <v>-0.10956327958778272</v>
      </c>
      <c r="BF67" s="622">
        <f t="shared" si="57"/>
        <v>-6.3601238330653481E-2</v>
      </c>
      <c r="BG67" s="612">
        <f t="shared" si="57"/>
        <v>-0.11245098517550324</v>
      </c>
      <c r="BH67" s="613">
        <f t="shared" ref="BH67:CA67" si="58">BH66/BH28</f>
        <v>-0.13274186386130682</v>
      </c>
      <c r="BI67" s="622">
        <f t="shared" si="58"/>
        <v>-0.11325723925664702</v>
      </c>
      <c r="BJ67" s="613">
        <f t="shared" si="58"/>
        <v>-0.11185328437017883</v>
      </c>
      <c r="BK67" s="613">
        <f t="shared" si="58"/>
        <v>-7.7795718265554537E-2</v>
      </c>
      <c r="BL67" s="612">
        <f t="shared" si="58"/>
        <v>-0.10826611663196001</v>
      </c>
      <c r="BM67" s="622">
        <f t="shared" si="58"/>
        <v>-8.3782033116068175E-2</v>
      </c>
      <c r="BN67" s="622">
        <f t="shared" si="58"/>
        <v>-7.681902207976643E-2</v>
      </c>
      <c r="BO67" s="622">
        <f t="shared" si="58"/>
        <v>-5.8380207584165462E-2</v>
      </c>
      <c r="BP67" s="613">
        <f t="shared" si="58"/>
        <v>1.5000358860259815E-2</v>
      </c>
      <c r="BQ67" s="612">
        <f t="shared" si="58"/>
        <v>-4.9238054471571244E-2</v>
      </c>
      <c r="BR67" s="622">
        <f t="shared" si="58"/>
        <v>-1.9406160061493358E-2</v>
      </c>
      <c r="BS67" s="622">
        <f t="shared" si="58"/>
        <v>-5.5106630093656557E-3</v>
      </c>
      <c r="BT67" s="622">
        <f t="shared" si="58"/>
        <v>5.612737552128523E-2</v>
      </c>
      <c r="BU67" s="622">
        <f t="shared" si="58"/>
        <v>6.5924697451062664E-2</v>
      </c>
      <c r="BV67" s="612">
        <f t="shared" si="58"/>
        <v>2.5106867359157872E-2</v>
      </c>
      <c r="BW67" s="622">
        <f t="shared" si="58"/>
        <v>3.2317695850864157E-2</v>
      </c>
      <c r="BX67" s="622">
        <f t="shared" si="58"/>
        <v>5.2461937090680505E-2</v>
      </c>
      <c r="BY67" s="622">
        <f t="shared" si="58"/>
        <v>5.4651720225960723E-2</v>
      </c>
      <c r="BZ67" s="613">
        <f t="shared" si="58"/>
        <v>7.6919846861690636E-2</v>
      </c>
      <c r="CA67" s="612">
        <f t="shared" si="58"/>
        <v>5.4778587216228095E-2</v>
      </c>
    </row>
    <row r="68" spans="1:79" s="128" customFormat="1" ht="7.7" customHeight="1">
      <c r="A68" s="99"/>
      <c r="B68" s="98"/>
      <c r="C68" s="100"/>
      <c r="D68" s="100"/>
      <c r="E68" s="96"/>
      <c r="F68" s="96"/>
      <c r="G68" s="96"/>
      <c r="H68" s="96"/>
      <c r="I68" s="95"/>
      <c r="J68" s="96"/>
      <c r="K68" s="96"/>
      <c r="L68" s="96"/>
      <c r="M68" s="96"/>
      <c r="N68" s="95"/>
      <c r="O68" s="96"/>
      <c r="P68" s="96"/>
      <c r="Q68" s="96"/>
      <c r="R68" s="96"/>
      <c r="S68" s="95"/>
      <c r="T68" s="134"/>
      <c r="U68" s="134"/>
      <c r="V68" s="134"/>
      <c r="W68" s="96"/>
      <c r="X68" s="97"/>
      <c r="Y68" s="90"/>
      <c r="Z68" s="140"/>
      <c r="AA68" s="96"/>
      <c r="AB68" s="202"/>
      <c r="AC68" s="97"/>
      <c r="AD68" s="211"/>
      <c r="AE68" s="211"/>
      <c r="AF68" s="211"/>
      <c r="AG68" s="211"/>
      <c r="AH68" s="97"/>
      <c r="AI68" s="211"/>
      <c r="AJ68" s="134"/>
      <c r="AK68" s="134"/>
      <c r="AL68" s="134"/>
      <c r="AM68" s="97"/>
      <c r="AN68" s="134"/>
      <c r="AO68" s="134"/>
      <c r="AP68" s="134"/>
      <c r="AQ68" s="134"/>
      <c r="AR68" s="97"/>
      <c r="AS68" s="202"/>
      <c r="AT68" s="211"/>
      <c r="AU68" s="211"/>
      <c r="AV68" s="134"/>
      <c r="AW68" s="97"/>
      <c r="AX68" s="202"/>
      <c r="AY68" s="211"/>
      <c r="AZ68" s="211"/>
      <c r="BA68" s="134"/>
      <c r="BB68" s="97"/>
      <c r="BC68" s="202"/>
      <c r="BD68" s="211"/>
      <c r="BE68" s="211"/>
      <c r="BF68" s="211"/>
      <c r="BG68" s="97"/>
      <c r="BH68" s="96"/>
      <c r="BI68" s="211"/>
      <c r="BJ68" s="134"/>
      <c r="BK68" s="134"/>
      <c r="BL68" s="97"/>
      <c r="BM68" s="202"/>
      <c r="BN68" s="211"/>
      <c r="BO68" s="211"/>
      <c r="BP68" s="134"/>
      <c r="BQ68" s="97"/>
      <c r="BR68" s="202"/>
      <c r="BS68" s="211"/>
      <c r="BT68" s="211"/>
      <c r="BU68" s="211"/>
      <c r="BV68" s="97"/>
      <c r="BW68" s="202"/>
      <c r="BX68" s="211"/>
      <c r="BY68" s="211"/>
      <c r="BZ68" s="134"/>
      <c r="CA68" s="97"/>
    </row>
    <row r="69" spans="1:79" s="53" customFormat="1" ht="14.1" hidden="1" customHeight="1" outlineLevel="1">
      <c r="A69" s="105"/>
      <c r="B69" s="112" t="s">
        <v>90</v>
      </c>
      <c r="C69" s="169"/>
      <c r="D69" s="95">
        <v>0</v>
      </c>
      <c r="E69" s="124">
        <v>0</v>
      </c>
      <c r="F69" s="124">
        <v>0</v>
      </c>
      <c r="G69" s="124">
        <v>0</v>
      </c>
      <c r="H69" s="124">
        <v>0</v>
      </c>
      <c r="I69" s="95">
        <f>SUM(E69:H69)</f>
        <v>0</v>
      </c>
      <c r="J69" s="96">
        <v>-178</v>
      </c>
      <c r="K69" s="96">
        <v>-215</v>
      </c>
      <c r="L69" s="96">
        <v>-273</v>
      </c>
      <c r="M69" s="96">
        <v>-414</v>
      </c>
      <c r="N69" s="95">
        <f>SUM(J69:M69)</f>
        <v>-1080</v>
      </c>
      <c r="O69" s="96">
        <v>-778</v>
      </c>
      <c r="P69" s="96">
        <f>-1092+78</f>
        <v>-1014</v>
      </c>
      <c r="Q69" s="96">
        <f>-1116+81</f>
        <v>-1035</v>
      </c>
      <c r="R69" s="96">
        <f>-1175+83</f>
        <v>-1092</v>
      </c>
      <c r="S69" s="95">
        <f>SUM(O69:R69)</f>
        <v>-3919</v>
      </c>
      <c r="T69" s="96">
        <f>-1139+84</f>
        <v>-1055</v>
      </c>
      <c r="U69" s="96">
        <f>-1155+87</f>
        <v>-1068</v>
      </c>
      <c r="V69" s="96">
        <f>-1235+89</f>
        <v>-1146</v>
      </c>
      <c r="W69" s="96">
        <f>-1198+90</f>
        <v>-1108</v>
      </c>
      <c r="X69" s="95">
        <f>SUM(T69:W69)</f>
        <v>-4377</v>
      </c>
      <c r="Y69" s="96">
        <f>-1199+91</f>
        <v>-1108</v>
      </c>
      <c r="Z69" s="202">
        <f>-1197+87</f>
        <v>-1110</v>
      </c>
      <c r="AA69" s="202">
        <f>-961+43</f>
        <v>-918</v>
      </c>
      <c r="AB69" s="202">
        <f>-869+20</f>
        <v>-849</v>
      </c>
      <c r="AC69" s="95">
        <f>SUM(Y69:AB69)</f>
        <v>-3985</v>
      </c>
      <c r="AD69" s="202">
        <f>-882+AD54</f>
        <v>-965</v>
      </c>
      <c r="AE69" s="202">
        <f>-888+20-58</f>
        <v>-926</v>
      </c>
      <c r="AF69" s="202">
        <f>-865+AF54-72</f>
        <v>-917</v>
      </c>
      <c r="AG69" s="202">
        <f>-836-133+AG54</f>
        <v>-949</v>
      </c>
      <c r="AH69" s="95">
        <f>SUM(AD69:AG69)</f>
        <v>-3757</v>
      </c>
      <c r="AI69" s="202">
        <f>-810-352+AI54</f>
        <v>-1142</v>
      </c>
      <c r="AJ69" s="96">
        <f>-2378+20+1733</f>
        <v>-625</v>
      </c>
      <c r="AK69" s="96">
        <f>-3595+3049+89</f>
        <v>-457</v>
      </c>
      <c r="AL69" s="202">
        <v>-3462</v>
      </c>
      <c r="AM69" s="95">
        <f>SUM(AI69:AL69)</f>
        <v>-5686</v>
      </c>
      <c r="AN69" s="96">
        <v>-3396</v>
      </c>
      <c r="AO69" s="96">
        <v>-3406</v>
      </c>
      <c r="AP69" s="96">
        <v>-3486</v>
      </c>
      <c r="AQ69" s="202">
        <v>-3506</v>
      </c>
      <c r="AR69" s="95">
        <f>SUM(AN69:AQ69)</f>
        <v>-13794</v>
      </c>
      <c r="AS69" s="202">
        <v>-3484</v>
      </c>
      <c r="AT69" s="202">
        <v>-5734</v>
      </c>
      <c r="AU69" s="202">
        <v>-9649</v>
      </c>
      <c r="AV69" s="202">
        <v>-9481</v>
      </c>
      <c r="AW69" s="95">
        <f>SUM(AS69:AV69)</f>
        <v>-28348</v>
      </c>
      <c r="AX69" s="202">
        <v>-1938</v>
      </c>
      <c r="AY69" s="202">
        <v>-2118</v>
      </c>
      <c r="AZ69" s="202">
        <v>-1947</v>
      </c>
      <c r="BA69" s="673">
        <v>-2024</v>
      </c>
      <c r="BB69" s="95">
        <f>SUM(AX69:BA69)</f>
        <v>-8027</v>
      </c>
      <c r="BC69" s="673">
        <f>-1870</f>
        <v>-1870</v>
      </c>
      <c r="BD69" s="673">
        <v>-1857</v>
      </c>
      <c r="BE69" s="673">
        <v>-1879</v>
      </c>
      <c r="BF69" s="202">
        <v>-1887</v>
      </c>
      <c r="BG69" s="95">
        <f>SUM(BC69:BF69)</f>
        <v>-7493</v>
      </c>
      <c r="BH69" s="96">
        <v>-1845</v>
      </c>
      <c r="BI69" s="673">
        <v>-1866</v>
      </c>
      <c r="BJ69" s="96">
        <v>-1972</v>
      </c>
      <c r="BK69" s="673">
        <v>-1963</v>
      </c>
      <c r="BL69" s="95">
        <f>SUM(BH69:BK69)</f>
        <v>-7646</v>
      </c>
      <c r="BM69" s="673">
        <v>-2567</v>
      </c>
      <c r="BN69" s="673">
        <v>-3906</v>
      </c>
      <c r="BO69" s="673">
        <v>-4068</v>
      </c>
      <c r="BP69" s="673">
        <v>-4271</v>
      </c>
      <c r="BQ69" s="95">
        <f>SUM(BM69:BP69)</f>
        <v>-14812</v>
      </c>
      <c r="BR69" s="673">
        <v>-4115</v>
      </c>
      <c r="BS69" s="96">
        <v>-3820</v>
      </c>
      <c r="BT69" s="96">
        <v>-3087</v>
      </c>
      <c r="BU69" s="96">
        <v>-3054</v>
      </c>
      <c r="BV69" s="95">
        <f>SUM(BR69:BU69)</f>
        <v>-14076</v>
      </c>
      <c r="BW69" s="445">
        <v>-3100</v>
      </c>
      <c r="BX69" s="445">
        <v>-3100</v>
      </c>
      <c r="BY69" s="445">
        <v>-3100</v>
      </c>
      <c r="BZ69" s="445">
        <v>-3100</v>
      </c>
      <c r="CA69" s="95">
        <f>SUM(BW69:BZ69)</f>
        <v>-12400</v>
      </c>
    </row>
    <row r="70" spans="1:79" s="53" customFormat="1" ht="14.1" hidden="1" customHeight="1" outlineLevel="1">
      <c r="A70" s="105"/>
      <c r="B70" s="112" t="s">
        <v>176</v>
      </c>
      <c r="C70" s="169"/>
      <c r="D70" s="169">
        <v>-442</v>
      </c>
      <c r="E70" s="124">
        <v>0</v>
      </c>
      <c r="F70" s="124">
        <v>0</v>
      </c>
      <c r="G70" s="124">
        <v>0</v>
      </c>
      <c r="H70" s="124">
        <v>0</v>
      </c>
      <c r="I70" s="95">
        <f>SUM(E70:H70)</f>
        <v>0</v>
      </c>
      <c r="J70" s="96">
        <v>0</v>
      </c>
      <c r="K70" s="96">
        <v>32</v>
      </c>
      <c r="L70" s="96">
        <v>-15</v>
      </c>
      <c r="M70" s="96">
        <f>10+6</f>
        <v>16</v>
      </c>
      <c r="N70" s="95">
        <f>SUM(J70:M70)</f>
        <v>33</v>
      </c>
      <c r="O70" s="96">
        <v>51</v>
      </c>
      <c r="P70" s="96">
        <f>-28</f>
        <v>-28</v>
      </c>
      <c r="Q70" s="96">
        <f>95</f>
        <v>95</v>
      </c>
      <c r="R70" s="96">
        <f>146</f>
        <v>146</v>
      </c>
      <c r="S70" s="95">
        <f>SUM(O70:R70)</f>
        <v>264</v>
      </c>
      <c r="T70" s="96">
        <f>2</f>
        <v>2</v>
      </c>
      <c r="U70" s="96">
        <f>-49</f>
        <v>-49</v>
      </c>
      <c r="V70" s="96">
        <f>119</f>
        <v>119</v>
      </c>
      <c r="W70" s="96">
        <f>28</f>
        <v>28</v>
      </c>
      <c r="X70" s="95">
        <f>SUM(T70:W70)</f>
        <v>100</v>
      </c>
      <c r="Y70" s="96">
        <f>-45</f>
        <v>-45</v>
      </c>
      <c r="Z70" s="202">
        <v>-33</v>
      </c>
      <c r="AA70" s="202">
        <f>12</f>
        <v>12</v>
      </c>
      <c r="AB70" s="286">
        <v>54</v>
      </c>
      <c r="AC70" s="95">
        <f>SUM(Y70:AB70)</f>
        <v>-12</v>
      </c>
      <c r="AD70" s="202">
        <v>118</v>
      </c>
      <c r="AE70" s="202">
        <v>90</v>
      </c>
      <c r="AF70" s="202">
        <v>118</v>
      </c>
      <c r="AG70" s="202">
        <v>164</v>
      </c>
      <c r="AH70" s="95">
        <f>SUM(AD70:AG70)</f>
        <v>490</v>
      </c>
      <c r="AI70" s="202">
        <v>398</v>
      </c>
      <c r="AJ70" s="96">
        <v>206</v>
      </c>
      <c r="AK70" s="96">
        <v>1352</v>
      </c>
      <c r="AL70" s="202">
        <v>1359</v>
      </c>
      <c r="AM70" s="95">
        <f>SUM(AI70:AL70)</f>
        <v>3315</v>
      </c>
      <c r="AN70" s="96">
        <v>1745</v>
      </c>
      <c r="AO70" s="96">
        <v>1490</v>
      </c>
      <c r="AP70" s="96">
        <v>1460</v>
      </c>
      <c r="AQ70" s="202">
        <f>1384</f>
        <v>1384</v>
      </c>
      <c r="AR70" s="95">
        <f>SUM(AN70:AQ70)</f>
        <v>6079</v>
      </c>
      <c r="AS70" s="202">
        <v>1072</v>
      </c>
      <c r="AT70" s="202">
        <v>-4965</v>
      </c>
      <c r="AU70" s="202">
        <v>349</v>
      </c>
      <c r="AV70" s="202">
        <f>501</f>
        <v>501</v>
      </c>
      <c r="AW70" s="95">
        <f>SUM(AS70:AV70)</f>
        <v>-3043</v>
      </c>
      <c r="AX70" s="202">
        <v>175</v>
      </c>
      <c r="AY70" s="202">
        <v>-353</v>
      </c>
      <c r="AZ70" s="202">
        <v>213</v>
      </c>
      <c r="BA70" s="673">
        <v>-43</v>
      </c>
      <c r="BB70" s="95">
        <f>SUM(AX70:BA70)</f>
        <v>-8</v>
      </c>
      <c r="BC70" s="673">
        <f>845</f>
        <v>845</v>
      </c>
      <c r="BD70" s="673">
        <v>280</v>
      </c>
      <c r="BE70" s="673">
        <v>982</v>
      </c>
      <c r="BF70" s="202">
        <v>2706</v>
      </c>
      <c r="BG70" s="95">
        <f>SUM(BC70:BF70)</f>
        <v>4813</v>
      </c>
      <c r="BH70" s="96">
        <v>4121</v>
      </c>
      <c r="BI70" s="673">
        <v>6123</v>
      </c>
      <c r="BJ70" s="96">
        <v>8233</v>
      </c>
      <c r="BK70" s="673">
        <v>8322</v>
      </c>
      <c r="BL70" s="95">
        <f>SUM(BH70:BK70)</f>
        <v>26799</v>
      </c>
      <c r="BM70" s="673">
        <v>10559</v>
      </c>
      <c r="BN70" s="673">
        <v>13800</v>
      </c>
      <c r="BO70" s="673">
        <v>11144</v>
      </c>
      <c r="BP70" s="673">
        <v>11242</v>
      </c>
      <c r="BQ70" s="95">
        <f>SUM(BM70:BP70)</f>
        <v>46745</v>
      </c>
      <c r="BR70" s="673">
        <v>10303</v>
      </c>
      <c r="BS70" s="96">
        <v>7917</v>
      </c>
      <c r="BT70" s="96">
        <v>5660</v>
      </c>
      <c r="BU70" s="96">
        <v>6288</v>
      </c>
      <c r="BV70" s="95">
        <f>SUM(BR70:BU70)</f>
        <v>30168</v>
      </c>
      <c r="BW70" s="445">
        <v>5500</v>
      </c>
      <c r="BX70" s="445">
        <v>4800</v>
      </c>
      <c r="BY70" s="445">
        <v>4600</v>
      </c>
      <c r="BZ70" s="445">
        <v>4400</v>
      </c>
      <c r="CA70" s="95">
        <f>SUM(BW70:BZ70)</f>
        <v>19300</v>
      </c>
    </row>
    <row r="71" spans="1:79" s="53" customFormat="1" ht="14.1" hidden="1" customHeight="1" outlineLevel="1">
      <c r="A71" s="105"/>
      <c r="B71" s="112"/>
      <c r="C71" s="169" t="s">
        <v>493</v>
      </c>
      <c r="D71" s="169"/>
      <c r="E71" s="124"/>
      <c r="F71" s="124"/>
      <c r="G71" s="124"/>
      <c r="H71" s="124"/>
      <c r="I71" s="95"/>
      <c r="J71" s="96"/>
      <c r="K71" s="96"/>
      <c r="L71" s="96"/>
      <c r="M71" s="96"/>
      <c r="N71" s="95"/>
      <c r="O71" s="96"/>
      <c r="P71" s="96"/>
      <c r="Q71" s="96"/>
      <c r="R71" s="96"/>
      <c r="S71" s="95"/>
      <c r="T71" s="96"/>
      <c r="U71" s="96"/>
      <c r="V71" s="96"/>
      <c r="W71" s="96"/>
      <c r="X71" s="95"/>
      <c r="Y71" s="96"/>
      <c r="Z71" s="202"/>
      <c r="AA71" s="202"/>
      <c r="AB71" s="286"/>
      <c r="AC71" s="95"/>
      <c r="AD71" s="202"/>
      <c r="AE71" s="202"/>
      <c r="AF71" s="202"/>
      <c r="AG71" s="202"/>
      <c r="AH71" s="95"/>
      <c r="AI71" s="202"/>
      <c r="AJ71" s="96"/>
      <c r="AK71" s="96"/>
      <c r="AL71" s="202"/>
      <c r="AM71" s="95"/>
      <c r="AN71" s="96"/>
      <c r="AO71" s="96"/>
      <c r="AP71" s="96"/>
      <c r="AQ71" s="202"/>
      <c r="AR71" s="95"/>
      <c r="AS71" s="202"/>
      <c r="AT71" s="202"/>
      <c r="AU71" s="202"/>
      <c r="AV71" s="202"/>
      <c r="AW71" s="95"/>
      <c r="AX71" s="202"/>
      <c r="AY71" s="202"/>
      <c r="AZ71" s="202"/>
      <c r="BA71" s="673"/>
      <c r="BB71" s="95"/>
      <c r="BC71" s="673"/>
      <c r="BD71" s="673"/>
      <c r="BE71" s="673"/>
      <c r="BF71" s="202"/>
      <c r="BG71" s="95"/>
      <c r="BH71" s="96"/>
      <c r="BI71" s="673"/>
      <c r="BJ71" s="96"/>
      <c r="BK71" s="445"/>
      <c r="BL71" s="95"/>
      <c r="BM71" s="673"/>
      <c r="BN71" s="445"/>
      <c r="BO71" s="445"/>
      <c r="BP71" s="673"/>
      <c r="BQ71" s="95"/>
      <c r="BR71" s="673"/>
      <c r="BS71" s="96"/>
      <c r="BT71" s="96"/>
      <c r="BU71" s="96"/>
      <c r="BV71" s="95"/>
      <c r="BW71" s="445"/>
      <c r="BX71" s="445"/>
      <c r="BY71" s="445"/>
      <c r="BZ71" s="445"/>
      <c r="CA71" s="95"/>
    </row>
    <row r="72" spans="1:79" s="53" customFormat="1" ht="14.1" hidden="1" customHeight="1" outlineLevel="1">
      <c r="A72" s="105"/>
      <c r="B72" s="112" t="s">
        <v>89</v>
      </c>
      <c r="C72" s="169"/>
      <c r="D72" s="100">
        <v>0</v>
      </c>
      <c r="E72" s="124">
        <v>0</v>
      </c>
      <c r="F72" s="124">
        <v>0</v>
      </c>
      <c r="G72" s="124">
        <v>0</v>
      </c>
      <c r="H72" s="124">
        <v>0</v>
      </c>
      <c r="I72" s="95">
        <f>SUM(E72:H72)</f>
        <v>0</v>
      </c>
      <c r="J72" s="96">
        <f>2</f>
        <v>2</v>
      </c>
      <c r="K72" s="96">
        <v>0</v>
      </c>
      <c r="L72" s="96">
        <v>0</v>
      </c>
      <c r="M72" s="96">
        <v>0</v>
      </c>
      <c r="N72" s="95">
        <f>SUM(J72:M72)</f>
        <v>2</v>
      </c>
      <c r="O72" s="96">
        <v>32</v>
      </c>
      <c r="P72" s="96">
        <v>0</v>
      </c>
      <c r="Q72" s="96">
        <v>2000</v>
      </c>
      <c r="R72" s="96">
        <v>0</v>
      </c>
      <c r="S72" s="95">
        <f>SUM(O72:R72)</f>
        <v>2032</v>
      </c>
      <c r="T72" s="96">
        <v>0</v>
      </c>
      <c r="U72" s="96">
        <v>-651</v>
      </c>
      <c r="V72" s="96">
        <v>0</v>
      </c>
      <c r="W72" s="96">
        <v>0</v>
      </c>
      <c r="X72" s="95">
        <f>SUM(T72:W72)</f>
        <v>-651</v>
      </c>
      <c r="Y72" s="96">
        <v>0</v>
      </c>
      <c r="Z72" s="202"/>
      <c r="AA72" s="202"/>
      <c r="AB72" s="202"/>
      <c r="AC72" s="95">
        <f>SUM(Y72:AB72)</f>
        <v>0</v>
      </c>
      <c r="AD72" s="202"/>
      <c r="AE72" s="202"/>
      <c r="AF72" s="202"/>
      <c r="AG72" s="202"/>
      <c r="AH72" s="95">
        <f>SUM(AD72:AG72)</f>
        <v>0</v>
      </c>
      <c r="AI72" s="202"/>
      <c r="AJ72" s="96"/>
      <c r="AK72" s="96"/>
      <c r="AL72" s="233"/>
      <c r="AM72" s="95">
        <f>SUM(AI72:AL72)</f>
        <v>0</v>
      </c>
      <c r="AN72" s="96"/>
      <c r="AO72" s="96"/>
      <c r="AP72" s="96">
        <v>0</v>
      </c>
      <c r="AQ72" s="233">
        <v>0</v>
      </c>
      <c r="AR72" s="95"/>
      <c r="AS72" s="233"/>
      <c r="AT72" s="202"/>
      <c r="AU72" s="202"/>
      <c r="AV72" s="202">
        <f>-887</f>
        <v>-887</v>
      </c>
      <c r="AW72" s="95">
        <f>SUM(AS72:AV72)</f>
        <v>-887</v>
      </c>
      <c r="AX72" s="202">
        <v>0</v>
      </c>
      <c r="AY72" s="202"/>
      <c r="AZ72" s="233"/>
      <c r="BA72" s="233"/>
      <c r="BB72" s="95">
        <f>SUM(AX72:BA72)</f>
        <v>0</v>
      </c>
      <c r="BC72" s="233"/>
      <c r="BD72" s="233"/>
      <c r="BE72" s="233"/>
      <c r="BF72" s="202"/>
      <c r="BG72" s="95">
        <f>SUM(BC72:BF72)</f>
        <v>0</v>
      </c>
      <c r="BH72" s="96"/>
      <c r="BI72" s="233"/>
      <c r="BJ72" s="96"/>
      <c r="BK72" s="233"/>
      <c r="BL72" s="95">
        <f>SUM(BH72:BK72)</f>
        <v>0</v>
      </c>
      <c r="BM72" s="673">
        <v>6615</v>
      </c>
      <c r="BN72" s="233"/>
      <c r="BO72" s="233"/>
      <c r="BP72" s="673"/>
      <c r="BQ72" s="95">
        <f>SUM(BM72:BP72)</f>
        <v>6615</v>
      </c>
      <c r="BR72" s="673"/>
      <c r="BS72" s="96"/>
      <c r="BT72" s="96">
        <v>0</v>
      </c>
      <c r="BU72" s="96">
        <v>0</v>
      </c>
      <c r="BV72" s="95">
        <f>SUM(BR72:BU72)</f>
        <v>0</v>
      </c>
      <c r="BW72" s="233"/>
      <c r="BX72" s="233"/>
      <c r="BY72" s="233"/>
      <c r="BZ72" s="233"/>
      <c r="CA72" s="95">
        <f>SUM(BW72:BZ72)</f>
        <v>0</v>
      </c>
    </row>
    <row r="73" spans="1:79" s="53" customFormat="1" ht="14.1" hidden="1" customHeight="1" outlineLevel="1">
      <c r="A73" s="105"/>
      <c r="B73" s="112" t="s">
        <v>178</v>
      </c>
      <c r="C73" s="169"/>
      <c r="D73" s="100">
        <v>0</v>
      </c>
      <c r="E73" s="124"/>
      <c r="F73" s="124"/>
      <c r="G73" s="124"/>
      <c r="H73" s="124"/>
      <c r="I73" s="95"/>
      <c r="J73" s="96">
        <v>0</v>
      </c>
      <c r="K73" s="96">
        <v>0</v>
      </c>
      <c r="L73" s="96">
        <v>0</v>
      </c>
      <c r="M73" s="96">
        <v>0</v>
      </c>
      <c r="N73" s="95">
        <f>SUM(J73:M73)</f>
        <v>0</v>
      </c>
      <c r="O73" s="96">
        <v>0</v>
      </c>
      <c r="P73" s="96">
        <v>-2766</v>
      </c>
      <c r="Q73" s="96">
        <v>0</v>
      </c>
      <c r="R73" s="96">
        <v>418</v>
      </c>
      <c r="S73" s="95">
        <f>SUM(O73:R73)</f>
        <v>-2348</v>
      </c>
      <c r="T73" s="96">
        <v>575</v>
      </c>
      <c r="U73" s="96">
        <v>841</v>
      </c>
      <c r="V73" s="96">
        <v>0</v>
      </c>
      <c r="W73" s="96">
        <v>0</v>
      </c>
      <c r="X73" s="95">
        <f>SUM(T73:W73)</f>
        <v>1416</v>
      </c>
      <c r="Y73" s="96">
        <v>0</v>
      </c>
      <c r="Z73" s="202"/>
      <c r="AA73" s="202"/>
      <c r="AB73" s="202"/>
      <c r="AC73" s="95">
        <f>SUM(Y73:AB73)</f>
        <v>0</v>
      </c>
      <c r="AD73" s="202"/>
      <c r="AE73" s="202"/>
      <c r="AF73" s="202"/>
      <c r="AG73" s="202"/>
      <c r="AH73" s="95">
        <f>SUM(AD73:AG73)</f>
        <v>0</v>
      </c>
      <c r="AI73" s="233"/>
      <c r="AJ73" s="96"/>
      <c r="AK73" s="96"/>
      <c r="AL73" s="233"/>
      <c r="AM73" s="95">
        <f>SUM(AI73:AL73)</f>
        <v>0</v>
      </c>
      <c r="AN73" s="96"/>
      <c r="AO73" s="96"/>
      <c r="AP73" s="96">
        <v>0</v>
      </c>
      <c r="AQ73" s="233">
        <v>0</v>
      </c>
      <c r="AR73" s="95"/>
      <c r="AS73" s="233"/>
      <c r="AT73" s="202">
        <v>0</v>
      </c>
      <c r="AU73" s="202">
        <v>0</v>
      </c>
      <c r="AV73" s="202">
        <v>0</v>
      </c>
      <c r="AW73" s="95">
        <f>SUM(AS73:AV73)</f>
        <v>0</v>
      </c>
      <c r="AX73" s="202"/>
      <c r="AY73" s="202"/>
      <c r="AZ73" s="233"/>
      <c r="BA73" s="233"/>
      <c r="BB73" s="95">
        <f>SUM(AX73:BA73)</f>
        <v>0</v>
      </c>
      <c r="BC73" s="233"/>
      <c r="BD73" s="233"/>
      <c r="BE73" s="233"/>
      <c r="BF73" s="202"/>
      <c r="BG73" s="95">
        <f>SUM(BC73:BF73)</f>
        <v>0</v>
      </c>
      <c r="BH73" s="96"/>
      <c r="BI73" s="233"/>
      <c r="BJ73" s="96"/>
      <c r="BK73" s="233"/>
      <c r="BL73" s="95">
        <f>SUM(BH73:BK73)</f>
        <v>0</v>
      </c>
      <c r="BN73" s="233"/>
      <c r="BO73" s="233"/>
      <c r="BP73" s="673"/>
      <c r="BQ73" s="95">
        <f>SUM(BM73:BP73)</f>
        <v>0</v>
      </c>
      <c r="BR73" s="673"/>
      <c r="BS73" s="96"/>
      <c r="BT73" s="96">
        <v>0</v>
      </c>
      <c r="BU73" s="96">
        <v>0</v>
      </c>
      <c r="BV73" s="95">
        <f>SUM(BR73:BU73)</f>
        <v>0</v>
      </c>
      <c r="BW73" s="233"/>
      <c r="BX73" s="233"/>
      <c r="BY73" s="233"/>
      <c r="BZ73" s="233"/>
      <c r="CA73" s="95">
        <f>SUM(BW73:BZ73)</f>
        <v>0</v>
      </c>
    </row>
    <row r="74" spans="1:79" s="53" customFormat="1" ht="14.1" customHeight="1" collapsed="1">
      <c r="A74" s="99"/>
      <c r="B74" s="98" t="s">
        <v>343</v>
      </c>
      <c r="C74" s="100"/>
      <c r="D74" s="100">
        <f>SUM(D69:D73)</f>
        <v>-442</v>
      </c>
      <c r="E74" s="96">
        <v>-151</v>
      </c>
      <c r="F74" s="96">
        <v>-118</v>
      </c>
      <c r="G74" s="96">
        <v>-151</v>
      </c>
      <c r="H74" s="96">
        <v>-122</v>
      </c>
      <c r="I74" s="95">
        <f>SUM(E74:H74)</f>
        <v>-542</v>
      </c>
      <c r="J74" s="96">
        <f>SUM(J69:J73)</f>
        <v>-176</v>
      </c>
      <c r="K74" s="96">
        <f>SUM(K69:K73)</f>
        <v>-183</v>
      </c>
      <c r="L74" s="96">
        <f>SUM(L69:L73)</f>
        <v>-288</v>
      </c>
      <c r="M74" s="96">
        <f>SUM(M69:M72)</f>
        <v>-398</v>
      </c>
      <c r="N74" s="95">
        <f>SUM(J74:M74)</f>
        <v>-1045</v>
      </c>
      <c r="O74" s="96">
        <f t="shared" ref="O74:X74" si="59">SUM(O69:O73)</f>
        <v>-695</v>
      </c>
      <c r="P74" s="96">
        <f t="shared" si="59"/>
        <v>-3808</v>
      </c>
      <c r="Q74" s="96">
        <f t="shared" si="59"/>
        <v>1060</v>
      </c>
      <c r="R74" s="96">
        <f t="shared" si="59"/>
        <v>-528</v>
      </c>
      <c r="S74" s="95">
        <f t="shared" si="59"/>
        <v>-3971</v>
      </c>
      <c r="T74" s="202">
        <f t="shared" si="59"/>
        <v>-478</v>
      </c>
      <c r="U74" s="202">
        <f t="shared" si="59"/>
        <v>-927</v>
      </c>
      <c r="V74" s="202">
        <f t="shared" si="59"/>
        <v>-1027</v>
      </c>
      <c r="W74" s="202">
        <f t="shared" si="59"/>
        <v>-1080</v>
      </c>
      <c r="X74" s="95">
        <f t="shared" si="59"/>
        <v>-3512</v>
      </c>
      <c r="Y74" s="96">
        <f>SUM(Y69:Y72)</f>
        <v>-1153</v>
      </c>
      <c r="Z74" s="202">
        <f t="shared" ref="Z74:AG74" si="60">SUM(Z69:Z73)</f>
        <v>-1143</v>
      </c>
      <c r="AA74" s="202">
        <f t="shared" si="60"/>
        <v>-906</v>
      </c>
      <c r="AB74" s="202">
        <f t="shared" si="60"/>
        <v>-795</v>
      </c>
      <c r="AC74" s="95">
        <f t="shared" si="60"/>
        <v>-3997</v>
      </c>
      <c r="AD74" s="202">
        <f t="shared" si="60"/>
        <v>-847</v>
      </c>
      <c r="AE74" s="202">
        <f t="shared" si="60"/>
        <v>-836</v>
      </c>
      <c r="AF74" s="202">
        <f t="shared" si="60"/>
        <v>-799</v>
      </c>
      <c r="AG74" s="202">
        <f t="shared" si="60"/>
        <v>-785</v>
      </c>
      <c r="AH74" s="95">
        <f>SUM(AH69:AH72)</f>
        <v>-3267</v>
      </c>
      <c r="AI74" s="96">
        <f>SUM(AI69:AI73)</f>
        <v>-744</v>
      </c>
      <c r="AJ74" s="96">
        <f>SUM(AJ69:AJ73)</f>
        <v>-419</v>
      </c>
      <c r="AK74" s="96">
        <f>SUM(AK69:AK73)</f>
        <v>895</v>
      </c>
      <c r="AL74" s="96">
        <f>SUM(AL69:AL73)</f>
        <v>-2103</v>
      </c>
      <c r="AM74" s="95">
        <f>SUM(AM69:AM72)</f>
        <v>-2371</v>
      </c>
      <c r="AN74" s="96">
        <f>SUM(AN69:AN73)</f>
        <v>-1651</v>
      </c>
      <c r="AO74" s="96">
        <f>SUM(AO69:AO73)</f>
        <v>-1916</v>
      </c>
      <c r="AP74" s="96">
        <f>SUM(AP69:AP73)</f>
        <v>-2026</v>
      </c>
      <c r="AQ74" s="96">
        <f>SUM(AQ69:AQ73)</f>
        <v>-2122</v>
      </c>
      <c r="AR74" s="95">
        <f>SUM(AR69:AR72)</f>
        <v>-7715</v>
      </c>
      <c r="AS74" s="96">
        <f>SUM(AS69:AS73)</f>
        <v>-2412</v>
      </c>
      <c r="AT74" s="96">
        <f>SUM(AT69:AT73)</f>
        <v>-10699</v>
      </c>
      <c r="AU74" s="96">
        <f>SUM(AU69:AU73)</f>
        <v>-9300</v>
      </c>
      <c r="AV74" s="96">
        <f>SUM(AV69:AV73)</f>
        <v>-9867</v>
      </c>
      <c r="AW74" s="123">
        <f>SUM(AS74:AV74)</f>
        <v>-32278</v>
      </c>
      <c r="AX74" s="96">
        <f>SUM(AX69:AX73)</f>
        <v>-1763</v>
      </c>
      <c r="AY74" s="96">
        <f>SUM(AY69:AY73)</f>
        <v>-2471</v>
      </c>
      <c r="AZ74" s="96">
        <f>SUM(AZ69:AZ73)</f>
        <v>-1734</v>
      </c>
      <c r="BA74" s="96">
        <f>SUM(BA69:BA73)</f>
        <v>-2067</v>
      </c>
      <c r="BB74" s="95">
        <f>SUM(BB69:BB72)</f>
        <v>-8035</v>
      </c>
      <c r="BC74" s="96">
        <f>SUM(BC69:BC73)</f>
        <v>-1025</v>
      </c>
      <c r="BD74" s="96">
        <f>SUM(BD69:BD73)</f>
        <v>-1577</v>
      </c>
      <c r="BE74" s="96">
        <f>SUM(BE69:BE73)</f>
        <v>-897</v>
      </c>
      <c r="BF74" s="202">
        <f>SUM(BF69:BF73)</f>
        <v>819</v>
      </c>
      <c r="BG74" s="95">
        <f>SUM(BG69:BG72)</f>
        <v>-2680</v>
      </c>
      <c r="BH74" s="96">
        <f>SUM(BH69:BH73)</f>
        <v>2276</v>
      </c>
      <c r="BI74" s="96">
        <f>SUM(BI69:BI73)</f>
        <v>4257</v>
      </c>
      <c r="BJ74" s="96">
        <f>SUM(BJ69:BJ73)</f>
        <v>6261</v>
      </c>
      <c r="BK74" s="96">
        <f>SUM(BK69:BK73)</f>
        <v>6359</v>
      </c>
      <c r="BL74" s="95">
        <f>SUM(BL69:BL72)</f>
        <v>19153</v>
      </c>
      <c r="BM74" s="96">
        <f>SUM(BM69:BM72)</f>
        <v>14607</v>
      </c>
      <c r="BN74" s="96">
        <f>SUM(BN69:BN73)</f>
        <v>9894</v>
      </c>
      <c r="BO74" s="96">
        <f>SUM(BO69:BO73)</f>
        <v>7076</v>
      </c>
      <c r="BP74" s="673">
        <f>SUM(BP69:BP73)</f>
        <v>6971</v>
      </c>
      <c r="BQ74" s="95">
        <f>SUM(BQ69:BQ72)</f>
        <v>38548</v>
      </c>
      <c r="BR74" s="673">
        <f>SUM(BR69:BR73)</f>
        <v>6188</v>
      </c>
      <c r="BS74" s="96">
        <f>SUM(BS69:BS73)</f>
        <v>4097</v>
      </c>
      <c r="BT74" s="96">
        <f>SUM(BT69:BT73)</f>
        <v>2573</v>
      </c>
      <c r="BU74" s="96">
        <f>SUM(BU69:BU73)</f>
        <v>3234</v>
      </c>
      <c r="BV74" s="95">
        <f>SUM(BV69:BV72)</f>
        <v>16092</v>
      </c>
      <c r="BW74" s="96">
        <f>SUM(BW69:BW73)</f>
        <v>2400</v>
      </c>
      <c r="BX74" s="96">
        <f>SUM(BX69:BX73)</f>
        <v>1700</v>
      </c>
      <c r="BY74" s="96">
        <f>SUM(BY69:BY73)</f>
        <v>1500</v>
      </c>
      <c r="BZ74" s="96">
        <f>SUM(BZ69:BZ73)</f>
        <v>1300</v>
      </c>
      <c r="CA74" s="95">
        <f>SUM(CA69:CA72)</f>
        <v>6900</v>
      </c>
    </row>
    <row r="75" spans="1:79" s="53" customFormat="1" ht="7.7" customHeight="1">
      <c r="A75" s="99"/>
      <c r="B75" s="98"/>
      <c r="C75" s="100"/>
      <c r="D75" s="100"/>
      <c r="E75" s="96"/>
      <c r="F75" s="96"/>
      <c r="G75" s="96"/>
      <c r="H75" s="96"/>
      <c r="I75" s="95"/>
      <c r="J75" s="96"/>
      <c r="K75" s="96"/>
      <c r="L75" s="96"/>
      <c r="M75" s="96"/>
      <c r="N75" s="95"/>
      <c r="O75" s="96"/>
      <c r="P75" s="96"/>
      <c r="Q75" s="96"/>
      <c r="R75" s="96"/>
      <c r="S75" s="95"/>
      <c r="T75" s="202"/>
      <c r="U75" s="202"/>
      <c r="V75" s="202"/>
      <c r="W75" s="202"/>
      <c r="X75" s="95"/>
      <c r="Y75" s="96"/>
      <c r="Z75" s="202"/>
      <c r="AA75" s="202"/>
      <c r="AB75" s="202"/>
      <c r="AC75" s="95"/>
      <c r="AD75" s="202"/>
      <c r="AE75" s="202"/>
      <c r="AF75" s="202"/>
      <c r="AG75" s="202"/>
      <c r="AH75" s="95"/>
      <c r="AI75" s="96"/>
      <c r="AJ75" s="96"/>
      <c r="AK75" s="96"/>
      <c r="AL75" s="96"/>
      <c r="AM75" s="95"/>
      <c r="AN75" s="96"/>
      <c r="AO75" s="96"/>
      <c r="AP75" s="96"/>
      <c r="AQ75" s="96"/>
      <c r="AR75" s="95"/>
      <c r="AS75" s="96"/>
      <c r="AT75" s="96"/>
      <c r="AU75" s="96"/>
      <c r="AV75" s="96"/>
      <c r="AW75" s="123"/>
      <c r="AX75" s="96"/>
      <c r="AY75" s="96"/>
      <c r="AZ75" s="96"/>
      <c r="BA75" s="96"/>
      <c r="BB75" s="95"/>
      <c r="BC75" s="96"/>
      <c r="BD75" s="96"/>
      <c r="BE75" s="96"/>
      <c r="BF75" s="202"/>
      <c r="BG75" s="95"/>
      <c r="BH75" s="96"/>
      <c r="BI75" s="96"/>
      <c r="BJ75" s="96"/>
      <c r="BK75" s="96"/>
      <c r="BL75" s="95"/>
      <c r="BM75" s="96"/>
      <c r="BN75" s="96"/>
      <c r="BO75" s="96"/>
      <c r="BP75" s="673"/>
      <c r="BQ75" s="95"/>
      <c r="BR75" s="673"/>
      <c r="BS75" s="96"/>
      <c r="BT75" s="96"/>
      <c r="BU75" s="96"/>
      <c r="BV75" s="95"/>
      <c r="BW75" s="96"/>
      <c r="BX75" s="96"/>
      <c r="BY75" s="96"/>
      <c r="BZ75" s="96"/>
      <c r="CA75" s="95"/>
    </row>
    <row r="76" spans="1:79" s="53" customFormat="1" ht="14.1" hidden="1" customHeight="1" outlineLevel="1">
      <c r="A76" s="99"/>
      <c r="B76" s="112" t="s">
        <v>345</v>
      </c>
      <c r="C76" s="100"/>
      <c r="D76" s="100"/>
      <c r="E76" s="96"/>
      <c r="F76" s="96"/>
      <c r="G76" s="96"/>
      <c r="H76" s="96"/>
      <c r="I76" s="95"/>
      <c r="J76" s="96"/>
      <c r="K76" s="96"/>
      <c r="L76" s="96"/>
      <c r="M76" s="96"/>
      <c r="N76" s="95"/>
      <c r="O76" s="96"/>
      <c r="P76" s="96"/>
      <c r="Q76" s="96"/>
      <c r="R76" s="96"/>
      <c r="S76" s="95"/>
      <c r="T76" s="202"/>
      <c r="U76" s="202"/>
      <c r="V76" s="202"/>
      <c r="W76" s="202"/>
      <c r="X76" s="95"/>
      <c r="Y76" s="96"/>
      <c r="Z76" s="202"/>
      <c r="AA76" s="202"/>
      <c r="AB76" s="202"/>
      <c r="AC76" s="95"/>
      <c r="AD76" s="202"/>
      <c r="AE76" s="202"/>
      <c r="AF76" s="202"/>
      <c r="AG76" s="202"/>
      <c r="AH76" s="95"/>
      <c r="AI76" s="96"/>
      <c r="AJ76" s="96"/>
      <c r="AK76" s="96"/>
      <c r="AL76" s="96"/>
      <c r="AM76" s="95"/>
      <c r="AN76" s="96">
        <v>3079</v>
      </c>
      <c r="AO76" s="96">
        <v>3155</v>
      </c>
      <c r="AP76" s="96">
        <v>3250</v>
      </c>
      <c r="AQ76" s="96">
        <v>3304</v>
      </c>
      <c r="AR76" s="95">
        <f>+SUM(AN76:AQ76)</f>
        <v>12788</v>
      </c>
      <c r="AS76" s="96">
        <v>3320</v>
      </c>
      <c r="AT76" s="96">
        <v>5251</v>
      </c>
      <c r="AU76" s="96">
        <v>8633</v>
      </c>
      <c r="AV76" s="96">
        <v>8534</v>
      </c>
      <c r="AW76" s="95">
        <f>+SUM(AS76:AV76)</f>
        <v>25738</v>
      </c>
      <c r="AX76" s="96">
        <v>974</v>
      </c>
      <c r="AY76" s="96">
        <v>985</v>
      </c>
      <c r="AZ76" s="673">
        <v>1001</v>
      </c>
      <c r="BA76" s="673">
        <v>997</v>
      </c>
      <c r="BB76" s="95">
        <f>+SUM(AX76:BA76)</f>
        <v>3957</v>
      </c>
      <c r="BC76" s="673">
        <v>930</v>
      </c>
      <c r="BD76" s="673">
        <v>922</v>
      </c>
      <c r="BE76" s="673">
        <v>944</v>
      </c>
      <c r="BF76" s="202">
        <v>947</v>
      </c>
      <c r="BG76" s="95">
        <f>+SUM(BC76:BF76)</f>
        <v>3743</v>
      </c>
      <c r="BH76" s="96">
        <v>908</v>
      </c>
      <c r="BI76" s="673">
        <v>931</v>
      </c>
      <c r="BJ76" s="96">
        <v>954</v>
      </c>
      <c r="BK76" s="673">
        <v>956</v>
      </c>
      <c r="BL76" s="95">
        <f>+SUM(BH76:BK76)</f>
        <v>3749</v>
      </c>
      <c r="BM76" s="673">
        <v>1074</v>
      </c>
      <c r="BN76" s="673">
        <v>1435</v>
      </c>
      <c r="BO76" s="673">
        <v>1482</v>
      </c>
      <c r="BP76" s="673">
        <v>1487</v>
      </c>
      <c r="BQ76" s="95">
        <f>+SUM(BM76:BP76)</f>
        <v>5478</v>
      </c>
      <c r="BR76" s="673">
        <v>1407</v>
      </c>
      <c r="BS76" s="96">
        <v>1273</v>
      </c>
      <c r="BT76" s="96">
        <v>933</v>
      </c>
      <c r="BU76" s="96">
        <v>937</v>
      </c>
      <c r="BV76" s="95">
        <f>+SUM(BR76:BU76)</f>
        <v>4550</v>
      </c>
      <c r="BW76" s="445">
        <v>1200</v>
      </c>
      <c r="BX76" s="445">
        <v>1200</v>
      </c>
      <c r="BY76" s="445">
        <v>1200</v>
      </c>
      <c r="BZ76" s="445">
        <v>1200</v>
      </c>
      <c r="CA76" s="95">
        <f>+SUM(BW76:BZ76)</f>
        <v>4800</v>
      </c>
    </row>
    <row r="77" spans="1:79" s="53" customFormat="1" ht="14.1" hidden="1" customHeight="1" outlineLevel="1">
      <c r="A77" s="99"/>
      <c r="B77" s="112"/>
      <c r="C77" s="100" t="s">
        <v>473</v>
      </c>
      <c r="D77" s="100"/>
      <c r="E77" s="96"/>
      <c r="F77" s="96"/>
      <c r="G77" s="96"/>
      <c r="H77" s="96"/>
      <c r="I77" s="95"/>
      <c r="J77" s="96"/>
      <c r="K77" s="96"/>
      <c r="L77" s="96"/>
      <c r="M77" s="96"/>
      <c r="N77" s="95"/>
      <c r="O77" s="96"/>
      <c r="P77" s="96"/>
      <c r="Q77" s="96"/>
      <c r="R77" s="96"/>
      <c r="S77" s="95"/>
      <c r="T77" s="202"/>
      <c r="U77" s="202"/>
      <c r="V77" s="202"/>
      <c r="W77" s="202"/>
      <c r="X77" s="95"/>
      <c r="Y77" s="96"/>
      <c r="Z77" s="202"/>
      <c r="AA77" s="202"/>
      <c r="AB77" s="202"/>
      <c r="AC77" s="95"/>
      <c r="AD77" s="202"/>
      <c r="AE77" s="202"/>
      <c r="AF77" s="202"/>
      <c r="AG77" s="202"/>
      <c r="AH77" s="95"/>
      <c r="AI77" s="96"/>
      <c r="AJ77" s="96"/>
      <c r="AK77" s="96"/>
      <c r="AL77" s="96"/>
      <c r="AM77" s="95"/>
      <c r="AN77" s="96"/>
      <c r="AO77" s="96"/>
      <c r="AP77" s="96"/>
      <c r="AQ77" s="96"/>
      <c r="AR77" s="95"/>
      <c r="AS77" s="96"/>
      <c r="AT77" s="96"/>
      <c r="AU77" s="96"/>
      <c r="AV77" s="96"/>
      <c r="AW77" s="95"/>
      <c r="AX77" s="96"/>
      <c r="AY77" s="96"/>
      <c r="AZ77" s="673"/>
      <c r="BA77" s="673"/>
      <c r="BB77" s="95"/>
      <c r="BC77" s="673">
        <v>-583</v>
      </c>
      <c r="BD77" s="816">
        <v>242</v>
      </c>
      <c r="BE77" s="673">
        <f>714-774</f>
        <v>-60</v>
      </c>
      <c r="BF77" s="202">
        <f>3344-2975</f>
        <v>369</v>
      </c>
      <c r="BG77" s="95">
        <f>SUM(BC77:BF77)</f>
        <v>-32</v>
      </c>
      <c r="BH77" s="96">
        <v>144</v>
      </c>
      <c r="BI77" s="673">
        <f>1110-815</f>
        <v>295</v>
      </c>
      <c r="BJ77" s="96">
        <v>195</v>
      </c>
      <c r="BK77" s="673">
        <f>91-243</f>
        <v>-152</v>
      </c>
      <c r="BL77" s="95">
        <f>+SUM(BH77:BK77)</f>
        <v>482</v>
      </c>
      <c r="BM77" s="673">
        <f>94-25</f>
        <v>69</v>
      </c>
      <c r="BN77" s="673">
        <f>+-114-32</f>
        <v>-146</v>
      </c>
      <c r="BO77" s="673">
        <f>176-21</f>
        <v>155</v>
      </c>
      <c r="BP77" s="673">
        <f>296+2202</f>
        <v>2498</v>
      </c>
      <c r="BQ77" s="95">
        <f>+SUM(BM77:BP77)</f>
        <v>2576</v>
      </c>
      <c r="BR77" s="673">
        <v>-376</v>
      </c>
      <c r="BS77" s="96">
        <v>-169</v>
      </c>
      <c r="BT77" s="96">
        <v>105</v>
      </c>
      <c r="BU77" s="96">
        <v>-33</v>
      </c>
      <c r="BV77" s="95">
        <f>SUM(BR77:BU77)</f>
        <v>-473</v>
      </c>
      <c r="BW77" s="445"/>
      <c r="BX77" s="445"/>
      <c r="BY77" s="445"/>
      <c r="BZ77" s="445"/>
      <c r="CA77" s="95"/>
    </row>
    <row r="78" spans="1:79" s="53" customFormat="1" ht="14.1" hidden="1" customHeight="1" outlineLevel="1">
      <c r="A78" s="99"/>
      <c r="B78" s="112" t="s">
        <v>346</v>
      </c>
      <c r="C78" s="100"/>
      <c r="D78" s="100"/>
      <c r="E78" s="96"/>
      <c r="F78" s="96"/>
      <c r="G78" s="96"/>
      <c r="H78" s="96"/>
      <c r="I78" s="95"/>
      <c r="J78" s="96"/>
      <c r="K78" s="96"/>
      <c r="L78" s="96"/>
      <c r="M78" s="96"/>
      <c r="N78" s="95"/>
      <c r="O78" s="96"/>
      <c r="P78" s="96"/>
      <c r="Q78" s="96"/>
      <c r="R78" s="96"/>
      <c r="S78" s="95"/>
      <c r="T78" s="202"/>
      <c r="U78" s="202"/>
      <c r="V78" s="202"/>
      <c r="W78" s="202"/>
      <c r="X78" s="95"/>
      <c r="Y78" s="96"/>
      <c r="Z78" s="202"/>
      <c r="AA78" s="202"/>
      <c r="AB78" s="202"/>
      <c r="AC78" s="95"/>
      <c r="AD78" s="202"/>
      <c r="AE78" s="202"/>
      <c r="AF78" s="202"/>
      <c r="AG78" s="202"/>
      <c r="AH78" s="95"/>
      <c r="AI78" s="96"/>
      <c r="AJ78" s="96"/>
      <c r="AK78" s="96"/>
      <c r="AL78" s="96"/>
      <c r="AM78" s="95"/>
      <c r="AN78" s="96">
        <v>-217</v>
      </c>
      <c r="AO78" s="96">
        <v>0</v>
      </c>
      <c r="AP78" s="96">
        <v>0</v>
      </c>
      <c r="AQ78" s="96">
        <v>0</v>
      </c>
      <c r="AR78" s="95">
        <f>+SUM(AN78:AQ78)</f>
        <v>-217</v>
      </c>
      <c r="AS78" s="96">
        <v>0</v>
      </c>
      <c r="AT78" s="96">
        <v>5794</v>
      </c>
      <c r="AU78" s="96">
        <v>283</v>
      </c>
      <c r="AV78" s="96">
        <v>887</v>
      </c>
      <c r="AW78" s="95">
        <f>+SUM(AS78:AV78)</f>
        <v>6964</v>
      </c>
      <c r="AX78" s="96">
        <v>0</v>
      </c>
      <c r="AY78" s="96"/>
      <c r="AZ78" s="96"/>
      <c r="BA78" s="96"/>
      <c r="BB78" s="95">
        <f>+SUM(AX78:BA78)</f>
        <v>0</v>
      </c>
      <c r="BC78" s="96"/>
      <c r="BD78" s="96"/>
      <c r="BE78" s="96"/>
      <c r="BF78" s="202"/>
      <c r="BG78" s="95">
        <f>+SUM(BC78:BF78)</f>
        <v>0</v>
      </c>
      <c r="BH78" s="96"/>
      <c r="BI78" s="96"/>
      <c r="BJ78" s="96"/>
      <c r="BK78" s="96"/>
      <c r="BL78" s="95">
        <f>+SUM(BH78:BK78)</f>
        <v>0</v>
      </c>
      <c r="BM78" s="96">
        <v>-6615</v>
      </c>
      <c r="BN78" s="96"/>
      <c r="BO78" s="96">
        <v>1250</v>
      </c>
      <c r="BP78" s="673"/>
      <c r="BQ78" s="95">
        <f>+SUM(BM78:BP78)</f>
        <v>-5365</v>
      </c>
      <c r="BR78" s="96"/>
      <c r="BS78" s="96"/>
      <c r="BT78" s="96"/>
      <c r="BU78" s="96">
        <v>0</v>
      </c>
      <c r="BV78" s="95">
        <f>+SUM(BR78:BU78)</f>
        <v>0</v>
      </c>
      <c r="BW78" s="96"/>
      <c r="BX78" s="96"/>
      <c r="BY78" s="96"/>
      <c r="BZ78" s="96"/>
      <c r="CA78" s="95">
        <f>+SUM(BW78:BZ78)</f>
        <v>0</v>
      </c>
    </row>
    <row r="79" spans="1:79" s="53" customFormat="1" ht="14.1" customHeight="1" collapsed="1">
      <c r="A79" s="99"/>
      <c r="B79" s="98" t="s">
        <v>344</v>
      </c>
      <c r="C79" s="100"/>
      <c r="D79" s="100"/>
      <c r="E79" s="96"/>
      <c r="F79" s="96"/>
      <c r="G79" s="96"/>
      <c r="H79" s="96"/>
      <c r="I79" s="95"/>
      <c r="J79" s="96"/>
      <c r="K79" s="96"/>
      <c r="L79" s="96"/>
      <c r="M79" s="96"/>
      <c r="N79" s="95"/>
      <c r="O79" s="96"/>
      <c r="P79" s="96"/>
      <c r="Q79" s="96"/>
      <c r="R79" s="96"/>
      <c r="S79" s="95"/>
      <c r="T79" s="202"/>
      <c r="U79" s="202"/>
      <c r="V79" s="202"/>
      <c r="W79" s="202"/>
      <c r="X79" s="95"/>
      <c r="Y79" s="96"/>
      <c r="Z79" s="202"/>
      <c r="AA79" s="202"/>
      <c r="AB79" s="202"/>
      <c r="AC79" s="95"/>
      <c r="AD79" s="202"/>
      <c r="AE79" s="202"/>
      <c r="AF79" s="202"/>
      <c r="AG79" s="202"/>
      <c r="AH79" s="95"/>
      <c r="AI79" s="96"/>
      <c r="AJ79" s="96"/>
      <c r="AK79" s="96"/>
      <c r="AL79" s="96"/>
      <c r="AM79" s="95"/>
      <c r="AN79" s="96">
        <f t="shared" ref="AN79:BQ79" si="61">AN74+SUM(AN76:AN78)</f>
        <v>1211</v>
      </c>
      <c r="AO79" s="96">
        <f t="shared" si="61"/>
        <v>1239</v>
      </c>
      <c r="AP79" s="96">
        <f t="shared" si="61"/>
        <v>1224</v>
      </c>
      <c r="AQ79" s="96">
        <f t="shared" si="61"/>
        <v>1182</v>
      </c>
      <c r="AR79" s="95">
        <f t="shared" si="61"/>
        <v>4856</v>
      </c>
      <c r="AS79" s="96">
        <f t="shared" si="61"/>
        <v>908</v>
      </c>
      <c r="AT79" s="96">
        <f t="shared" si="61"/>
        <v>346</v>
      </c>
      <c r="AU79" s="96">
        <f t="shared" si="61"/>
        <v>-384</v>
      </c>
      <c r="AV79" s="96">
        <f t="shared" si="61"/>
        <v>-446</v>
      </c>
      <c r="AW79" s="123">
        <f t="shared" si="61"/>
        <v>424</v>
      </c>
      <c r="AX79" s="96">
        <f t="shared" si="61"/>
        <v>-789</v>
      </c>
      <c r="AY79" s="96">
        <f t="shared" si="61"/>
        <v>-1486</v>
      </c>
      <c r="AZ79" s="96">
        <f t="shared" si="61"/>
        <v>-733</v>
      </c>
      <c r="BA79" s="96">
        <f t="shared" si="61"/>
        <v>-1070</v>
      </c>
      <c r="BB79" s="95">
        <f t="shared" si="61"/>
        <v>-4078</v>
      </c>
      <c r="BC79" s="96">
        <f t="shared" si="61"/>
        <v>-678</v>
      </c>
      <c r="BD79" s="96">
        <f t="shared" si="61"/>
        <v>-413</v>
      </c>
      <c r="BE79" s="96">
        <f t="shared" si="61"/>
        <v>-13</v>
      </c>
      <c r="BF79" s="202">
        <f t="shared" si="61"/>
        <v>2135</v>
      </c>
      <c r="BG79" s="95">
        <f t="shared" si="61"/>
        <v>1031</v>
      </c>
      <c r="BH79" s="96">
        <f t="shared" si="61"/>
        <v>3328</v>
      </c>
      <c r="BI79" s="96">
        <f t="shared" si="61"/>
        <v>5483</v>
      </c>
      <c r="BJ79" s="96">
        <f t="shared" si="61"/>
        <v>7410</v>
      </c>
      <c r="BK79" s="96">
        <f t="shared" si="61"/>
        <v>7163</v>
      </c>
      <c r="BL79" s="95">
        <f t="shared" si="61"/>
        <v>23384</v>
      </c>
      <c r="BM79" s="96">
        <f t="shared" si="61"/>
        <v>9135</v>
      </c>
      <c r="BN79" s="96">
        <f t="shared" si="61"/>
        <v>11183</v>
      </c>
      <c r="BO79" s="96">
        <f t="shared" si="61"/>
        <v>9963</v>
      </c>
      <c r="BP79" s="96">
        <f t="shared" si="61"/>
        <v>10956</v>
      </c>
      <c r="BQ79" s="95">
        <f t="shared" si="61"/>
        <v>41237</v>
      </c>
      <c r="BR79" s="96">
        <f t="shared" ref="BR79:CA79" si="62">BR74+SUM(BR76:BR78)</f>
        <v>7219</v>
      </c>
      <c r="BS79" s="96">
        <f t="shared" si="62"/>
        <v>5201</v>
      </c>
      <c r="BT79" s="96">
        <f t="shared" si="62"/>
        <v>3611</v>
      </c>
      <c r="BU79" s="96">
        <f t="shared" si="62"/>
        <v>4138</v>
      </c>
      <c r="BV79" s="95">
        <f t="shared" si="62"/>
        <v>20169</v>
      </c>
      <c r="BW79" s="96">
        <f t="shared" si="62"/>
        <v>3600</v>
      </c>
      <c r="BX79" s="96">
        <f t="shared" si="62"/>
        <v>2900</v>
      </c>
      <c r="BY79" s="96">
        <f t="shared" si="62"/>
        <v>2700</v>
      </c>
      <c r="BZ79" s="96">
        <f t="shared" si="62"/>
        <v>2500</v>
      </c>
      <c r="CA79" s="95">
        <f t="shared" si="62"/>
        <v>11700</v>
      </c>
    </row>
    <row r="80" spans="1:79" s="53" customFormat="1" ht="7.7" customHeight="1">
      <c r="A80" s="105"/>
      <c r="B80" s="112"/>
      <c r="C80" s="169"/>
      <c r="D80" s="169"/>
      <c r="E80" s="105"/>
      <c r="F80" s="105"/>
      <c r="G80" s="105"/>
      <c r="H80" s="105"/>
      <c r="I80" s="158"/>
      <c r="J80" s="105"/>
      <c r="K80" s="105"/>
      <c r="L80" s="105"/>
      <c r="M80" s="124"/>
      <c r="N80" s="123"/>
      <c r="O80" s="124"/>
      <c r="P80" s="124"/>
      <c r="Q80" s="124"/>
      <c r="R80" s="124"/>
      <c r="S80" s="123"/>
      <c r="T80" s="121"/>
      <c r="U80" s="121"/>
      <c r="V80" s="121"/>
      <c r="W80" s="121"/>
      <c r="X80" s="120"/>
      <c r="Y80" s="124"/>
      <c r="Z80" s="203"/>
      <c r="AA80" s="162"/>
      <c r="AB80" s="162"/>
      <c r="AC80" s="120"/>
      <c r="AD80" s="203"/>
      <c r="AE80" s="209"/>
      <c r="AF80" s="209"/>
      <c r="AG80" s="209"/>
      <c r="AH80" s="120"/>
      <c r="AI80" s="209"/>
      <c r="AJ80" s="121"/>
      <c r="AK80" s="121"/>
      <c r="AL80" s="121"/>
      <c r="AM80" s="120"/>
      <c r="AN80" s="209"/>
      <c r="AO80" s="209"/>
      <c r="AP80" s="121"/>
      <c r="AQ80" s="121"/>
      <c r="AR80" s="120"/>
      <c r="AS80" s="209"/>
      <c r="AT80" s="209"/>
      <c r="AU80" s="209"/>
      <c r="AV80" s="121"/>
      <c r="AW80" s="120"/>
      <c r="AX80" s="209"/>
      <c r="AY80" s="209"/>
      <c r="AZ80" s="209"/>
      <c r="BA80" s="121"/>
      <c r="BB80" s="120"/>
      <c r="BC80" s="209"/>
      <c r="BD80" s="209"/>
      <c r="BE80" s="209"/>
      <c r="BF80" s="209"/>
      <c r="BG80" s="120"/>
      <c r="BH80" s="121"/>
      <c r="BI80" s="209"/>
      <c r="BJ80" s="121"/>
      <c r="BK80" s="121"/>
      <c r="BL80" s="120"/>
      <c r="BM80" s="209"/>
      <c r="BN80" s="209"/>
      <c r="BO80" s="209"/>
      <c r="BP80" s="121"/>
      <c r="BQ80" s="120"/>
      <c r="BR80" s="209"/>
      <c r="BS80" s="121"/>
      <c r="BT80" s="121"/>
      <c r="BU80" s="121"/>
      <c r="BV80" s="120"/>
      <c r="BW80" s="209"/>
      <c r="BX80" s="209"/>
      <c r="BY80" s="209"/>
      <c r="BZ80" s="121"/>
      <c r="CA80" s="120"/>
    </row>
    <row r="81" spans="1:79" s="53" customFormat="1" ht="12.6" hidden="1" customHeight="1" outlineLevel="1">
      <c r="A81" s="105"/>
      <c r="B81" s="112"/>
      <c r="C81" s="169" t="s">
        <v>494</v>
      </c>
      <c r="D81" s="169"/>
      <c r="E81" s="105"/>
      <c r="F81" s="105"/>
      <c r="G81" s="105"/>
      <c r="H81" s="105"/>
      <c r="I81" s="158"/>
      <c r="J81" s="105"/>
      <c r="K81" s="105"/>
      <c r="L81" s="105"/>
      <c r="M81" s="124"/>
      <c r="N81" s="123"/>
      <c r="O81" s="124"/>
      <c r="P81" s="124"/>
      <c r="Q81" s="124"/>
      <c r="R81" s="124"/>
      <c r="S81" s="123"/>
      <c r="T81" s="121"/>
      <c r="U81" s="121"/>
      <c r="V81" s="121"/>
      <c r="W81" s="121"/>
      <c r="X81" s="120"/>
      <c r="Y81" s="124"/>
      <c r="Z81" s="203"/>
      <c r="AA81" s="162"/>
      <c r="AB81" s="162"/>
      <c r="AC81" s="120"/>
      <c r="AD81" s="203"/>
      <c r="AE81" s="209"/>
      <c r="AF81" s="209"/>
      <c r="AG81" s="209"/>
      <c r="AH81" s="120"/>
      <c r="AI81" s="209"/>
      <c r="AJ81" s="121"/>
      <c r="AK81" s="121"/>
      <c r="AL81" s="121"/>
      <c r="AM81" s="120"/>
      <c r="AN81" s="209"/>
      <c r="AO81" s="209"/>
      <c r="AP81" s="121"/>
      <c r="AQ81" s="121"/>
      <c r="AR81" s="120"/>
      <c r="AS81" s="209"/>
      <c r="AT81" s="209"/>
      <c r="AU81" s="209"/>
      <c r="AV81" s="121"/>
      <c r="AW81" s="120"/>
      <c r="AX81" s="209"/>
      <c r="AY81" s="209"/>
      <c r="AZ81" s="209"/>
      <c r="BA81" s="121"/>
      <c r="BB81" s="120"/>
      <c r="BC81" s="209"/>
      <c r="BD81" s="209"/>
      <c r="BE81" s="209"/>
      <c r="BF81" s="209"/>
      <c r="BG81" s="120"/>
      <c r="BH81" s="121"/>
      <c r="BI81" s="209"/>
      <c r="BJ81" s="124">
        <v>492</v>
      </c>
      <c r="BK81" s="124">
        <v>449</v>
      </c>
      <c r="BL81" s="123">
        <f>SUM(BH81:BK81)</f>
        <v>941</v>
      </c>
      <c r="BM81" s="203">
        <v>457</v>
      </c>
      <c r="BN81" s="203">
        <v>455</v>
      </c>
      <c r="BO81" s="203">
        <v>951</v>
      </c>
      <c r="BP81" s="124">
        <v>1994</v>
      </c>
      <c r="BQ81" s="123">
        <f>SUM(BM81:BP81)</f>
        <v>3857</v>
      </c>
      <c r="BR81" s="203">
        <f>4319-2311</f>
        <v>2008</v>
      </c>
      <c r="BS81" s="124">
        <v>2311</v>
      </c>
      <c r="BT81" s="124">
        <v>2300</v>
      </c>
      <c r="BU81" s="124">
        <v>0</v>
      </c>
      <c r="BV81" s="123">
        <f>SUM(BR81:BU81)</f>
        <v>6619</v>
      </c>
      <c r="BW81" s="203">
        <v>2000</v>
      </c>
      <c r="BX81" s="203">
        <v>2000</v>
      </c>
      <c r="BY81" s="203">
        <v>2000</v>
      </c>
      <c r="BZ81" s="124">
        <v>2000</v>
      </c>
      <c r="CA81" s="123">
        <f>SUM(BW81:BZ81)</f>
        <v>8000</v>
      </c>
    </row>
    <row r="82" spans="1:79" s="53" customFormat="1" ht="12.6" hidden="1" customHeight="1" outlineLevel="1">
      <c r="A82" s="105"/>
      <c r="B82" s="112"/>
      <c r="C82" s="169" t="s">
        <v>513</v>
      </c>
      <c r="D82" s="169"/>
      <c r="E82" s="105"/>
      <c r="F82" s="105"/>
      <c r="G82" s="105"/>
      <c r="H82" s="105"/>
      <c r="I82" s="158"/>
      <c r="J82" s="105"/>
      <c r="K82" s="105"/>
      <c r="L82" s="105"/>
      <c r="M82" s="124"/>
      <c r="N82" s="123"/>
      <c r="O82" s="124"/>
      <c r="P82" s="124"/>
      <c r="Q82" s="124"/>
      <c r="R82" s="124"/>
      <c r="S82" s="123"/>
      <c r="T82" s="121"/>
      <c r="U82" s="121"/>
      <c r="V82" s="121"/>
      <c r="W82" s="121"/>
      <c r="X82" s="120"/>
      <c r="Y82" s="124"/>
      <c r="Z82" s="203"/>
      <c r="AA82" s="162"/>
      <c r="AB82" s="162"/>
      <c r="AC82" s="120"/>
      <c r="AD82" s="203"/>
      <c r="AE82" s="209"/>
      <c r="AF82" s="209"/>
      <c r="AG82" s="209"/>
      <c r="AH82" s="120"/>
      <c r="AI82" s="209"/>
      <c r="AJ82" s="121"/>
      <c r="AK82" s="121"/>
      <c r="AL82" s="121"/>
      <c r="AM82" s="120"/>
      <c r="AN82" s="209"/>
      <c r="AO82" s="209"/>
      <c r="AP82" s="121"/>
      <c r="AQ82" s="121"/>
      <c r="AR82" s="120"/>
      <c r="AS82" s="209"/>
      <c r="AT82" s="209"/>
      <c r="AU82" s="209"/>
      <c r="AV82" s="121"/>
      <c r="AW82" s="120"/>
      <c r="AX82" s="209"/>
      <c r="AY82" s="209"/>
      <c r="AZ82" s="209"/>
      <c r="BA82" s="121"/>
      <c r="BB82" s="120"/>
      <c r="BC82" s="209"/>
      <c r="BD82" s="209"/>
      <c r="BE82" s="209"/>
      <c r="BF82" s="209"/>
      <c r="BG82" s="120"/>
      <c r="BH82" s="121"/>
      <c r="BI82" s="209"/>
      <c r="BJ82" s="124"/>
      <c r="BK82" s="124"/>
      <c r="BL82" s="123"/>
      <c r="BM82" s="203"/>
      <c r="BN82" s="203"/>
      <c r="BO82" s="203"/>
      <c r="BP82" s="124">
        <v>2202</v>
      </c>
      <c r="BQ82" s="123"/>
      <c r="BR82" s="203"/>
      <c r="BS82" s="124"/>
      <c r="BT82" s="124"/>
      <c r="BU82" s="124"/>
      <c r="BV82" s="123"/>
      <c r="BW82" s="203"/>
      <c r="BX82" s="203"/>
      <c r="BY82" s="203"/>
      <c r="BZ82" s="124"/>
      <c r="CA82" s="123"/>
    </row>
    <row r="83" spans="1:79" s="53" customFormat="1" ht="14.1" customHeight="1" collapsed="1">
      <c r="A83" s="105"/>
      <c r="B83" s="112" t="s">
        <v>5</v>
      </c>
      <c r="C83" s="169"/>
      <c r="D83" s="154">
        <f>D95+'Cash Flows'!D8+'Income Statement'!D93-D69+D64-D70-D53</f>
        <v>-5858</v>
      </c>
      <c r="E83" s="124">
        <f>E95+'Cash Flows'!E8+'Income Statement'!E93-E69+E64-E70-E53</f>
        <v>-2778.8902600000001</v>
      </c>
      <c r="F83" s="124">
        <f>F95+'Cash Flows'!F8+'Income Statement'!F93-F69+F64-F70-F53</f>
        <v>-3304.2604600000013</v>
      </c>
      <c r="G83" s="124">
        <f>G95+'Cash Flows'!G8+'Income Statement'!G93-G69+G64-G70-G53</f>
        <v>-3864.9570300000009</v>
      </c>
      <c r="H83" s="124">
        <f>H95+'Cash Flows'!H8+'Income Statement'!H93-H69+H64-H70-H53</f>
        <v>-4559.5707800000018</v>
      </c>
      <c r="I83" s="123">
        <f>I95+'Cash Flows'!I8+'Income Statement'!I93-I69+I64-I70-I53</f>
        <v>-14507.678530000005</v>
      </c>
      <c r="J83" s="124">
        <f>J95+'Cash Flows'!J8+'Income Statement'!J93-J69+J64-J70-J53</f>
        <v>-5468.8752199999981</v>
      </c>
      <c r="K83" s="124">
        <f>K95+'Cash Flows'!K8+'Income Statement'!K93-K69+K64-K70-K53</f>
        <v>-6131.09879</v>
      </c>
      <c r="L83" s="124">
        <f>L95+'Cash Flows'!L8+'Income Statement'!L93-L69+L64-L70-L53</f>
        <v>-5260.7797999999966</v>
      </c>
      <c r="M83" s="124">
        <f>M95+'Cash Flows'!M8+'Income Statement'!M93-M69+M64-M70-M53</f>
        <v>-5095.2461900000053</v>
      </c>
      <c r="N83" s="123">
        <f>N95+'Cash Flows'!N8+'Income Statement'!N93-N69+N64-N70-N53</f>
        <v>-21956</v>
      </c>
      <c r="O83" s="124">
        <f>O95+'Cash Flows'!O8+'Income Statement'!O93-O69+O64-O70-O53</f>
        <v>-6472</v>
      </c>
      <c r="P83" s="124">
        <f>P95+'Cash Flows'!P8+'Income Statement'!P93-P69+P64-P70-P53</f>
        <v>-6871</v>
      </c>
      <c r="Q83" s="124">
        <f>Q95+'Cash Flows'!Q8+'Income Statement'!Q93-Q69+Q64-Q70-Q53</f>
        <v>-4957</v>
      </c>
      <c r="R83" s="124">
        <f>R95+'Cash Flows'!R8+'Income Statement'!R93-R69+R64-R70-R53</f>
        <v>-4330</v>
      </c>
      <c r="S83" s="123">
        <f>S95+'Cash Flows'!S8+'Income Statement'!S93-S69+S64-S70-S53</f>
        <v>-22630</v>
      </c>
      <c r="T83" s="124">
        <f>T95+'Cash Flows'!T8+'Income Statement'!T93-T69+T64-T70-T53</f>
        <v>-3163</v>
      </c>
      <c r="U83" s="124">
        <f>U95+'Cash Flows'!U8+'Income Statement'!U93-U69+U64-U70-U53</f>
        <v>-2255</v>
      </c>
      <c r="V83" s="124">
        <f>V95+'Cash Flows'!V8+'Income Statement'!V93-V69+V64-V70-V53</f>
        <v>-1097</v>
      </c>
      <c r="W83" s="124">
        <f>W95+'Cash Flows'!W8+'Income Statement'!W93-W69+W64-W70-W53</f>
        <v>1248</v>
      </c>
      <c r="X83" s="123">
        <f>X95+'Cash Flows'!X8+'Income Statement'!X93-X69+X64-X70-X53</f>
        <v>-5267</v>
      </c>
      <c r="Y83" s="124">
        <f>Y95+'Cash Flows'!Y8+'Income Statement'!Y93-Y69+Y64-Y70-Y53</f>
        <v>458</v>
      </c>
      <c r="Z83" s="203">
        <f>'Cash Flows'!Z8+Z92-Z69+Z64-Z70-Z53</f>
        <v>2278</v>
      </c>
      <c r="AA83" s="203">
        <f>'Cash Flows'!AA8+AA92-AA69+AA64-AA70-AA53</f>
        <v>2741</v>
      </c>
      <c r="AB83" s="203">
        <f>'Cash Flows'!AB8+AB92-AB69+AB64-AB70-AB53</f>
        <v>2900</v>
      </c>
      <c r="AC83" s="199">
        <f>'Cash Flows'!AC8+AC92-AC69+AC64-AC70-AC53</f>
        <v>8377</v>
      </c>
      <c r="AD83" s="203">
        <f>AD95+'Cash Flows'!AD8+'Income Statement'!AD93-AD69+AD64-AD70-AD53</f>
        <v>2617</v>
      </c>
      <c r="AE83" s="203">
        <f>AE95+'Cash Flows'!AE8+'Income Statement'!AE93-AE69+AE64-AE70-AE53</f>
        <v>2965</v>
      </c>
      <c r="AF83" s="203">
        <f>AF95+'Cash Flows'!AF8+'Income Statement'!AF93-AF69+AF64-AF70-AF53</f>
        <v>5182</v>
      </c>
      <c r="AG83" s="203">
        <f>AG95+'Cash Flows'!AG8+'Income Statement'!AG93-AG69+AG64-AG70-AG53</f>
        <v>6875</v>
      </c>
      <c r="AH83" s="123">
        <f>AH95+'Cash Flows'!AH8+'Income Statement'!AH93-AH69+AH64-AH70-AH53</f>
        <v>17639</v>
      </c>
      <c r="AI83" s="124">
        <f>AI95+'Cash Flows'!AI8+'Income Statement'!AI93-AI69+AI64-AI70-AI53</f>
        <v>7495</v>
      </c>
      <c r="AJ83" s="124">
        <f>AJ95+'Cash Flows'!AJ8+'Income Statement'!AJ93-AJ69+AJ64-AJ70-AJ53</f>
        <v>9681</v>
      </c>
      <c r="AK83" s="124">
        <f>AK95+'Cash Flows'!AK8+'Income Statement'!AK93-AK69+AK64-AK70-AK53</f>
        <v>12773</v>
      </c>
      <c r="AL83" s="124">
        <f>AL95+'Cash Flows'!AL8+'Income Statement'!AL93-AL69+AL64-AL70-AL53</f>
        <v>16410</v>
      </c>
      <c r="AM83" s="123">
        <f>AM95+'Cash Flows'!AM8+'Income Statement'!AM93-AM69+AM64-AM70-AM53</f>
        <v>46359</v>
      </c>
      <c r="AN83" s="124">
        <f>AN95+'Cash Flows'!AN8+'Income Statement'!AN93-AN69+AN64-AN70-AN53</f>
        <v>11848</v>
      </c>
      <c r="AO83" s="124">
        <f>AO95+'Cash Flows'!AO8+'Income Statement'!AO93-AO69+AO64-AO70-AO53</f>
        <v>14366</v>
      </c>
      <c r="AP83" s="124">
        <f>AP95+'Cash Flows'!AP8+'Income Statement'!AP93-AP69+AP64-AP70-AP53</f>
        <v>15044</v>
      </c>
      <c r="AQ83" s="124">
        <f>AQ95+'Cash Flows'!AQ8+'Income Statement'!AQ93-AQ69+AQ64-AQ70-AQ53</f>
        <v>19562</v>
      </c>
      <c r="AR83" s="123">
        <f>AR95+'Cash Flows'!AR8+'Income Statement'!AR93-AR69+AR64-AR70-AR53</f>
        <v>60820</v>
      </c>
      <c r="AS83" s="124">
        <f>AS95+'Cash Flows'!AS8+'Income Statement'!AS93-AS69+AS64-AS70-AS53</f>
        <v>14137</v>
      </c>
      <c r="AT83" s="124">
        <f>AT95+'Cash Flows'!AT8+'Income Statement'!AT93-AT69+AT64-AT70-AT53+AT73</f>
        <v>18259</v>
      </c>
      <c r="AU83" s="124">
        <f>AU95+'Cash Flows'!AU8+'Income Statement'!AU93-AU69+AU64-AU70-AU53+AU73</f>
        <v>24068</v>
      </c>
      <c r="AV83" s="124">
        <f>AV95+'Cash Flows'!AV8+'Income Statement'!AV93-AV69+AV64-AV70-AV53</f>
        <v>28330</v>
      </c>
      <c r="AW83" s="123">
        <f>SUM(AS83:AV83)</f>
        <v>84794</v>
      </c>
      <c r="AX83" s="124">
        <f>AX95+'Cash Flows'!AX8+'Income Statement'!AX93-AX69+AX64-AX70-AX53</f>
        <v>22179</v>
      </c>
      <c r="AY83" s="124">
        <f>AY95+'Cash Flows'!AY8+'Income Statement'!AY93-AY69+AY64-AY70-AY53</f>
        <v>24031</v>
      </c>
      <c r="AZ83" s="124">
        <f>AZ95+'Cash Flows'!AZ8+'Income Statement'!AZ93-AZ69+AZ64-AZ70-AZ53</f>
        <v>27402</v>
      </c>
      <c r="BA83" s="124">
        <f>BA95+'Cash Flows'!BA8+'Income Statement'!BA93-BA69+BA64-BA70-BA53</f>
        <v>36891</v>
      </c>
      <c r="BB83" s="123">
        <f>BB95+'Cash Flows'!BB8+'Income Statement'!BB93-BB69+BB64-BB70-BB53</f>
        <v>110503</v>
      </c>
      <c r="BC83" s="124">
        <f>BC95+'Cash Flows'!BC8+'Income Statement'!BC93-BC69+BC64-BC70-BC53-105</f>
        <v>24475</v>
      </c>
      <c r="BD83" s="124">
        <f>BD95+'Cash Flows'!BD8+'Income Statement'!BD93-BD69+BD64-BD70-BD53-669</f>
        <v>33082</v>
      </c>
      <c r="BE83" s="124">
        <f>BE95+'Cash Flows'!BE8+'Income Statement'!BE93-BE69+BE64-BE70-BE53</f>
        <v>36705</v>
      </c>
      <c r="BF83" s="203">
        <f>BF95+'Cash Flows'!BF8+'Income Statement'!BF93-BF69+BF64-BF70-BF53</f>
        <v>46174</v>
      </c>
      <c r="BG83" s="123">
        <f>SUM(BC83:BF83)</f>
        <v>140436</v>
      </c>
      <c r="BH83" s="124">
        <f>BH95+'Cash Flows'!BH8+'Income Statement'!BH93-BH69+BH64-BH70-BH53</f>
        <v>35145</v>
      </c>
      <c r="BI83" s="124">
        <f>BI95+'Cash Flows'!BI8+'Income Statement'!BI93-BI69+BI64-BI70-BI53</f>
        <v>41540</v>
      </c>
      <c r="BJ83" s="124">
        <f>BJ95+'Cash Flows'!BJ8+'Income Statement'!BJ93-BJ69+BJ64-BJ70-BJ53+BJ81</f>
        <v>41284</v>
      </c>
      <c r="BK83" s="124">
        <f>BK95+'Cash Flows'!BK8+'Income Statement'!BK93-BK69+BK64-BK70-BK53+BK81</f>
        <v>48297</v>
      </c>
      <c r="BL83" s="123">
        <f>BL95+'Cash Flows'!BL8+'Income Statement'!BL93-BL69+BL64-BL70-BL53+BL81</f>
        <v>166266</v>
      </c>
      <c r="BM83" s="124">
        <f>BM95+'Cash Flows'!BM8+'Income Statement'!BM93-BM69+BM64-BM70-BM53+BM81-BM72</f>
        <v>37586</v>
      </c>
      <c r="BN83" s="124">
        <f>BN95+'Cash Flows'!BN8+'Income Statement'!BN93-BN69+BN64-BN70-BN53+BN81-BN72</f>
        <v>41781</v>
      </c>
      <c r="BO83" s="124">
        <f>BO95+'Cash Flows'!BO8+'Income Statement'!BO93-BO69+BO64-BO70-BO53+BO81-BO72</f>
        <v>52360</v>
      </c>
      <c r="BP83" s="124">
        <f>BP95+'Cash Flows'!BP8+'Income Statement'!BP93-BP69+BP64-BP70-BP53+BP81-BP72+BP82</f>
        <v>64256</v>
      </c>
      <c r="BQ83" s="123">
        <f>BQ95+'Cash Flows'!BQ8+'Income Statement'!BQ93-BQ69+BQ64-BQ70-BQ53+BQ81</f>
        <v>200396</v>
      </c>
      <c r="BR83" s="124">
        <f>BR95+'Cash Flows'!BR8+'Income Statement'!BR93-BR69+BR64-BR70-BR53+BR81-BR72</f>
        <v>52703</v>
      </c>
      <c r="BS83" s="124">
        <f>BS95+'Cash Flows'!BS8+'Income Statement'!BS93-BS69+BS64-BS70-BS53+BS81-BS72</f>
        <v>67950</v>
      </c>
      <c r="BT83" s="124">
        <f>BT95+'Cash Flows'!BT8+'Income Statement'!BT93-BT69+BT64-BT70-BT53+BT81-BT72</f>
        <v>71720</v>
      </c>
      <c r="BU83" s="124">
        <f>BU95+'Cash Flows'!BU8+'Income Statement'!BU93-BU69+BU64-BU70-BU53+BU81-BU72</f>
        <v>75030</v>
      </c>
      <c r="BV83" s="123">
        <f>BV95+'Cash Flows'!BV8+'Income Statement'!BV93-BV69+BV64-BV70-BV53+BV81</f>
        <v>267403</v>
      </c>
      <c r="BW83" s="124">
        <f>BW95+'Cash Flows'!BW8+'Income Statement'!BW93-BW69+BW64-BW70-BW53+BW81-BW72</f>
        <v>63794.822711999979</v>
      </c>
      <c r="BX83" s="124">
        <f>BX95+'Cash Flows'!BX8+'Income Statement'!BX93-BX69+BX64-BX70-BX53+BX81-BX72</f>
        <v>70982.377296000021</v>
      </c>
      <c r="BY83" s="124">
        <f>BY95+'Cash Flows'!BY8+'Income Statement'!BY93-BY69+BY64-BY70-BY53+BY81-BY72</f>
        <v>76906.897618118732</v>
      </c>
      <c r="BZ83" s="124">
        <f>BZ95+'Cash Flows'!BZ8+'Income Statement'!BZ93-BZ69+BZ64-BZ70-BZ53+BZ81-BZ72+BZ82</f>
        <v>88442.672976539878</v>
      </c>
      <c r="CA83" s="123">
        <f>CA95+'Cash Flows'!CA8+'Income Statement'!CA93-CA69+CA64-CA70-CA53+CA81</f>
        <v>300126.77060265857</v>
      </c>
    </row>
    <row r="84" spans="1:79" s="635" customFormat="1" ht="12.4" customHeight="1">
      <c r="A84" s="609"/>
      <c r="B84" s="610"/>
      <c r="C84" s="636" t="s">
        <v>88</v>
      </c>
      <c r="D84" s="636">
        <f t="shared" ref="D84:AI84" si="63">D83/D28</f>
        <v>-0.1356395294989349</v>
      </c>
      <c r="E84" s="637">
        <f t="shared" si="63"/>
        <v>-0.19404154499552073</v>
      </c>
      <c r="F84" s="637">
        <f t="shared" si="63"/>
        <v>-0.21987741078456313</v>
      </c>
      <c r="G84" s="637">
        <f t="shared" si="63"/>
        <v>-0.23854751139448443</v>
      </c>
      <c r="H84" s="637">
        <f t="shared" si="63"/>
        <v>-0.24954647636480856</v>
      </c>
      <c r="I84" s="638">
        <f t="shared" si="63"/>
        <v>-0.22731355105626191</v>
      </c>
      <c r="J84" s="637">
        <f t="shared" si="63"/>
        <v>-0.28610198902400247</v>
      </c>
      <c r="K84" s="637">
        <f t="shared" si="63"/>
        <v>-0.30227918218017097</v>
      </c>
      <c r="L84" s="637">
        <f t="shared" si="63"/>
        <v>-0.24942984569475007</v>
      </c>
      <c r="M84" s="637">
        <f t="shared" si="63"/>
        <v>-0.21550984419779848</v>
      </c>
      <c r="N84" s="638">
        <f t="shared" si="63"/>
        <v>-0.26097085532258829</v>
      </c>
      <c r="O84" s="637">
        <f t="shared" si="63"/>
        <v>-0.2666227239021175</v>
      </c>
      <c r="P84" s="637">
        <f t="shared" si="63"/>
        <v>-0.27834717439740736</v>
      </c>
      <c r="Q84" s="637">
        <f t="shared" si="63"/>
        <v>-0.19161931269086552</v>
      </c>
      <c r="R84" s="637">
        <f t="shared" si="63"/>
        <v>-0.15314423144938813</v>
      </c>
      <c r="S84" s="638">
        <f t="shared" si="63"/>
        <v>-0.21949137747085409</v>
      </c>
      <c r="T84" s="637">
        <f t="shared" si="63"/>
        <v>-0.10447909096914844</v>
      </c>
      <c r="U84" s="637">
        <f t="shared" si="63"/>
        <v>-7.4486357930897806E-2</v>
      </c>
      <c r="V84" s="637">
        <f t="shared" si="63"/>
        <v>-3.3976523058816245E-2</v>
      </c>
      <c r="W84" s="637">
        <f t="shared" si="63"/>
        <v>3.4634917991840812E-2</v>
      </c>
      <c r="X84" s="638">
        <f t="shared" si="63"/>
        <v>-4.0871279138343111E-2</v>
      </c>
      <c r="Y84" s="639">
        <f t="shared" si="63"/>
        <v>1.2047875838484809E-2</v>
      </c>
      <c r="Z84" s="640">
        <f t="shared" si="63"/>
        <v>5.8581494625315027E-2</v>
      </c>
      <c r="AA84" s="627">
        <f t="shared" si="63"/>
        <v>6.6883021814455129E-2</v>
      </c>
      <c r="AB84" s="627">
        <f t="shared" si="63"/>
        <v>6.5600470513719547E-2</v>
      </c>
      <c r="AC84" s="638">
        <f t="shared" si="63"/>
        <v>5.1681164784995987E-2</v>
      </c>
      <c r="AD84" s="627">
        <f t="shared" si="63"/>
        <v>5.5664270217382059E-2</v>
      </c>
      <c r="AE84" s="627">
        <f t="shared" si="63"/>
        <v>6.2124164519035345E-2</v>
      </c>
      <c r="AF84" s="627">
        <f t="shared" si="63"/>
        <v>0.1034723747529003</v>
      </c>
      <c r="AG84" s="627">
        <f t="shared" si="63"/>
        <v>0.12409075320831002</v>
      </c>
      <c r="AH84" s="638">
        <f t="shared" si="63"/>
        <v>8.809589212136347E-2</v>
      </c>
      <c r="AI84" s="627">
        <f t="shared" si="63"/>
        <v>0.12723877429759783</v>
      </c>
      <c r="AJ84" s="637">
        <f t="shared" ref="AJ84:BO84" si="64">AJ83/AJ28</f>
        <v>0.15839332460732986</v>
      </c>
      <c r="AK84" s="637">
        <f t="shared" si="64"/>
        <v>0.19559291926987626</v>
      </c>
      <c r="AL84" s="637">
        <f t="shared" si="64"/>
        <v>0.22686113223197621</v>
      </c>
      <c r="AM84" s="638">
        <f t="shared" si="64"/>
        <v>0.17992036140089418</v>
      </c>
      <c r="AN84" s="627">
        <f t="shared" si="64"/>
        <v>0.15895248061391504</v>
      </c>
      <c r="AO84" s="627">
        <f t="shared" si="64"/>
        <v>0.1855209463298724</v>
      </c>
      <c r="AP84" s="637">
        <f t="shared" si="64"/>
        <v>0.17958910814263032</v>
      </c>
      <c r="AQ84" s="637">
        <f t="shared" si="64"/>
        <v>0.21202432177579311</v>
      </c>
      <c r="AR84" s="638">
        <f t="shared" si="64"/>
        <v>0.18542343737614556</v>
      </c>
      <c r="AS84" s="627">
        <f t="shared" si="64"/>
        <v>0.14867280834595323</v>
      </c>
      <c r="AT84" s="627">
        <f t="shared" si="64"/>
        <v>0.18297057880391213</v>
      </c>
      <c r="AU84" s="627">
        <f t="shared" si="64"/>
        <v>0.21461883488046513</v>
      </c>
      <c r="AV84" s="637">
        <f t="shared" si="64"/>
        <v>0.22152715330179459</v>
      </c>
      <c r="AW84" s="638">
        <f t="shared" si="64"/>
        <v>0.19496997066046151</v>
      </c>
      <c r="AX84" s="627">
        <f t="shared" si="64"/>
        <v>0.16085493392901176</v>
      </c>
      <c r="AY84" s="627">
        <f t="shared" si="64"/>
        <v>0.16713496821577109</v>
      </c>
      <c r="AZ84" s="627">
        <f t="shared" si="64"/>
        <v>0.17755689181483594</v>
      </c>
      <c r="BA84" s="637">
        <f t="shared" si="64"/>
        <v>0.21250698448723784</v>
      </c>
      <c r="BB84" s="638">
        <f t="shared" si="64"/>
        <v>0.18127400174871347</v>
      </c>
      <c r="BC84" s="627">
        <f t="shared" si="64"/>
        <v>0.13390634489022141</v>
      </c>
      <c r="BD84" s="627">
        <f t="shared" si="64"/>
        <v>0.17468397207759978</v>
      </c>
      <c r="BE84" s="627">
        <f t="shared" si="64"/>
        <v>0.18505914027286202</v>
      </c>
      <c r="BF84" s="627">
        <f t="shared" si="64"/>
        <v>0.22162278912380906</v>
      </c>
      <c r="BG84" s="638">
        <f t="shared" si="64"/>
        <v>0.18031292450625669</v>
      </c>
      <c r="BH84" s="637">
        <f t="shared" si="64"/>
        <v>0.16089159902764616</v>
      </c>
      <c r="BI84" s="627">
        <f t="shared" si="64"/>
        <v>0.18637664773288107</v>
      </c>
      <c r="BJ84" s="637">
        <f t="shared" si="64"/>
        <v>0.1794137458986115</v>
      </c>
      <c r="BK84" s="637">
        <f>BK83/BK28</f>
        <v>0.20202708920698395</v>
      </c>
      <c r="BL84" s="638">
        <f t="shared" si="64"/>
        <v>0.18261196193689538</v>
      </c>
      <c r="BM84" s="627">
        <f>BM83/BM28</f>
        <v>0.15216388000485812</v>
      </c>
      <c r="BN84" s="627">
        <f t="shared" si="64"/>
        <v>0.16574105662353325</v>
      </c>
      <c r="BO84" s="627">
        <f t="shared" si="64"/>
        <v>0.19819669773110962</v>
      </c>
      <c r="BP84" s="637">
        <f t="shared" ref="BP84:CA84" si="65">BP83/BP28</f>
        <v>0.23058924854661594</v>
      </c>
      <c r="BQ84" s="638">
        <f t="shared" si="65"/>
        <v>0.19233006186548529</v>
      </c>
      <c r="BR84" s="627">
        <f t="shared" si="65"/>
        <v>0.18842351763465079</v>
      </c>
      <c r="BS84" s="637">
        <f t="shared" si="65"/>
        <v>0.23987799582728783</v>
      </c>
      <c r="BT84" s="637">
        <f t="shared" si="65"/>
        <v>0.25091662235159112</v>
      </c>
      <c r="BU84" s="637">
        <f t="shared" si="65"/>
        <v>0.24986512678082604</v>
      </c>
      <c r="BV84" s="638">
        <f t="shared" si="65"/>
        <v>0.23270889609847115</v>
      </c>
      <c r="BW84" s="627">
        <f t="shared" si="65"/>
        <v>0.21319774724999452</v>
      </c>
      <c r="BX84" s="627">
        <f t="shared" si="65"/>
        <v>0.23172085683522914</v>
      </c>
      <c r="BY84" s="627">
        <f t="shared" si="65"/>
        <v>0.24513783490244984</v>
      </c>
      <c r="BZ84" s="637">
        <f t="shared" si="65"/>
        <v>0.26213247578763998</v>
      </c>
      <c r="CA84" s="638">
        <f t="shared" si="65"/>
        <v>0.23882483773165195</v>
      </c>
    </row>
    <row r="85" spans="1:79" s="53" customFormat="1" ht="11.1" customHeight="1">
      <c r="A85" s="105"/>
      <c r="B85" s="112"/>
      <c r="C85" s="169"/>
      <c r="D85" s="169"/>
      <c r="E85" s="105"/>
      <c r="F85" s="105"/>
      <c r="G85" s="105"/>
      <c r="H85" s="105"/>
      <c r="I85" s="158"/>
      <c r="J85" s="105"/>
      <c r="K85" s="105"/>
      <c r="L85" s="105"/>
      <c r="M85" s="124"/>
      <c r="N85" s="123"/>
      <c r="O85" s="124"/>
      <c r="P85" s="124"/>
      <c r="Q85" s="124"/>
      <c r="R85" s="124"/>
      <c r="S85" s="123"/>
      <c r="T85" s="124"/>
      <c r="U85" s="124"/>
      <c r="V85" s="124"/>
      <c r="W85" s="124"/>
      <c r="X85" s="120"/>
      <c r="Y85" s="122">
        <f>458-Y83</f>
        <v>0</v>
      </c>
      <c r="Z85" s="364"/>
      <c r="AA85" s="162"/>
      <c r="AB85" s="376"/>
      <c r="AC85" s="120"/>
      <c r="AD85" s="209"/>
      <c r="AE85" s="383"/>
      <c r="AF85" s="383"/>
      <c r="AG85" s="383"/>
      <c r="AH85" s="385"/>
      <c r="AI85" s="383"/>
      <c r="AJ85" s="394"/>
      <c r="AK85" s="121"/>
      <c r="AL85" s="121"/>
      <c r="AM85" s="120"/>
      <c r="AN85" s="209"/>
      <c r="AO85" s="209"/>
      <c r="AP85" s="121"/>
      <c r="AQ85" s="121"/>
      <c r="AR85" s="120"/>
      <c r="AS85" s="209"/>
      <c r="AT85" s="209"/>
      <c r="AU85" s="209"/>
      <c r="AV85" s="121"/>
      <c r="AW85" s="120"/>
      <c r="AX85" s="209"/>
      <c r="AY85" s="209"/>
      <c r="AZ85" s="209"/>
      <c r="BA85" s="121"/>
      <c r="BB85" s="120"/>
      <c r="BC85" s="209"/>
      <c r="BD85" s="209"/>
      <c r="BE85" s="209"/>
      <c r="BF85" s="209"/>
      <c r="BG85" s="120"/>
      <c r="BH85" s="121"/>
      <c r="BI85" s="209"/>
      <c r="BJ85" s="121"/>
      <c r="BK85" s="121"/>
      <c r="BL85" s="120"/>
      <c r="BM85" s="209"/>
      <c r="BN85" s="209"/>
      <c r="BO85" s="209"/>
      <c r="BP85" s="124"/>
      <c r="BQ85" s="120"/>
      <c r="BR85" s="209"/>
      <c r="BS85" s="124"/>
      <c r="BT85" s="124"/>
      <c r="BU85" s="124"/>
      <c r="BV85" s="120"/>
      <c r="BW85" s="209"/>
      <c r="BX85" s="209"/>
      <c r="BY85" s="209"/>
      <c r="BZ85" s="121"/>
      <c r="CA85" s="120"/>
    </row>
    <row r="86" spans="1:79" s="53" customFormat="1" ht="14.1" customHeight="1">
      <c r="A86" s="105"/>
      <c r="B86" s="112" t="s">
        <v>87</v>
      </c>
      <c r="C86" s="169"/>
      <c r="D86" s="154">
        <f t="shared" ref="D86:AM86" si="66">D49+D74</f>
        <v>-7396</v>
      </c>
      <c r="E86" s="124">
        <f t="shared" si="66"/>
        <v>-3287.8902600000001</v>
      </c>
      <c r="F86" s="124">
        <f t="shared" si="66"/>
        <v>-3852.2604600000013</v>
      </c>
      <c r="G86" s="124">
        <f t="shared" si="66"/>
        <v>-4532.9570300000014</v>
      </c>
      <c r="H86" s="124">
        <f t="shared" si="66"/>
        <v>-5458.5707800000018</v>
      </c>
      <c r="I86" s="123">
        <f t="shared" si="66"/>
        <v>-17131.678530000005</v>
      </c>
      <c r="J86" s="124">
        <f t="shared" si="66"/>
        <v>-6603.8752199999981</v>
      </c>
      <c r="K86" s="124">
        <f t="shared" si="66"/>
        <v>-7196.09879</v>
      </c>
      <c r="L86" s="124">
        <f t="shared" si="66"/>
        <v>-6609.7797999999966</v>
      </c>
      <c r="M86" s="124">
        <f t="shared" si="66"/>
        <v>-6903.2461900000053</v>
      </c>
      <c r="N86" s="123">
        <f t="shared" si="66"/>
        <v>-27313</v>
      </c>
      <c r="O86" s="124">
        <f t="shared" si="66"/>
        <v>-8663</v>
      </c>
      <c r="P86" s="124">
        <f t="shared" si="66"/>
        <v>-9484</v>
      </c>
      <c r="Q86" s="124">
        <f t="shared" si="66"/>
        <v>-7336</v>
      </c>
      <c r="R86" s="124">
        <f t="shared" si="66"/>
        <v>-6753</v>
      </c>
      <c r="S86" s="123">
        <f t="shared" si="66"/>
        <v>-32236</v>
      </c>
      <c r="T86" s="124">
        <f t="shared" si="66"/>
        <v>-5863</v>
      </c>
      <c r="U86" s="124">
        <f t="shared" si="66"/>
        <v>-5154</v>
      </c>
      <c r="V86" s="124">
        <f t="shared" si="66"/>
        <v>-3836</v>
      </c>
      <c r="W86" s="124">
        <f t="shared" si="66"/>
        <v>-1567</v>
      </c>
      <c r="X86" s="123">
        <f t="shared" si="66"/>
        <v>-16420</v>
      </c>
      <c r="Y86" s="124">
        <f t="shared" si="66"/>
        <v>-2670</v>
      </c>
      <c r="Z86" s="203">
        <f t="shared" si="66"/>
        <v>-797</v>
      </c>
      <c r="AA86" s="376">
        <f t="shared" si="66"/>
        <v>-175</v>
      </c>
      <c r="AB86" s="376">
        <f t="shared" si="66"/>
        <v>134</v>
      </c>
      <c r="AC86" s="123">
        <f t="shared" si="66"/>
        <v>-3508</v>
      </c>
      <c r="AD86" s="203">
        <f t="shared" si="66"/>
        <v>-208</v>
      </c>
      <c r="AE86" s="203">
        <f t="shared" si="66"/>
        <v>-24</v>
      </c>
      <c r="AF86" s="203">
        <f t="shared" si="66"/>
        <v>2617</v>
      </c>
      <c r="AG86" s="203">
        <f t="shared" si="66"/>
        <v>4138</v>
      </c>
      <c r="AH86" s="123">
        <f t="shared" si="66"/>
        <v>6523</v>
      </c>
      <c r="AI86" s="203">
        <f t="shared" si="66"/>
        <v>4547</v>
      </c>
      <c r="AJ86" s="124">
        <f t="shared" si="66"/>
        <v>6929</v>
      </c>
      <c r="AK86" s="124">
        <f t="shared" si="66"/>
        <v>11118</v>
      </c>
      <c r="AL86" s="124">
        <f t="shared" si="66"/>
        <v>11562</v>
      </c>
      <c r="AM86" s="123">
        <f t="shared" si="66"/>
        <v>34156</v>
      </c>
      <c r="AN86" s="124">
        <f>AN49+AN79</f>
        <v>9955</v>
      </c>
      <c r="AO86" s="124">
        <f>AO49+AO79</f>
        <v>12332</v>
      </c>
      <c r="AP86" s="124">
        <f>AP49+AP79</f>
        <v>12859</v>
      </c>
      <c r="AQ86" s="124">
        <f>AQ49+AQ79</f>
        <v>17038</v>
      </c>
      <c r="AR86" s="123">
        <f>AR49+AR74</f>
        <v>39613</v>
      </c>
      <c r="AS86" s="124">
        <f>AS49+AS79</f>
        <v>11165</v>
      </c>
      <c r="AT86" s="124">
        <f>AT49+AT79</f>
        <v>14100</v>
      </c>
      <c r="AU86" s="124">
        <f>AU49+AU79</f>
        <v>18885</v>
      </c>
      <c r="AV86" s="124">
        <f>AV49+AV79</f>
        <v>23717</v>
      </c>
      <c r="AW86" s="95">
        <f>SUM(AS86:AV86)</f>
        <v>67867</v>
      </c>
      <c r="AX86" s="124">
        <f t="shared" ref="AX86:BQ86" si="67">AX49+AX79</f>
        <v>15574</v>
      </c>
      <c r="AY86" s="203">
        <f t="shared" si="67"/>
        <v>15841</v>
      </c>
      <c r="AZ86" s="203">
        <f t="shared" si="67"/>
        <v>19836</v>
      </c>
      <c r="BA86" s="124">
        <f t="shared" si="67"/>
        <v>28230</v>
      </c>
      <c r="BB86" s="123">
        <f t="shared" si="67"/>
        <v>79481</v>
      </c>
      <c r="BC86" s="203">
        <f t="shared" si="67"/>
        <v>16054</v>
      </c>
      <c r="BD86" s="203">
        <f t="shared" si="67"/>
        <v>24633</v>
      </c>
      <c r="BE86" s="203">
        <f t="shared" si="67"/>
        <v>28411</v>
      </c>
      <c r="BF86" s="203">
        <f t="shared" si="67"/>
        <v>40178</v>
      </c>
      <c r="BG86" s="123">
        <f t="shared" si="67"/>
        <v>109276</v>
      </c>
      <c r="BH86" s="124">
        <f t="shared" si="67"/>
        <v>29972</v>
      </c>
      <c r="BI86" s="203">
        <f t="shared" si="67"/>
        <v>38144</v>
      </c>
      <c r="BJ86" s="124">
        <f t="shared" si="67"/>
        <v>38902</v>
      </c>
      <c r="BK86" s="124">
        <f t="shared" si="67"/>
        <v>45195</v>
      </c>
      <c r="BL86" s="123">
        <f t="shared" si="67"/>
        <v>152213</v>
      </c>
      <c r="BM86" s="203">
        <f t="shared" si="67"/>
        <v>36729</v>
      </c>
      <c r="BN86" s="203">
        <f t="shared" si="67"/>
        <v>42219</v>
      </c>
      <c r="BO86" s="203">
        <f t="shared" si="67"/>
        <v>51424</v>
      </c>
      <c r="BP86" s="124">
        <f t="shared" si="67"/>
        <v>60475</v>
      </c>
      <c r="BQ86" s="123">
        <f t="shared" si="67"/>
        <v>190847</v>
      </c>
      <c r="BR86" s="203">
        <f t="shared" ref="BR86:CA86" si="68">BR49+BR79</f>
        <v>47524</v>
      </c>
      <c r="BS86" s="124">
        <f t="shared" si="68"/>
        <v>59655</v>
      </c>
      <c r="BT86" s="124">
        <f t="shared" si="68"/>
        <v>60723</v>
      </c>
      <c r="BU86" s="124">
        <f t="shared" si="68"/>
        <v>65753</v>
      </c>
      <c r="BV86" s="123">
        <f t="shared" si="68"/>
        <v>233655</v>
      </c>
      <c r="BW86" s="203">
        <f t="shared" si="68"/>
        <v>53870.372711999982</v>
      </c>
      <c r="BX86" s="203">
        <f t="shared" si="68"/>
        <v>59570.512871000014</v>
      </c>
      <c r="BY86" s="203">
        <f t="shared" si="68"/>
        <v>65445.84063999998</v>
      </c>
      <c r="BZ86" s="124">
        <f t="shared" si="68"/>
        <v>76052.514433600008</v>
      </c>
      <c r="CA86" s="123">
        <f t="shared" si="68"/>
        <v>254939.24065659993</v>
      </c>
    </row>
    <row r="87" spans="1:79" s="53" customFormat="1" ht="14.1" customHeight="1">
      <c r="A87" s="99"/>
      <c r="B87" s="98"/>
      <c r="C87" s="100" t="s">
        <v>83</v>
      </c>
      <c r="D87" s="100">
        <v>64</v>
      </c>
      <c r="E87" s="284">
        <v>21</v>
      </c>
      <c r="F87" s="284">
        <v>10</v>
      </c>
      <c r="G87" s="284">
        <v>22</v>
      </c>
      <c r="H87" s="284">
        <v>9</v>
      </c>
      <c r="I87" s="95">
        <f>SUM(E87:H87)</f>
        <v>62</v>
      </c>
      <c r="J87" s="96">
        <v>19</v>
      </c>
      <c r="K87" s="96">
        <v>5</v>
      </c>
      <c r="L87" s="96">
        <v>45</v>
      </c>
      <c r="M87" s="96">
        <v>1</v>
      </c>
      <c r="N87" s="95">
        <f>SUM(J87:M87)</f>
        <v>70</v>
      </c>
      <c r="O87" s="202">
        <f>27</f>
        <v>27</v>
      </c>
      <c r="P87" s="202">
        <v>12</v>
      </c>
      <c r="Q87" s="107">
        <v>13</v>
      </c>
      <c r="R87" s="202">
        <v>33</v>
      </c>
      <c r="S87" s="95">
        <f>SUM(O87:R87)</f>
        <v>85</v>
      </c>
      <c r="T87" s="202">
        <v>18</v>
      </c>
      <c r="U87" s="202">
        <v>-20</v>
      </c>
      <c r="V87" s="286">
        <v>50</v>
      </c>
      <c r="W87" s="202">
        <v>13</v>
      </c>
      <c r="X87" s="95">
        <f>SUM(T87:W87)</f>
        <v>61</v>
      </c>
      <c r="Y87" s="96">
        <v>28</v>
      </c>
      <c r="Z87" s="202">
        <v>42</v>
      </c>
      <c r="AA87" s="286">
        <v>-2</v>
      </c>
      <c r="AB87" s="286">
        <v>-14</v>
      </c>
      <c r="AC87" s="95">
        <f>SUM(Y87:AB87)</f>
        <v>54</v>
      </c>
      <c r="AD87" s="202">
        <v>49</v>
      </c>
      <c r="AE87" s="202">
        <v>50</v>
      </c>
      <c r="AF87" s="202">
        <v>43</v>
      </c>
      <c r="AG87" s="202">
        <v>126</v>
      </c>
      <c r="AH87" s="95">
        <f>SUM(AD87:AG87)</f>
        <v>268</v>
      </c>
      <c r="AI87" s="202">
        <v>45</v>
      </c>
      <c r="AJ87" s="96">
        <v>64</v>
      </c>
      <c r="AK87" s="96">
        <v>41</v>
      </c>
      <c r="AL87" s="202">
        <v>150</v>
      </c>
      <c r="AM87" s="95">
        <f>SUM(AI87:AL87)</f>
        <v>300</v>
      </c>
      <c r="AN87" s="96">
        <v>-49</v>
      </c>
      <c r="AO87" s="96">
        <v>29</v>
      </c>
      <c r="AP87" s="96">
        <v>50</v>
      </c>
      <c r="AQ87" s="202">
        <v>74</v>
      </c>
      <c r="AR87" s="95">
        <f>SUM(AN87:AQ87)</f>
        <v>104</v>
      </c>
      <c r="AS87" s="202">
        <v>69</v>
      </c>
      <c r="AT87" s="202">
        <f>AT93+2910</f>
        <v>34</v>
      </c>
      <c r="AU87" s="202">
        <f>AU93</f>
        <v>346</v>
      </c>
      <c r="AV87" s="202">
        <f>AV93</f>
        <v>8</v>
      </c>
      <c r="AW87" s="95">
        <f>SUM(AS87:AV87)</f>
        <v>457</v>
      </c>
      <c r="AX87" s="202">
        <v>-517</v>
      </c>
      <c r="AY87" s="202">
        <v>-135</v>
      </c>
      <c r="AZ87" s="202">
        <v>-188</v>
      </c>
      <c r="BA87" s="673">
        <f>BA93+8573</f>
        <v>-1872</v>
      </c>
      <c r="BB87" s="95">
        <f>SUM(AX87:BA87)</f>
        <v>-2712</v>
      </c>
      <c r="BC87" s="673">
        <f>BC93+-1830</f>
        <v>426</v>
      </c>
      <c r="BD87" s="673">
        <v>332</v>
      </c>
      <c r="BE87" s="673">
        <v>579</v>
      </c>
      <c r="BF87" s="202">
        <v>1221</v>
      </c>
      <c r="BG87" s="95">
        <f>SUM(BC87:BF87)</f>
        <v>2558</v>
      </c>
      <c r="BH87" s="96">
        <v>527</v>
      </c>
      <c r="BI87" s="673">
        <v>753</v>
      </c>
      <c r="BJ87" s="96">
        <v>942</v>
      </c>
      <c r="BK87" s="673">
        <v>119</v>
      </c>
      <c r="BL87" s="95">
        <f>SUM(BH87:BK87)</f>
        <v>2341</v>
      </c>
      <c r="BM87" s="673">
        <v>989</v>
      </c>
      <c r="BN87" s="673">
        <f>+BN93</f>
        <v>3345</v>
      </c>
      <c r="BO87" s="673">
        <f>+BO93+4831</f>
        <v>963</v>
      </c>
      <c r="BP87" s="673">
        <f>-426+650</f>
        <v>224</v>
      </c>
      <c r="BQ87" s="95">
        <f>SUM(BM87:BP87)</f>
        <v>5521</v>
      </c>
      <c r="BR87" s="673">
        <v>184</v>
      </c>
      <c r="BS87" s="96">
        <v>1382</v>
      </c>
      <c r="BT87" s="96">
        <f>643-524</f>
        <v>119</v>
      </c>
      <c r="BU87" s="96">
        <f>BU93</f>
        <v>3317</v>
      </c>
      <c r="BV87" s="95">
        <f>SUM(BR87:BU87)</f>
        <v>5002</v>
      </c>
      <c r="BW87" s="445">
        <v>1000</v>
      </c>
      <c r="BX87" s="445">
        <v>1000</v>
      </c>
      <c r="BY87" s="445">
        <v>1000</v>
      </c>
      <c r="BZ87" s="445">
        <v>1000</v>
      </c>
      <c r="CA87" s="95">
        <f>SUM(BW87:BZ87)</f>
        <v>4000</v>
      </c>
    </row>
    <row r="88" spans="1:79" s="635" customFormat="1" ht="12.4" customHeight="1" thickBot="1">
      <c r="A88" s="609"/>
      <c r="B88" s="641"/>
      <c r="C88" s="642" t="s">
        <v>82</v>
      </c>
      <c r="D88" s="642">
        <f t="shared" ref="D88:M88" si="69">D87/D86</f>
        <v>-8.6533261222282321E-3</v>
      </c>
      <c r="E88" s="613">
        <f t="shared" si="69"/>
        <v>-6.387074488307283E-3</v>
      </c>
      <c r="F88" s="613">
        <f t="shared" si="69"/>
        <v>-2.5958784728694062E-3</v>
      </c>
      <c r="G88" s="613">
        <f t="shared" si="69"/>
        <v>-4.8533440432811676E-3</v>
      </c>
      <c r="H88" s="613">
        <f t="shared" si="69"/>
        <v>-1.6487832369923023E-3</v>
      </c>
      <c r="I88" s="643">
        <f t="shared" si="69"/>
        <v>-3.619026582329874E-3</v>
      </c>
      <c r="J88" s="613">
        <f t="shared" si="69"/>
        <v>-2.8770985772805084E-3</v>
      </c>
      <c r="K88" s="613">
        <f t="shared" si="69"/>
        <v>-6.9482092254600635E-4</v>
      </c>
      <c r="L88" s="613">
        <f t="shared" si="69"/>
        <v>-6.8080936675076562E-3</v>
      </c>
      <c r="M88" s="613">
        <f t="shared" si="69"/>
        <v>-1.4485938534954657E-4</v>
      </c>
      <c r="N88" s="643">
        <f>N87/N86</f>
        <v>-2.5628821440339764E-3</v>
      </c>
      <c r="O88" s="613">
        <f>O87/O86</f>
        <v>-3.1167032205933281E-3</v>
      </c>
      <c r="P88" s="613">
        <f>P87/P86</f>
        <v>-1.2652889076339097E-3</v>
      </c>
      <c r="Q88" s="613">
        <f>Q87/Q86</f>
        <v>-1.7720828789531079E-3</v>
      </c>
      <c r="R88" s="613">
        <f>R87/R86</f>
        <v>-4.8867170146601512E-3</v>
      </c>
      <c r="S88" s="643">
        <f t="shared" ref="S88:AC88" si="70">S87/S86</f>
        <v>-2.636803573644373E-3</v>
      </c>
      <c r="T88" s="613">
        <f t="shared" si="70"/>
        <v>-3.0701006310762408E-3</v>
      </c>
      <c r="U88" s="613">
        <f t="shared" si="70"/>
        <v>3.8804811796662787E-3</v>
      </c>
      <c r="V88" s="613">
        <f t="shared" si="70"/>
        <v>-1.3034410844629822E-2</v>
      </c>
      <c r="W88" s="613">
        <f t="shared" si="70"/>
        <v>-8.2961072112316524E-3</v>
      </c>
      <c r="X88" s="643">
        <f t="shared" si="70"/>
        <v>-3.7149817295980513E-3</v>
      </c>
      <c r="Y88" s="613">
        <f t="shared" si="70"/>
        <v>-1.0486891385767791E-2</v>
      </c>
      <c r="Z88" s="622">
        <f t="shared" si="70"/>
        <v>-5.2697616060225848E-2</v>
      </c>
      <c r="AA88" s="613">
        <f t="shared" si="70"/>
        <v>1.1428571428571429E-2</v>
      </c>
      <c r="AB88" s="622">
        <f t="shared" si="70"/>
        <v>-0.1044776119402985</v>
      </c>
      <c r="AC88" s="643">
        <f t="shared" si="70"/>
        <v>-1.5393386545039909E-2</v>
      </c>
      <c r="AD88" s="622">
        <f>AD87/AD86</f>
        <v>-0.23557692307692307</v>
      </c>
      <c r="AE88" s="622">
        <f t="shared" ref="AE88:AM88" si="71">AE87/AE86</f>
        <v>-2.0833333333333335</v>
      </c>
      <c r="AF88" s="622">
        <f t="shared" si="71"/>
        <v>1.6431027894535728E-2</v>
      </c>
      <c r="AG88" s="622">
        <f t="shared" si="71"/>
        <v>3.0449492508458194E-2</v>
      </c>
      <c r="AH88" s="643">
        <f t="shared" si="71"/>
        <v>4.1085390157902808E-2</v>
      </c>
      <c r="AI88" s="622">
        <f t="shared" si="71"/>
        <v>9.896635144051022E-3</v>
      </c>
      <c r="AJ88" s="613">
        <f t="shared" si="71"/>
        <v>9.2365420695627067E-3</v>
      </c>
      <c r="AK88" s="613">
        <f t="shared" si="71"/>
        <v>3.6877136175571144E-3</v>
      </c>
      <c r="AL88" s="622">
        <f t="shared" si="71"/>
        <v>1.2973533990659055E-2</v>
      </c>
      <c r="AM88" s="643">
        <f t="shared" si="71"/>
        <v>8.78322988640356E-3</v>
      </c>
      <c r="AN88" s="613">
        <f t="shared" ref="AN88:CA88" si="72">AN87/AN86</f>
        <v>-4.9221496735308888E-3</v>
      </c>
      <c r="AO88" s="613">
        <f t="shared" si="72"/>
        <v>2.3516055789815117E-3</v>
      </c>
      <c r="AP88" s="613">
        <f t="shared" si="72"/>
        <v>3.8883272416206549E-3</v>
      </c>
      <c r="AQ88" s="622">
        <f t="shared" si="72"/>
        <v>4.343232773799742E-3</v>
      </c>
      <c r="AR88" s="643">
        <f t="shared" si="72"/>
        <v>2.6254007522782926E-3</v>
      </c>
      <c r="AS88" s="622">
        <f t="shared" si="72"/>
        <v>6.1800268696820424E-3</v>
      </c>
      <c r="AT88" s="622">
        <f t="shared" si="72"/>
        <v>2.4113475177304964E-3</v>
      </c>
      <c r="AU88" s="622">
        <f t="shared" si="72"/>
        <v>1.8321419115700292E-2</v>
      </c>
      <c r="AV88" s="622">
        <f t="shared" si="72"/>
        <v>3.3731078972888646E-4</v>
      </c>
      <c r="AW88" s="643">
        <f t="shared" si="72"/>
        <v>6.7337586750556237E-3</v>
      </c>
      <c r="AX88" s="622">
        <f t="shared" si="72"/>
        <v>-3.3196352895852065E-2</v>
      </c>
      <c r="AY88" s="622">
        <f t="shared" si="72"/>
        <v>-8.5221892557288056E-3</v>
      </c>
      <c r="AZ88" s="622">
        <f t="shared" si="72"/>
        <v>-9.4777172817100217E-3</v>
      </c>
      <c r="BA88" s="622">
        <f t="shared" si="72"/>
        <v>-6.6312433581296487E-2</v>
      </c>
      <c r="BB88" s="643">
        <f t="shared" si="72"/>
        <v>-3.412136233816887E-2</v>
      </c>
      <c r="BC88" s="622">
        <f t="shared" si="72"/>
        <v>2.6535442880279057E-2</v>
      </c>
      <c r="BD88" s="622">
        <f t="shared" si="72"/>
        <v>1.3477854910079974E-2</v>
      </c>
      <c r="BE88" s="622">
        <f t="shared" si="72"/>
        <v>2.0379430502270247E-2</v>
      </c>
      <c r="BF88" s="622">
        <f t="shared" si="72"/>
        <v>3.0389765543332174E-2</v>
      </c>
      <c r="BG88" s="643">
        <f t="shared" si="72"/>
        <v>2.340861671364252E-2</v>
      </c>
      <c r="BH88" s="613">
        <f t="shared" si="72"/>
        <v>1.7583077539036433E-2</v>
      </c>
      <c r="BI88" s="622">
        <f t="shared" si="72"/>
        <v>1.9740981543624161E-2</v>
      </c>
      <c r="BJ88" s="613">
        <f t="shared" si="72"/>
        <v>2.4214693331962366E-2</v>
      </c>
      <c r="BK88" s="622">
        <f t="shared" si="72"/>
        <v>2.6330346277243059E-3</v>
      </c>
      <c r="BL88" s="643">
        <f t="shared" si="72"/>
        <v>1.5379763883505352E-2</v>
      </c>
      <c r="BM88" s="622">
        <f t="shared" si="72"/>
        <v>2.6926951455253343E-2</v>
      </c>
      <c r="BN88" s="622">
        <f t="shared" si="72"/>
        <v>7.9229730689973715E-2</v>
      </c>
      <c r="BO88" s="622">
        <f t="shared" si="72"/>
        <v>1.8726664592408213E-2</v>
      </c>
      <c r="BP88" s="622">
        <f t="shared" si="72"/>
        <v>3.7040099214551469E-3</v>
      </c>
      <c r="BQ88" s="643">
        <f t="shared" si="72"/>
        <v>2.8928932600460054E-2</v>
      </c>
      <c r="BR88" s="622">
        <f t="shared" si="72"/>
        <v>3.8717279690261763E-3</v>
      </c>
      <c r="BS88" s="622">
        <f t="shared" si="72"/>
        <v>2.3166540943759951E-2</v>
      </c>
      <c r="BT88" s="622">
        <f t="shared" si="72"/>
        <v>1.9597187227245031E-3</v>
      </c>
      <c r="BU88" s="622">
        <f t="shared" si="72"/>
        <v>5.0446367466123215E-2</v>
      </c>
      <c r="BV88" s="643">
        <f t="shared" si="72"/>
        <v>2.1407630908818556E-2</v>
      </c>
      <c r="BW88" s="622">
        <f t="shared" si="72"/>
        <v>1.8563079289355713E-2</v>
      </c>
      <c r="BX88" s="622">
        <f t="shared" si="72"/>
        <v>1.6786828781640686E-2</v>
      </c>
      <c r="BY88" s="622">
        <f t="shared" si="72"/>
        <v>1.5279809843084328E-2</v>
      </c>
      <c r="BZ88" s="622">
        <f t="shared" si="72"/>
        <v>1.3148809180702116E-2</v>
      </c>
      <c r="CA88" s="643">
        <f t="shared" si="72"/>
        <v>1.5690012999559969E-2</v>
      </c>
    </row>
    <row r="89" spans="1:79" s="116" customFormat="1" ht="14.1" customHeight="1" thickBot="1">
      <c r="A89" s="146"/>
      <c r="B89" s="271" t="s">
        <v>86</v>
      </c>
      <c r="C89" s="297"/>
      <c r="D89" s="293">
        <f t="shared" ref="D89:M89" si="73">D86-D87</f>
        <v>-7460</v>
      </c>
      <c r="E89" s="665">
        <f t="shared" si="73"/>
        <v>-3308.8902600000001</v>
      </c>
      <c r="F89" s="293">
        <f t="shared" si="73"/>
        <v>-3862.2604600000013</v>
      </c>
      <c r="G89" s="293">
        <f t="shared" si="73"/>
        <v>-4554.9570300000014</v>
      </c>
      <c r="H89" s="293">
        <f t="shared" si="73"/>
        <v>-5467.5707800000018</v>
      </c>
      <c r="I89" s="294">
        <f t="shared" si="73"/>
        <v>-17193.678530000005</v>
      </c>
      <c r="J89" s="293">
        <f t="shared" si="73"/>
        <v>-6622.8752199999981</v>
      </c>
      <c r="K89" s="293">
        <f t="shared" si="73"/>
        <v>-7201.09879</v>
      </c>
      <c r="L89" s="293">
        <f t="shared" si="73"/>
        <v>-6654.7797999999966</v>
      </c>
      <c r="M89" s="666">
        <f t="shared" si="73"/>
        <v>-6904.2461900000053</v>
      </c>
      <c r="N89" s="667">
        <f>N86-N87</f>
        <v>-27383</v>
      </c>
      <c r="O89" s="665">
        <f>O86-O87</f>
        <v>-8690</v>
      </c>
      <c r="P89" s="293">
        <f t="shared" ref="P89:AH89" si="74">P86-P87</f>
        <v>-9496</v>
      </c>
      <c r="Q89" s="293">
        <f t="shared" si="74"/>
        <v>-7349</v>
      </c>
      <c r="R89" s="666">
        <f t="shared" si="74"/>
        <v>-6786</v>
      </c>
      <c r="S89" s="144">
        <f>S86-S87</f>
        <v>-32321</v>
      </c>
      <c r="T89" s="145">
        <f>T86-T87</f>
        <v>-5881</v>
      </c>
      <c r="U89" s="145">
        <f t="shared" si="74"/>
        <v>-5134</v>
      </c>
      <c r="V89" s="145">
        <f t="shared" si="74"/>
        <v>-3886</v>
      </c>
      <c r="W89" s="145">
        <f>W86-W87</f>
        <v>-1580</v>
      </c>
      <c r="X89" s="144">
        <f t="shared" si="74"/>
        <v>-16481</v>
      </c>
      <c r="Y89" s="145">
        <f>Y86-Y87</f>
        <v>-2698</v>
      </c>
      <c r="Z89" s="145">
        <f t="shared" si="74"/>
        <v>-839</v>
      </c>
      <c r="AA89" s="668">
        <f>AA86-AA87</f>
        <v>-173</v>
      </c>
      <c r="AB89" s="669">
        <f>AB86-AB87</f>
        <v>148</v>
      </c>
      <c r="AC89" s="670">
        <f t="shared" si="74"/>
        <v>-3562</v>
      </c>
      <c r="AD89" s="210">
        <f t="shared" si="74"/>
        <v>-257</v>
      </c>
      <c r="AE89" s="210">
        <f t="shared" si="74"/>
        <v>-74</v>
      </c>
      <c r="AF89" s="210">
        <f t="shared" si="74"/>
        <v>2574</v>
      </c>
      <c r="AG89" s="210">
        <f t="shared" si="74"/>
        <v>4012</v>
      </c>
      <c r="AH89" s="670">
        <f t="shared" si="74"/>
        <v>6255</v>
      </c>
      <c r="AI89" s="210">
        <f t="shared" ref="AI89:CA89" si="75">AI86-AI87</f>
        <v>4502</v>
      </c>
      <c r="AJ89" s="293">
        <f t="shared" si="75"/>
        <v>6865</v>
      </c>
      <c r="AK89" s="145">
        <f t="shared" si="75"/>
        <v>11077</v>
      </c>
      <c r="AL89" s="145">
        <f t="shared" si="75"/>
        <v>11412</v>
      </c>
      <c r="AM89" s="670">
        <f t="shared" si="75"/>
        <v>33856</v>
      </c>
      <c r="AN89" s="145">
        <f t="shared" si="75"/>
        <v>10004</v>
      </c>
      <c r="AO89" s="145">
        <f t="shared" si="75"/>
        <v>12303</v>
      </c>
      <c r="AP89" s="145">
        <f t="shared" si="75"/>
        <v>12809</v>
      </c>
      <c r="AQ89" s="145">
        <f t="shared" si="75"/>
        <v>16964</v>
      </c>
      <c r="AR89" s="670">
        <f t="shared" si="75"/>
        <v>39509</v>
      </c>
      <c r="AS89" s="210">
        <f t="shared" si="75"/>
        <v>11096</v>
      </c>
      <c r="AT89" s="210">
        <f t="shared" si="75"/>
        <v>14066</v>
      </c>
      <c r="AU89" s="210">
        <f t="shared" si="75"/>
        <v>18539</v>
      </c>
      <c r="AV89" s="145">
        <f t="shared" si="75"/>
        <v>23709</v>
      </c>
      <c r="AW89" s="670">
        <f t="shared" si="75"/>
        <v>67410</v>
      </c>
      <c r="AX89" s="210">
        <f t="shared" si="75"/>
        <v>16091</v>
      </c>
      <c r="AY89" s="210">
        <f t="shared" si="75"/>
        <v>15976</v>
      </c>
      <c r="AZ89" s="210">
        <f t="shared" si="75"/>
        <v>20024</v>
      </c>
      <c r="BA89" s="145">
        <f t="shared" si="75"/>
        <v>30102</v>
      </c>
      <c r="BB89" s="670">
        <f t="shared" si="75"/>
        <v>82193</v>
      </c>
      <c r="BC89" s="210">
        <f t="shared" si="75"/>
        <v>15628</v>
      </c>
      <c r="BD89" s="210">
        <f t="shared" si="75"/>
        <v>24301</v>
      </c>
      <c r="BE89" s="210">
        <f t="shared" si="75"/>
        <v>27832</v>
      </c>
      <c r="BF89" s="210">
        <f t="shared" si="75"/>
        <v>38957</v>
      </c>
      <c r="BG89" s="670">
        <f t="shared" si="75"/>
        <v>106718</v>
      </c>
      <c r="BH89" s="210">
        <f t="shared" si="75"/>
        <v>29445</v>
      </c>
      <c r="BI89" s="210">
        <f t="shared" si="75"/>
        <v>37391</v>
      </c>
      <c r="BJ89" s="145">
        <f t="shared" si="75"/>
        <v>37960</v>
      </c>
      <c r="BK89" s="145">
        <f t="shared" si="75"/>
        <v>45076</v>
      </c>
      <c r="BL89" s="670">
        <f t="shared" si="75"/>
        <v>149872</v>
      </c>
      <c r="BM89" s="210">
        <f t="shared" si="75"/>
        <v>35740</v>
      </c>
      <c r="BN89" s="210">
        <f t="shared" si="75"/>
        <v>38874</v>
      </c>
      <c r="BO89" s="210">
        <f t="shared" si="75"/>
        <v>50461</v>
      </c>
      <c r="BP89" s="145">
        <f t="shared" si="75"/>
        <v>60251</v>
      </c>
      <c r="BQ89" s="670">
        <f t="shared" si="75"/>
        <v>185326</v>
      </c>
      <c r="BR89" s="210">
        <f t="shared" si="75"/>
        <v>47340</v>
      </c>
      <c r="BS89" s="210">
        <f t="shared" si="75"/>
        <v>58273</v>
      </c>
      <c r="BT89" s="210">
        <f t="shared" si="75"/>
        <v>60604</v>
      </c>
      <c r="BU89" s="210">
        <f t="shared" si="75"/>
        <v>62436</v>
      </c>
      <c r="BV89" s="670">
        <f t="shared" si="75"/>
        <v>228653</v>
      </c>
      <c r="BW89" s="210">
        <f t="shared" si="75"/>
        <v>52870.372711999982</v>
      </c>
      <c r="BX89" s="210">
        <f t="shared" si="75"/>
        <v>58570.512871000014</v>
      </c>
      <c r="BY89" s="210">
        <f t="shared" si="75"/>
        <v>64445.84063999998</v>
      </c>
      <c r="BZ89" s="145">
        <f t="shared" si="75"/>
        <v>75052.514433600008</v>
      </c>
      <c r="CA89" s="670">
        <f t="shared" si="75"/>
        <v>250939.24065659993</v>
      </c>
    </row>
    <row r="90" spans="1:79" s="628" customFormat="1" ht="12.4" customHeight="1">
      <c r="A90" s="609"/>
      <c r="B90" s="644"/>
      <c r="C90" s="630" t="s">
        <v>85</v>
      </c>
      <c r="D90" s="631">
        <f t="shared" ref="D90:AI90" si="76">D89/D28</f>
        <v>-0.17273316662035751</v>
      </c>
      <c r="E90" s="644">
        <f t="shared" si="76"/>
        <v>-0.23104985019128832</v>
      </c>
      <c r="F90" s="645">
        <f t="shared" si="76"/>
        <v>-0.25700874371156435</v>
      </c>
      <c r="G90" s="645">
        <f t="shared" si="76"/>
        <v>-0.28113473334406308</v>
      </c>
      <c r="H90" s="630">
        <f t="shared" si="76"/>
        <v>-0.29924154887758708</v>
      </c>
      <c r="I90" s="612">
        <f t="shared" si="76"/>
        <v>-0.26939914020648686</v>
      </c>
      <c r="J90" s="644">
        <f t="shared" si="76"/>
        <v>-0.34647303097542204</v>
      </c>
      <c r="K90" s="645">
        <f t="shared" si="76"/>
        <v>-0.3550329765669652</v>
      </c>
      <c r="L90" s="645">
        <f t="shared" si="76"/>
        <v>-0.31552369833965299</v>
      </c>
      <c r="M90" s="630">
        <f t="shared" si="76"/>
        <v>-0.29202377377375427</v>
      </c>
      <c r="N90" s="630">
        <f t="shared" si="76"/>
        <v>-0.32547663195930204</v>
      </c>
      <c r="O90" s="613">
        <f t="shared" si="76"/>
        <v>-0.35799620993655762</v>
      </c>
      <c r="P90" s="613">
        <f t="shared" si="76"/>
        <v>-0.38468705691715616</v>
      </c>
      <c r="Q90" s="613">
        <f t="shared" si="76"/>
        <v>-0.28408519850013531</v>
      </c>
      <c r="R90" s="611">
        <f t="shared" si="76"/>
        <v>-0.24000848836386787</v>
      </c>
      <c r="S90" s="646">
        <f t="shared" si="76"/>
        <v>-0.31348567438071034</v>
      </c>
      <c r="T90" s="613">
        <f t="shared" si="76"/>
        <v>-0.19425910021800885</v>
      </c>
      <c r="U90" s="613">
        <f t="shared" si="76"/>
        <v>-0.1695844619145141</v>
      </c>
      <c r="V90" s="613">
        <f t="shared" si="76"/>
        <v>-0.12035803883916127</v>
      </c>
      <c r="W90" s="613">
        <f t="shared" si="76"/>
        <v>-4.3848694252490772E-2</v>
      </c>
      <c r="X90" s="646">
        <f t="shared" si="76"/>
        <v>-0.12789055467610269</v>
      </c>
      <c r="Y90" s="613">
        <f t="shared" si="76"/>
        <v>-7.0971984742864661E-2</v>
      </c>
      <c r="Z90" s="613">
        <f t="shared" si="76"/>
        <v>-2.1575888494573883E-2</v>
      </c>
      <c r="AA90" s="613">
        <f t="shared" si="76"/>
        <v>-4.221365477526719E-3</v>
      </c>
      <c r="AB90" s="622">
        <f t="shared" si="76"/>
        <v>3.347886081389825E-3</v>
      </c>
      <c r="AC90" s="646">
        <f t="shared" si="76"/>
        <v>-2.1975445740020975E-2</v>
      </c>
      <c r="AD90" s="622">
        <f t="shared" si="76"/>
        <v>-5.4664568001020972E-3</v>
      </c>
      <c r="AE90" s="622">
        <f t="shared" si="76"/>
        <v>-1.5504850503907641E-3</v>
      </c>
      <c r="AF90" s="622">
        <f t="shared" si="76"/>
        <v>5.1396737285597335E-2</v>
      </c>
      <c r="AG90" s="622">
        <f t="shared" si="76"/>
        <v>7.241485118134397E-2</v>
      </c>
      <c r="AH90" s="646">
        <f t="shared" si="76"/>
        <v>3.1239855162941692E-2</v>
      </c>
      <c r="AI90" s="622">
        <f t="shared" si="76"/>
        <v>7.6428147016382314E-2</v>
      </c>
      <c r="AJ90" s="613">
        <f t="shared" ref="AJ90:BO90" si="77">AJ89/AJ28</f>
        <v>0.11232002617801047</v>
      </c>
      <c r="AK90" s="613">
        <f t="shared" si="77"/>
        <v>0.16962207521744457</v>
      </c>
      <c r="AL90" s="613">
        <f t="shared" si="77"/>
        <v>0.15776595009331582</v>
      </c>
      <c r="AM90" s="646">
        <f t="shared" si="77"/>
        <v>0.13139592647789369</v>
      </c>
      <c r="AN90" s="613">
        <f t="shared" si="77"/>
        <v>0.13421342134213421</v>
      </c>
      <c r="AO90" s="613">
        <f t="shared" si="77"/>
        <v>0.15887959088795908</v>
      </c>
      <c r="AP90" s="613">
        <f t="shared" si="77"/>
        <v>0.15290859387124114</v>
      </c>
      <c r="AQ90" s="613">
        <f t="shared" si="77"/>
        <v>0.18386568830408723</v>
      </c>
      <c r="AR90" s="646">
        <f t="shared" si="77"/>
        <v>0.12045206490125181</v>
      </c>
      <c r="AS90" s="622">
        <f t="shared" si="77"/>
        <v>0.11669190644455663</v>
      </c>
      <c r="AT90" s="622">
        <f t="shared" si="77"/>
        <v>0.14095318261984929</v>
      </c>
      <c r="AU90" s="622">
        <f t="shared" si="77"/>
        <v>0.16531571297361405</v>
      </c>
      <c r="AV90" s="613">
        <f t="shared" si="77"/>
        <v>0.18539312663721313</v>
      </c>
      <c r="AW90" s="646">
        <f t="shared" si="77"/>
        <v>0.15499829849071528</v>
      </c>
      <c r="AX90" s="622">
        <f t="shared" si="77"/>
        <v>0.11670123728985654</v>
      </c>
      <c r="AY90" s="622">
        <f t="shared" si="77"/>
        <v>0.11111265666077812</v>
      </c>
      <c r="AZ90" s="622">
        <f t="shared" si="77"/>
        <v>0.12974962417707739</v>
      </c>
      <c r="BA90" s="613">
        <f t="shared" si="77"/>
        <v>0.17339961635723708</v>
      </c>
      <c r="BB90" s="646">
        <f t="shared" si="77"/>
        <v>0.13483302739049624</v>
      </c>
      <c r="BC90" s="622">
        <f t="shared" si="77"/>
        <v>8.550309940528622E-2</v>
      </c>
      <c r="BD90" s="622">
        <f t="shared" si="77"/>
        <v>0.12831736912694977</v>
      </c>
      <c r="BE90" s="622">
        <f t="shared" si="77"/>
        <v>0.14032327999112643</v>
      </c>
      <c r="BF90" s="622">
        <f t="shared" si="77"/>
        <v>0.18698312894477909</v>
      </c>
      <c r="BG90" s="646">
        <f t="shared" si="77"/>
        <v>0.13702066904111981</v>
      </c>
      <c r="BH90" s="622">
        <f t="shared" si="77"/>
        <v>0.13479735761471165</v>
      </c>
      <c r="BI90" s="622">
        <f t="shared" si="77"/>
        <v>0.16776141635484249</v>
      </c>
      <c r="BJ90" s="613">
        <f t="shared" si="77"/>
        <v>0.16496816670650355</v>
      </c>
      <c r="BK90" s="613">
        <f t="shared" si="77"/>
        <v>0.18855359697484333</v>
      </c>
      <c r="BL90" s="646">
        <f t="shared" si="77"/>
        <v>0.16460623314090905</v>
      </c>
      <c r="BM90" s="622">
        <f t="shared" si="77"/>
        <v>0.14469049836039027</v>
      </c>
      <c r="BN90" s="622">
        <f t="shared" si="77"/>
        <v>0.15420927778615234</v>
      </c>
      <c r="BO90" s="622">
        <f t="shared" si="77"/>
        <v>0.19100847143257299</v>
      </c>
      <c r="BP90" s="613">
        <f t="shared" ref="BP90:CA90" si="78">BP89/BP28</f>
        <v>0.21621689514103209</v>
      </c>
      <c r="BQ90" s="646">
        <f t="shared" si="78"/>
        <v>0.17786662930039984</v>
      </c>
      <c r="BR90" s="622">
        <f t="shared" si="78"/>
        <v>0.16924974526733522</v>
      </c>
      <c r="BS90" s="622">
        <f t="shared" si="78"/>
        <v>0.20571612142521772</v>
      </c>
      <c r="BT90" s="622">
        <f t="shared" si="78"/>
        <v>0.21202664502225083</v>
      </c>
      <c r="BU90" s="622">
        <f t="shared" si="78"/>
        <v>0.20792455092213319</v>
      </c>
      <c r="BV90" s="646">
        <f t="shared" si="78"/>
        <v>0.19898650059873568</v>
      </c>
      <c r="BW90" s="622">
        <f t="shared" si="78"/>
        <v>0.17668901455142244</v>
      </c>
      <c r="BX90" s="622">
        <f t="shared" si="78"/>
        <v>0.19120252018541151</v>
      </c>
      <c r="BY90" s="622">
        <f t="shared" si="78"/>
        <v>0.20541868586876896</v>
      </c>
      <c r="BZ90" s="613">
        <f t="shared" si="78"/>
        <v>0.22244580314511483</v>
      </c>
      <c r="CA90" s="646">
        <f t="shared" si="78"/>
        <v>0.19968403121779219</v>
      </c>
    </row>
    <row r="91" spans="1:79" s="53" customFormat="1" ht="12.6" customHeight="1">
      <c r="A91" s="598"/>
      <c r="B91" s="599"/>
      <c r="C91" s="595"/>
      <c r="D91" s="597"/>
      <c r="E91" s="599"/>
      <c r="F91" s="596"/>
      <c r="G91" s="596"/>
      <c r="H91" s="595"/>
      <c r="I91" s="597"/>
      <c r="J91" s="600"/>
      <c r="K91" s="319"/>
      <c r="L91" s="319"/>
      <c r="M91" s="601"/>
      <c r="N91" s="601"/>
      <c r="O91" s="319"/>
      <c r="P91" s="319"/>
      <c r="Q91" s="319"/>
      <c r="R91" s="319"/>
      <c r="S91" s="320"/>
      <c r="T91" s="319"/>
      <c r="U91" s="319"/>
      <c r="V91" s="319"/>
      <c r="W91" s="319"/>
      <c r="X91" s="320"/>
      <c r="Y91" s="319"/>
      <c r="Z91" s="596"/>
      <c r="AA91" s="602">
        <f>-173-AA89</f>
        <v>0</v>
      </c>
      <c r="AB91" s="581"/>
      <c r="AC91" s="597"/>
      <c r="AD91" s="581"/>
      <c r="AE91" s="603"/>
      <c r="AF91" s="603"/>
      <c r="AG91" s="604"/>
      <c r="AH91" s="597"/>
      <c r="AI91" s="604"/>
      <c r="AJ91" s="319"/>
      <c r="AK91" s="596"/>
      <c r="AL91" s="596"/>
      <c r="AM91" s="597"/>
      <c r="AN91" s="596"/>
      <c r="AO91" s="596"/>
      <c r="AP91" s="596"/>
      <c r="AQ91" s="596"/>
      <c r="AR91" s="597"/>
      <c r="AS91" s="581"/>
      <c r="AT91" s="605">
        <f>+AT89-14066</f>
        <v>0</v>
      </c>
      <c r="AU91" s="605"/>
      <c r="AV91" s="606"/>
      <c r="AW91" s="607"/>
      <c r="AX91" s="603"/>
      <c r="AY91" s="605"/>
      <c r="AZ91" s="605"/>
      <c r="BA91" s="606"/>
      <c r="BB91" s="607"/>
      <c r="BC91" s="581"/>
      <c r="BD91" s="605">
        <f>24301-BD89</f>
        <v>0</v>
      </c>
      <c r="BE91" s="605"/>
      <c r="BF91" s="605"/>
      <c r="BG91" s="607"/>
      <c r="BH91" s="899"/>
      <c r="BI91" s="605"/>
      <c r="BJ91" s="605"/>
      <c r="BK91" s="606"/>
      <c r="BL91" s="607"/>
      <c r="BM91" s="581"/>
      <c r="BN91" s="605"/>
      <c r="BO91" s="605"/>
      <c r="BP91" s="606"/>
      <c r="BQ91" s="607"/>
      <c r="BR91" s="603"/>
      <c r="BS91" s="605"/>
      <c r="BT91" s="605"/>
      <c r="BU91" s="605"/>
      <c r="BV91" s="607"/>
      <c r="BW91" s="581"/>
      <c r="BX91" s="605"/>
      <c r="BY91" s="605"/>
      <c r="BZ91" s="606"/>
      <c r="CA91" s="607"/>
    </row>
    <row r="92" spans="1:79" s="128" customFormat="1" ht="14.1" customHeight="1">
      <c r="A92" s="99"/>
      <c r="B92" s="112" t="s">
        <v>84</v>
      </c>
      <c r="C92" s="100"/>
      <c r="D92" s="95">
        <f t="shared" ref="D92:AS92" si="79">D66+D74</f>
        <v>-7808</v>
      </c>
      <c r="E92" s="98">
        <f t="shared" si="79"/>
        <v>-3486.1655900000001</v>
      </c>
      <c r="F92" s="96">
        <f t="shared" si="79"/>
        <v>-4630.4094800000012</v>
      </c>
      <c r="G92" s="96">
        <f t="shared" si="79"/>
        <v>-5382.233760000001</v>
      </c>
      <c r="H92" s="100">
        <f t="shared" si="79"/>
        <v>-5771.141120000002</v>
      </c>
      <c r="I92" s="95">
        <f t="shared" si="79"/>
        <v>-19269.949950000006</v>
      </c>
      <c r="J92" s="98">
        <f t="shared" si="79"/>
        <v>-6637.7410699999982</v>
      </c>
      <c r="K92" s="96">
        <f t="shared" si="79"/>
        <v>-8285.2699300000004</v>
      </c>
      <c r="L92" s="96">
        <f t="shared" si="79"/>
        <v>-7689.0454899999968</v>
      </c>
      <c r="M92" s="100">
        <f t="shared" si="79"/>
        <v>-8631.1076400000056</v>
      </c>
      <c r="N92" s="100">
        <f t="shared" si="79"/>
        <v>-31243.164130000001</v>
      </c>
      <c r="O92" s="96">
        <f t="shared" si="79"/>
        <v>-8293</v>
      </c>
      <c r="P92" s="96">
        <f t="shared" si="79"/>
        <v>-8647</v>
      </c>
      <c r="Q92" s="96">
        <f t="shared" si="79"/>
        <v>-11422</v>
      </c>
      <c r="R92" s="96">
        <f t="shared" si="79"/>
        <v>-9339</v>
      </c>
      <c r="S92" s="95">
        <f t="shared" si="79"/>
        <v>-37701</v>
      </c>
      <c r="T92" s="96">
        <f t="shared" si="79"/>
        <v>-8885</v>
      </c>
      <c r="U92" s="96">
        <f t="shared" si="79"/>
        <v>-7389</v>
      </c>
      <c r="V92" s="96">
        <f t="shared" si="79"/>
        <v>-5998</v>
      </c>
      <c r="W92" s="96">
        <f t="shared" si="79"/>
        <v>-3505</v>
      </c>
      <c r="X92" s="95">
        <f t="shared" si="79"/>
        <v>-25777</v>
      </c>
      <c r="Y92" s="96">
        <f t="shared" si="79"/>
        <v>-4883</v>
      </c>
      <c r="Z92" s="96">
        <f t="shared" si="79"/>
        <v>-3426</v>
      </c>
      <c r="AA92" s="96">
        <f t="shared" si="79"/>
        <v>-3892</v>
      </c>
      <c r="AB92" s="202">
        <f t="shared" si="79"/>
        <v>395</v>
      </c>
      <c r="AC92" s="95">
        <f t="shared" si="79"/>
        <v>-11806</v>
      </c>
      <c r="AD92" s="202">
        <f t="shared" si="79"/>
        <v>-5206</v>
      </c>
      <c r="AE92" s="202">
        <f t="shared" si="79"/>
        <v>-3957</v>
      </c>
      <c r="AF92" s="202">
        <f t="shared" si="79"/>
        <v>967</v>
      </c>
      <c r="AG92" s="202">
        <f t="shared" si="79"/>
        <v>-505</v>
      </c>
      <c r="AH92" s="95">
        <f t="shared" si="79"/>
        <v>-8701</v>
      </c>
      <c r="AI92" s="202">
        <f t="shared" si="79"/>
        <v>-562</v>
      </c>
      <c r="AJ92" s="96">
        <f t="shared" si="79"/>
        <v>-1978</v>
      </c>
      <c r="AK92" s="96">
        <f t="shared" si="79"/>
        <v>-1264</v>
      </c>
      <c r="AL92" s="96">
        <f t="shared" si="79"/>
        <v>784</v>
      </c>
      <c r="AM92" s="95">
        <f t="shared" si="79"/>
        <v>-3020</v>
      </c>
      <c r="AN92" s="96">
        <f t="shared" si="79"/>
        <v>-1973</v>
      </c>
      <c r="AO92" s="96">
        <f t="shared" si="79"/>
        <v>-1831</v>
      </c>
      <c r="AP92" s="96">
        <f t="shared" si="79"/>
        <v>-1554</v>
      </c>
      <c r="AQ92" s="202">
        <f t="shared" si="79"/>
        <v>910</v>
      </c>
      <c r="AR92" s="95">
        <f t="shared" si="79"/>
        <v>-4231</v>
      </c>
      <c r="AS92" s="202">
        <f t="shared" si="79"/>
        <v>-7368</v>
      </c>
      <c r="AT92" s="202">
        <f>AT66+AT74-AT73</f>
        <v>-18928</v>
      </c>
      <c r="AU92" s="202">
        <f>AU66+AU74</f>
        <v>-11085</v>
      </c>
      <c r="AV92" s="202">
        <f>AV66+AV74</f>
        <v>-7202</v>
      </c>
      <c r="AW92" s="95">
        <f>SUM(AS92:AV92)</f>
        <v>-44583</v>
      </c>
      <c r="AX92" s="202">
        <f t="shared" ref="AX92:BQ92" si="80">AX66+AX74</f>
        <v>-12849</v>
      </c>
      <c r="AY92" s="202">
        <f t="shared" si="80"/>
        <v>-16665</v>
      </c>
      <c r="AZ92" s="202">
        <f t="shared" si="80"/>
        <v>-20725</v>
      </c>
      <c r="BA92" s="96">
        <f t="shared" si="80"/>
        <v>-14046</v>
      </c>
      <c r="BB92" s="95">
        <f t="shared" si="80"/>
        <v>-64285</v>
      </c>
      <c r="BC92" s="202">
        <f t="shared" si="80"/>
        <v>-31864</v>
      </c>
      <c r="BD92" s="202">
        <f t="shared" si="80"/>
        <v>-23338</v>
      </c>
      <c r="BE92" s="202">
        <f t="shared" si="80"/>
        <v>-22628</v>
      </c>
      <c r="BF92" s="202">
        <f t="shared" si="80"/>
        <v>-12432</v>
      </c>
      <c r="BG92" s="95">
        <f t="shared" si="80"/>
        <v>-90262</v>
      </c>
      <c r="BH92" s="202">
        <f t="shared" si="80"/>
        <v>-26720</v>
      </c>
      <c r="BI92" s="202">
        <f t="shared" si="80"/>
        <v>-20986</v>
      </c>
      <c r="BJ92" s="202">
        <f t="shared" si="80"/>
        <v>-19477</v>
      </c>
      <c r="BK92" s="96">
        <f t="shared" si="80"/>
        <v>-12239</v>
      </c>
      <c r="BL92" s="95">
        <f t="shared" si="80"/>
        <v>-79422</v>
      </c>
      <c r="BM92" s="202">
        <f t="shared" si="80"/>
        <v>-6088</v>
      </c>
      <c r="BN92" s="202">
        <f t="shared" si="80"/>
        <v>-9471</v>
      </c>
      <c r="BO92" s="202">
        <f t="shared" si="80"/>
        <v>-8347</v>
      </c>
      <c r="BP92" s="96">
        <f t="shared" si="80"/>
        <v>11151</v>
      </c>
      <c r="BQ92" s="95">
        <f t="shared" si="80"/>
        <v>-12755</v>
      </c>
      <c r="BR92" s="202">
        <f t="shared" ref="BR92:CA92" si="81">BR66+BR74</f>
        <v>760</v>
      </c>
      <c r="BS92" s="202">
        <f t="shared" si="81"/>
        <v>2536</v>
      </c>
      <c r="BT92" s="202">
        <f t="shared" si="81"/>
        <v>18616</v>
      </c>
      <c r="BU92" s="202">
        <f t="shared" si="81"/>
        <v>23030</v>
      </c>
      <c r="BV92" s="95">
        <f t="shared" si="81"/>
        <v>44942</v>
      </c>
      <c r="BW92" s="202">
        <f t="shared" si="81"/>
        <v>12070.372711999982</v>
      </c>
      <c r="BX92" s="202">
        <f t="shared" si="81"/>
        <v>17770.512871000014</v>
      </c>
      <c r="BY92" s="202">
        <f t="shared" si="81"/>
        <v>18645.84063999998</v>
      </c>
      <c r="BZ92" s="96">
        <f t="shared" si="81"/>
        <v>27252.514433600008</v>
      </c>
      <c r="CA92" s="95">
        <f t="shared" si="81"/>
        <v>75739.240656599926</v>
      </c>
    </row>
    <row r="93" spans="1:79" s="128" customFormat="1" ht="14.1" customHeight="1">
      <c r="A93" s="99"/>
      <c r="B93" s="98"/>
      <c r="C93" s="100" t="s">
        <v>83</v>
      </c>
      <c r="D93" s="95">
        <v>64</v>
      </c>
      <c r="E93" s="317">
        <v>21</v>
      </c>
      <c r="F93" s="284">
        <v>10</v>
      </c>
      <c r="G93" s="284">
        <v>22</v>
      </c>
      <c r="H93" s="318">
        <v>9</v>
      </c>
      <c r="I93" s="95">
        <f>SUM(E93:H93)</f>
        <v>62</v>
      </c>
      <c r="J93" s="98">
        <v>19</v>
      </c>
      <c r="K93" s="96">
        <v>5</v>
      </c>
      <c r="L93" s="96">
        <v>45</v>
      </c>
      <c r="M93" s="100">
        <v>1</v>
      </c>
      <c r="N93" s="100">
        <f>SUM(J93:M93)</f>
        <v>70</v>
      </c>
      <c r="O93" s="202">
        <v>27</v>
      </c>
      <c r="P93" s="202">
        <v>12</v>
      </c>
      <c r="Q93" s="107">
        <v>13</v>
      </c>
      <c r="R93" s="202">
        <v>33</v>
      </c>
      <c r="S93" s="95">
        <f>SUM(O93:R93)</f>
        <v>85</v>
      </c>
      <c r="T93" s="202">
        <v>18</v>
      </c>
      <c r="U93" s="202">
        <v>-20</v>
      </c>
      <c r="V93" s="286">
        <v>50</v>
      </c>
      <c r="W93" s="202">
        <v>13</v>
      </c>
      <c r="X93" s="95">
        <f>SUM(T93:W93)</f>
        <v>61</v>
      </c>
      <c r="Y93" s="96">
        <v>28</v>
      </c>
      <c r="Z93" s="202">
        <v>42</v>
      </c>
      <c r="AA93" s="286">
        <v>-2</v>
      </c>
      <c r="AB93" s="286">
        <v>-14</v>
      </c>
      <c r="AC93" s="95">
        <f>SUM(Y93:AB93)</f>
        <v>54</v>
      </c>
      <c r="AD93" s="202">
        <v>49</v>
      </c>
      <c r="AE93" s="202">
        <f>AE87</f>
        <v>50</v>
      </c>
      <c r="AF93" s="202">
        <v>43</v>
      </c>
      <c r="AG93" s="202">
        <v>126</v>
      </c>
      <c r="AH93" s="95">
        <f>SUM(AD93:AG93)</f>
        <v>268</v>
      </c>
      <c r="AI93" s="202">
        <v>45</v>
      </c>
      <c r="AJ93" s="96">
        <v>64</v>
      </c>
      <c r="AK93" s="96">
        <v>41</v>
      </c>
      <c r="AL93" s="202">
        <v>150</v>
      </c>
      <c r="AM93" s="95">
        <f>SUM(AI93:AL93)</f>
        <v>300</v>
      </c>
      <c r="AN93" s="96">
        <v>-49</v>
      </c>
      <c r="AO93" s="96">
        <f>AO87</f>
        <v>29</v>
      </c>
      <c r="AP93" s="96">
        <v>50</v>
      </c>
      <c r="AQ93" s="202">
        <f>AQ87</f>
        <v>74</v>
      </c>
      <c r="AR93" s="95">
        <f>SUM(AN93:AQ93)</f>
        <v>104</v>
      </c>
      <c r="AS93" s="202">
        <v>69</v>
      </c>
      <c r="AT93" s="202">
        <v>-2876</v>
      </c>
      <c r="AU93" s="202">
        <v>346</v>
      </c>
      <c r="AV93" s="202">
        <v>8</v>
      </c>
      <c r="AW93" s="95">
        <f>SUM(AS93:AV93)</f>
        <v>-2453</v>
      </c>
      <c r="AX93" s="202">
        <f>AX87</f>
        <v>-517</v>
      </c>
      <c r="AY93" s="202">
        <v>-135</v>
      </c>
      <c r="AZ93" s="673">
        <f>AZ87</f>
        <v>-188</v>
      </c>
      <c r="BA93" s="673">
        <v>-10445</v>
      </c>
      <c r="BB93" s="675">
        <f>SUM(AX93:BA93)</f>
        <v>-11285</v>
      </c>
      <c r="BC93" s="673">
        <v>2256</v>
      </c>
      <c r="BD93" s="673">
        <f>BD87</f>
        <v>332</v>
      </c>
      <c r="BE93" s="673">
        <f>BE87</f>
        <v>579</v>
      </c>
      <c r="BF93" s="202">
        <v>1221</v>
      </c>
      <c r="BG93" s="675">
        <f>SUM(BC93:BF93)</f>
        <v>4388</v>
      </c>
      <c r="BH93" s="673">
        <v>527</v>
      </c>
      <c r="BI93" s="673">
        <v>753</v>
      </c>
      <c r="BJ93" s="673">
        <v>942</v>
      </c>
      <c r="BK93" s="673">
        <v>119</v>
      </c>
      <c r="BL93" s="675">
        <f>SUM(BH93:BK93)</f>
        <v>2341</v>
      </c>
      <c r="BM93" s="673">
        <v>989</v>
      </c>
      <c r="BN93" s="673">
        <v>3345</v>
      </c>
      <c r="BO93" s="673">
        <v>-3868</v>
      </c>
      <c r="BP93" s="673">
        <v>-426</v>
      </c>
      <c r="BQ93" s="675">
        <f>SUM(BM93:BP93)</f>
        <v>40</v>
      </c>
      <c r="BR93" s="673">
        <f>BR87</f>
        <v>184</v>
      </c>
      <c r="BS93" s="673">
        <v>1382</v>
      </c>
      <c r="BT93" s="673">
        <v>643</v>
      </c>
      <c r="BU93" s="673">
        <v>3317</v>
      </c>
      <c r="BV93" s="675">
        <f>SUM(BR93:BU93)</f>
        <v>5526</v>
      </c>
      <c r="BW93" s="673">
        <f>BW87</f>
        <v>1000</v>
      </c>
      <c r="BX93" s="673">
        <f>BX87</f>
        <v>1000</v>
      </c>
      <c r="BY93" s="673">
        <f>BY87</f>
        <v>1000</v>
      </c>
      <c r="BZ93" s="673">
        <f>BZ87</f>
        <v>1000</v>
      </c>
      <c r="CA93" s="675">
        <f>SUM(BW93:BZ93)</f>
        <v>4000</v>
      </c>
    </row>
    <row r="94" spans="1:79" s="635" customFormat="1" ht="12.4" customHeight="1" thickBot="1">
      <c r="A94" s="609"/>
      <c r="B94" s="641"/>
      <c r="C94" s="642" t="s">
        <v>82</v>
      </c>
      <c r="D94" s="643">
        <f t="shared" ref="D94:M94" si="82">D93/D92</f>
        <v>-8.1967213114754103E-3</v>
      </c>
      <c r="E94" s="641">
        <f t="shared" si="82"/>
        <v>-6.0238102459154843E-3</v>
      </c>
      <c r="F94" s="647">
        <f t="shared" si="82"/>
        <v>-2.1596362142900583E-3</v>
      </c>
      <c r="G94" s="647">
        <f t="shared" si="82"/>
        <v>-4.0875222037922033E-3</v>
      </c>
      <c r="H94" s="642">
        <f t="shared" si="82"/>
        <v>-1.5594836121422026E-3</v>
      </c>
      <c r="I94" s="643">
        <f t="shared" si="82"/>
        <v>-3.2174447863576303E-3</v>
      </c>
      <c r="J94" s="641">
        <f t="shared" si="82"/>
        <v>-2.8624195791355275E-3</v>
      </c>
      <c r="K94" s="647">
        <f t="shared" si="82"/>
        <v>-6.034806400085507E-4</v>
      </c>
      <c r="L94" s="647">
        <f t="shared" si="82"/>
        <v>-5.852481957419141E-3</v>
      </c>
      <c r="M94" s="642">
        <f t="shared" si="82"/>
        <v>-1.1585998480259938E-4</v>
      </c>
      <c r="N94" s="642">
        <f t="shared" ref="N94:S94" si="83">N93/N92</f>
        <v>-2.240490102370435E-3</v>
      </c>
      <c r="O94" s="613">
        <f t="shared" si="83"/>
        <v>-3.2557578680815144E-3</v>
      </c>
      <c r="P94" s="613">
        <f t="shared" si="83"/>
        <v>-1.3877645426159362E-3</v>
      </c>
      <c r="Q94" s="613">
        <f t="shared" si="83"/>
        <v>-1.1381544388023113E-3</v>
      </c>
      <c r="R94" s="613">
        <f t="shared" si="83"/>
        <v>-3.5335689045936395E-3</v>
      </c>
      <c r="S94" s="612">
        <f t="shared" si="83"/>
        <v>-2.2545821065754223E-3</v>
      </c>
      <c r="T94" s="613">
        <v>0.38</v>
      </c>
      <c r="U94" s="613">
        <f t="shared" ref="U94:AC94" si="84">U93/U92</f>
        <v>2.706726214643389E-3</v>
      </c>
      <c r="V94" s="613">
        <f t="shared" si="84"/>
        <v>-8.3361120373457824E-3</v>
      </c>
      <c r="W94" s="613">
        <f t="shared" si="84"/>
        <v>-3.7089871611982882E-3</v>
      </c>
      <c r="X94" s="612">
        <f t="shared" si="84"/>
        <v>-2.3664507118749275E-3</v>
      </c>
      <c r="Y94" s="613">
        <f t="shared" si="84"/>
        <v>-5.7341798074953924E-3</v>
      </c>
      <c r="Z94" s="613">
        <f t="shared" si="84"/>
        <v>-1.2259194395796848E-2</v>
      </c>
      <c r="AA94" s="613">
        <f t="shared" si="84"/>
        <v>5.1387461459403907E-4</v>
      </c>
      <c r="AB94" s="613">
        <f t="shared" si="84"/>
        <v>-3.5443037974683546E-2</v>
      </c>
      <c r="AC94" s="612">
        <f t="shared" si="84"/>
        <v>-4.5739454514653567E-3</v>
      </c>
      <c r="AD94" s="622">
        <f t="shared" ref="AD94:AM94" si="85">AD93/AD92</f>
        <v>-9.4122166730695352E-3</v>
      </c>
      <c r="AE94" s="622">
        <f t="shared" si="85"/>
        <v>-1.2635835228708618E-2</v>
      </c>
      <c r="AF94" s="622">
        <f t="shared" si="85"/>
        <v>4.4467425025853151E-2</v>
      </c>
      <c r="AG94" s="622">
        <f t="shared" si="85"/>
        <v>-0.2495049504950495</v>
      </c>
      <c r="AH94" s="612">
        <f t="shared" si="85"/>
        <v>-3.0801057349729915E-2</v>
      </c>
      <c r="AI94" s="622">
        <f t="shared" si="85"/>
        <v>-8.0071174377224205E-2</v>
      </c>
      <c r="AJ94" s="622">
        <f t="shared" si="85"/>
        <v>-3.2355915065722954E-2</v>
      </c>
      <c r="AK94" s="622">
        <f t="shared" si="85"/>
        <v>-3.2436708860759493E-2</v>
      </c>
      <c r="AL94" s="622">
        <f t="shared" si="85"/>
        <v>0.19132653061224489</v>
      </c>
      <c r="AM94" s="612">
        <f t="shared" si="85"/>
        <v>-9.9337748344370855E-2</v>
      </c>
      <c r="AN94" s="622">
        <f t="shared" ref="AN94:CA94" si="86">AN93/AN92</f>
        <v>2.4835276229092752E-2</v>
      </c>
      <c r="AO94" s="622">
        <f t="shared" si="86"/>
        <v>-1.5838339705079193E-2</v>
      </c>
      <c r="AP94" s="622">
        <f t="shared" si="86"/>
        <v>-3.2175032175032175E-2</v>
      </c>
      <c r="AQ94" s="622">
        <f t="shared" si="86"/>
        <v>8.1318681318681321E-2</v>
      </c>
      <c r="AR94" s="612">
        <f t="shared" si="86"/>
        <v>-2.4580477428503899E-2</v>
      </c>
      <c r="AS94" s="622">
        <f t="shared" si="86"/>
        <v>-9.3648208469055381E-3</v>
      </c>
      <c r="AT94" s="622">
        <f t="shared" si="86"/>
        <v>0.15194420963651734</v>
      </c>
      <c r="AU94" s="622">
        <f t="shared" si="86"/>
        <v>-3.1213351375732973E-2</v>
      </c>
      <c r="AV94" s="622">
        <f t="shared" si="86"/>
        <v>-1.1108025548458762E-3</v>
      </c>
      <c r="AW94" s="612">
        <f t="shared" si="86"/>
        <v>5.5020972119417713E-2</v>
      </c>
      <c r="AX94" s="622">
        <f t="shared" si="86"/>
        <v>4.023659428749319E-2</v>
      </c>
      <c r="AY94" s="622">
        <f t="shared" si="86"/>
        <v>8.1008100810081012E-3</v>
      </c>
      <c r="AZ94" s="622">
        <f t="shared" si="86"/>
        <v>9.0711700844390824E-3</v>
      </c>
      <c r="BA94" s="622">
        <f t="shared" si="86"/>
        <v>0.74362807916844653</v>
      </c>
      <c r="BB94" s="612">
        <f t="shared" si="86"/>
        <v>0.17554639495994401</v>
      </c>
      <c r="BC94" s="622">
        <f t="shared" si="86"/>
        <v>-7.0800903841325633E-2</v>
      </c>
      <c r="BD94" s="622">
        <f t="shared" si="86"/>
        <v>-1.4225726283314765E-2</v>
      </c>
      <c r="BE94" s="622">
        <f t="shared" si="86"/>
        <v>-2.5587767367862824E-2</v>
      </c>
      <c r="BF94" s="622">
        <f t="shared" si="86"/>
        <v>-9.8214285714285712E-2</v>
      </c>
      <c r="BG94" s="612">
        <f t="shared" si="86"/>
        <v>-4.8614034698987389E-2</v>
      </c>
      <c r="BH94" s="622">
        <f t="shared" si="86"/>
        <v>-1.972305389221557E-2</v>
      </c>
      <c r="BI94" s="622">
        <f t="shared" si="86"/>
        <v>-3.5881063566186984E-2</v>
      </c>
      <c r="BJ94" s="622">
        <f t="shared" si="86"/>
        <v>-4.8364737895979872E-2</v>
      </c>
      <c r="BK94" s="622">
        <f t="shared" si="86"/>
        <v>-9.7230165863224118E-3</v>
      </c>
      <c r="BL94" s="612">
        <f t="shared" si="86"/>
        <v>-2.9475460199944601E-2</v>
      </c>
      <c r="BM94" s="622">
        <f t="shared" si="86"/>
        <v>-0.16245072273324573</v>
      </c>
      <c r="BN94" s="622">
        <f t="shared" si="86"/>
        <v>-0.35318340196388975</v>
      </c>
      <c r="BO94" s="622">
        <f t="shared" si="86"/>
        <v>0.46340002396070445</v>
      </c>
      <c r="BP94" s="622">
        <f t="shared" si="86"/>
        <v>-3.8202851762173799E-2</v>
      </c>
      <c r="BQ94" s="612">
        <f t="shared" si="86"/>
        <v>-3.1360250882007056E-3</v>
      </c>
      <c r="BR94" s="622">
        <f t="shared" si="86"/>
        <v>0.24210526315789474</v>
      </c>
      <c r="BS94" s="622">
        <f t="shared" si="86"/>
        <v>0.54495268138801267</v>
      </c>
      <c r="BT94" s="622">
        <f t="shared" si="86"/>
        <v>3.4540180489901158E-2</v>
      </c>
      <c r="BU94" s="622">
        <f t="shared" si="86"/>
        <v>0.14402952670429875</v>
      </c>
      <c r="BV94" s="612">
        <f t="shared" si="86"/>
        <v>0.12295847981843265</v>
      </c>
      <c r="BW94" s="622">
        <f t="shared" si="86"/>
        <v>8.2847483160634436E-2</v>
      </c>
      <c r="BX94" s="622">
        <f t="shared" si="86"/>
        <v>5.627299601644678E-2</v>
      </c>
      <c r="BY94" s="622">
        <f t="shared" si="86"/>
        <v>5.3631263899936506E-2</v>
      </c>
      <c r="BZ94" s="622">
        <f t="shared" si="86"/>
        <v>3.6693861861314563E-2</v>
      </c>
      <c r="CA94" s="612">
        <f t="shared" si="86"/>
        <v>5.2812781925500325E-2</v>
      </c>
    </row>
    <row r="95" spans="1:79" s="53" customFormat="1" ht="14.1" customHeight="1" thickBot="1">
      <c r="A95" s="105"/>
      <c r="B95" s="269" t="s">
        <v>3</v>
      </c>
      <c r="C95" s="262"/>
      <c r="D95" s="300">
        <f>D92-D93</f>
        <v>-7872</v>
      </c>
      <c r="E95" s="354">
        <f t="shared" ref="E95:M95" si="87">E92-E93</f>
        <v>-3507.1655900000001</v>
      </c>
      <c r="F95" s="246">
        <f t="shared" si="87"/>
        <v>-4640.4094800000012</v>
      </c>
      <c r="G95" s="246">
        <f t="shared" si="87"/>
        <v>-5404.233760000001</v>
      </c>
      <c r="H95" s="265">
        <f t="shared" si="87"/>
        <v>-5780.141120000002</v>
      </c>
      <c r="I95" s="305">
        <f t="shared" si="87"/>
        <v>-19331.949950000006</v>
      </c>
      <c r="J95" s="354">
        <f t="shared" si="87"/>
        <v>-6656.7410699999982</v>
      </c>
      <c r="K95" s="246">
        <f t="shared" si="87"/>
        <v>-8290.2699300000004</v>
      </c>
      <c r="L95" s="246">
        <f t="shared" si="87"/>
        <v>-7734.0454899999968</v>
      </c>
      <c r="M95" s="265">
        <f t="shared" si="87"/>
        <v>-8632.1076400000056</v>
      </c>
      <c r="N95" s="265">
        <f>N92-N93</f>
        <v>-31313.164130000001</v>
      </c>
      <c r="O95" s="308">
        <f t="shared" ref="O95:AH95" si="88">O92-O93</f>
        <v>-8320</v>
      </c>
      <c r="P95" s="309">
        <f t="shared" si="88"/>
        <v>-8659</v>
      </c>
      <c r="Q95" s="309">
        <f t="shared" si="88"/>
        <v>-11435</v>
      </c>
      <c r="R95" s="268">
        <f t="shared" si="88"/>
        <v>-9372</v>
      </c>
      <c r="S95" s="125">
        <f>S92-S93</f>
        <v>-37786</v>
      </c>
      <c r="T95" s="126">
        <f t="shared" si="88"/>
        <v>-8903</v>
      </c>
      <c r="U95" s="126">
        <f t="shared" si="88"/>
        <v>-7369</v>
      </c>
      <c r="V95" s="126">
        <f t="shared" si="88"/>
        <v>-6048</v>
      </c>
      <c r="W95" s="126">
        <f>W92-W93</f>
        <v>-3518</v>
      </c>
      <c r="X95" s="125">
        <f t="shared" si="88"/>
        <v>-25838</v>
      </c>
      <c r="Y95" s="126">
        <f t="shared" si="88"/>
        <v>-4911</v>
      </c>
      <c r="Z95" s="126">
        <f t="shared" si="88"/>
        <v>-3468</v>
      </c>
      <c r="AA95" s="127">
        <f>AA92-AA93</f>
        <v>-3890</v>
      </c>
      <c r="AB95" s="380">
        <f>AB92-AB93</f>
        <v>409</v>
      </c>
      <c r="AC95" s="125">
        <f t="shared" si="88"/>
        <v>-11860</v>
      </c>
      <c r="AD95" s="213">
        <f t="shared" si="88"/>
        <v>-5255</v>
      </c>
      <c r="AE95" s="213">
        <f t="shared" si="88"/>
        <v>-4007</v>
      </c>
      <c r="AF95" s="213">
        <f>AF92-AF93</f>
        <v>924</v>
      </c>
      <c r="AG95" s="213">
        <f t="shared" si="88"/>
        <v>-631</v>
      </c>
      <c r="AH95" s="125">
        <f t="shared" si="88"/>
        <v>-8969</v>
      </c>
      <c r="AI95" s="213">
        <f t="shared" ref="AI95:CA95" si="89">AI92-AI93</f>
        <v>-607</v>
      </c>
      <c r="AJ95" s="213">
        <f t="shared" si="89"/>
        <v>-2042</v>
      </c>
      <c r="AK95" s="213">
        <f t="shared" si="89"/>
        <v>-1305</v>
      </c>
      <c r="AL95" s="126">
        <f t="shared" si="89"/>
        <v>634</v>
      </c>
      <c r="AM95" s="125">
        <f t="shared" si="89"/>
        <v>-3320</v>
      </c>
      <c r="AN95" s="213">
        <f t="shared" si="89"/>
        <v>-1924</v>
      </c>
      <c r="AO95" s="213">
        <f t="shared" si="89"/>
        <v>-1860</v>
      </c>
      <c r="AP95" s="213">
        <f t="shared" si="89"/>
        <v>-1604</v>
      </c>
      <c r="AQ95" s="126">
        <f t="shared" si="89"/>
        <v>836</v>
      </c>
      <c r="AR95" s="125">
        <f t="shared" si="89"/>
        <v>-4335</v>
      </c>
      <c r="AS95" s="213">
        <f t="shared" si="89"/>
        <v>-7437</v>
      </c>
      <c r="AT95" s="213">
        <f t="shared" si="89"/>
        <v>-16052</v>
      </c>
      <c r="AU95" s="213">
        <f t="shared" si="89"/>
        <v>-11431</v>
      </c>
      <c r="AV95" s="126">
        <f t="shared" si="89"/>
        <v>-7210</v>
      </c>
      <c r="AW95" s="125">
        <f t="shared" si="89"/>
        <v>-42130</v>
      </c>
      <c r="AX95" s="213">
        <f t="shared" si="89"/>
        <v>-12332</v>
      </c>
      <c r="AY95" s="213">
        <f t="shared" si="89"/>
        <v>-16530</v>
      </c>
      <c r="AZ95" s="213">
        <f t="shared" si="89"/>
        <v>-20537</v>
      </c>
      <c r="BA95" s="126">
        <f t="shared" si="89"/>
        <v>-3601</v>
      </c>
      <c r="BB95" s="125">
        <f t="shared" si="89"/>
        <v>-53000</v>
      </c>
      <c r="BC95" s="213">
        <f t="shared" si="89"/>
        <v>-34120</v>
      </c>
      <c r="BD95" s="213">
        <f t="shared" si="89"/>
        <v>-23670</v>
      </c>
      <c r="BE95" s="213">
        <f t="shared" si="89"/>
        <v>-23207</v>
      </c>
      <c r="BF95" s="213">
        <f t="shared" si="89"/>
        <v>-13653</v>
      </c>
      <c r="BG95" s="125">
        <f t="shared" si="89"/>
        <v>-94650</v>
      </c>
      <c r="BH95" s="213">
        <f t="shared" si="89"/>
        <v>-27247</v>
      </c>
      <c r="BI95" s="213">
        <f t="shared" si="89"/>
        <v>-21739</v>
      </c>
      <c r="BJ95" s="213">
        <f t="shared" si="89"/>
        <v>-20419</v>
      </c>
      <c r="BK95" s="126">
        <f t="shared" si="89"/>
        <v>-12358</v>
      </c>
      <c r="BL95" s="125">
        <f t="shared" si="89"/>
        <v>-81763</v>
      </c>
      <c r="BM95" s="213">
        <f t="shared" si="89"/>
        <v>-7077</v>
      </c>
      <c r="BN95" s="213">
        <f t="shared" si="89"/>
        <v>-12816</v>
      </c>
      <c r="BO95" s="213">
        <f t="shared" si="89"/>
        <v>-4479</v>
      </c>
      <c r="BP95" s="126">
        <f t="shared" si="89"/>
        <v>11577</v>
      </c>
      <c r="BQ95" s="125">
        <f t="shared" si="89"/>
        <v>-12795</v>
      </c>
      <c r="BR95" s="213">
        <f t="shared" si="89"/>
        <v>576</v>
      </c>
      <c r="BS95" s="213">
        <f t="shared" si="89"/>
        <v>1154</v>
      </c>
      <c r="BT95" s="213">
        <f t="shared" si="89"/>
        <v>17973</v>
      </c>
      <c r="BU95" s="213">
        <f t="shared" si="89"/>
        <v>19713</v>
      </c>
      <c r="BV95" s="125">
        <f t="shared" si="89"/>
        <v>39416</v>
      </c>
      <c r="BW95" s="213">
        <f t="shared" si="89"/>
        <v>11070.372711999982</v>
      </c>
      <c r="BX95" s="213">
        <f t="shared" si="89"/>
        <v>16770.512871000014</v>
      </c>
      <c r="BY95" s="213">
        <f t="shared" si="89"/>
        <v>17645.84063999998</v>
      </c>
      <c r="BZ95" s="126">
        <f t="shared" si="89"/>
        <v>26252.514433600008</v>
      </c>
      <c r="CA95" s="125">
        <f t="shared" si="89"/>
        <v>71739.240656599926</v>
      </c>
    </row>
    <row r="96" spans="1:79" s="628" customFormat="1" ht="12.4" customHeight="1">
      <c r="A96" s="609"/>
      <c r="B96" s="610"/>
      <c r="C96" s="611" t="s">
        <v>81</v>
      </c>
      <c r="D96" s="613">
        <f t="shared" ref="D96:AI96" si="90">D95/D28</f>
        <v>-0.18227285357043624</v>
      </c>
      <c r="E96" s="644">
        <f t="shared" si="90"/>
        <v>-0.24489481986191386</v>
      </c>
      <c r="F96" s="645">
        <f t="shared" si="90"/>
        <v>-0.3087895865940728</v>
      </c>
      <c r="G96" s="645">
        <f t="shared" si="90"/>
        <v>-0.33355261247032736</v>
      </c>
      <c r="H96" s="630">
        <f t="shared" si="90"/>
        <v>-0.31634860362609352</v>
      </c>
      <c r="I96" s="631">
        <f t="shared" si="90"/>
        <v>-0.30290264447818754</v>
      </c>
      <c r="J96" s="644">
        <f t="shared" si="90"/>
        <v>-0.34824470918258882</v>
      </c>
      <c r="K96" s="645">
        <f t="shared" si="90"/>
        <v>-0.40873195822265707</v>
      </c>
      <c r="L96" s="645">
        <f t="shared" si="90"/>
        <v>-0.36669502364780182</v>
      </c>
      <c r="M96" s="630">
        <f t="shared" si="90"/>
        <v>-0.36510584635656734</v>
      </c>
      <c r="N96" s="631">
        <f t="shared" si="90"/>
        <v>-0.3721908920505872</v>
      </c>
      <c r="O96" s="613">
        <f t="shared" si="90"/>
        <v>-0.34275356348356267</v>
      </c>
      <c r="P96" s="613">
        <f t="shared" si="90"/>
        <v>-0.35077982580514483</v>
      </c>
      <c r="Q96" s="613">
        <f t="shared" si="90"/>
        <v>-0.44203486798871233</v>
      </c>
      <c r="R96" s="613">
        <f t="shared" si="90"/>
        <v>-0.3314706090401075</v>
      </c>
      <c r="S96" s="612">
        <f t="shared" si="90"/>
        <v>-0.36649143566565151</v>
      </c>
      <c r="T96" s="613">
        <f t="shared" si="90"/>
        <v>-0.29408072933870649</v>
      </c>
      <c r="U96" s="613">
        <f t="shared" si="90"/>
        <v>-0.24341018695910682</v>
      </c>
      <c r="V96" s="613">
        <f t="shared" si="90"/>
        <v>-0.18731997398333694</v>
      </c>
      <c r="W96" s="613">
        <f t="shared" si="90"/>
        <v>-9.7632725557128194E-2</v>
      </c>
      <c r="X96" s="612">
        <f t="shared" si="90"/>
        <v>-0.20049973616413694</v>
      </c>
      <c r="Y96" s="613">
        <f t="shared" si="90"/>
        <v>-0.12918584769170063</v>
      </c>
      <c r="Z96" s="613">
        <f t="shared" si="90"/>
        <v>-8.9183767937046757E-2</v>
      </c>
      <c r="AA96" s="613">
        <f t="shared" si="90"/>
        <v>-9.4919720853057443E-2</v>
      </c>
      <c r="AB96" s="622">
        <f t="shared" si="90"/>
        <v>9.2519284276245846E-3</v>
      </c>
      <c r="AC96" s="612">
        <f t="shared" si="90"/>
        <v>-7.3169226972669504E-2</v>
      </c>
      <c r="AD96" s="622">
        <f t="shared" si="90"/>
        <v>-0.11177521589313821</v>
      </c>
      <c r="AE96" s="622">
        <f t="shared" si="90"/>
        <v>-8.3956670228591782E-2</v>
      </c>
      <c r="AF96" s="622">
        <f t="shared" si="90"/>
        <v>1.8450110820470836E-2</v>
      </c>
      <c r="AG96" s="622">
        <f t="shared" si="90"/>
        <v>-1.1389274949009981E-2</v>
      </c>
      <c r="AH96" s="612">
        <f t="shared" si="90"/>
        <v>-4.4794606068173308E-2</v>
      </c>
      <c r="AI96" s="622">
        <f t="shared" si="90"/>
        <v>-1.0304727951786776E-2</v>
      </c>
      <c r="AJ96" s="622">
        <f t="shared" ref="AJ96:BO96" si="91">AJ95/AJ28</f>
        <v>-3.3409685863874349E-2</v>
      </c>
      <c r="AK96" s="622">
        <f t="shared" si="91"/>
        <v>-1.9983461962513781E-2</v>
      </c>
      <c r="AL96" s="613">
        <f t="shared" si="91"/>
        <v>8.7647750051842131E-3</v>
      </c>
      <c r="AM96" s="612">
        <f t="shared" si="91"/>
        <v>-1.2884997516145058E-2</v>
      </c>
      <c r="AN96" s="622">
        <f t="shared" si="91"/>
        <v>-2.5812337331294104E-2</v>
      </c>
      <c r="AO96" s="622">
        <f t="shared" si="91"/>
        <v>-2.4019835735316908E-2</v>
      </c>
      <c r="AP96" s="622">
        <f t="shared" si="91"/>
        <v>-1.9147894805954468E-2</v>
      </c>
      <c r="AQ96" s="613">
        <f t="shared" si="91"/>
        <v>9.0610537268460811E-3</v>
      </c>
      <c r="AR96" s="612">
        <f t="shared" si="91"/>
        <v>-1.3216221654481931E-2</v>
      </c>
      <c r="AS96" s="622">
        <f t="shared" si="91"/>
        <v>-7.8211761736496715E-2</v>
      </c>
      <c r="AT96" s="622">
        <f t="shared" si="91"/>
        <v>-0.16085457752124419</v>
      </c>
      <c r="AU96" s="622">
        <f t="shared" si="91"/>
        <v>-0.10193235422630034</v>
      </c>
      <c r="AV96" s="613">
        <f t="shared" si="91"/>
        <v>-5.6378777808187043E-2</v>
      </c>
      <c r="AW96" s="612">
        <f t="shared" si="91"/>
        <v>-9.6871062385607984E-2</v>
      </c>
      <c r="AX96" s="622">
        <f t="shared" si="91"/>
        <v>-8.943879549179734E-2</v>
      </c>
      <c r="AY96" s="622">
        <f t="shared" si="91"/>
        <v>-0.11496571198063735</v>
      </c>
      <c r="AZ96" s="622">
        <f t="shared" si="91"/>
        <v>-0.13307371313047536</v>
      </c>
      <c r="BA96" s="613">
        <f t="shared" si="91"/>
        <v>-2.0743207046123539E-2</v>
      </c>
      <c r="BB96" s="612">
        <f t="shared" si="91"/>
        <v>-8.6943540833115979E-2</v>
      </c>
      <c r="BC96" s="622">
        <f t="shared" si="91"/>
        <v>-0.1866755664005865</v>
      </c>
      <c r="BD96" s="622">
        <f t="shared" si="91"/>
        <v>-0.12498547908460149</v>
      </c>
      <c r="BE96" s="622">
        <f t="shared" si="91"/>
        <v>-0.11700497121134203</v>
      </c>
      <c r="BF96" s="613">
        <f t="shared" si="91"/>
        <v>-6.5530730279104374E-2</v>
      </c>
      <c r="BG96" s="612">
        <f t="shared" si="91"/>
        <v>-0.12152594993105184</v>
      </c>
      <c r="BH96" s="622">
        <f t="shared" si="91"/>
        <v>-0.12473505189091691</v>
      </c>
      <c r="BI96" s="622">
        <f t="shared" si="91"/>
        <v>-9.7535915865794451E-2</v>
      </c>
      <c r="BJ96" s="622">
        <f t="shared" si="91"/>
        <v>-8.8737750157536779E-2</v>
      </c>
      <c r="BK96" s="613">
        <f t="shared" si="91"/>
        <v>-5.1693702888790355E-2</v>
      </c>
      <c r="BL96" s="612">
        <f t="shared" si="91"/>
        <v>-8.9801293372345381E-2</v>
      </c>
      <c r="BM96" s="622">
        <f t="shared" si="91"/>
        <v>-2.8650661916521599E-2</v>
      </c>
      <c r="BN96" s="622">
        <f t="shared" si="91"/>
        <v>-5.0839792769134341E-2</v>
      </c>
      <c r="BO96" s="622">
        <f t="shared" si="91"/>
        <v>-1.695422095373644E-2</v>
      </c>
      <c r="BP96" s="613">
        <f t="shared" ref="BP96:CA96" si="92">BP95/BP28</f>
        <v>4.154525227876265E-2</v>
      </c>
      <c r="BQ96" s="612">
        <f t="shared" si="92"/>
        <v>-1.2280001305260005E-2</v>
      </c>
      <c r="BR96" s="622">
        <f t="shared" si="92"/>
        <v>2.0593124899447634E-3</v>
      </c>
      <c r="BS96" s="622">
        <f t="shared" si="92"/>
        <v>4.0738661837334831E-3</v>
      </c>
      <c r="BT96" s="622">
        <f t="shared" si="92"/>
        <v>6.287959360743374E-2</v>
      </c>
      <c r="BU96" s="622">
        <f t="shared" si="92"/>
        <v>6.5648290606829585E-2</v>
      </c>
      <c r="BV96" s="612">
        <f t="shared" si="92"/>
        <v>3.4301985574647025E-2</v>
      </c>
      <c r="BW96" s="622">
        <f t="shared" si="92"/>
        <v>3.6996395993937801E-2</v>
      </c>
      <c r="BX96" s="622">
        <f t="shared" si="92"/>
        <v>5.4747076106358428E-2</v>
      </c>
      <c r="BY96" s="622">
        <f t="shared" si="92"/>
        <v>5.6245451363833958E-2</v>
      </c>
      <c r="BZ96" s="613">
        <f t="shared" si="92"/>
        <v>7.7809007490713594E-2</v>
      </c>
      <c r="CA96" s="612">
        <f t="shared" si="92"/>
        <v>5.7086252167378754E-2</v>
      </c>
    </row>
    <row r="97" spans="1:79" s="53" customFormat="1" ht="7.7" customHeight="1" thickBot="1">
      <c r="A97" s="105"/>
      <c r="B97" s="112"/>
      <c r="C97" s="169"/>
      <c r="D97" s="108"/>
      <c r="E97" s="108"/>
      <c r="F97" s="245"/>
      <c r="G97" s="245"/>
      <c r="H97" s="168"/>
      <c r="I97" s="171"/>
      <c r="J97" s="355"/>
      <c r="K97" s="356"/>
      <c r="L97" s="357"/>
      <c r="M97" s="358"/>
      <c r="N97" s="359"/>
      <c r="O97" s="321"/>
      <c r="P97" s="107"/>
      <c r="Q97" s="321"/>
      <c r="R97" s="321"/>
      <c r="S97" s="322"/>
      <c r="T97" s="124"/>
      <c r="U97" s="124"/>
      <c r="V97" s="121"/>
      <c r="W97" s="107"/>
      <c r="X97" s="120"/>
      <c r="Y97" s="124"/>
      <c r="Z97" s="122"/>
      <c r="AA97" s="122"/>
      <c r="AB97" s="376"/>
      <c r="AC97" s="120"/>
      <c r="AD97" s="209"/>
      <c r="AE97" s="209"/>
      <c r="AF97" s="209"/>
      <c r="AG97" s="124"/>
      <c r="AH97" s="120"/>
      <c r="AI97" s="203"/>
      <c r="AJ97" s="209"/>
      <c r="AK97" s="209"/>
      <c r="AL97" s="121"/>
      <c r="AM97" s="120"/>
      <c r="AN97" s="209"/>
      <c r="AO97" s="209"/>
      <c r="AP97" s="209"/>
      <c r="AQ97" s="121"/>
      <c r="AR97" s="120"/>
      <c r="AS97" s="203"/>
      <c r="AT97" s="203"/>
      <c r="AU97" s="209"/>
      <c r="AV97" s="121"/>
      <c r="AW97" s="120"/>
      <c r="AX97" s="203"/>
      <c r="AY97" s="209"/>
      <c r="AZ97" s="209"/>
      <c r="BA97" s="121"/>
      <c r="BB97" s="120"/>
      <c r="BC97" s="203"/>
      <c r="BD97" s="209"/>
      <c r="BE97" s="209"/>
      <c r="BF97" s="121"/>
      <c r="BG97" s="120"/>
      <c r="BH97" s="203"/>
      <c r="BI97" s="209"/>
      <c r="BJ97" s="209"/>
      <c r="BK97" s="121"/>
      <c r="BL97" s="120"/>
      <c r="BM97" s="203"/>
      <c r="BN97" s="209"/>
      <c r="BO97" s="209"/>
      <c r="BP97" s="121"/>
      <c r="BQ97" s="120"/>
      <c r="BR97" s="203"/>
      <c r="BS97" s="209"/>
      <c r="BT97" s="209"/>
      <c r="BU97" s="209"/>
      <c r="BV97" s="120"/>
      <c r="BW97" s="203"/>
      <c r="BX97" s="209"/>
      <c r="BY97" s="209"/>
      <c r="BZ97" s="121"/>
      <c r="CA97" s="120"/>
    </row>
    <row r="98" spans="1:79" s="116" customFormat="1" ht="14.1" customHeight="1">
      <c r="A98" s="119"/>
      <c r="B98" s="260" t="s">
        <v>80</v>
      </c>
      <c r="C98" s="250"/>
      <c r="D98" s="301">
        <f t="shared" ref="D98:M98" si="93">IF(D89&gt;0,D89/D104,D89/D103)</f>
        <v>-2.8316568608844181</v>
      </c>
      <c r="E98" s="302">
        <f t="shared" si="93"/>
        <v>-0.99635358626919601</v>
      </c>
      <c r="F98" s="301">
        <f t="shared" si="93"/>
        <v>-1.1629811683227946</v>
      </c>
      <c r="G98" s="301">
        <f t="shared" si="93"/>
        <v>-1.3715618879855469</v>
      </c>
      <c r="H98" s="250">
        <f t="shared" si="93"/>
        <v>-1.6463627762722077</v>
      </c>
      <c r="I98" s="330">
        <f t="shared" si="93"/>
        <v>-5.1772594188497454</v>
      </c>
      <c r="J98" s="302">
        <f t="shared" si="93"/>
        <v>-1.8729850735294111</v>
      </c>
      <c r="K98" s="301">
        <f t="shared" si="93"/>
        <v>-1.9546956541802389</v>
      </c>
      <c r="L98" s="301">
        <f t="shared" si="93"/>
        <v>-1.7609896268854186</v>
      </c>
      <c r="M98" s="250">
        <f t="shared" si="93"/>
        <v>-1.3772683403151815</v>
      </c>
      <c r="N98" s="250">
        <f>IF(N89&gt;0,N89/N104,N89/N103)</f>
        <v>-6.8406195353484884</v>
      </c>
      <c r="O98" s="118">
        <f>IF(O89&gt;0,O89/O104,O89/O103)</f>
        <v>-1.5495720399429387</v>
      </c>
      <c r="P98" s="118">
        <f>IF(P89&gt;0,P89/P104,P89/P103)</f>
        <v>-0.20248198217407992</v>
      </c>
      <c r="Q98" s="118">
        <f>IF(Q89&gt;0,Q89/Q104,Q89/Q103)</f>
        <v>-0.15212171393086318</v>
      </c>
      <c r="R98" s="118">
        <f>IF(R89&gt;0,R89/R104,R89/R103)</f>
        <v>-0.13848131747035897</v>
      </c>
      <c r="S98" s="117">
        <f t="shared" ref="S98:AH98" si="94">IF(S89&gt;0,S89/S104,S89/S103)</f>
        <v>-0.86293460776003039</v>
      </c>
      <c r="T98" s="118">
        <f t="shared" si="94"/>
        <v>-0.11896910970404385</v>
      </c>
      <c r="U98" s="118">
        <f t="shared" si="94"/>
        <v>-0.10272108843537416</v>
      </c>
      <c r="V98" s="118">
        <f t="shared" si="94"/>
        <v>-7.7150628362683396E-2</v>
      </c>
      <c r="W98" s="118">
        <f t="shared" si="94"/>
        <v>-3.1124418879520919E-2</v>
      </c>
      <c r="X98" s="330">
        <f t="shared" si="94"/>
        <v>-0.32872258733657117</v>
      </c>
      <c r="Y98" s="118">
        <f>Y89/Y103</f>
        <v>-5.2513770753449984E-2</v>
      </c>
      <c r="Z98" s="118">
        <f>Z89/Z103</f>
        <v>-1.6090366875707189E-2</v>
      </c>
      <c r="AA98" s="118">
        <f>AA89/AA103</f>
        <v>-3.2822341959474841E-3</v>
      </c>
      <c r="AB98" s="214">
        <f>AB89/AB103</f>
        <v>2.7858299137898581E-3</v>
      </c>
      <c r="AC98" s="330">
        <f>AC89/AC103</f>
        <v>-6.8056975266773026E-2</v>
      </c>
      <c r="AD98" s="214">
        <f t="shared" si="94"/>
        <v>-4.7869170019371179E-3</v>
      </c>
      <c r="AE98" s="214">
        <f t="shared" si="94"/>
        <v>-1.3522650439486139E-3</v>
      </c>
      <c r="AF98" s="214">
        <f t="shared" si="94"/>
        <v>4.3303443750946316E-2</v>
      </c>
      <c r="AG98" s="118">
        <f t="shared" si="94"/>
        <v>6.6972706785744102E-2</v>
      </c>
      <c r="AH98" s="330">
        <f t="shared" si="94"/>
        <v>0.10985392326031691</v>
      </c>
      <c r="AI98" s="214">
        <f t="shared" ref="AI98:CA98" si="95">IF(AI89&gt;0,AI89/AI104,AI89/AI103)</f>
        <v>7.5354847348687734E-2</v>
      </c>
      <c r="AJ98" s="214">
        <f t="shared" si="95"/>
        <v>0.11234759839620326</v>
      </c>
      <c r="AK98" s="214">
        <f t="shared" si="95"/>
        <v>0.1786699356420472</v>
      </c>
      <c r="AL98" s="118">
        <f t="shared" si="95"/>
        <v>0.18385397367530731</v>
      </c>
      <c r="AM98" s="330">
        <f t="shared" si="95"/>
        <v>0.55293834237721351</v>
      </c>
      <c r="AN98" s="214">
        <f t="shared" si="95"/>
        <v>0.15941613283615388</v>
      </c>
      <c r="AO98" s="214">
        <f t="shared" si="95"/>
        <v>0.19544082605242255</v>
      </c>
      <c r="AP98" s="214">
        <f t="shared" si="95"/>
        <v>0.20191367949809264</v>
      </c>
      <c r="AQ98" s="118">
        <f t="shared" si="95"/>
        <v>0.2656727170219097</v>
      </c>
      <c r="AR98" s="330">
        <f t="shared" si="95"/>
        <v>0.62466056641435597</v>
      </c>
      <c r="AS98" s="214">
        <f t="shared" si="95"/>
        <v>0.17028590721443809</v>
      </c>
      <c r="AT98" s="214">
        <f t="shared" si="95"/>
        <v>0.20940584478420746</v>
      </c>
      <c r="AU98" s="214">
        <f t="shared" si="95"/>
        <v>0.28321112129544762</v>
      </c>
      <c r="AV98" s="118">
        <f t="shared" si="95"/>
        <v>0.33715870307167234</v>
      </c>
      <c r="AW98" s="330">
        <f t="shared" si="95"/>
        <v>0.9907407407407407</v>
      </c>
      <c r="AX98" s="214">
        <f t="shared" si="95"/>
        <v>0.22772753647801414</v>
      </c>
      <c r="AY98" s="214">
        <f t="shared" si="95"/>
        <v>0.22573261367168734</v>
      </c>
      <c r="AZ98" s="214">
        <f t="shared" si="95"/>
        <v>0.28162358302157464</v>
      </c>
      <c r="BA98" s="118">
        <f t="shared" si="95"/>
        <v>0.42470159993227802</v>
      </c>
      <c r="BB98" s="330">
        <f t="shared" si="95"/>
        <v>1.160045587181957</v>
      </c>
      <c r="BC98" s="214">
        <f t="shared" si="95"/>
        <v>0.2211373830849995</v>
      </c>
      <c r="BD98" s="214">
        <f t="shared" si="95"/>
        <v>0.34186795717682145</v>
      </c>
      <c r="BE98" s="214">
        <f t="shared" si="95"/>
        <v>0.38958021304293056</v>
      </c>
      <c r="BF98" s="118">
        <f t="shared" si="95"/>
        <v>0.54457134070481006</v>
      </c>
      <c r="BG98" s="330">
        <f t="shared" si="95"/>
        <v>1.499206271160249</v>
      </c>
      <c r="BH98" s="214">
        <f t="shared" si="95"/>
        <v>0.40709249274160098</v>
      </c>
      <c r="BI98" s="214">
        <f t="shared" si="95"/>
        <v>0.51502754820936636</v>
      </c>
      <c r="BJ98" s="214">
        <f t="shared" si="95"/>
        <v>0.51928864569083444</v>
      </c>
      <c r="BK98" s="118">
        <f t="shared" si="95"/>
        <v>0.61091007657382934</v>
      </c>
      <c r="BL98" s="330">
        <f t="shared" si="95"/>
        <v>2.0543426485958571</v>
      </c>
      <c r="BM98" s="214">
        <f t="shared" si="95"/>
        <v>0.4803505187893124</v>
      </c>
      <c r="BN98" s="214">
        <f t="shared" si="95"/>
        <v>0.52077109595831039</v>
      </c>
      <c r="BO98" s="214">
        <f t="shared" si="95"/>
        <v>0.6715865685348098</v>
      </c>
      <c r="BP98" s="118">
        <f t="shared" si="95"/>
        <v>0.79278674719404207</v>
      </c>
      <c r="BQ98" s="330">
        <f t="shared" si="95"/>
        <v>2.4694740278559699</v>
      </c>
      <c r="BR98" s="214">
        <f t="shared" si="95"/>
        <v>0.6177817797439612</v>
      </c>
      <c r="BS98" s="214">
        <f t="shared" si="95"/>
        <v>0.75758915222506795</v>
      </c>
      <c r="BT98" s="214">
        <f t="shared" si="95"/>
        <v>0.77814157133135597</v>
      </c>
      <c r="BU98" s="214">
        <f t="shared" si="95"/>
        <v>0.80433886426878287</v>
      </c>
      <c r="BV98" s="330">
        <f t="shared" si="95"/>
        <v>2.9593826341589686</v>
      </c>
      <c r="BW98" s="214">
        <f t="shared" si="95"/>
        <v>0.6767494331063435</v>
      </c>
      <c r="BX98" s="214">
        <f t="shared" si="95"/>
        <v>0.74494445552248689</v>
      </c>
      <c r="BY98" s="214">
        <f t="shared" si="95"/>
        <v>0.81449169202770311</v>
      </c>
      <c r="BZ98" s="118">
        <f t="shared" si="95"/>
        <v>0.94258658738068934</v>
      </c>
      <c r="CA98" s="330">
        <f t="shared" si="95"/>
        <v>3.1815204079493866</v>
      </c>
    </row>
    <row r="99" spans="1:79" s="635" customFormat="1" ht="12.4" customHeight="1">
      <c r="A99" s="609"/>
      <c r="B99" s="610"/>
      <c r="C99" s="611" t="s">
        <v>79</v>
      </c>
      <c r="D99" s="610"/>
      <c r="E99" s="610"/>
      <c r="F99" s="613"/>
      <c r="G99" s="613"/>
      <c r="H99" s="611"/>
      <c r="I99" s="612"/>
      <c r="J99" s="610"/>
      <c r="K99" s="613"/>
      <c r="L99" s="613"/>
      <c r="M99" s="611"/>
      <c r="N99" s="611"/>
      <c r="O99" s="613"/>
      <c r="P99" s="613"/>
      <c r="Q99" s="613"/>
      <c r="R99" s="613"/>
      <c r="S99" s="612">
        <f t="shared" ref="S99:AH99" si="96">S98/N98-1</f>
        <v>-0.87385139557888469</v>
      </c>
      <c r="T99" s="616">
        <f>T98/O98-1</f>
        <v>-0.92322453771918556</v>
      </c>
      <c r="U99" s="616">
        <f>U98/P98-1</f>
        <v>-0.49269022689109343</v>
      </c>
      <c r="V99" s="613">
        <f>V98/Q98-1</f>
        <v>-0.49283618775326787</v>
      </c>
      <c r="W99" s="613">
        <f>W98/R98-1</f>
        <v>-0.77524463625800721</v>
      </c>
      <c r="X99" s="612">
        <f t="shared" si="96"/>
        <v>-0.61906431335526624</v>
      </c>
      <c r="Y99" s="616">
        <f t="shared" si="96"/>
        <v>-0.55859322740090245</v>
      </c>
      <c r="Z99" s="616">
        <f t="shared" si="96"/>
        <v>-0.84335868008417503</v>
      </c>
      <c r="AA99" s="613">
        <f t="shared" si="96"/>
        <v>-0.95745680539997968</v>
      </c>
      <c r="AB99" s="622">
        <f t="shared" si="96"/>
        <v>-1.0895062466731824</v>
      </c>
      <c r="AC99" s="612">
        <f t="shared" si="96"/>
        <v>-0.79296532125098196</v>
      </c>
      <c r="AD99" s="622">
        <f t="shared" si="96"/>
        <v>-0.90884453861804171</v>
      </c>
      <c r="AE99" s="622">
        <f t="shared" si="96"/>
        <v>-0.91595809751297663</v>
      </c>
      <c r="AF99" s="622">
        <f t="shared" si="96"/>
        <v>-14.193282735403923</v>
      </c>
      <c r="AG99" s="613">
        <f t="shared" si="96"/>
        <v>23.040486626347576</v>
      </c>
      <c r="AH99" s="612">
        <f t="shared" si="96"/>
        <v>-2.614146424076389</v>
      </c>
      <c r="AI99" s="622">
        <f t="shared" ref="AI99:CA99" si="97">AI98/AD98-1</f>
        <v>-16.741832857806799</v>
      </c>
      <c r="AJ99" s="622">
        <f t="shared" si="97"/>
        <v>-84.081049013992313</v>
      </c>
      <c r="AK99" s="622">
        <f t="shared" si="97"/>
        <v>3.1259983078861415</v>
      </c>
      <c r="AL99" s="616">
        <f t="shared" si="97"/>
        <v>1.7452074509021145</v>
      </c>
      <c r="AM99" s="612">
        <f t="shared" si="97"/>
        <v>4.0333964046685464</v>
      </c>
      <c r="AN99" s="622">
        <f t="shared" si="97"/>
        <v>1.115539191506703</v>
      </c>
      <c r="AO99" s="622">
        <f t="shared" si="97"/>
        <v>0.73960840144694528</v>
      </c>
      <c r="AP99" s="622">
        <f t="shared" si="97"/>
        <v>0.13009320103306399</v>
      </c>
      <c r="AQ99" s="616">
        <f t="shared" si="97"/>
        <v>0.44502026097677505</v>
      </c>
      <c r="AR99" s="612">
        <f t="shared" si="97"/>
        <v>0.12971107000609061</v>
      </c>
      <c r="AS99" s="622">
        <f t="shared" si="97"/>
        <v>6.8184908170216607E-2</v>
      </c>
      <c r="AT99" s="622">
        <f t="shared" si="97"/>
        <v>7.1453948562615555E-2</v>
      </c>
      <c r="AU99" s="622">
        <f t="shared" si="97"/>
        <v>0.40263464070111676</v>
      </c>
      <c r="AV99" s="616">
        <f t="shared" si="97"/>
        <v>0.26907537533809789</v>
      </c>
      <c r="AW99" s="612">
        <f t="shared" si="97"/>
        <v>0.58604655713700504</v>
      </c>
      <c r="AX99" s="622">
        <f t="shared" si="97"/>
        <v>0.33732462188571355</v>
      </c>
      <c r="AY99" s="622">
        <f t="shared" si="97"/>
        <v>7.7967111683556967E-2</v>
      </c>
      <c r="AZ99" s="622">
        <f t="shared" si="97"/>
        <v>-5.6054941155253557E-3</v>
      </c>
      <c r="BA99" s="616">
        <f t="shared" si="97"/>
        <v>0.25964893109105369</v>
      </c>
      <c r="BB99" s="612">
        <f t="shared" si="97"/>
        <v>0.17088713472571371</v>
      </c>
      <c r="BC99" s="622">
        <f t="shared" si="97"/>
        <v>-2.8938763818098345E-2</v>
      </c>
      <c r="BD99" s="622">
        <f t="shared" si="97"/>
        <v>0.51448189792390853</v>
      </c>
      <c r="BE99" s="622">
        <f t="shared" si="97"/>
        <v>0.38333661145517617</v>
      </c>
      <c r="BF99" s="616">
        <f t="shared" si="97"/>
        <v>0.28224461784849919</v>
      </c>
      <c r="BG99" s="612">
        <f t="shared" si="97"/>
        <v>0.29236841010894987</v>
      </c>
      <c r="BH99" s="622">
        <f t="shared" si="97"/>
        <v>0.84090309409660113</v>
      </c>
      <c r="BI99" s="622">
        <f t="shared" si="97"/>
        <v>0.50651015223103535</v>
      </c>
      <c r="BJ99" s="622">
        <f t="shared" si="97"/>
        <v>0.33294409804537595</v>
      </c>
      <c r="BK99" s="616">
        <f t="shared" si="97"/>
        <v>0.12181826495525927</v>
      </c>
      <c r="BL99" s="612">
        <f t="shared" si="97"/>
        <v>0.37028685652841031</v>
      </c>
      <c r="BM99" s="622">
        <f t="shared" si="97"/>
        <v>0.17995425450945723</v>
      </c>
      <c r="BN99" s="622">
        <f t="shared" si="97"/>
        <v>1.1151923365872562E-2</v>
      </c>
      <c r="BO99" s="622">
        <f t="shared" si="97"/>
        <v>0.29328182718373541</v>
      </c>
      <c r="BP99" s="616">
        <f t="shared" si="97"/>
        <v>0.29771430787364439</v>
      </c>
      <c r="BQ99" s="612">
        <f t="shared" si="97"/>
        <v>0.20207504310142954</v>
      </c>
      <c r="BR99" s="622">
        <f t="shared" si="97"/>
        <v>0.28610619865891684</v>
      </c>
      <c r="BS99" s="622">
        <f t="shared" si="97"/>
        <v>0.45474500813254748</v>
      </c>
      <c r="BT99" s="622">
        <f t="shared" si="97"/>
        <v>0.15866160490525538</v>
      </c>
      <c r="BU99" s="622">
        <f t="shared" si="97"/>
        <v>1.4571531519198544E-2</v>
      </c>
      <c r="BV99" s="612">
        <f t="shared" si="97"/>
        <v>0.1983858104101397</v>
      </c>
      <c r="BW99" s="622">
        <f t="shared" si="97"/>
        <v>9.5450619127714242E-2</v>
      </c>
      <c r="BX99" s="622">
        <f t="shared" si="97"/>
        <v>-1.6690704540110013E-2</v>
      </c>
      <c r="BY99" s="622">
        <f t="shared" si="97"/>
        <v>4.6714019704864329E-2</v>
      </c>
      <c r="BZ99" s="616">
        <f t="shared" si="97"/>
        <v>0.17187746266318515</v>
      </c>
      <c r="CA99" s="612">
        <f t="shared" si="97"/>
        <v>7.5062200888242891E-2</v>
      </c>
    </row>
    <row r="100" spans="1:79" s="53" customFormat="1" ht="14.1" customHeight="1">
      <c r="A100" s="86"/>
      <c r="B100" s="112" t="s">
        <v>4</v>
      </c>
      <c r="C100" s="222"/>
      <c r="D100" s="90">
        <f t="shared" ref="D100:M100" si="98">D95/D104</f>
        <v>-2.9880432719681154</v>
      </c>
      <c r="E100" s="303">
        <f t="shared" si="98"/>
        <v>-0.1166847909371439</v>
      </c>
      <c r="F100" s="90">
        <f t="shared" si="98"/>
        <v>-0.15438826486562923</v>
      </c>
      <c r="G100" s="90">
        <f t="shared" si="98"/>
        <v>-0.17980100177164868</v>
      </c>
      <c r="H100" s="222">
        <f t="shared" si="98"/>
        <v>-0.19230758881116561</v>
      </c>
      <c r="I100" s="111">
        <f t="shared" si="98"/>
        <v>-0.6431816463855875</v>
      </c>
      <c r="J100" s="303">
        <f t="shared" si="98"/>
        <v>-1.8825625197963796</v>
      </c>
      <c r="K100" s="90">
        <f t="shared" si="98"/>
        <v>-2.2503447149837132</v>
      </c>
      <c r="L100" s="90">
        <f t="shared" si="98"/>
        <v>-2.0465852050807083</v>
      </c>
      <c r="M100" s="222">
        <f t="shared" si="98"/>
        <v>-1.7219444723718345</v>
      </c>
      <c r="N100" s="222">
        <f>N95/N103</f>
        <v>-7.8224242143392457</v>
      </c>
      <c r="O100" s="90">
        <f>O95/O104</f>
        <v>-0.8</v>
      </c>
      <c r="P100" s="90">
        <f>P95/P104</f>
        <v>-0.18463473922128876</v>
      </c>
      <c r="Q100" s="90">
        <f>Q95/Q104</f>
        <v>-0.23670047609190645</v>
      </c>
      <c r="R100" s="90">
        <f>R95/R104</f>
        <v>-0.19125359671856826</v>
      </c>
      <c r="S100" s="111">
        <f t="shared" ref="S100:AC100" si="99">S95/S103</f>
        <v>-1.0088440050994867</v>
      </c>
      <c r="T100" s="90">
        <f t="shared" si="99"/>
        <v>-0.18010236077114478</v>
      </c>
      <c r="U100" s="90">
        <f t="shared" si="99"/>
        <v>-0.14743897559023608</v>
      </c>
      <c r="V100" s="90">
        <f t="shared" si="99"/>
        <v>-0.12007385495046556</v>
      </c>
      <c r="W100" s="90">
        <f t="shared" si="99"/>
        <v>-6.9301079505161137E-2</v>
      </c>
      <c r="X100" s="111">
        <f t="shared" si="99"/>
        <v>-0.51535308607501518</v>
      </c>
      <c r="Y100" s="90">
        <f t="shared" si="99"/>
        <v>-9.5587519707262009E-2</v>
      </c>
      <c r="Z100" s="90">
        <f t="shared" si="99"/>
        <v>-6.6509406823542949E-2</v>
      </c>
      <c r="AA100" s="90">
        <f t="shared" si="99"/>
        <v>-7.3802838278819158E-2</v>
      </c>
      <c r="AB100" s="140">
        <f t="shared" si="99"/>
        <v>7.6986786131084594E-3</v>
      </c>
      <c r="AC100" s="111">
        <f t="shared" si="99"/>
        <v>-0.22660183230318026</v>
      </c>
      <c r="AD100" s="140">
        <f t="shared" ref="AD100:AM100" si="100">AD95/AD104</f>
        <v>-9.7880345701087765E-2</v>
      </c>
      <c r="AE100" s="140">
        <f t="shared" si="100"/>
        <v>-7.3223324744622925E-2</v>
      </c>
      <c r="AF100" s="140">
        <f t="shared" si="100"/>
        <v>1.5544825961878166E-2</v>
      </c>
      <c r="AG100" s="90">
        <f t="shared" si="100"/>
        <v>-1.0533344462064937E-2</v>
      </c>
      <c r="AH100" s="111">
        <f t="shared" si="100"/>
        <v>-0.15751875902826257</v>
      </c>
      <c r="AI100" s="140">
        <f t="shared" si="100"/>
        <v>-1.0160016068559185E-2</v>
      </c>
      <c r="AJ100" s="140">
        <f t="shared" si="100"/>
        <v>-3.341788724326978E-2</v>
      </c>
      <c r="AK100" s="140">
        <f t="shared" si="100"/>
        <v>-2.1049405616400795E-2</v>
      </c>
      <c r="AL100" s="90">
        <f t="shared" si="100"/>
        <v>1.0214109648628183E-2</v>
      </c>
      <c r="AM100" s="111">
        <f t="shared" si="100"/>
        <v>-5.4222450871111438E-2</v>
      </c>
      <c r="AN100" s="140">
        <f t="shared" ref="AN100:AU100" si="101">AN95/AN104</f>
        <v>-3.0659400197596966E-2</v>
      </c>
      <c r="AO100" s="140">
        <f t="shared" si="101"/>
        <v>-2.9547259729944399E-2</v>
      </c>
      <c r="AP100" s="140">
        <f t="shared" si="101"/>
        <v>-2.5284529777105207E-2</v>
      </c>
      <c r="AQ100" s="90">
        <f t="shared" si="101"/>
        <v>1.3092572001315521E-2</v>
      </c>
      <c r="AR100" s="111">
        <f t="shared" si="101"/>
        <v>-6.8538903930907724E-2</v>
      </c>
      <c r="AS100" s="140">
        <f t="shared" si="101"/>
        <v>-0.11413268672979236</v>
      </c>
      <c r="AT100" s="140">
        <f t="shared" si="101"/>
        <v>-0.23897217549239999</v>
      </c>
      <c r="AU100" s="140">
        <f t="shared" si="101"/>
        <v>-0.17462572563397494</v>
      </c>
      <c r="AV100" s="90">
        <f>AV95/AV103</f>
        <v>-0.10902272692906718</v>
      </c>
      <c r="AW100" s="111">
        <f>AW95/AW103</f>
        <v>-0.65679320289968046</v>
      </c>
      <c r="AX100" s="140">
        <f>AX95/AX104</f>
        <v>-0.17452836864376794</v>
      </c>
      <c r="AY100" s="140">
        <f>AY95/AY103</f>
        <v>-0.24564584200202105</v>
      </c>
      <c r="AZ100" s="140">
        <f>AZ95/AZ103</f>
        <v>-0.30290560471976402</v>
      </c>
      <c r="BA100" s="90">
        <f>BA95/BA104</f>
        <v>-5.0805609639098172E-2</v>
      </c>
      <c r="BB100" s="111">
        <f>BB95/BB103</f>
        <v>-0.78512702762758313</v>
      </c>
      <c r="BC100" s="140">
        <f t="shared" ref="BC100:CA100" si="102">BC95/BC104</f>
        <v>-0.48280058298311895</v>
      </c>
      <c r="BD100" s="140">
        <f t="shared" si="102"/>
        <v>-0.33299101050884178</v>
      </c>
      <c r="BE100" s="140">
        <f t="shared" si="102"/>
        <v>-0.32484147758290055</v>
      </c>
      <c r="BF100" s="90">
        <f t="shared" si="102"/>
        <v>-0.19085228622950362</v>
      </c>
      <c r="BG100" s="111">
        <f t="shared" si="102"/>
        <v>-1.3296714103086411</v>
      </c>
      <c r="BH100" s="140">
        <f t="shared" si="102"/>
        <v>-0.37670399557583301</v>
      </c>
      <c r="BI100" s="140">
        <f t="shared" si="102"/>
        <v>-0.29943526170798895</v>
      </c>
      <c r="BJ100" s="140">
        <f t="shared" si="102"/>
        <v>-0.27932968536251712</v>
      </c>
      <c r="BK100" s="90">
        <f t="shared" si="102"/>
        <v>-0.1674866165209731</v>
      </c>
      <c r="BL100" s="111">
        <f t="shared" si="102"/>
        <v>-1.1207511608382024</v>
      </c>
      <c r="BM100" s="140">
        <f t="shared" si="102"/>
        <v>-9.5115853986344825E-2</v>
      </c>
      <c r="BN100" s="140">
        <f t="shared" si="102"/>
        <v>-0.17168807855640547</v>
      </c>
      <c r="BO100" s="140">
        <f t="shared" si="102"/>
        <v>-5.9611110371720989E-2</v>
      </c>
      <c r="BP100" s="90">
        <f t="shared" si="102"/>
        <v>0.15233095172304897</v>
      </c>
      <c r="BQ100" s="111">
        <f t="shared" si="102"/>
        <v>-0.17049372557772322</v>
      </c>
      <c r="BR100" s="140">
        <f t="shared" si="102"/>
        <v>7.5167364835767138E-3</v>
      </c>
      <c r="BS100" s="140">
        <f t="shared" si="102"/>
        <v>1.5002795148142851E-2</v>
      </c>
      <c r="BT100" s="140">
        <f t="shared" si="102"/>
        <v>0.23076923076923078</v>
      </c>
      <c r="BU100" s="140">
        <f t="shared" si="102"/>
        <v>0.25395496238276821</v>
      </c>
      <c r="BV100" s="111">
        <f t="shared" si="102"/>
        <v>0.51014867903771177</v>
      </c>
      <c r="BW100" s="140">
        <f t="shared" si="102"/>
        <v>0.14170258450668147</v>
      </c>
      <c r="BX100" s="140">
        <f t="shared" si="102"/>
        <v>0.2133001738782053</v>
      </c>
      <c r="BY100" s="140">
        <f t="shared" si="102"/>
        <v>0.22301502249633462</v>
      </c>
      <c r="BZ100" s="90">
        <f t="shared" si="102"/>
        <v>0.3297060488495932</v>
      </c>
      <c r="CA100" s="111">
        <f t="shared" si="102"/>
        <v>0.90954231630955606</v>
      </c>
    </row>
    <row r="101" spans="1:79" s="635" customFormat="1" ht="12.4" customHeight="1" thickBot="1">
      <c r="A101" s="609"/>
      <c r="B101" s="641"/>
      <c r="C101" s="642" t="s">
        <v>79</v>
      </c>
      <c r="D101" s="610"/>
      <c r="E101" s="641"/>
      <c r="F101" s="647"/>
      <c r="G101" s="647"/>
      <c r="H101" s="642"/>
      <c r="I101" s="612"/>
      <c r="J101" s="641"/>
      <c r="K101" s="647"/>
      <c r="L101" s="647"/>
      <c r="M101" s="642"/>
      <c r="N101" s="642"/>
      <c r="O101" s="648"/>
      <c r="P101" s="648"/>
      <c r="Q101" s="648"/>
      <c r="R101" s="648"/>
      <c r="S101" s="643">
        <f t="shared" ref="S101:AH101" si="103">S100/N100-1</f>
        <v>-0.87103179558452226</v>
      </c>
      <c r="T101" s="613">
        <f>T100/O100-1</f>
        <v>-0.77487204903606899</v>
      </c>
      <c r="U101" s="613">
        <f>U100/P100-1</f>
        <v>-0.20145593287551777</v>
      </c>
      <c r="V101" s="613">
        <f>V100/Q100-1</f>
        <v>-0.49271815193205148</v>
      </c>
      <c r="W101" s="613">
        <f>W100/R100-1</f>
        <v>-0.63764822887415584</v>
      </c>
      <c r="X101" s="643">
        <f t="shared" si="103"/>
        <v>-0.48916474353813122</v>
      </c>
      <c r="Y101" s="613">
        <f t="shared" si="103"/>
        <v>-0.46926004024608747</v>
      </c>
      <c r="Z101" s="613">
        <f t="shared" si="103"/>
        <v>-0.5489021369194359</v>
      </c>
      <c r="AA101" s="613">
        <f t="shared" si="103"/>
        <v>-0.38535463603408693</v>
      </c>
      <c r="AB101" s="622">
        <f t="shared" si="103"/>
        <v>-1.1110903129948373</v>
      </c>
      <c r="AC101" s="643">
        <f t="shared" si="103"/>
        <v>-0.56029790365862686</v>
      </c>
      <c r="AD101" s="613">
        <f t="shared" si="103"/>
        <v>2.3986666887555685E-2</v>
      </c>
      <c r="AE101" s="622">
        <f t="shared" si="103"/>
        <v>0.10094689220267394</v>
      </c>
      <c r="AF101" s="613">
        <f t="shared" si="103"/>
        <v>-1.2106263976346208</v>
      </c>
      <c r="AG101" s="613">
        <f t="shared" si="103"/>
        <v>-2.3682016085370705</v>
      </c>
      <c r="AH101" s="643">
        <f t="shared" si="103"/>
        <v>-0.30486546632371669</v>
      </c>
      <c r="AI101" s="613">
        <f t="shared" ref="AI101:CA101" si="104">AI100/AD100-1</f>
        <v>-0.89619963031611694</v>
      </c>
      <c r="AJ101" s="613">
        <f t="shared" si="104"/>
        <v>-0.54361690950500319</v>
      </c>
      <c r="AK101" s="613">
        <f t="shared" si="104"/>
        <v>-2.3541100857624238</v>
      </c>
      <c r="AL101" s="613">
        <f t="shared" si="104"/>
        <v>-1.9696929294787182</v>
      </c>
      <c r="AM101" s="643">
        <f t="shared" si="104"/>
        <v>-0.65577146997848901</v>
      </c>
      <c r="AN101" s="613">
        <f t="shared" si="104"/>
        <v>2.0176527271914879</v>
      </c>
      <c r="AO101" s="613">
        <f t="shared" si="104"/>
        <v>-0.11582502164630137</v>
      </c>
      <c r="AP101" s="613">
        <f t="shared" si="104"/>
        <v>0.20119922803922718</v>
      </c>
      <c r="AQ101" s="613">
        <f t="shared" si="104"/>
        <v>0.28181236071554538</v>
      </c>
      <c r="AR101" s="643">
        <f t="shared" si="104"/>
        <v>0.26403183238299155</v>
      </c>
      <c r="AS101" s="613">
        <f t="shared" si="104"/>
        <v>2.7226001159258781</v>
      </c>
      <c r="AT101" s="613">
        <f t="shared" si="104"/>
        <v>7.0877948641110642</v>
      </c>
      <c r="AU101" s="613">
        <f t="shared" si="104"/>
        <v>5.9064256750424571</v>
      </c>
      <c r="AV101" s="613">
        <f t="shared" si="104"/>
        <v>-9.327067204069051</v>
      </c>
      <c r="AW101" s="643">
        <f t="shared" si="104"/>
        <v>8.5827794906346409</v>
      </c>
      <c r="AX101" s="613">
        <f t="shared" si="104"/>
        <v>0.52917077170856031</v>
      </c>
      <c r="AY101" s="613">
        <f t="shared" si="104"/>
        <v>2.7926542058170689E-2</v>
      </c>
      <c r="AZ101" s="613">
        <f t="shared" si="104"/>
        <v>0.73459897515140882</v>
      </c>
      <c r="BA101" s="613">
        <f t="shared" si="104"/>
        <v>-0.53399065433252713</v>
      </c>
      <c r="BB101" s="643">
        <f t="shared" si="104"/>
        <v>0.19539456888609807</v>
      </c>
      <c r="BC101" s="613">
        <f t="shared" si="104"/>
        <v>1.7663157957350148</v>
      </c>
      <c r="BD101" s="613">
        <f t="shared" si="104"/>
        <v>0.35557356800731887</v>
      </c>
      <c r="BE101" s="613">
        <f t="shared" si="104"/>
        <v>7.2418180850204905E-2</v>
      </c>
      <c r="BF101" s="613">
        <f t="shared" si="104"/>
        <v>2.756519950951057</v>
      </c>
      <c r="BG101" s="643">
        <f t="shared" si="104"/>
        <v>0.69357487835631737</v>
      </c>
      <c r="BH101" s="613">
        <f t="shared" si="104"/>
        <v>-0.21975240119168538</v>
      </c>
      <c r="BI101" s="613">
        <f t="shared" si="104"/>
        <v>-0.10077073477021636</v>
      </c>
      <c r="BJ101" s="613">
        <f t="shared" si="104"/>
        <v>-0.14010462136495083</v>
      </c>
      <c r="BK101" s="613">
        <f t="shared" si="104"/>
        <v>-0.12242803149045245</v>
      </c>
      <c r="BL101" s="643">
        <f t="shared" si="104"/>
        <v>-0.15712171281620968</v>
      </c>
      <c r="BM101" s="613">
        <f t="shared" si="104"/>
        <v>-0.7475050567463456</v>
      </c>
      <c r="BN101" s="613">
        <f t="shared" si="104"/>
        <v>-0.42662705261534395</v>
      </c>
      <c r="BO101" s="613">
        <f t="shared" si="104"/>
        <v>-0.78659228325712305</v>
      </c>
      <c r="BP101" s="613">
        <f t="shared" si="104"/>
        <v>-1.9095111889371394</v>
      </c>
      <c r="BQ101" s="643">
        <f t="shared" si="104"/>
        <v>-0.84787548607113461</v>
      </c>
      <c r="BR101" s="613">
        <f t="shared" si="104"/>
        <v>-1.0790271670657117</v>
      </c>
      <c r="BS101" s="613">
        <f t="shared" si="104"/>
        <v>-1.0873840238314154</v>
      </c>
      <c r="BT101" s="613">
        <f t="shared" si="104"/>
        <v>-4.871245298572827</v>
      </c>
      <c r="BU101" s="613">
        <f t="shared" si="104"/>
        <v>0.66712647370890577</v>
      </c>
      <c r="BV101" s="643">
        <f t="shared" si="104"/>
        <v>-3.9921844766372332</v>
      </c>
      <c r="BW101" s="613">
        <f t="shared" si="104"/>
        <v>17.851609979448774</v>
      </c>
      <c r="BX101" s="613">
        <f t="shared" si="104"/>
        <v>13.217362282961588</v>
      </c>
      <c r="BY101" s="613">
        <f t="shared" si="104"/>
        <v>-3.3601569182550084E-2</v>
      </c>
      <c r="BZ101" s="613">
        <f t="shared" si="104"/>
        <v>0.29828551391979019</v>
      </c>
      <c r="CA101" s="643">
        <f t="shared" si="104"/>
        <v>0.78289654307292622</v>
      </c>
    </row>
    <row r="102" spans="1:79" s="53" customFormat="1" ht="7.7" customHeight="1">
      <c r="A102" s="105"/>
      <c r="B102" s="243"/>
      <c r="C102" s="242"/>
      <c r="D102" s="243"/>
      <c r="E102" s="243"/>
      <c r="F102" s="244"/>
      <c r="G102" s="244"/>
      <c r="H102" s="242"/>
      <c r="I102" s="248"/>
      <c r="J102" s="243"/>
      <c r="K102" s="244"/>
      <c r="L102" s="244"/>
      <c r="M102" s="265"/>
      <c r="N102" s="246"/>
      <c r="O102" s="240"/>
      <c r="P102" s="238"/>
      <c r="Q102" s="238"/>
      <c r="R102" s="239"/>
      <c r="S102" s="239"/>
      <c r="T102" s="103"/>
      <c r="U102" s="103"/>
      <c r="V102" s="103"/>
      <c r="W102" s="103"/>
      <c r="X102" s="109"/>
      <c r="Y102" s="110"/>
      <c r="Z102" s="110"/>
      <c r="AA102" s="101"/>
      <c r="AB102" s="381"/>
      <c r="AC102" s="109"/>
      <c r="AD102" s="215"/>
      <c r="AE102" s="215"/>
      <c r="AF102" s="215"/>
      <c r="AG102" s="103"/>
      <c r="AH102" s="109"/>
      <c r="AI102" s="215"/>
      <c r="AJ102" s="215"/>
      <c r="AK102" s="215"/>
      <c r="AL102" s="103"/>
      <c r="AM102" s="109"/>
      <c r="AN102" s="215"/>
      <c r="AO102" s="215"/>
      <c r="AP102" s="215"/>
      <c r="AQ102" s="103"/>
      <c r="AR102" s="109"/>
      <c r="AS102" s="215"/>
      <c r="AT102" s="215"/>
      <c r="AU102" s="215"/>
      <c r="AV102" s="103"/>
      <c r="AW102" s="109"/>
      <c r="AX102" s="215"/>
      <c r="AY102" s="215"/>
      <c r="AZ102" s="215"/>
      <c r="BA102" s="103"/>
      <c r="BB102" s="109"/>
      <c r="BC102" s="215"/>
      <c r="BD102" s="215"/>
      <c r="BE102" s="215"/>
      <c r="BF102" s="103"/>
      <c r="BG102" s="109"/>
      <c r="BH102" s="215"/>
      <c r="BI102" s="215"/>
      <c r="BJ102" s="215"/>
      <c r="BK102" s="103"/>
      <c r="BL102" s="109"/>
      <c r="BM102" s="215"/>
      <c r="BN102" s="215"/>
      <c r="BO102" s="215"/>
      <c r="BP102" s="103"/>
      <c r="BQ102" s="109"/>
      <c r="BR102" s="215"/>
      <c r="BS102" s="215"/>
      <c r="BT102" s="215"/>
      <c r="BU102" s="215"/>
      <c r="BV102" s="109"/>
      <c r="BW102" s="215"/>
      <c r="BX102" s="215"/>
      <c r="BY102" s="215"/>
      <c r="BZ102" s="103"/>
      <c r="CA102" s="109"/>
    </row>
    <row r="103" spans="1:79" s="53" customFormat="1" ht="14.1" customHeight="1">
      <c r="A103" s="99"/>
      <c r="B103" s="98"/>
      <c r="C103" s="567" t="s">
        <v>78</v>
      </c>
      <c r="D103" s="311">
        <v>2634.5</v>
      </c>
      <c r="E103" s="311">
        <v>3321</v>
      </c>
      <c r="F103" s="285">
        <v>3321</v>
      </c>
      <c r="G103" s="285">
        <v>3321</v>
      </c>
      <c r="H103" s="314">
        <v>3321</v>
      </c>
      <c r="I103" s="310">
        <v>3321</v>
      </c>
      <c r="J103" s="311">
        <v>3536</v>
      </c>
      <c r="K103" s="285">
        <v>3684</v>
      </c>
      <c r="L103" s="285">
        <v>3779</v>
      </c>
      <c r="M103" s="314">
        <v>5013</v>
      </c>
      <c r="N103" s="313">
        <f>AVERAGE(J103:M103)</f>
        <v>4003</v>
      </c>
      <c r="O103" s="98">
        <v>5608</v>
      </c>
      <c r="P103" s="96">
        <v>46898</v>
      </c>
      <c r="Q103" s="96">
        <v>48310</v>
      </c>
      <c r="R103" s="100">
        <v>49003</v>
      </c>
      <c r="S103" s="100">
        <f>AVERAGE(O103:R103)</f>
        <v>37454.75</v>
      </c>
      <c r="T103" s="107">
        <v>49433</v>
      </c>
      <c r="U103" s="107">
        <v>49980</v>
      </c>
      <c r="V103" s="107">
        <v>50369</v>
      </c>
      <c r="W103" s="107">
        <v>50764</v>
      </c>
      <c r="X103" s="95">
        <f>AVERAGE(T103:W103)</f>
        <v>50136.5</v>
      </c>
      <c r="Y103" s="96">
        <v>51377</v>
      </c>
      <c r="Z103" s="96">
        <v>52143</v>
      </c>
      <c r="AA103" s="96">
        <v>52708</v>
      </c>
      <c r="AB103" s="202">
        <v>53126</v>
      </c>
      <c r="AC103" s="95">
        <f>AVERAGE(Y103:AB103)</f>
        <v>52338.5</v>
      </c>
      <c r="AD103" s="241">
        <v>53688</v>
      </c>
      <c r="AE103" s="241">
        <v>54723</v>
      </c>
      <c r="AF103" s="241">
        <v>55310</v>
      </c>
      <c r="AG103" s="241">
        <v>56034</v>
      </c>
      <c r="AH103" s="95">
        <f>AVERAGE(AD103:AG103)</f>
        <v>54938.75</v>
      </c>
      <c r="AI103" s="241">
        <v>56399</v>
      </c>
      <c r="AJ103" s="241">
        <v>57903</v>
      </c>
      <c r="AK103" s="241">
        <v>58454</v>
      </c>
      <c r="AL103" s="241">
        <v>58926</v>
      </c>
      <c r="AM103" s="95">
        <f>AVERAGE(AI103:AL103)</f>
        <v>57920.5</v>
      </c>
      <c r="AN103" s="241">
        <v>59367</v>
      </c>
      <c r="AO103" s="241">
        <v>60058</v>
      </c>
      <c r="AP103" s="241">
        <v>60781</v>
      </c>
      <c r="AQ103" s="241">
        <v>61253</v>
      </c>
      <c r="AR103" s="95">
        <f>AVERAGE(AN103:AQ103)</f>
        <v>60364.75</v>
      </c>
      <c r="AS103" s="241">
        <v>61705</v>
      </c>
      <c r="AT103" s="241">
        <v>63282</v>
      </c>
      <c r="AU103" s="241">
        <v>65460</v>
      </c>
      <c r="AV103" s="241">
        <v>66133</v>
      </c>
      <c r="AW103" s="95">
        <f>AVERAGE(AS103:AV103)</f>
        <v>64145</v>
      </c>
      <c r="AX103" s="241">
        <v>66721</v>
      </c>
      <c r="AY103" s="241">
        <v>67292</v>
      </c>
      <c r="AZ103" s="241">
        <v>67800</v>
      </c>
      <c r="BA103" s="241">
        <v>68207</v>
      </c>
      <c r="BB103" s="95">
        <f>AVERAGE(AX103:BA103)</f>
        <v>67505</v>
      </c>
      <c r="BC103" s="241">
        <v>68974</v>
      </c>
      <c r="BD103" s="241">
        <v>69748</v>
      </c>
      <c r="BE103" s="241">
        <v>70232</v>
      </c>
      <c r="BF103" s="241">
        <v>70704</v>
      </c>
      <c r="BG103" s="95">
        <f>AVERAGE(BC103:BF103)</f>
        <v>69914.5</v>
      </c>
      <c r="BH103" s="241">
        <v>71259</v>
      </c>
      <c r="BI103" s="241">
        <v>71627</v>
      </c>
      <c r="BJ103" s="241">
        <v>72356</v>
      </c>
      <c r="BK103" s="241">
        <v>72926</v>
      </c>
      <c r="BL103" s="95">
        <f>AVERAGE(BH103:BK103)</f>
        <v>72042</v>
      </c>
      <c r="BM103" s="241">
        <v>73488</v>
      </c>
      <c r="BN103" s="241">
        <v>74203</v>
      </c>
      <c r="BO103" s="241">
        <v>74876</v>
      </c>
      <c r="BP103" s="241">
        <v>75430</v>
      </c>
      <c r="BQ103" s="95">
        <f>AVERAGE(BM103:BP103)</f>
        <v>74499.25</v>
      </c>
      <c r="BR103" s="241">
        <v>75949</v>
      </c>
      <c r="BS103" s="241">
        <v>76654</v>
      </c>
      <c r="BT103" s="241">
        <v>77528</v>
      </c>
      <c r="BU103" s="241">
        <v>77509</v>
      </c>
      <c r="BV103" s="95">
        <f>AVERAGE(BR103:BU103)</f>
        <v>76910</v>
      </c>
      <c r="BW103" s="241">
        <f>+BU103+500</f>
        <v>78009</v>
      </c>
      <c r="BX103" s="241">
        <f t="shared" ref="BX103:BZ104" si="105">BW103+500</f>
        <v>78509</v>
      </c>
      <c r="BY103" s="241">
        <f t="shared" si="105"/>
        <v>79009</v>
      </c>
      <c r="BZ103" s="241">
        <f t="shared" si="105"/>
        <v>79509</v>
      </c>
      <c r="CA103" s="95">
        <f>AVERAGE(BW103:BZ103)</f>
        <v>78759</v>
      </c>
    </row>
    <row r="104" spans="1:79" s="53" customFormat="1" ht="14.1" customHeight="1" thickBot="1">
      <c r="A104" s="105"/>
      <c r="B104" s="108"/>
      <c r="C104" s="168" t="s">
        <v>77</v>
      </c>
      <c r="D104" s="312">
        <v>2634.5</v>
      </c>
      <c r="E104" s="312">
        <v>30056.75</v>
      </c>
      <c r="F104" s="315">
        <v>30056.75</v>
      </c>
      <c r="G104" s="315">
        <v>30056.75</v>
      </c>
      <c r="H104" s="316">
        <v>30056.75</v>
      </c>
      <c r="I104" s="331">
        <v>30056.75</v>
      </c>
      <c r="J104" s="311">
        <v>3536</v>
      </c>
      <c r="K104" s="285">
        <v>3684</v>
      </c>
      <c r="L104" s="285">
        <v>3779</v>
      </c>
      <c r="M104" s="314">
        <v>5013</v>
      </c>
      <c r="N104" s="313">
        <f>AVERAGE(J104:M104)</f>
        <v>4003</v>
      </c>
      <c r="O104" s="98">
        <v>10400</v>
      </c>
      <c r="P104" s="96">
        <v>46898</v>
      </c>
      <c r="Q104" s="96">
        <v>48310</v>
      </c>
      <c r="R104" s="100">
        <v>49003</v>
      </c>
      <c r="S104" s="100">
        <f>AVERAGE(O104:R104)</f>
        <v>38652.75</v>
      </c>
      <c r="T104" s="107">
        <v>49433</v>
      </c>
      <c r="U104" s="107">
        <v>49980</v>
      </c>
      <c r="V104" s="107">
        <v>50369</v>
      </c>
      <c r="W104" s="107">
        <v>50764</v>
      </c>
      <c r="X104" s="95">
        <f>AVERAGE(T104:W104)</f>
        <v>50136.5</v>
      </c>
      <c r="Y104" s="96">
        <v>51377</v>
      </c>
      <c r="Z104" s="96">
        <v>52143</v>
      </c>
      <c r="AA104" s="96">
        <v>52708</v>
      </c>
      <c r="AB104" s="202">
        <v>56633</v>
      </c>
      <c r="AC104" s="95">
        <f>AVERAGE(Y104:AB104)</f>
        <v>53215.25</v>
      </c>
      <c r="AD104" s="241">
        <v>53688</v>
      </c>
      <c r="AE104" s="241">
        <v>54723</v>
      </c>
      <c r="AF104" s="241">
        <v>59441</v>
      </c>
      <c r="AG104" s="241">
        <v>59905</v>
      </c>
      <c r="AH104" s="95">
        <f>AVERAGE(AD104:AG104)</f>
        <v>56939.25</v>
      </c>
      <c r="AI104" s="241">
        <v>59744</v>
      </c>
      <c r="AJ104" s="241">
        <v>61105</v>
      </c>
      <c r="AK104" s="241">
        <v>61997</v>
      </c>
      <c r="AL104" s="241">
        <v>62071</v>
      </c>
      <c r="AM104" s="95">
        <f>AVERAGE(AI104:AL104)</f>
        <v>61229.25</v>
      </c>
      <c r="AN104" s="241">
        <v>62754</v>
      </c>
      <c r="AO104" s="241">
        <v>62950</v>
      </c>
      <c r="AP104" s="241">
        <v>63438</v>
      </c>
      <c r="AQ104" s="241">
        <v>63853</v>
      </c>
      <c r="AR104" s="95">
        <f>AVERAGE(AN104:AQ104)</f>
        <v>63248.75</v>
      </c>
      <c r="AS104" s="241">
        <v>65161</v>
      </c>
      <c r="AT104" s="241">
        <v>67171</v>
      </c>
      <c r="AU104" s="241">
        <v>65460</v>
      </c>
      <c r="AV104" s="241">
        <v>70320</v>
      </c>
      <c r="AW104" s="95">
        <v>68040</v>
      </c>
      <c r="AX104" s="241">
        <v>70659</v>
      </c>
      <c r="AY104" s="241">
        <v>70774</v>
      </c>
      <c r="AZ104" s="241">
        <v>71102</v>
      </c>
      <c r="BA104" s="241">
        <v>70878</v>
      </c>
      <c r="BB104" s="95">
        <f>AVERAGE(AX104:BA104)</f>
        <v>70853.25</v>
      </c>
      <c r="BC104" s="241">
        <v>70671</v>
      </c>
      <c r="BD104" s="241">
        <v>71083</v>
      </c>
      <c r="BE104" s="241">
        <v>71441</v>
      </c>
      <c r="BF104" s="241">
        <v>71537</v>
      </c>
      <c r="BG104" s="95">
        <f>AVERAGE(BC104:BF104)</f>
        <v>71183</v>
      </c>
      <c r="BH104" s="241">
        <v>72330</v>
      </c>
      <c r="BI104" s="241">
        <v>72600</v>
      </c>
      <c r="BJ104" s="241">
        <f>BI104+500</f>
        <v>73100</v>
      </c>
      <c r="BK104" s="241">
        <v>73785</v>
      </c>
      <c r="BL104" s="95">
        <f>AVERAGE(BH104:BK104)</f>
        <v>72953.75</v>
      </c>
      <c r="BM104" s="241">
        <v>74404</v>
      </c>
      <c r="BN104" s="241">
        <v>74647</v>
      </c>
      <c r="BO104" s="241">
        <v>75137</v>
      </c>
      <c r="BP104" s="241">
        <v>75999</v>
      </c>
      <c r="BQ104" s="95">
        <f>AVERAGE(BM104:BP104)</f>
        <v>75046.75</v>
      </c>
      <c r="BR104" s="241">
        <v>76629</v>
      </c>
      <c r="BS104" s="241">
        <v>76919</v>
      </c>
      <c r="BT104" s="241">
        <v>77883</v>
      </c>
      <c r="BU104" s="241">
        <v>77624</v>
      </c>
      <c r="BV104" s="95">
        <f>AVERAGE(BR104:BU104)</f>
        <v>77263.75</v>
      </c>
      <c r="BW104" s="241">
        <f>+BU104+500</f>
        <v>78124</v>
      </c>
      <c r="BX104" s="241">
        <f t="shared" si="105"/>
        <v>78624</v>
      </c>
      <c r="BY104" s="241">
        <f t="shared" si="105"/>
        <v>79124</v>
      </c>
      <c r="BZ104" s="241">
        <f t="shared" si="105"/>
        <v>79624</v>
      </c>
      <c r="CA104" s="95">
        <f>AVERAGE(BW104:BZ104)</f>
        <v>78874</v>
      </c>
    </row>
    <row r="105" spans="1:79" s="53" customFormat="1" ht="14.1" customHeight="1">
      <c r="A105" s="105"/>
      <c r="B105" s="243"/>
      <c r="C105" s="242"/>
      <c r="D105" s="158"/>
      <c r="E105" s="105"/>
      <c r="F105" s="105"/>
      <c r="G105" s="105"/>
      <c r="H105" s="105"/>
      <c r="I105" s="248"/>
      <c r="J105" s="243"/>
      <c r="K105" s="244"/>
      <c r="L105" s="244"/>
      <c r="M105" s="246"/>
      <c r="N105" s="305"/>
      <c r="O105" s="246"/>
      <c r="P105" s="246"/>
      <c r="Q105" s="246"/>
      <c r="R105" s="246"/>
      <c r="S105" s="305"/>
      <c r="T105" s="325"/>
      <c r="U105" s="325"/>
      <c r="V105" s="325"/>
      <c r="W105" s="325"/>
      <c r="X105" s="291"/>
      <c r="Y105" s="325"/>
      <c r="Z105" s="244"/>
      <c r="AA105" s="244"/>
      <c r="AB105" s="382"/>
      <c r="AC105" s="248"/>
      <c r="AD105" s="244"/>
      <c r="AE105" s="382"/>
      <c r="AF105" s="244"/>
      <c r="AG105" s="244"/>
      <c r="AH105" s="248"/>
      <c r="AI105" s="244"/>
      <c r="AJ105" s="244"/>
      <c r="AK105" s="244"/>
      <c r="AL105" s="244"/>
      <c r="AM105" s="248"/>
      <c r="AN105" s="244"/>
      <c r="AO105" s="244"/>
      <c r="AP105" s="244"/>
      <c r="AQ105" s="244"/>
      <c r="AR105" s="248"/>
      <c r="AS105" s="244"/>
      <c r="AT105" s="244"/>
      <c r="AU105" s="244"/>
      <c r="AV105" s="244"/>
      <c r="AW105" s="248"/>
      <c r="AX105" s="244"/>
      <c r="AY105" s="244"/>
      <c r="AZ105" s="244"/>
      <c r="BA105" s="244"/>
      <c r="BB105" s="248"/>
      <c r="BC105" s="244"/>
      <c r="BD105" s="244"/>
      <c r="BE105" s="244"/>
      <c r="BF105" s="244"/>
      <c r="BG105" s="248"/>
      <c r="BH105" s="244"/>
      <c r="BI105" s="244"/>
      <c r="BJ105" s="244"/>
      <c r="BK105" s="244"/>
      <c r="BL105" s="248"/>
      <c r="BM105" s="244"/>
      <c r="BN105" s="244"/>
      <c r="BO105" s="244"/>
      <c r="BP105" s="244"/>
      <c r="BQ105" s="248"/>
      <c r="BR105" s="244"/>
      <c r="BS105" s="244"/>
      <c r="BT105" s="244"/>
      <c r="BU105" s="244"/>
      <c r="BV105" s="248"/>
      <c r="BW105" s="244"/>
      <c r="BX105" s="244"/>
      <c r="BY105" s="244"/>
      <c r="BZ105" s="244"/>
      <c r="CA105" s="248"/>
    </row>
    <row r="106" spans="1:79" s="53" customFormat="1" ht="14.1" customHeight="1" thickBot="1">
      <c r="A106" s="99"/>
      <c r="B106" s="93"/>
      <c r="C106" s="168" t="s">
        <v>76</v>
      </c>
      <c r="D106" s="95"/>
      <c r="E106" s="96"/>
      <c r="F106" s="96"/>
      <c r="G106" s="96"/>
      <c r="H106" s="96"/>
      <c r="I106" s="95"/>
      <c r="J106" s="98">
        <f>'Balance Sheet '!J56</f>
        <v>4150</v>
      </c>
      <c r="K106" s="96">
        <f>'Balance Sheet '!K56</f>
        <v>4482</v>
      </c>
      <c r="L106" s="96">
        <f>'Balance Sheet '!L56</f>
        <v>4594</v>
      </c>
      <c r="M106" s="96">
        <f>'Balance Sheet '!M56</f>
        <v>4375</v>
      </c>
      <c r="N106" s="95"/>
      <c r="O106" s="96">
        <f>'Balance Sheet '!O56</f>
        <v>4957</v>
      </c>
      <c r="P106" s="96">
        <f>'Balance Sheet '!P56</f>
        <v>5009</v>
      </c>
      <c r="Q106" s="96">
        <f>'Balance Sheet '!Q56</f>
        <v>4991</v>
      </c>
      <c r="R106" s="96">
        <f>'Balance Sheet '!R56</f>
        <v>5346</v>
      </c>
      <c r="S106" s="95"/>
      <c r="T106" s="96">
        <f>'Balance Sheet '!T56</f>
        <v>5641</v>
      </c>
      <c r="U106" s="96">
        <f>'Balance Sheet '!U56</f>
        <v>5525</v>
      </c>
      <c r="V106" s="96">
        <f>'Balance Sheet '!V56</f>
        <v>5562</v>
      </c>
      <c r="W106" s="96">
        <f>'Balance Sheet '!W56</f>
        <v>6413</v>
      </c>
      <c r="X106" s="95"/>
      <c r="Y106" s="96">
        <f>'Balance Sheet '!Y56</f>
        <v>7832</v>
      </c>
      <c r="Z106" s="96">
        <f>'Balance Sheet '!Z56</f>
        <v>7898</v>
      </c>
      <c r="AA106" s="96">
        <f>'Balance Sheet '!AA56</f>
        <v>8838</v>
      </c>
      <c r="AB106" s="96">
        <f>'Balance Sheet '!AB56</f>
        <v>10047</v>
      </c>
      <c r="AC106" s="95"/>
      <c r="AD106" s="96">
        <f>'Balance Sheet '!AD56</f>
        <v>10920</v>
      </c>
      <c r="AE106" s="202">
        <f>'Balance Sheet '!AE56</f>
        <v>11903</v>
      </c>
      <c r="AF106" s="96">
        <f>'Balance Sheet '!AF56</f>
        <v>13699</v>
      </c>
      <c r="AG106" s="96">
        <f>'Balance Sheet '!AG56</f>
        <v>13975</v>
      </c>
      <c r="AH106" s="95"/>
      <c r="AI106" s="96">
        <f>'Balance Sheet '!AI56</f>
        <v>13700</v>
      </c>
      <c r="AJ106" s="96">
        <f>'Balance Sheet '!AJ56</f>
        <v>14750</v>
      </c>
      <c r="AK106" s="96">
        <f>'Balance Sheet '!AK56</f>
        <v>17490</v>
      </c>
      <c r="AL106" s="96">
        <f>'Balance Sheet '!AL56</f>
        <v>17391</v>
      </c>
      <c r="AM106" s="95"/>
      <c r="AN106" s="96">
        <f>'Balance Sheet '!AN56</f>
        <v>17853</v>
      </c>
      <c r="AO106" s="96">
        <f>'Balance Sheet '!AO56</f>
        <v>19991</v>
      </c>
      <c r="AP106" s="96">
        <f>'Balance Sheet '!AP56</f>
        <v>21858</v>
      </c>
      <c r="AQ106" s="96">
        <f>'Balance Sheet '!AQ56</f>
        <v>24681</v>
      </c>
      <c r="AR106" s="95"/>
      <c r="AS106" s="96">
        <f>'Balance Sheet '!AS56</f>
        <v>25632</v>
      </c>
      <c r="AT106" s="96">
        <f>'Balance Sheet '!AT56</f>
        <v>26306</v>
      </c>
      <c r="AU106" s="96">
        <f>'Balance Sheet '!AU56</f>
        <v>28527</v>
      </c>
      <c r="AV106" s="96">
        <f>'Balance Sheet '!AV56</f>
        <v>31983</v>
      </c>
      <c r="AW106" s="95"/>
      <c r="AX106" s="96">
        <f>'Balance Sheet '!AX56</f>
        <v>32835</v>
      </c>
      <c r="AY106" s="96">
        <f>'Balance Sheet '!AY56</f>
        <v>33237</v>
      </c>
      <c r="AZ106" s="96">
        <f>'Balance Sheet '!AZ56</f>
        <v>36887</v>
      </c>
      <c r="BA106" s="96">
        <f>'Balance Sheet '!BA56</f>
        <v>43720</v>
      </c>
      <c r="BB106" s="95"/>
      <c r="BC106" s="96">
        <f>'Balance Sheet '!BC56</f>
        <v>46564</v>
      </c>
      <c r="BD106" s="96">
        <f>'Balance Sheet '!BD56</f>
        <v>51553</v>
      </c>
      <c r="BE106" s="96">
        <f>'Balance Sheet '!BE56</f>
        <v>53834</v>
      </c>
      <c r="BF106" s="96">
        <f>'Balance Sheet '!BF56</f>
        <v>57816</v>
      </c>
      <c r="BG106" s="95"/>
      <c r="BH106" s="96">
        <f>'Balance Sheet '!BH56</f>
        <v>58082</v>
      </c>
      <c r="BI106" s="96">
        <f>'Balance Sheet '!BI56</f>
        <v>57539</v>
      </c>
      <c r="BJ106" s="96">
        <f>'Balance Sheet '!BJ56</f>
        <v>64565</v>
      </c>
      <c r="BK106" s="96">
        <f>'Balance Sheet '!BK56</f>
        <v>68187</v>
      </c>
      <c r="BL106" s="95"/>
      <c r="BM106" s="96">
        <f>'Balance Sheet '!BM56</f>
        <v>67019</v>
      </c>
      <c r="BN106" s="96">
        <f>'Balance Sheet '!BN56</f>
        <v>65286</v>
      </c>
      <c r="BO106" s="96">
        <f>'Balance Sheet '!BO56</f>
        <v>80000</v>
      </c>
      <c r="BP106" s="96">
        <f>'Balance Sheet '!BP56</f>
        <v>79173</v>
      </c>
      <c r="BQ106" s="95"/>
      <c r="BR106" s="96">
        <f>'Balance Sheet '!BR56</f>
        <v>74809</v>
      </c>
      <c r="BS106" s="96">
        <f>'Balance Sheet '!BS56</f>
        <v>68009</v>
      </c>
      <c r="BT106" s="96">
        <f>'Balance Sheet '!BT56</f>
        <v>74737</v>
      </c>
      <c r="BU106" s="96">
        <f>'Balance Sheet '!BU56</f>
        <v>77515</v>
      </c>
      <c r="BV106" s="95"/>
      <c r="BW106" s="96"/>
      <c r="BX106" s="96"/>
      <c r="BY106" s="96"/>
      <c r="BZ106" s="96"/>
      <c r="CA106" s="95"/>
    </row>
    <row r="107" spans="1:79" s="53" customFormat="1" ht="14.1" customHeight="1" thickBot="1">
      <c r="A107" s="99"/>
      <c r="B107" s="267"/>
      <c r="C107" s="168" t="s">
        <v>75</v>
      </c>
      <c r="D107" s="273"/>
      <c r="E107" s="266"/>
      <c r="F107" s="266"/>
      <c r="G107" s="266"/>
      <c r="H107" s="266"/>
      <c r="I107" s="273"/>
      <c r="J107" s="267">
        <f>'Cash Flows'!J42</f>
        <v>-3842.7410699999982</v>
      </c>
      <c r="K107" s="266">
        <f>'Cash Flows'!K42</f>
        <v>-5981.2699300000004</v>
      </c>
      <c r="L107" s="266">
        <f>'Cash Flows'!L42</f>
        <v>-5602.0454899999968</v>
      </c>
      <c r="M107" s="266">
        <f>'Cash Flows'!M42</f>
        <v>-5532.1076400000056</v>
      </c>
      <c r="N107" s="273">
        <f>'Cash Flows'!N42</f>
        <v>-20958.164130000001</v>
      </c>
      <c r="O107" s="266">
        <f>'Cash Flows'!O42</f>
        <v>-6180</v>
      </c>
      <c r="P107" s="266">
        <f>'Cash Flows'!P42</f>
        <v>-8218</v>
      </c>
      <c r="Q107" s="266">
        <f>'Cash Flows'!Q42</f>
        <v>-6361</v>
      </c>
      <c r="R107" s="266">
        <f>'Cash Flows'!R42</f>
        <v>-3520</v>
      </c>
      <c r="S107" s="273">
        <f>'Cash Flows'!S42</f>
        <v>-24279</v>
      </c>
      <c r="T107" s="266">
        <f>'Cash Flows'!T42</f>
        <v>-5753</v>
      </c>
      <c r="U107" s="266">
        <f>'Cash Flows'!U42</f>
        <v>-3957</v>
      </c>
      <c r="V107" s="266">
        <f>'Cash Flows'!V42</f>
        <v>-3163</v>
      </c>
      <c r="W107" s="266">
        <f>'Cash Flows'!W42</f>
        <v>-66</v>
      </c>
      <c r="X107" s="273">
        <f>'Cash Flows'!X42</f>
        <v>-12939</v>
      </c>
      <c r="Y107" s="266">
        <f>'Cash Flows'!Y42</f>
        <v>52</v>
      </c>
      <c r="Z107" s="266">
        <f>'Cash Flows'!Z42</f>
        <v>2205</v>
      </c>
      <c r="AA107" s="266">
        <f>'Cash Flows'!AA42</f>
        <v>1747</v>
      </c>
      <c r="AB107" s="266">
        <f>'Cash Flows'!AB42</f>
        <v>2834</v>
      </c>
      <c r="AC107" s="273">
        <f>'Cash Flows'!AC42</f>
        <v>6838</v>
      </c>
      <c r="AD107" s="266">
        <f>'Cash Flows'!AD42</f>
        <v>159</v>
      </c>
      <c r="AE107" s="266">
        <f>'Cash Flows'!AE42</f>
        <v>84</v>
      </c>
      <c r="AF107" s="266">
        <f>'Cash Flows'!AF42</f>
        <v>7983</v>
      </c>
      <c r="AG107" s="266">
        <f>'Cash Flows'!AG42</f>
        <v>2880</v>
      </c>
      <c r="AH107" s="273">
        <f>'Cash Flows'!AH42</f>
        <v>11106</v>
      </c>
      <c r="AI107" s="266">
        <f>'Cash Flows'!AI42</f>
        <v>7997</v>
      </c>
      <c r="AJ107" s="266">
        <f>'Cash Flows'!AJ42</f>
        <v>5711</v>
      </c>
      <c r="AK107" s="266">
        <f>'Cash Flows'!AK42</f>
        <v>9444</v>
      </c>
      <c r="AL107" s="266">
        <f>'Cash Flows'!AL42</f>
        <v>15470</v>
      </c>
      <c r="AM107" s="273">
        <f>'Cash Flows'!AM42</f>
        <v>38622</v>
      </c>
      <c r="AN107" s="266">
        <f>'Cash Flows'!AN42</f>
        <v>11190</v>
      </c>
      <c r="AO107" s="266">
        <f>'Cash Flows'!AO42</f>
        <v>6788</v>
      </c>
      <c r="AP107" s="266">
        <f>'Cash Flows'!AP42</f>
        <v>17677</v>
      </c>
      <c r="AQ107" s="266">
        <f>'Cash Flows'!AQ42</f>
        <v>15566</v>
      </c>
      <c r="AR107" s="273">
        <f>'Cash Flows'!AR42</f>
        <v>51221</v>
      </c>
      <c r="AS107" s="266">
        <f>'Cash Flows'!AS42</f>
        <v>10394</v>
      </c>
      <c r="AT107" s="266">
        <f>'Cash Flows'!AT42</f>
        <v>14765</v>
      </c>
      <c r="AU107" s="266">
        <f>'Cash Flows'!AU42</f>
        <v>22831</v>
      </c>
      <c r="AV107" s="266">
        <f>'Cash Flows'!AV42</f>
        <v>19312</v>
      </c>
      <c r="AW107" s="273">
        <f>'Cash Flows'!AW42</f>
        <v>67302</v>
      </c>
      <c r="AX107" s="266">
        <f>'Cash Flows'!AX42</f>
        <v>13765</v>
      </c>
      <c r="AY107" s="266">
        <f>'Cash Flows'!AY42</f>
        <v>11392</v>
      </c>
      <c r="AZ107" s="266">
        <f>'Cash Flows'!AZ42</f>
        <v>-4808</v>
      </c>
      <c r="BA107" s="266">
        <f>'Cash Flows'!BA42</f>
        <v>8136</v>
      </c>
      <c r="BB107" s="273">
        <f>'Cash Flows'!BB42</f>
        <v>28485</v>
      </c>
      <c r="BC107" s="266">
        <f>'Cash Flows'!BC42</f>
        <v>28724</v>
      </c>
      <c r="BD107" s="266">
        <f>'Cash Flows'!BD42</f>
        <v>-3103</v>
      </c>
      <c r="BE107" s="266">
        <f>'Cash Flows'!BE42</f>
        <v>30504</v>
      </c>
      <c r="BF107" s="266">
        <f>'Cash Flows'!BF42</f>
        <v>32740</v>
      </c>
      <c r="BG107" s="273"/>
      <c r="BH107" s="266">
        <f>'Cash Flows'!BH42</f>
        <v>33413</v>
      </c>
      <c r="BI107" s="266">
        <f>'Cash Flows'!BI42</f>
        <v>21851</v>
      </c>
      <c r="BJ107" s="266">
        <f>'Cash Flows'!BJ42</f>
        <v>37030</v>
      </c>
      <c r="BK107" s="266">
        <f>'Cash Flows'!BK42</f>
        <v>36544</v>
      </c>
      <c r="BL107" s="273"/>
      <c r="BM107" s="266">
        <f>'Cash Flows'!BM42</f>
        <v>32353</v>
      </c>
      <c r="BN107" s="266">
        <f>'Cash Flows'!BN42</f>
        <v>19878</v>
      </c>
      <c r="BO107" s="266">
        <f>'Cash Flows'!BO42</f>
        <v>41122</v>
      </c>
      <c r="BP107" s="266">
        <f>'Cash Flows'!BP42</f>
        <v>49815</v>
      </c>
      <c r="BQ107" s="273"/>
      <c r="BR107" s="266">
        <f>'Cash Flows'!BR42</f>
        <v>48384</v>
      </c>
      <c r="BS107" s="266">
        <f>'Cash Flows'!BS42</f>
        <v>35061</v>
      </c>
      <c r="BT107" s="266">
        <f>'Cash Flows'!BT42</f>
        <v>59196</v>
      </c>
      <c r="BU107" s="266">
        <f>'Cash Flows'!BU42</f>
        <v>83566</v>
      </c>
      <c r="BV107" s="273"/>
      <c r="BW107" s="266"/>
      <c r="BX107" s="266"/>
      <c r="BY107" s="266"/>
      <c r="BZ107" s="266"/>
      <c r="CA107" s="273"/>
    </row>
    <row r="108" spans="1:79" s="53" customFormat="1" ht="14.1" hidden="1" customHeight="1" outlineLevel="1">
      <c r="A108" s="99"/>
      <c r="B108" s="258"/>
      <c r="C108" s="568" t="s">
        <v>254</v>
      </c>
      <c r="D108" s="270"/>
      <c r="E108" s="372"/>
      <c r="F108" s="372"/>
      <c r="G108" s="372"/>
      <c r="H108" s="372"/>
      <c r="I108" s="270"/>
      <c r="J108" s="372"/>
      <c r="K108" s="372"/>
      <c r="L108" s="372"/>
      <c r="M108" s="372"/>
      <c r="N108" s="270"/>
      <c r="O108" s="372">
        <f>'Balance Sheet '!O6+'Balance Sheet '!O7</f>
        <v>29238</v>
      </c>
      <c r="P108" s="372">
        <f>'Balance Sheet '!P6+'Balance Sheet '!P7</f>
        <v>91572</v>
      </c>
      <c r="Q108" s="372">
        <f>'Balance Sheet '!Q6+'Balance Sheet '!Q7</f>
        <v>83488</v>
      </c>
      <c r="R108" s="372">
        <f>'Balance Sheet '!R6+'Balance Sheet '!R7</f>
        <v>78289</v>
      </c>
      <c r="S108" s="270"/>
      <c r="T108" s="372">
        <f>'Balance Sheet '!T6+'Balance Sheet '!T7</f>
        <v>70645</v>
      </c>
      <c r="U108" s="372">
        <f>'Balance Sheet '!U6+'Balance Sheet '!U7</f>
        <v>65333</v>
      </c>
      <c r="V108" s="372">
        <f>'Balance Sheet '!V6+'Balance Sheet '!V7</f>
        <v>59501</v>
      </c>
      <c r="W108" s="372">
        <f>'Balance Sheet '!W6+'Balance Sheet '!W7</f>
        <v>58484</v>
      </c>
      <c r="X108" s="270"/>
      <c r="Y108" s="372">
        <f>'Balance Sheet '!Y6+'Balance Sheet '!Y7</f>
        <v>57767</v>
      </c>
      <c r="Z108" s="372">
        <f>'Balance Sheet '!Z6+'Balance Sheet '!Z7</f>
        <v>57638</v>
      </c>
      <c r="AA108" s="372">
        <f>'Balance Sheet '!AA6+'Balance Sheet '!AA7</f>
        <v>57333</v>
      </c>
      <c r="AB108" s="372">
        <f>'Balance Sheet '!AB6+'Balance Sheet '!AB7</f>
        <v>58122</v>
      </c>
      <c r="AC108" s="270"/>
      <c r="AD108" s="372">
        <f>'Balance Sheet '!AD6+'Balance Sheet '!AD7</f>
        <v>56452</v>
      </c>
      <c r="AE108" s="372">
        <f>'Balance Sheet '!AE6+'Balance Sheet '!AE7</f>
        <v>57149</v>
      </c>
      <c r="AF108" s="372">
        <f>'Balance Sheet '!AF6+'Balance Sheet '!AF7</f>
        <v>63364</v>
      </c>
      <c r="AG108" s="372">
        <f>'Balance Sheet '!AG6+'Balance Sheet '!AG7</f>
        <v>68947</v>
      </c>
      <c r="AH108" s="270"/>
      <c r="AI108" s="372">
        <f>'Balance Sheet '!AI6+'Balance Sheet '!AI7</f>
        <v>80676</v>
      </c>
      <c r="AJ108" s="372">
        <f>'Balance Sheet '!AJ6+'Balance Sheet '!AJ7</f>
        <v>274302</v>
      </c>
      <c r="AK108" s="372">
        <f>'Balance Sheet '!AK6+'Balance Sheet '!AK7</f>
        <v>279626</v>
      </c>
      <c r="AL108" s="372">
        <f>'Balance Sheet '!AL6+'Balance Sheet '!AL7</f>
        <v>291819</v>
      </c>
      <c r="AM108" s="270"/>
      <c r="AN108" s="372">
        <f>'Balance Sheet '!AN6+'Balance Sheet '!AN7</f>
        <v>298942</v>
      </c>
      <c r="AO108" s="372">
        <f>'Balance Sheet '!AO6+'Balance Sheet '!AO7</f>
        <v>307476</v>
      </c>
      <c r="AP108" s="372">
        <f>'Balance Sheet '!AP6+'Balance Sheet '!AP7</f>
        <v>320958</v>
      </c>
      <c r="AQ108" s="372">
        <f>'Balance Sheet '!AQ6+'Balance Sheet '!AQ7</f>
        <v>319949</v>
      </c>
      <c r="AR108" s="270"/>
      <c r="AS108" s="372">
        <f>'Balance Sheet '!AS6+'Balance Sheet '!AS7</f>
        <v>326296</v>
      </c>
      <c r="AT108" s="372">
        <f>'Balance Sheet '!AT6+'Balance Sheet '!AT7</f>
        <v>685943</v>
      </c>
      <c r="AU108" s="372">
        <f>'Balance Sheet '!AU6+'Balance Sheet '!AU7</f>
        <v>780908</v>
      </c>
      <c r="AV108" s="372">
        <f>'Balance Sheet '!AV6+'Balance Sheet '!AV7</f>
        <v>766342</v>
      </c>
      <c r="AW108" s="270"/>
      <c r="AX108" s="372">
        <f>'Balance Sheet '!AX6+'Balance Sheet '!AX7</f>
        <v>643469</v>
      </c>
      <c r="AY108" s="372">
        <f>'Balance Sheet '!AY6+'Balance Sheet '!AY7</f>
        <v>566185</v>
      </c>
      <c r="AZ108" s="372">
        <f>'Balance Sheet '!AZ6+'Balance Sheet '!AZ7</f>
        <v>415289</v>
      </c>
      <c r="BA108" s="372">
        <f>'Balance Sheet '!BA6+'Balance Sheet '!BA7</f>
        <v>469858</v>
      </c>
      <c r="BB108" s="270"/>
      <c r="BC108" s="372">
        <f>'Balance Sheet '!BC6+'Balance Sheet '!BC7</f>
        <v>477670</v>
      </c>
      <c r="BD108" s="372">
        <f>'Balance Sheet '!BD6+'Balance Sheet '!BD7</f>
        <v>498382</v>
      </c>
      <c r="BE108" s="372">
        <f>'Balance Sheet '!BE6+'Balance Sheet '!BE7</f>
        <v>577104</v>
      </c>
      <c r="BF108" s="372">
        <f>'Balance Sheet '!BF6+'Balance Sheet '!BF7</f>
        <v>614263</v>
      </c>
      <c r="BG108" s="270"/>
      <c r="BH108" s="372">
        <f>'Balance Sheet '!BH6+'Balance Sheet '!BH7</f>
        <v>629740</v>
      </c>
      <c r="BI108" s="372">
        <f>'Balance Sheet '!BI6+'Balance Sheet '!BI7</f>
        <v>659836</v>
      </c>
      <c r="BJ108" s="372">
        <f>'Balance Sheet '!BJ6+'Balance Sheet '!BJ7</f>
        <v>700290</v>
      </c>
      <c r="BK108" s="372">
        <f>'Balance Sheet '!BK6+'Balance Sheet '!BK7</f>
        <v>730297</v>
      </c>
      <c r="BL108" s="270"/>
      <c r="BM108" s="372">
        <f>'Balance Sheet '!BM6+'Balance Sheet '!BM7</f>
        <v>1083402</v>
      </c>
      <c r="BN108" s="372">
        <f>'Balance Sheet '!BN6+'Balance Sheet '!BN7</f>
        <v>1106338</v>
      </c>
      <c r="BO108" s="372">
        <f>'Balance Sheet '!BO6+'Balance Sheet '!BO7</f>
        <v>966663</v>
      </c>
      <c r="BP108" s="372">
        <f>'Balance Sheet '!BP6+'Balance Sheet '!BP7</f>
        <v>1005956</v>
      </c>
      <c r="BQ108" s="270"/>
      <c r="BR108" s="372">
        <f>'Balance Sheet '!BR6+'Balance Sheet '!BR7</f>
        <v>1041738</v>
      </c>
      <c r="BS108" s="372">
        <f>'Balance Sheet '!BS6+'Balance Sheet '!BS7</f>
        <v>635876</v>
      </c>
      <c r="BT108" s="372">
        <f>'Balance Sheet '!BT6+'Balance Sheet '!BT7</f>
        <v>676156</v>
      </c>
      <c r="BU108" s="372">
        <f>'Balance Sheet '!BU6+'Balance Sheet '!BU7</f>
        <v>696919</v>
      </c>
      <c r="BV108" s="270"/>
      <c r="BW108" s="372"/>
      <c r="BX108" s="372"/>
      <c r="BY108" s="372"/>
      <c r="BZ108" s="372"/>
      <c r="CA108" s="270"/>
    </row>
    <row r="109" spans="1:79" s="53" customFormat="1" ht="14.1" customHeight="1" collapsed="1">
      <c r="A109" s="99"/>
      <c r="B109" s="98"/>
      <c r="C109" s="567" t="s">
        <v>74</v>
      </c>
      <c r="D109" s="95"/>
      <c r="E109" s="96"/>
      <c r="F109" s="96"/>
      <c r="G109" s="96"/>
      <c r="H109" s="96"/>
      <c r="I109" s="95"/>
      <c r="J109" s="96">
        <f>'Balance Sheet '!J6</f>
        <v>5475</v>
      </c>
      <c r="K109" s="96">
        <f>'Balance Sheet '!K6</f>
        <v>17742</v>
      </c>
      <c r="L109" s="96">
        <f>'Balance Sheet '!L6</f>
        <v>10110</v>
      </c>
      <c r="M109" s="96">
        <f>'Balance Sheet '!M6</f>
        <v>17748</v>
      </c>
      <c r="N109" s="95"/>
      <c r="O109" s="96">
        <f>'Balance Sheet '!O6+'Balance Sheet '!O7-'Balance Sheet '!O27-'Balance Sheet '!O29-'Balance Sheet '!O34-'Balance Sheet '!O39</f>
        <v>-10261</v>
      </c>
      <c r="P109" s="96">
        <f>'Balance Sheet '!P6+'Balance Sheet '!P7-'Balance Sheet '!P27-'Balance Sheet '!P29-'Balance Sheet '!P34-'Balance Sheet '!P39</f>
        <v>52252</v>
      </c>
      <c r="Q109" s="96">
        <f>'Balance Sheet '!Q6+'Balance Sheet '!Q7-'Balance Sheet '!Q27-'Balance Sheet '!Q29-'Balance Sheet '!Q34-'Balance Sheet '!Q39</f>
        <v>44350</v>
      </c>
      <c r="R109" s="96">
        <f>'Balance Sheet '!R6+'Balance Sheet '!R7-'Balance Sheet '!R27-'Balance Sheet '!R29-'Balance Sheet '!R34-'Balance Sheet '!R39</f>
        <v>39865</v>
      </c>
      <c r="S109" s="95"/>
      <c r="T109" s="96">
        <f>'Balance Sheet '!T6+'Balance Sheet '!T7-'Balance Sheet '!T27-'Balance Sheet '!T29-'Balance Sheet '!T34-'Balance Sheet '!T39</f>
        <v>32919</v>
      </c>
      <c r="U109" s="96">
        <f>'Balance Sheet '!U6+'Balance Sheet '!U7-'Balance Sheet '!U27-'Balance Sheet '!U29-'Balance Sheet '!U34-'Balance Sheet '!U39</f>
        <v>26635</v>
      </c>
      <c r="V109" s="96">
        <f>'Balance Sheet '!V6+'Balance Sheet '!V7-'Balance Sheet '!V27-'Balance Sheet '!V29-'Balance Sheet '!V34-'Balance Sheet '!V39</f>
        <v>21724</v>
      </c>
      <c r="W109" s="96">
        <f>'Balance Sheet '!W6+'Balance Sheet '!W7-'Balance Sheet '!W27-'Balance Sheet '!W29-'Balance Sheet '!W34-'Balance Sheet '!W39</f>
        <v>21445</v>
      </c>
      <c r="X109" s="95"/>
      <c r="Y109" s="96">
        <f>'Balance Sheet '!Y6+'Balance Sheet '!Y7-'Balance Sheet '!Y27-'Balance Sheet '!Y29-'Balance Sheet '!Y34-'Balance Sheet '!Y39</f>
        <v>22248</v>
      </c>
      <c r="Z109" s="96">
        <f>'Balance Sheet '!Z6+'Balance Sheet '!Z7-'Balance Sheet '!Z27-'Balance Sheet '!Z29-'Balance Sheet '!Z34-'Balance Sheet '!Z39</f>
        <v>23990</v>
      </c>
      <c r="AA109" s="96">
        <f>'Balance Sheet '!AA6+'Balance Sheet '!AA7-'Balance Sheet '!AA27-'Balance Sheet '!AA29-'Balance Sheet '!AA34-'Balance Sheet '!AA39</f>
        <v>23199</v>
      </c>
      <c r="AB109" s="96">
        <f>'Balance Sheet '!AB6+'Balance Sheet '!AB7-'Balance Sheet '!AB27-'Balance Sheet '!AB29-'Balance Sheet '!AB34-'Balance Sheet '!AB39</f>
        <v>24468</v>
      </c>
      <c r="AC109" s="95"/>
      <c r="AD109" s="96">
        <f>'Balance Sheet '!AD6+'Balance Sheet '!AD7-'Balance Sheet '!AD27-'Balance Sheet '!AD29-'Balance Sheet '!AD34-'Balance Sheet '!AD39</f>
        <v>23053</v>
      </c>
      <c r="AE109" s="96">
        <f>'Balance Sheet '!AE6+'Balance Sheet '!AE7-'Balance Sheet '!AE27-'Balance Sheet '!AE29-'Balance Sheet '!AE34-'Balance Sheet '!AE39</f>
        <v>23892</v>
      </c>
      <c r="AF109" s="96">
        <f>'Balance Sheet '!AF6+'Balance Sheet '!AF7-'Balance Sheet '!AF27-'Balance Sheet '!AF29-'Balance Sheet '!AF34-'Balance Sheet '!AF39</f>
        <v>30284</v>
      </c>
      <c r="AG109" s="96">
        <f>'Balance Sheet '!AG6+'Balance Sheet '!AG7-'Balance Sheet '!AG27-'Balance Sheet '!AG29-'Balance Sheet '!AG34-'Balance Sheet '!AG39</f>
        <v>36017</v>
      </c>
      <c r="AH109" s="95"/>
      <c r="AI109" s="96">
        <f>'Balance Sheet '!AI6+'Balance Sheet '!AI7-'Balance Sheet '!AI27-'Balance Sheet '!AI29-'Balance Sheet '!AI34-'Balance Sheet '!AI39</f>
        <v>47902</v>
      </c>
      <c r="AJ109" s="96">
        <f>'Balance Sheet '!AJ6+'Balance Sheet '!AJ7-258750</f>
        <v>15552</v>
      </c>
      <c r="AK109" s="96">
        <f>'Balance Sheet '!AK6+'Balance Sheet '!AK7-258750</f>
        <v>20876</v>
      </c>
      <c r="AL109" s="96">
        <f>'Balance Sheet '!AL6+'Balance Sheet '!AL7-258750</f>
        <v>33069</v>
      </c>
      <c r="AM109" s="95"/>
      <c r="AN109" s="96">
        <f>'Balance Sheet '!AN6+'Balance Sheet '!AN7-258750</f>
        <v>40192</v>
      </c>
      <c r="AO109" s="96">
        <f>'Balance Sheet '!AO6+'Balance Sheet '!AO7-258750</f>
        <v>48726</v>
      </c>
      <c r="AP109" s="96">
        <f>'Balance Sheet '!AP6+'Balance Sheet '!AP7-258750</f>
        <v>62208</v>
      </c>
      <c r="AQ109" s="96">
        <f>'Balance Sheet '!AQ6+'Balance Sheet '!AQ7-258750</f>
        <v>61199</v>
      </c>
      <c r="AR109" s="95"/>
      <c r="AS109" s="96">
        <f>'Balance Sheet '!AS6+'Balance Sheet '!AS7-258750</f>
        <v>67546</v>
      </c>
      <c r="AT109" s="96">
        <f>'Balance Sheet '!AT6+'Balance Sheet '!AT7-'Balance Sheet '!AT35</f>
        <v>43740</v>
      </c>
      <c r="AU109" s="96">
        <f>'Balance Sheet '!AU6+'Balance Sheet '!AU7-'Balance Sheet '!AU35</f>
        <v>134316</v>
      </c>
      <c r="AV109" s="96">
        <f>'Balance Sheet '!AV6+'Balance Sheet '!AV7-'Balance Sheet '!AV35</f>
        <v>123026</v>
      </c>
      <c r="AW109" s="95"/>
      <c r="AX109" s="96">
        <f>'Balance Sheet '!AX6+'Balance Sheet '!AX7-'Balance Sheet '!AX35</f>
        <v>-138772</v>
      </c>
      <c r="AY109" s="96">
        <f>'Balance Sheet '!AY6+'Balance Sheet '!AY7-'Balance Sheet '!AY35</f>
        <v>-207403</v>
      </c>
      <c r="AZ109" s="96">
        <f>'Balance Sheet '!AZ6+'Balance Sheet '!AZ7-'Balance Sheet '!AZ35</f>
        <v>-358064</v>
      </c>
      <c r="BA109" s="96">
        <f>'Balance Sheet '!BA6+'Balance Sheet '!BA7-'Balance Sheet '!BA35</f>
        <v>-298741</v>
      </c>
      <c r="BB109" s="95"/>
      <c r="BC109" s="96">
        <f>'Balance Sheet '!BC6+'Balance Sheet '!BC7-'Balance Sheet '!BC35</f>
        <v>-260195</v>
      </c>
      <c r="BD109" s="96">
        <f>'Balance Sheet '!BD6+'Balance Sheet '!BD7-'Balance Sheet '!BD35</f>
        <v>-238103</v>
      </c>
      <c r="BE109" s="96">
        <f>'Balance Sheet '!BE6+'Balance Sheet '!BE7-'Balance Sheet '!BE35</f>
        <v>-160325</v>
      </c>
      <c r="BF109" s="96">
        <f>'Balance Sheet '!BF6+'Balance Sheet '!BF7-'Balance Sheet '!BF35</f>
        <v>-124113</v>
      </c>
      <c r="BG109" s="95"/>
      <c r="BH109" s="96">
        <f>'Balance Sheet '!BH6+'Balance Sheet '!BH7-'Balance Sheet '!BH35</f>
        <v>-109544</v>
      </c>
      <c r="BI109" s="96">
        <f>'Balance Sheet '!BI6+'Balance Sheet '!BI7-'Balance Sheet '!BI35</f>
        <v>-80379</v>
      </c>
      <c r="BJ109" s="96">
        <f>'Balance Sheet '!BJ6+'Balance Sheet '!BJ7-'Balance Sheet '!BJ35</f>
        <v>-40879</v>
      </c>
      <c r="BK109" s="96">
        <f>'Balance Sheet '!BK6+'Balance Sheet '!BK7-'Balance Sheet '!BK35</f>
        <v>-11828</v>
      </c>
      <c r="BL109" s="95"/>
      <c r="BM109" s="96">
        <f>'Balance Sheet '!BM6+'Balance Sheet '!BM7-'Balance Sheet '!BM35</f>
        <v>-77570</v>
      </c>
      <c r="BN109" s="96">
        <f>'Balance Sheet '!BN6+'Balance Sheet '!BN7-'Balance Sheet '!BN35-'Balance Sheet '!BN32</f>
        <v>-56038</v>
      </c>
      <c r="BO109" s="96">
        <f>'Balance Sheet '!BO6+'Balance Sheet '!BO7-'Balance Sheet '!BO35-'Balance Sheet '!BO32</f>
        <v>-197196</v>
      </c>
      <c r="BP109" s="96">
        <f>'Balance Sheet '!BP6+'Balance Sheet '!BP7-'Balance Sheet '!BP35-'Balance Sheet '!BP32</f>
        <v>-159389</v>
      </c>
      <c r="BQ109" s="95"/>
      <c r="BR109" s="96">
        <f>'Balance Sheet '!BR6+'Balance Sheet '!BR7-'Balance Sheet '!BR35-'Balance Sheet '!BR32</f>
        <v>-125014</v>
      </c>
      <c r="BS109" s="96">
        <f>'Balance Sheet '!BS6+'Balance Sheet '!BS7-'Balance Sheet '!BS35-'Balance Sheet '!BS32</f>
        <v>-97744</v>
      </c>
      <c r="BT109" s="96">
        <f>'Balance Sheet '!BT6+'Balance Sheet '!BT7-'Balance Sheet '!BT35-'Balance Sheet '!BT32</f>
        <v>-58397</v>
      </c>
      <c r="BU109" s="96">
        <f>'Balance Sheet '!BU6+'Balance Sheet '!BU7-'Balance Sheet '!BU35-'Balance Sheet '!BU32</f>
        <v>-38571</v>
      </c>
      <c r="BV109" s="95"/>
      <c r="BW109" s="96"/>
      <c r="BX109" s="96"/>
      <c r="BY109" s="96"/>
      <c r="BZ109" s="96"/>
      <c r="CA109" s="95"/>
    </row>
    <row r="110" spans="1:79" s="53" customFormat="1" ht="14.1" customHeight="1" thickBot="1">
      <c r="A110" s="86"/>
      <c r="B110" s="94"/>
      <c r="C110" s="569" t="s">
        <v>73</v>
      </c>
      <c r="D110" s="92"/>
      <c r="E110" s="236"/>
      <c r="F110" s="236"/>
      <c r="G110" s="236"/>
      <c r="H110" s="236"/>
      <c r="I110" s="92"/>
      <c r="J110" s="236">
        <f t="shared" ref="J110:Q110" si="106">J109/J104</f>
        <v>1.5483597285067874</v>
      </c>
      <c r="K110" s="236">
        <f t="shared" si="106"/>
        <v>4.815960912052117</v>
      </c>
      <c r="L110" s="236">
        <f t="shared" si="106"/>
        <v>2.6753109288171473</v>
      </c>
      <c r="M110" s="236">
        <f t="shared" si="106"/>
        <v>3.5403949730700179</v>
      </c>
      <c r="N110" s="92"/>
      <c r="O110" s="236">
        <f t="shared" si="106"/>
        <v>-0.98663461538461539</v>
      </c>
      <c r="P110" s="236">
        <f t="shared" si="106"/>
        <v>1.1141626508593117</v>
      </c>
      <c r="Q110" s="236">
        <f t="shared" si="106"/>
        <v>0.91802939350031054</v>
      </c>
      <c r="R110" s="236">
        <f>R109/R104</f>
        <v>0.81352162112523718</v>
      </c>
      <c r="S110" s="92"/>
      <c r="T110" s="236">
        <f>T109/T104</f>
        <v>0.66593166508203028</v>
      </c>
      <c r="U110" s="236">
        <f>U109/U104</f>
        <v>0.53291316526610644</v>
      </c>
      <c r="V110" s="236">
        <f>V109/V104</f>
        <v>0.43129702793384822</v>
      </c>
      <c r="W110" s="236">
        <f>W109/W104</f>
        <v>0.42244503979197856</v>
      </c>
      <c r="X110" s="92"/>
      <c r="Y110" s="236">
        <f>Y109/Y104</f>
        <v>0.43303423710999084</v>
      </c>
      <c r="Z110" s="236">
        <f>Z109/Z104</f>
        <v>0.46008093128511979</v>
      </c>
      <c r="AA110" s="236">
        <f>AA109/AA104</f>
        <v>0.44014191394095775</v>
      </c>
      <c r="AB110" s="236">
        <f>AB109/AB104</f>
        <v>0.43204492080589058</v>
      </c>
      <c r="AC110" s="92"/>
      <c r="AD110" s="236">
        <f>AD109/AD104</f>
        <v>0.42938831768737895</v>
      </c>
      <c r="AE110" s="236">
        <f>AE109/AE104</f>
        <v>0.43659887067594977</v>
      </c>
      <c r="AF110" s="236">
        <f>AF109/AF104</f>
        <v>0.50947998856008481</v>
      </c>
      <c r="AG110" s="236">
        <f>AG109/AG104</f>
        <v>0.60123528920791258</v>
      </c>
      <c r="AH110" s="326"/>
      <c r="AI110" s="236">
        <f>AI109/AI104</f>
        <v>0.80178762720942687</v>
      </c>
      <c r="AJ110" s="236">
        <f>AJ109/AJ104</f>
        <v>0.25451272399967267</v>
      </c>
      <c r="AK110" s="236">
        <f>AK109/AK104</f>
        <v>0.33672597061148118</v>
      </c>
      <c r="AL110" s="236">
        <f>AL109/AL104</f>
        <v>0.5327608706159076</v>
      </c>
      <c r="AM110" s="326"/>
      <c r="AN110" s="236">
        <f>AN109/AN104</f>
        <v>0.64046913344169298</v>
      </c>
      <c r="AO110" s="236">
        <f>AO109/AO104</f>
        <v>0.77404289118347891</v>
      </c>
      <c r="AP110" s="236">
        <f>AP109/AP104</f>
        <v>0.98061099025820486</v>
      </c>
      <c r="AQ110" s="236">
        <f>AQ109/AQ104</f>
        <v>0.95843578218721126</v>
      </c>
      <c r="AR110" s="326"/>
      <c r="AS110" s="236">
        <f>AS109/AS104</f>
        <v>1.0366016482251654</v>
      </c>
      <c r="AT110" s="236">
        <f>AT109/AT104</f>
        <v>0.65117386967590185</v>
      </c>
      <c r="AU110" s="236">
        <f>AU109/AU104</f>
        <v>2.0518790100824931</v>
      </c>
      <c r="AV110" s="236">
        <f>AV109/AV104</f>
        <v>1.7495164960182026</v>
      </c>
      <c r="AW110" s="326"/>
      <c r="AX110" s="236">
        <f>AX109/AX104</f>
        <v>-1.9639677889582361</v>
      </c>
      <c r="AY110" s="236">
        <f>AY109/AY104</f>
        <v>-2.9304970751971062</v>
      </c>
      <c r="AZ110" s="236">
        <f>AZ109/AZ104</f>
        <v>-5.0359202272791199</v>
      </c>
      <c r="BA110" s="236">
        <f>BA109/BA104</f>
        <v>-4.2148621575100877</v>
      </c>
      <c r="BB110" s="326"/>
      <c r="BC110" s="236">
        <f>BC109/BC104</f>
        <v>-3.681778947517369</v>
      </c>
      <c r="BD110" s="236">
        <f>BD109/BD104</f>
        <v>-3.349647595064924</v>
      </c>
      <c r="BE110" s="236">
        <f>BE109/BE104</f>
        <v>-2.2441595162441734</v>
      </c>
      <c r="BF110" s="236">
        <f>BF109/BF104</f>
        <v>-1.734948348407118</v>
      </c>
      <c r="BG110" s="326"/>
      <c r="BH110" s="236">
        <f>BH109/BH104</f>
        <v>-1.5145029724872114</v>
      </c>
      <c r="BI110" s="236">
        <f>BI109/BI104</f>
        <v>-1.1071487603305785</v>
      </c>
      <c r="BJ110" s="236">
        <f>BJ109/BJ104</f>
        <v>-0.55922024623803013</v>
      </c>
      <c r="BK110" s="236">
        <f>BK109/BK104</f>
        <v>-0.1603035847394457</v>
      </c>
      <c r="BL110" s="326"/>
      <c r="BM110" s="236">
        <f>BM109/BM104</f>
        <v>-1.0425514757271115</v>
      </c>
      <c r="BN110" s="236">
        <f>BN109/BN104</f>
        <v>-0.75070665934330916</v>
      </c>
      <c r="BO110" s="236">
        <f>BO109/BO104</f>
        <v>-2.6244859390180602</v>
      </c>
      <c r="BP110" s="236">
        <f>BP109/BP104</f>
        <v>-2.0972512796221001</v>
      </c>
      <c r="BQ110" s="326"/>
      <c r="BR110" s="236">
        <f>BR109/BR104</f>
        <v>-1.6314189145101723</v>
      </c>
      <c r="BS110" s="236">
        <f>BS109/BS104</f>
        <v>-1.2707393491855068</v>
      </c>
      <c r="BT110" s="236">
        <f>BT109/BT104</f>
        <v>-0.74980419346969174</v>
      </c>
      <c r="BU110" s="236">
        <f>BU109/BU104</f>
        <v>-0.49689529011645883</v>
      </c>
      <c r="BV110" s="326"/>
      <c r="BW110" s="236"/>
      <c r="BX110" s="236"/>
      <c r="BY110" s="236"/>
      <c r="BZ110" s="236"/>
      <c r="CA110" s="326"/>
    </row>
    <row r="111" spans="1:79" s="53" customFormat="1" ht="3" customHeight="1">
      <c r="B111" s="85"/>
      <c r="C111" s="90"/>
      <c r="D111" s="90"/>
      <c r="E111" s="90"/>
      <c r="F111" s="90"/>
      <c r="G111" s="90"/>
      <c r="H111" s="90"/>
      <c r="I111" s="90"/>
      <c r="J111" s="90"/>
      <c r="K111" s="90"/>
      <c r="L111" s="90"/>
      <c r="M111" s="90"/>
      <c r="N111" s="90"/>
      <c r="O111" s="90"/>
      <c r="P111" s="90"/>
      <c r="Q111" s="90"/>
      <c r="R111" s="90"/>
      <c r="S111" s="91"/>
      <c r="V111" s="90"/>
      <c r="W111" s="90"/>
      <c r="Y111" s="90"/>
      <c r="Z111" s="90"/>
      <c r="AA111" s="90"/>
      <c r="AB111" s="140"/>
      <c r="AC111" s="91"/>
      <c r="AD111" s="90"/>
      <c r="AE111" s="90"/>
      <c r="AF111" s="90"/>
      <c r="AG111" s="96"/>
      <c r="AH111" s="390"/>
      <c r="AI111" s="390"/>
      <c r="AJ111" s="390"/>
      <c r="AK111" s="390"/>
      <c r="AL111" s="390"/>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row>
    <row r="112" spans="1:79" s="53" customFormat="1" ht="3.6" customHeight="1">
      <c r="B112" s="85"/>
      <c r="C112" s="90"/>
      <c r="D112" s="90"/>
      <c r="E112" s="90"/>
      <c r="F112" s="90"/>
      <c r="G112" s="90"/>
      <c r="H112" s="90"/>
      <c r="I112" s="90"/>
      <c r="J112" s="90"/>
      <c r="K112" s="90"/>
      <c r="L112" s="90"/>
      <c r="M112" s="90"/>
      <c r="N112" s="90"/>
      <c r="O112" s="90"/>
      <c r="P112" s="90"/>
      <c r="Q112" s="90"/>
      <c r="R112" s="90"/>
      <c r="S112" s="89"/>
      <c r="T112" s="153"/>
      <c r="U112" s="153"/>
      <c r="V112" s="90"/>
      <c r="W112" s="90"/>
      <c r="Y112" s="90"/>
      <c r="Z112" s="90"/>
      <c r="AA112" s="90"/>
      <c r="AB112" s="90"/>
      <c r="AC112" s="89"/>
      <c r="AD112" s="90"/>
      <c r="AE112" s="90"/>
      <c r="AF112" s="90"/>
      <c r="AG112" s="96"/>
      <c r="AH112" s="391"/>
      <c r="AI112" s="391"/>
      <c r="AJ112" s="391"/>
      <c r="AK112" s="391"/>
      <c r="AL112" s="391"/>
      <c r="AM112" s="89"/>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89"/>
      <c r="BY112" s="89"/>
      <c r="BZ112" s="89"/>
      <c r="CA112" s="89"/>
    </row>
    <row r="113" spans="1:79" s="53" customFormat="1" ht="13.15" thickBot="1">
      <c r="B113" s="85"/>
      <c r="C113" s="90"/>
      <c r="D113" s="90"/>
      <c r="E113" s="90"/>
      <c r="F113" s="90"/>
      <c r="G113" s="90"/>
      <c r="H113" s="90"/>
      <c r="I113" s="90"/>
      <c r="J113" s="90"/>
      <c r="K113" s="90"/>
      <c r="L113" s="90"/>
      <c r="M113" s="90"/>
      <c r="N113" s="90"/>
      <c r="O113" s="90"/>
      <c r="P113" s="90"/>
      <c r="Q113" s="90"/>
      <c r="R113" s="90"/>
      <c r="S113" s="89"/>
      <c r="V113" s="90"/>
      <c r="W113" s="90"/>
      <c r="Y113" s="90"/>
      <c r="Z113" s="90"/>
      <c r="AA113" s="90"/>
      <c r="AB113" s="90"/>
      <c r="AC113" s="89"/>
      <c r="AD113" s="90"/>
      <c r="AE113" s="90"/>
      <c r="AF113" s="90"/>
      <c r="AG113" s="96"/>
      <c r="AH113" s="391"/>
      <c r="AI113" s="391"/>
      <c r="AJ113" s="391"/>
      <c r="AK113" s="391"/>
      <c r="AL113" s="391"/>
      <c r="AM113" s="89"/>
      <c r="AN113" s="389"/>
      <c r="AO113" s="89"/>
      <c r="AP113" s="89"/>
      <c r="AQ113" s="89"/>
      <c r="AR113" s="89"/>
      <c r="AS113" s="389"/>
      <c r="AT113" s="89"/>
      <c r="AU113" s="89"/>
      <c r="AV113" s="89"/>
      <c r="AW113" s="89"/>
      <c r="AX113" s="389"/>
      <c r="AY113" s="89"/>
      <c r="AZ113" s="89"/>
      <c r="BA113" s="89"/>
      <c r="BB113" s="89"/>
      <c r="BC113" s="389"/>
      <c r="BD113" s="89"/>
      <c r="BE113" s="89"/>
      <c r="BF113" s="89"/>
      <c r="BG113" s="89"/>
      <c r="BH113" s="389"/>
      <c r="BI113" s="89"/>
      <c r="BJ113" s="89"/>
      <c r="BK113" s="89"/>
      <c r="BL113" s="89"/>
      <c r="BM113" s="389"/>
      <c r="BN113" s="89"/>
      <c r="BO113" s="89"/>
      <c r="BP113" s="89"/>
      <c r="BQ113" s="89"/>
      <c r="BR113" s="389"/>
      <c r="BS113" s="89"/>
      <c r="BT113" s="89"/>
      <c r="BU113" s="89"/>
      <c r="BV113" s="89"/>
      <c r="BW113" s="389"/>
      <c r="BX113" s="89"/>
      <c r="BY113" s="89"/>
      <c r="BZ113" s="89"/>
      <c r="CA113" s="89"/>
    </row>
    <row r="114" spans="1:79" s="53" customFormat="1" ht="13.15" thickBot="1">
      <c r="B114" s="85"/>
      <c r="C114" s="84"/>
      <c r="D114" s="84"/>
      <c r="E114" s="84"/>
      <c r="F114" s="84"/>
      <c r="G114" s="84"/>
      <c r="H114" s="84"/>
      <c r="I114" s="84"/>
      <c r="J114" s="84"/>
      <c r="K114" s="84"/>
      <c r="L114" s="84"/>
      <c r="M114" s="84"/>
      <c r="N114" s="84"/>
      <c r="O114" s="920" t="s">
        <v>157</v>
      </c>
      <c r="P114" s="921"/>
      <c r="Q114" s="921"/>
      <c r="R114" s="922"/>
      <c r="S114" s="88"/>
      <c r="T114" s="920" t="s">
        <v>158</v>
      </c>
      <c r="U114" s="921"/>
      <c r="V114" s="921"/>
      <c r="W114" s="922"/>
      <c r="X114" s="88"/>
      <c r="Y114" s="923" t="s">
        <v>159</v>
      </c>
      <c r="Z114" s="924"/>
      <c r="AA114" s="924"/>
      <c r="AB114" s="925"/>
      <c r="AC114" s="87"/>
      <c r="AD114" s="917" t="s">
        <v>245</v>
      </c>
      <c r="AE114" s="918"/>
      <c r="AF114" s="918"/>
      <c r="AG114" s="919"/>
      <c r="AH114" s="87"/>
      <c r="AI114" s="917" t="s">
        <v>256</v>
      </c>
      <c r="AJ114" s="918"/>
      <c r="AK114" s="918"/>
      <c r="AL114" s="919"/>
      <c r="AM114" s="87"/>
      <c r="AN114" s="917" t="s">
        <v>256</v>
      </c>
      <c r="AO114" s="918"/>
      <c r="AP114" s="918"/>
      <c r="AQ114" s="919"/>
      <c r="AR114" s="87"/>
      <c r="AS114" s="917" t="s">
        <v>447</v>
      </c>
      <c r="AT114" s="918"/>
      <c r="AU114" s="918"/>
      <c r="AV114" s="919"/>
      <c r="AW114" s="87"/>
      <c r="AX114" s="917" t="s">
        <v>445</v>
      </c>
      <c r="AY114" s="918"/>
      <c r="AZ114" s="918"/>
      <c r="BA114" s="919"/>
      <c r="BB114" s="87"/>
      <c r="BC114" s="917" t="s">
        <v>446</v>
      </c>
      <c r="BD114" s="918"/>
      <c r="BE114" s="918"/>
      <c r="BF114" s="919"/>
      <c r="BG114" s="87"/>
      <c r="BH114" s="917" t="s">
        <v>446</v>
      </c>
      <c r="BI114" s="918"/>
      <c r="BJ114" s="918"/>
      <c r="BK114" s="919"/>
      <c r="BL114" s="87"/>
      <c r="BM114" s="917" t="s">
        <v>520</v>
      </c>
      <c r="BN114" s="918"/>
      <c r="BO114" s="918"/>
      <c r="BP114" s="919"/>
      <c r="BQ114" s="87"/>
      <c r="BR114" s="917" t="s">
        <v>521</v>
      </c>
      <c r="BS114" s="918"/>
      <c r="BT114" s="918"/>
      <c r="BU114" s="919"/>
      <c r="BV114" s="87"/>
      <c r="BW114" s="917" t="s">
        <v>522</v>
      </c>
      <c r="BX114" s="918"/>
      <c r="BY114" s="918"/>
      <c r="BZ114" s="919"/>
      <c r="CA114" s="87"/>
    </row>
    <row r="115" spans="1:79" s="53" customFormat="1" ht="13.15" thickBot="1">
      <c r="A115" s="86"/>
      <c r="B115" s="85"/>
      <c r="C115" s="84"/>
      <c r="D115" s="84"/>
      <c r="E115" s="84"/>
      <c r="F115" s="84"/>
      <c r="G115" s="84"/>
      <c r="H115" s="84"/>
      <c r="I115" s="84"/>
      <c r="J115" s="84"/>
      <c r="K115" s="84"/>
      <c r="L115" s="84"/>
      <c r="M115" s="84"/>
      <c r="N115" s="84"/>
      <c r="O115" s="83" t="s">
        <v>68</v>
      </c>
      <c r="P115" s="82" t="s">
        <v>67</v>
      </c>
      <c r="Q115" s="82" t="s">
        <v>66</v>
      </c>
      <c r="R115" s="81" t="s">
        <v>65</v>
      </c>
      <c r="S115" s="349">
        <v>2014</v>
      </c>
      <c r="T115" s="83" t="s">
        <v>64</v>
      </c>
      <c r="U115" s="82" t="s">
        <v>63</v>
      </c>
      <c r="V115" s="82" t="s">
        <v>62</v>
      </c>
      <c r="W115" s="81" t="s">
        <v>156</v>
      </c>
      <c r="X115" s="81">
        <v>2015</v>
      </c>
      <c r="Y115" s="83" t="s">
        <v>179</v>
      </c>
      <c r="Z115" s="82" t="str">
        <f t="shared" ref="Z115:BQ115" si="107">Z4</f>
        <v>2Q16</v>
      </c>
      <c r="AA115" s="82" t="str">
        <f t="shared" si="107"/>
        <v>3Q16</v>
      </c>
      <c r="AB115" s="82" t="str">
        <f t="shared" si="107"/>
        <v>4Q16</v>
      </c>
      <c r="AC115" s="349">
        <f t="shared" si="107"/>
        <v>2016</v>
      </c>
      <c r="AD115" s="83" t="str">
        <f t="shared" si="107"/>
        <v>1Q17</v>
      </c>
      <c r="AE115" s="82" t="str">
        <f t="shared" si="107"/>
        <v>2Q17</v>
      </c>
      <c r="AF115" s="82" t="str">
        <f t="shared" si="107"/>
        <v>3Q17</v>
      </c>
      <c r="AG115" s="81" t="str">
        <f t="shared" si="107"/>
        <v>4Q17</v>
      </c>
      <c r="AH115" s="81">
        <f t="shared" si="107"/>
        <v>2017</v>
      </c>
      <c r="AI115" s="83" t="str">
        <f t="shared" si="107"/>
        <v>1Q18</v>
      </c>
      <c r="AJ115" s="82" t="str">
        <f t="shared" si="107"/>
        <v>2Q18</v>
      </c>
      <c r="AK115" s="82" t="str">
        <f t="shared" si="107"/>
        <v>3Q18</v>
      </c>
      <c r="AL115" s="81" t="str">
        <f t="shared" si="107"/>
        <v>4Q18</v>
      </c>
      <c r="AM115" s="81">
        <f t="shared" si="107"/>
        <v>2018</v>
      </c>
      <c r="AN115" s="83" t="str">
        <f t="shared" si="107"/>
        <v>1Q19</v>
      </c>
      <c r="AO115" s="82" t="str">
        <f t="shared" si="107"/>
        <v>2Q19</v>
      </c>
      <c r="AP115" s="82" t="str">
        <f t="shared" si="107"/>
        <v>3Q19</v>
      </c>
      <c r="AQ115" s="81" t="str">
        <f t="shared" si="107"/>
        <v>4Q19</v>
      </c>
      <c r="AR115" s="81">
        <f t="shared" si="107"/>
        <v>2019</v>
      </c>
      <c r="AS115" s="83" t="str">
        <f t="shared" si="107"/>
        <v>1Q20</v>
      </c>
      <c r="AT115" s="82" t="str">
        <f t="shared" si="107"/>
        <v>2Q20</v>
      </c>
      <c r="AU115" s="82" t="str">
        <f t="shared" si="107"/>
        <v>3Q20</v>
      </c>
      <c r="AV115" s="81" t="str">
        <f t="shared" si="107"/>
        <v>4Q20</v>
      </c>
      <c r="AW115" s="81">
        <f t="shared" si="107"/>
        <v>2020</v>
      </c>
      <c r="AX115" s="83" t="str">
        <f t="shared" si="107"/>
        <v>1Q21</v>
      </c>
      <c r="AY115" s="82" t="str">
        <f t="shared" si="107"/>
        <v>2Q21</v>
      </c>
      <c r="AZ115" s="82" t="str">
        <f t="shared" si="107"/>
        <v>3Q21</v>
      </c>
      <c r="BA115" s="81" t="str">
        <f t="shared" si="107"/>
        <v>4Q21</v>
      </c>
      <c r="BB115" s="81">
        <f t="shared" si="107"/>
        <v>2021</v>
      </c>
      <c r="BC115" s="83" t="str">
        <f t="shared" si="107"/>
        <v>1Q22</v>
      </c>
      <c r="BD115" s="82" t="str">
        <f t="shared" si="107"/>
        <v>2Q22</v>
      </c>
      <c r="BE115" s="82" t="str">
        <f t="shared" si="107"/>
        <v>3Q22</v>
      </c>
      <c r="BF115" s="81" t="str">
        <f t="shared" si="107"/>
        <v>4Q22</v>
      </c>
      <c r="BG115" s="81">
        <f t="shared" si="107"/>
        <v>2022</v>
      </c>
      <c r="BH115" s="83" t="str">
        <f t="shared" si="107"/>
        <v>1Q23</v>
      </c>
      <c r="BI115" s="82" t="str">
        <f t="shared" si="107"/>
        <v>2Q23</v>
      </c>
      <c r="BJ115" s="82" t="str">
        <f t="shared" si="107"/>
        <v>3Q23</v>
      </c>
      <c r="BK115" s="81" t="str">
        <f t="shared" si="107"/>
        <v>4Q23</v>
      </c>
      <c r="BL115" s="81">
        <f t="shared" si="107"/>
        <v>2023</v>
      </c>
      <c r="BM115" s="83" t="str">
        <f t="shared" si="107"/>
        <v>1Q24</v>
      </c>
      <c r="BN115" s="82" t="str">
        <f t="shared" si="107"/>
        <v>2Q24</v>
      </c>
      <c r="BO115" s="82" t="str">
        <f t="shared" si="107"/>
        <v>3Q24</v>
      </c>
      <c r="BP115" s="81" t="str">
        <f t="shared" si="107"/>
        <v>4Q24</v>
      </c>
      <c r="BQ115" s="81">
        <f t="shared" si="107"/>
        <v>2024</v>
      </c>
      <c r="BR115" s="83" t="str">
        <f t="shared" ref="BR115:CA115" si="108">BR4</f>
        <v>1Q25</v>
      </c>
      <c r="BS115" s="82" t="str">
        <f t="shared" si="108"/>
        <v>2Q25</v>
      </c>
      <c r="BT115" s="82" t="str">
        <f t="shared" si="108"/>
        <v>3Q25</v>
      </c>
      <c r="BU115" s="81" t="str">
        <f t="shared" si="108"/>
        <v>4Q25</v>
      </c>
      <c r="BV115" s="81">
        <f t="shared" si="108"/>
        <v>2025</v>
      </c>
      <c r="BW115" s="83" t="str">
        <f t="shared" si="108"/>
        <v>1Q26E</v>
      </c>
      <c r="BX115" s="82" t="str">
        <f t="shared" si="108"/>
        <v>2Q26E</v>
      </c>
      <c r="BY115" s="82" t="str">
        <f t="shared" si="108"/>
        <v>3Q26E</v>
      </c>
      <c r="BZ115" s="81" t="str">
        <f t="shared" si="108"/>
        <v>4Q26E</v>
      </c>
      <c r="CA115" s="81" t="str">
        <f t="shared" si="108"/>
        <v>2026E</v>
      </c>
    </row>
    <row r="116" spans="1:79" s="53" customFormat="1" ht="13.5">
      <c r="A116"/>
      <c r="C116" s="80" t="s">
        <v>57</v>
      </c>
      <c r="D116" s="251"/>
      <c r="E116" s="251"/>
      <c r="F116" s="251"/>
      <c r="G116" s="251"/>
      <c r="H116" s="251"/>
      <c r="I116" s="251"/>
      <c r="J116" s="251"/>
      <c r="K116" s="251"/>
      <c r="L116" s="251"/>
      <c r="M116" s="59"/>
      <c r="N116" s="59"/>
      <c r="O116" s="79">
        <f>O28</f>
        <v>24274</v>
      </c>
      <c r="P116" s="78">
        <f>P28</f>
        <v>24685</v>
      </c>
      <c r="Q116" s="78">
        <f>Q28</f>
        <v>25869</v>
      </c>
      <c r="R116" s="77">
        <f>R28</f>
        <v>28274</v>
      </c>
      <c r="S116" s="350"/>
      <c r="T116" s="79">
        <f>T28</f>
        <v>30274</v>
      </c>
      <c r="U116" s="78">
        <f>U28</f>
        <v>30274</v>
      </c>
      <c r="V116" s="78">
        <f>V28</f>
        <v>32287</v>
      </c>
      <c r="W116" s="77">
        <f>W28</f>
        <v>36033</v>
      </c>
      <c r="X116" s="62"/>
      <c r="Y116" s="76">
        <f>Y28</f>
        <v>38015</v>
      </c>
      <c r="Z116" s="76">
        <f>Z28</f>
        <v>38886</v>
      </c>
      <c r="AA116" s="76">
        <f>AA28</f>
        <v>40982</v>
      </c>
      <c r="AB116" s="76">
        <f>AB28</f>
        <v>44207</v>
      </c>
      <c r="AC116" s="74"/>
      <c r="AD116" s="75">
        <f>AD28</f>
        <v>47014</v>
      </c>
      <c r="AE116" s="75">
        <f>AE28</f>
        <v>47727</v>
      </c>
      <c r="AF116" s="75">
        <f>AF28</f>
        <v>50081</v>
      </c>
      <c r="AG116" s="75">
        <f>AG28</f>
        <v>55403</v>
      </c>
      <c r="AH116" s="194"/>
      <c r="AI116" s="75">
        <f>AI28</f>
        <v>58905</v>
      </c>
      <c r="AJ116" s="75">
        <f>AJ28</f>
        <v>61120</v>
      </c>
      <c r="AK116" s="75">
        <f>AK28</f>
        <v>65304</v>
      </c>
      <c r="AL116" s="75">
        <f>AL28</f>
        <v>72335</v>
      </c>
      <c r="AM116" s="194"/>
      <c r="AN116" s="75">
        <f>AN28</f>
        <v>74538</v>
      </c>
      <c r="AO116" s="75">
        <f>AO28</f>
        <v>77436</v>
      </c>
      <c r="AP116" s="75">
        <f>AP28</f>
        <v>83769</v>
      </c>
      <c r="AQ116" s="75">
        <f>AQ28</f>
        <v>92263</v>
      </c>
      <c r="AR116" s="194"/>
      <c r="AS116" s="75">
        <f>AS28</f>
        <v>95088</v>
      </c>
      <c r="AT116" s="75">
        <f>AT28</f>
        <v>99792</v>
      </c>
      <c r="AU116" s="75">
        <f>AU28</f>
        <v>112143</v>
      </c>
      <c r="AV116" s="75">
        <f>AV28</f>
        <v>127885</v>
      </c>
      <c r="AW116" s="194"/>
      <c r="AX116" s="75">
        <f>AX28</f>
        <v>137882</v>
      </c>
      <c r="AY116" s="75">
        <f>AY28</f>
        <v>143782</v>
      </c>
      <c r="AZ116" s="75">
        <f>AZ28</f>
        <v>154328</v>
      </c>
      <c r="BA116" s="75">
        <f>BA28</f>
        <v>173599</v>
      </c>
      <c r="BB116" s="194"/>
      <c r="BC116" s="75">
        <f>BC28</f>
        <v>182777</v>
      </c>
      <c r="BD116" s="75">
        <f>BD28</f>
        <v>189382</v>
      </c>
      <c r="BE116" s="75">
        <f>BE28</f>
        <v>198342</v>
      </c>
      <c r="BF116" s="75">
        <f>BF28</f>
        <v>208345</v>
      </c>
      <c r="BG116" s="194"/>
      <c r="BH116" s="75">
        <f>BH28</f>
        <v>218439</v>
      </c>
      <c r="BI116" s="75">
        <f>BI28</f>
        <v>222882</v>
      </c>
      <c r="BJ116" s="75">
        <f>BJ28</f>
        <v>230105</v>
      </c>
      <c r="BK116" s="75">
        <f>BK28</f>
        <v>239062</v>
      </c>
      <c r="BL116" s="194"/>
      <c r="BM116" s="75">
        <f>BM28</f>
        <v>247010</v>
      </c>
      <c r="BN116" s="75">
        <f>BN28</f>
        <v>252086</v>
      </c>
      <c r="BO116" s="75">
        <f>BO28</f>
        <v>264182</v>
      </c>
      <c r="BP116" s="75">
        <f>BP28</f>
        <v>278660</v>
      </c>
      <c r="BQ116" s="194"/>
      <c r="BR116" s="75">
        <f>BR28</f>
        <v>279705</v>
      </c>
      <c r="BS116" s="75">
        <f>BS28</f>
        <v>283269</v>
      </c>
      <c r="BT116" s="75">
        <f>BT28</f>
        <v>285832</v>
      </c>
      <c r="BU116" s="75">
        <f>BU28</f>
        <v>300282</v>
      </c>
      <c r="BV116" s="194"/>
      <c r="BW116" s="75">
        <f>BW28</f>
        <v>299228.40899999999</v>
      </c>
      <c r="BX116" s="75">
        <f>BX28</f>
        <v>306327.09660000005</v>
      </c>
      <c r="BY116" s="75">
        <f>BY28</f>
        <v>313729.20319999999</v>
      </c>
      <c r="BZ116" s="75">
        <f>BZ28</f>
        <v>337396.85519999999</v>
      </c>
      <c r="CA116" s="194"/>
    </row>
    <row r="117" spans="1:79" s="53" customFormat="1" ht="13.5">
      <c r="A117"/>
      <c r="C117" s="73" t="s">
        <v>61</v>
      </c>
      <c r="D117" s="251"/>
      <c r="E117" s="251"/>
      <c r="F117" s="251"/>
      <c r="G117" s="251"/>
      <c r="H117" s="251"/>
      <c r="I117" s="251"/>
      <c r="J117" s="251"/>
      <c r="K117" s="251"/>
      <c r="L117" s="251"/>
      <c r="M117" s="72"/>
      <c r="N117" s="72"/>
      <c r="O117" s="71">
        <f>O106-M106</f>
        <v>582</v>
      </c>
      <c r="P117" s="67">
        <f>P106-O106</f>
        <v>52</v>
      </c>
      <c r="Q117" s="67">
        <f>Q106-P106</f>
        <v>-18</v>
      </c>
      <c r="R117" s="70">
        <f>R106-Q106</f>
        <v>355</v>
      </c>
      <c r="S117" s="351"/>
      <c r="T117" s="71">
        <f>T106-R106</f>
        <v>295</v>
      </c>
      <c r="U117" s="67">
        <f>U106-T106</f>
        <v>-116</v>
      </c>
      <c r="V117" s="67">
        <f>V106-U106</f>
        <v>37</v>
      </c>
      <c r="W117" s="70">
        <f>W106-V106</f>
        <v>851</v>
      </c>
      <c r="X117" s="69"/>
      <c r="Y117" s="66">
        <f>Y106-W106</f>
        <v>1419</v>
      </c>
      <c r="Z117" s="66">
        <f>Z106-Y106</f>
        <v>66</v>
      </c>
      <c r="AA117" s="66">
        <f>AA106-Z106</f>
        <v>940</v>
      </c>
      <c r="AB117" s="66">
        <f>AB106-AA106</f>
        <v>1209</v>
      </c>
      <c r="AC117" s="65"/>
      <c r="AD117" s="66">
        <f>AD106-AB106</f>
        <v>873</v>
      </c>
      <c r="AE117" s="66">
        <f>AE106-AD106</f>
        <v>983</v>
      </c>
      <c r="AF117" s="66">
        <f>AF106-AE106</f>
        <v>1796</v>
      </c>
      <c r="AG117" s="66">
        <f>AG106-AF106</f>
        <v>276</v>
      </c>
      <c r="AH117" s="65"/>
      <c r="AI117" s="66">
        <f>AI106-AG106</f>
        <v>-275</v>
      </c>
      <c r="AJ117" s="66">
        <f>AJ106-AI106</f>
        <v>1050</v>
      </c>
      <c r="AK117" s="66">
        <f>AK106-AJ106</f>
        <v>2740</v>
      </c>
      <c r="AL117" s="66">
        <f>AL106-AK106</f>
        <v>-99</v>
      </c>
      <c r="AM117" s="65"/>
      <c r="AN117" s="66">
        <f>AN106-AL106</f>
        <v>462</v>
      </c>
      <c r="AO117" s="66">
        <f>AO106-AN106</f>
        <v>2138</v>
      </c>
      <c r="AP117" s="66">
        <f>AP106-AO106</f>
        <v>1867</v>
      </c>
      <c r="AQ117" s="66">
        <f>AQ106-AP106</f>
        <v>2823</v>
      </c>
      <c r="AR117" s="65"/>
      <c r="AS117" s="66">
        <f>AS106-AQ106</f>
        <v>951</v>
      </c>
      <c r="AT117" s="66">
        <f>AT106-AS106</f>
        <v>674</v>
      </c>
      <c r="AU117" s="66">
        <f>AU106-AT106</f>
        <v>2221</v>
      </c>
      <c r="AV117" s="66">
        <f>AV106-AU106</f>
        <v>3456</v>
      </c>
      <c r="AW117" s="65"/>
      <c r="AX117" s="66">
        <f>AX106-AV106</f>
        <v>852</v>
      </c>
      <c r="AY117" s="66">
        <f>AY106-AX106</f>
        <v>402</v>
      </c>
      <c r="AZ117" s="66">
        <f>AZ106-AY106</f>
        <v>3650</v>
      </c>
      <c r="BA117" s="66">
        <f>BA106-AZ106</f>
        <v>6833</v>
      </c>
      <c r="BB117" s="65"/>
      <c r="BC117" s="66">
        <f>BC106-BA106</f>
        <v>2844</v>
      </c>
      <c r="BD117" s="66">
        <f>BD106-BC106</f>
        <v>4989</v>
      </c>
      <c r="BE117" s="66">
        <f>BE106-BD106</f>
        <v>2281</v>
      </c>
      <c r="BF117" s="66">
        <f>BF106-BE106</f>
        <v>3982</v>
      </c>
      <c r="BG117" s="65"/>
      <c r="BH117" s="66">
        <f>BH106-BF106</f>
        <v>266</v>
      </c>
      <c r="BI117" s="66">
        <f>BI106-BH106</f>
        <v>-543</v>
      </c>
      <c r="BJ117" s="66">
        <f>BJ106-BI106</f>
        <v>7026</v>
      </c>
      <c r="BK117" s="66">
        <f>BK106-BJ106</f>
        <v>3622</v>
      </c>
      <c r="BL117" s="65"/>
      <c r="BM117" s="66">
        <f>BM106-BK106</f>
        <v>-1168</v>
      </c>
      <c r="BN117" s="66">
        <f>BN106-BM106</f>
        <v>-1733</v>
      </c>
      <c r="BO117" s="66">
        <f>BO106-BN106</f>
        <v>14714</v>
      </c>
      <c r="BP117" s="66">
        <f>BP106-BO106</f>
        <v>-827</v>
      </c>
      <c r="BQ117" s="65"/>
      <c r="BR117" s="66">
        <f>BR106-BP106</f>
        <v>-4364</v>
      </c>
      <c r="BS117" s="66">
        <f>BS106-BR106</f>
        <v>-6800</v>
      </c>
      <c r="BT117" s="66">
        <f>BT106-BS106</f>
        <v>6728</v>
      </c>
      <c r="BU117" s="66">
        <f>BU106-BT106</f>
        <v>2778</v>
      </c>
      <c r="BV117" s="65"/>
      <c r="BW117" s="66">
        <f>BW106-BU106</f>
        <v>-77515</v>
      </c>
      <c r="BX117" s="66">
        <f>BX106-BW106</f>
        <v>0</v>
      </c>
      <c r="BY117" s="66">
        <f>BY106-BX106</f>
        <v>0</v>
      </c>
      <c r="BZ117" s="66">
        <f>BZ106-BY106</f>
        <v>0</v>
      </c>
      <c r="CA117" s="65"/>
    </row>
    <row r="118" spans="1:79" s="53" customFormat="1" ht="13.9" thickBot="1">
      <c r="A118"/>
      <c r="C118" s="68" t="s">
        <v>60</v>
      </c>
      <c r="D118" s="252"/>
      <c r="E118" s="252"/>
      <c r="F118" s="252"/>
      <c r="G118" s="252"/>
      <c r="H118" s="252"/>
      <c r="I118" s="252"/>
      <c r="J118" s="252"/>
      <c r="K118" s="252"/>
      <c r="L118" s="252"/>
      <c r="M118" s="59"/>
      <c r="N118" s="59"/>
      <c r="O118" s="335">
        <f>O117+O116</f>
        <v>24856</v>
      </c>
      <c r="P118" s="336">
        <f>P117+P116</f>
        <v>24737</v>
      </c>
      <c r="Q118" s="336">
        <f>Q117+Q116</f>
        <v>25851</v>
      </c>
      <c r="R118" s="332">
        <f>R117+R116</f>
        <v>28629</v>
      </c>
      <c r="S118" s="352">
        <f>SUM(O118:R118)</f>
        <v>104073</v>
      </c>
      <c r="T118" s="335">
        <f>T117+T116</f>
        <v>30569</v>
      </c>
      <c r="U118" s="336">
        <f>U117+U116</f>
        <v>30158</v>
      </c>
      <c r="V118" s="336">
        <f>V117+V116</f>
        <v>32324</v>
      </c>
      <c r="W118" s="332">
        <f>W117+W116</f>
        <v>36884</v>
      </c>
      <c r="X118" s="332">
        <f>SUM(T118:W118)</f>
        <v>129935</v>
      </c>
      <c r="Y118" s="75">
        <f>Y117+Y116</f>
        <v>39434</v>
      </c>
      <c r="Z118" s="75">
        <f>Z117+Z116</f>
        <v>38952</v>
      </c>
      <c r="AA118" s="75">
        <f>AA117+AA116</f>
        <v>41922</v>
      </c>
      <c r="AB118" s="75">
        <f>AB117+AB116</f>
        <v>45416</v>
      </c>
      <c r="AC118" s="340">
        <f>SUM(Y118:AB118)</f>
        <v>165724</v>
      </c>
      <c r="AD118" s="75">
        <f>AD117+AD116</f>
        <v>47887</v>
      </c>
      <c r="AE118" s="75">
        <f>AE117+AE116</f>
        <v>48710</v>
      </c>
      <c r="AF118" s="75">
        <f>AF117+AF116</f>
        <v>51877</v>
      </c>
      <c r="AG118" s="75">
        <f>AG117+AG116</f>
        <v>55679</v>
      </c>
      <c r="AH118" s="194">
        <f>SUM(AD118:AG118)</f>
        <v>204153</v>
      </c>
      <c r="AI118" s="75">
        <f>AI117+AI116</f>
        <v>58630</v>
      </c>
      <c r="AJ118" s="75">
        <f>AJ117+AJ116</f>
        <v>62170</v>
      </c>
      <c r="AK118" s="75">
        <f>AK117+AK116</f>
        <v>68044</v>
      </c>
      <c r="AL118" s="75">
        <f>AL117+AL116</f>
        <v>72236</v>
      </c>
      <c r="AM118" s="194">
        <f>SUM(AI118:AL118)</f>
        <v>261080</v>
      </c>
      <c r="AN118" s="75">
        <f>AN117+AN116</f>
        <v>75000</v>
      </c>
      <c r="AO118" s="75">
        <f>AO117+AO116</f>
        <v>79574</v>
      </c>
      <c r="AP118" s="75">
        <f>AP117+AP116</f>
        <v>85636</v>
      </c>
      <c r="AQ118" s="75">
        <f>AQ117+AQ116</f>
        <v>95086</v>
      </c>
      <c r="AR118" s="194">
        <f>SUM(AN118:AQ118)</f>
        <v>335296</v>
      </c>
      <c r="AS118" s="75">
        <f>AS117+AS116</f>
        <v>96039</v>
      </c>
      <c r="AT118" s="75">
        <f>AT117+AT116</f>
        <v>100466</v>
      </c>
      <c r="AU118" s="75">
        <f>AU117+AU116</f>
        <v>114364</v>
      </c>
      <c r="AV118" s="75">
        <f>AV117+AV116</f>
        <v>131341</v>
      </c>
      <c r="AW118" s="194">
        <f>SUM(AS118:AV118)</f>
        <v>442210</v>
      </c>
      <c r="AX118" s="75">
        <f>AX117+AX116</f>
        <v>138734</v>
      </c>
      <c r="AY118" s="75">
        <f>AY117+AY116</f>
        <v>144184</v>
      </c>
      <c r="AZ118" s="75">
        <f>AZ117+AZ116</f>
        <v>157978</v>
      </c>
      <c r="BA118" s="75">
        <f>BA117+BA116</f>
        <v>180432</v>
      </c>
      <c r="BB118" s="194">
        <f>SUM(AX118:BA118)</f>
        <v>621328</v>
      </c>
      <c r="BC118" s="75">
        <f>BC117+BC116</f>
        <v>185621</v>
      </c>
      <c r="BD118" s="75">
        <f>BD117+BD116</f>
        <v>194371</v>
      </c>
      <c r="BE118" s="75">
        <f>BE117+BE116</f>
        <v>200623</v>
      </c>
      <c r="BF118" s="75">
        <f>BF117+BF116</f>
        <v>212327</v>
      </c>
      <c r="BG118" s="194">
        <f>SUM(BC118:BF118)</f>
        <v>792942</v>
      </c>
      <c r="BH118" s="75">
        <f>BH117+BH116</f>
        <v>218705</v>
      </c>
      <c r="BI118" s="75">
        <f>BI117+BI116</f>
        <v>222339</v>
      </c>
      <c r="BJ118" s="75">
        <f>BJ117+BJ116</f>
        <v>237131</v>
      </c>
      <c r="BK118" s="75">
        <f>BK117+BK116</f>
        <v>242684</v>
      </c>
      <c r="BL118" s="194">
        <f>SUM(BH118:BK118)</f>
        <v>920859</v>
      </c>
      <c r="BM118" s="75">
        <f>BM117+BM116</f>
        <v>245842</v>
      </c>
      <c r="BN118" s="75">
        <f>BN117+BN116</f>
        <v>250353</v>
      </c>
      <c r="BO118" s="75">
        <f>BO117+BO116</f>
        <v>278896</v>
      </c>
      <c r="BP118" s="75">
        <f>BP117+BP116</f>
        <v>277833</v>
      </c>
      <c r="BQ118" s="194">
        <f>SUM(BM118:BP118)</f>
        <v>1052924</v>
      </c>
      <c r="BR118" s="75">
        <f>BR117+BR116</f>
        <v>275341</v>
      </c>
      <c r="BS118" s="75">
        <f>BS117+BS116</f>
        <v>276469</v>
      </c>
      <c r="BT118" s="75">
        <f>BT117+BT116</f>
        <v>292560</v>
      </c>
      <c r="BU118" s="75">
        <f>BU117+BU116</f>
        <v>303060</v>
      </c>
      <c r="BV118" s="194">
        <f>SUM(BR118:BU118)</f>
        <v>1147430</v>
      </c>
      <c r="BW118" s="75">
        <f>BW117+BW116</f>
        <v>221713.40899999999</v>
      </c>
      <c r="BX118" s="75">
        <f>BX117+BX116</f>
        <v>306327.09660000005</v>
      </c>
      <c r="BY118" s="75">
        <f>BY117+BY116</f>
        <v>313729.20319999999</v>
      </c>
      <c r="BZ118" s="75">
        <f>BZ117+BZ116</f>
        <v>337396.85519999999</v>
      </c>
      <c r="CA118" s="194">
        <f>SUM(BW118:BZ118)</f>
        <v>1179166.564</v>
      </c>
    </row>
    <row r="119" spans="1:79" s="53" customFormat="1" ht="13.5">
      <c r="A119"/>
      <c r="C119" s="64" t="s">
        <v>59</v>
      </c>
      <c r="D119" s="232"/>
      <c r="E119" s="232"/>
      <c r="F119" s="232"/>
      <c r="G119" s="232"/>
      <c r="H119" s="232"/>
      <c r="I119" s="232"/>
      <c r="J119" s="232"/>
      <c r="K119" s="232"/>
      <c r="L119" s="232"/>
      <c r="M119" s="59"/>
      <c r="N119" s="59"/>
      <c r="O119" s="337"/>
      <c r="P119" s="338"/>
      <c r="Q119" s="338"/>
      <c r="R119" s="334"/>
      <c r="S119" s="348"/>
      <c r="T119" s="337">
        <f>T118/O118-1</f>
        <v>0.22984390086900541</v>
      </c>
      <c r="U119" s="338">
        <f>U118/P118-1</f>
        <v>0.21914540971015084</v>
      </c>
      <c r="V119" s="338">
        <f>V118/Q118-1</f>
        <v>0.25039650303663308</v>
      </c>
      <c r="W119" s="334">
        <f>W118/R118-1</f>
        <v>0.28834398686646412</v>
      </c>
      <c r="X119" s="334">
        <f>X118/S118-1</f>
        <v>0.24849864998606752</v>
      </c>
      <c r="Y119" s="341">
        <f t="shared" ref="Y119:AG119" si="109">Y118/T118-1</f>
        <v>0.28999967287120931</v>
      </c>
      <c r="Z119" s="342">
        <f t="shared" si="109"/>
        <v>0.29159758604682007</v>
      </c>
      <c r="AA119" s="342">
        <f t="shared" si="109"/>
        <v>0.29693107288701892</v>
      </c>
      <c r="AB119" s="342">
        <f t="shared" si="109"/>
        <v>0.2313198134692549</v>
      </c>
      <c r="AC119" s="343">
        <f t="shared" si="109"/>
        <v>0.27543771885942969</v>
      </c>
      <c r="AD119" s="344">
        <f t="shared" si="109"/>
        <v>0.21435816807830799</v>
      </c>
      <c r="AE119" s="344">
        <f t="shared" si="109"/>
        <v>0.25051345245430268</v>
      </c>
      <c r="AF119" s="344">
        <f t="shared" si="109"/>
        <v>0.23746481560994237</v>
      </c>
      <c r="AG119" s="344">
        <f t="shared" si="109"/>
        <v>0.22597762902941687</v>
      </c>
      <c r="AH119" s="343">
        <f t="shared" ref="AH119:CA119" si="110">AH118/AC118-1</f>
        <v>0.23188554464048661</v>
      </c>
      <c r="AI119" s="344">
        <f t="shared" si="110"/>
        <v>0.22434063524547376</v>
      </c>
      <c r="AJ119" s="344">
        <f t="shared" si="110"/>
        <v>0.27632929583247789</v>
      </c>
      <c r="AK119" s="344">
        <f t="shared" si="110"/>
        <v>0.3116409969736107</v>
      </c>
      <c r="AL119" s="344">
        <f t="shared" si="110"/>
        <v>0.29736525440471273</v>
      </c>
      <c r="AM119" s="343">
        <f t="shared" si="110"/>
        <v>0.27884478797764412</v>
      </c>
      <c r="AN119" s="344">
        <f t="shared" si="110"/>
        <v>0.27920859628176697</v>
      </c>
      <c r="AO119" s="344">
        <f t="shared" si="110"/>
        <v>0.27994209425768046</v>
      </c>
      <c r="AP119" s="344">
        <f t="shared" si="110"/>
        <v>0.25853859267532764</v>
      </c>
      <c r="AQ119" s="344">
        <f t="shared" si="110"/>
        <v>0.31632427044686851</v>
      </c>
      <c r="AR119" s="343">
        <f t="shared" si="110"/>
        <v>0.28426535927685004</v>
      </c>
      <c r="AS119" s="344">
        <f t="shared" si="110"/>
        <v>0.2805200000000001</v>
      </c>
      <c r="AT119" s="344">
        <f t="shared" si="110"/>
        <v>0.26254806846457379</v>
      </c>
      <c r="AU119" s="344">
        <f t="shared" si="110"/>
        <v>0.33546639263860989</v>
      </c>
      <c r="AV119" s="344">
        <f t="shared" si="110"/>
        <v>0.38128641440380284</v>
      </c>
      <c r="AW119" s="343">
        <f t="shared" si="110"/>
        <v>0.31886452567283841</v>
      </c>
      <c r="AX119" s="344">
        <f t="shared" si="110"/>
        <v>0.44455898124720172</v>
      </c>
      <c r="AY119" s="344">
        <f t="shared" si="110"/>
        <v>0.43515219079091438</v>
      </c>
      <c r="AZ119" s="344">
        <f t="shared" si="110"/>
        <v>0.38136126753174082</v>
      </c>
      <c r="BA119" s="344">
        <f t="shared" si="110"/>
        <v>0.37376752118531154</v>
      </c>
      <c r="BB119" s="343">
        <f t="shared" si="110"/>
        <v>0.405051898419303</v>
      </c>
      <c r="BC119" s="344">
        <f t="shared" si="110"/>
        <v>0.33796329666844471</v>
      </c>
      <c r="BD119" s="344">
        <f t="shared" si="110"/>
        <v>0.34807606946679237</v>
      </c>
      <c r="BE119" s="344">
        <f t="shared" si="110"/>
        <v>0.26994265024243891</v>
      </c>
      <c r="BF119" s="344">
        <f t="shared" si="110"/>
        <v>0.17677019597410659</v>
      </c>
      <c r="BG119" s="343">
        <f t="shared" si="110"/>
        <v>0.2762051605593181</v>
      </c>
      <c r="BH119" s="344">
        <f t="shared" si="110"/>
        <v>0.17823414376606106</v>
      </c>
      <c r="BI119" s="344">
        <f t="shared" si="110"/>
        <v>0.14388977779607037</v>
      </c>
      <c r="BJ119" s="344">
        <f t="shared" si="110"/>
        <v>0.1819731536264535</v>
      </c>
      <c r="BK119" s="344">
        <f t="shared" si="110"/>
        <v>0.14297286732257319</v>
      </c>
      <c r="BL119" s="343">
        <f t="shared" si="110"/>
        <v>0.16131949121121081</v>
      </c>
      <c r="BM119" s="344">
        <f t="shared" si="110"/>
        <v>0.1240803822500629</v>
      </c>
      <c r="BN119" s="344">
        <f t="shared" si="110"/>
        <v>0.1259967886875446</v>
      </c>
      <c r="BO119" s="344">
        <f t="shared" si="110"/>
        <v>0.17612627619332777</v>
      </c>
      <c r="BP119" s="344">
        <f t="shared" si="110"/>
        <v>0.14483443490300152</v>
      </c>
      <c r="BQ119" s="343">
        <f t="shared" si="110"/>
        <v>0.14341500707491583</v>
      </c>
      <c r="BR119" s="344">
        <f t="shared" si="110"/>
        <v>0.11999170198745546</v>
      </c>
      <c r="BS119" s="344">
        <f t="shared" si="110"/>
        <v>0.10431670481280442</v>
      </c>
      <c r="BT119" s="344">
        <f t="shared" si="110"/>
        <v>4.8993173082439334E-2</v>
      </c>
      <c r="BU119" s="344">
        <f t="shared" si="110"/>
        <v>9.0799149129153101E-2</v>
      </c>
      <c r="BV119" s="343">
        <f t="shared" si="110"/>
        <v>8.9755765848247293E-2</v>
      </c>
      <c r="BW119" s="344">
        <f t="shared" si="110"/>
        <v>-0.19476790961026513</v>
      </c>
      <c r="BX119" s="344">
        <f t="shared" si="110"/>
        <v>0.10799799109484254</v>
      </c>
      <c r="BY119" s="344">
        <f t="shared" si="110"/>
        <v>7.2358501503964945E-2</v>
      </c>
      <c r="BZ119" s="344">
        <f t="shared" si="110"/>
        <v>0.11330051870916646</v>
      </c>
      <c r="CA119" s="343">
        <f t="shared" si="110"/>
        <v>2.7658823631942608E-2</v>
      </c>
    </row>
    <row r="120" spans="1:79" s="53" customFormat="1" ht="13.9" thickBot="1">
      <c r="A120"/>
      <c r="C120" s="60" t="s">
        <v>58</v>
      </c>
      <c r="D120" s="232"/>
      <c r="E120" s="232"/>
      <c r="F120" s="232"/>
      <c r="G120" s="232"/>
      <c r="H120" s="232"/>
      <c r="I120" s="232"/>
      <c r="J120" s="232"/>
      <c r="K120" s="232"/>
      <c r="L120" s="232"/>
      <c r="M120" s="59"/>
      <c r="N120" s="59"/>
      <c r="O120" s="58"/>
      <c r="P120" s="339"/>
      <c r="Q120" s="339"/>
      <c r="R120" s="57"/>
      <c r="S120" s="333"/>
      <c r="T120" s="58"/>
      <c r="U120" s="339"/>
      <c r="V120" s="339"/>
      <c r="W120" s="57"/>
      <c r="X120" s="56"/>
      <c r="Y120" s="345">
        <f>Y118/W118-1</f>
        <v>6.9135668582583243E-2</v>
      </c>
      <c r="Z120" s="346">
        <f>Z118/Y118-1</f>
        <v>-1.2222954810569564E-2</v>
      </c>
      <c r="AA120" s="346">
        <f>AA118/Z118-1</f>
        <v>7.6247689463955659E-2</v>
      </c>
      <c r="AB120" s="346">
        <f>AB118/AA118-1</f>
        <v>8.3345260245217379E-2</v>
      </c>
      <c r="AC120" s="55"/>
      <c r="AD120" s="346">
        <f>AD118/AB118-1</f>
        <v>5.4408138101109671E-2</v>
      </c>
      <c r="AE120" s="347">
        <f>AE118/AD118-1</f>
        <v>1.7186292730803743E-2</v>
      </c>
      <c r="AF120" s="347">
        <f>AF118/AE118-1</f>
        <v>6.5017450215561379E-2</v>
      </c>
      <c r="AG120" s="347">
        <f>AG118/AF118-1</f>
        <v>7.3288740675058417E-2</v>
      </c>
      <c r="AH120" s="54"/>
      <c r="AI120" s="346">
        <f>AI118/AG118-1</f>
        <v>5.300023348120475E-2</v>
      </c>
      <c r="AJ120" s="347">
        <f>AJ118/AI118-1</f>
        <v>6.0378645744499471E-2</v>
      </c>
      <c r="AK120" s="347">
        <f>AK118/AJ118-1</f>
        <v>9.4482869551230531E-2</v>
      </c>
      <c r="AL120" s="347">
        <f>AL118/AK118-1</f>
        <v>6.1607195344189014E-2</v>
      </c>
      <c r="AM120" s="54"/>
      <c r="AN120" s="346">
        <f>AN118/AL118-1</f>
        <v>3.8263469738080813E-2</v>
      </c>
      <c r="AO120" s="347">
        <f>AO118/AN118-1</f>
        <v>6.0986666666666745E-2</v>
      </c>
      <c r="AP120" s="347">
        <f>AP118/AO118-1</f>
        <v>7.6180662025284729E-2</v>
      </c>
      <c r="AQ120" s="347">
        <f>AQ118/AP118-1</f>
        <v>0.11035078705217427</v>
      </c>
      <c r="AR120" s="54"/>
      <c r="AS120" s="346">
        <f>AS118/AQ118-1</f>
        <v>1.002250594198939E-2</v>
      </c>
      <c r="AT120" s="347">
        <f>AT118/AS118-1</f>
        <v>4.609585689147111E-2</v>
      </c>
      <c r="AU120" s="347">
        <f>AU118/AT118-1</f>
        <v>0.13833535723528367</v>
      </c>
      <c r="AV120" s="347">
        <f>AV118/AU118-1</f>
        <v>0.14844706376132355</v>
      </c>
      <c r="AW120" s="54"/>
      <c r="AX120" s="346">
        <f>AX118/AV118-1</f>
        <v>5.6288592290297812E-2</v>
      </c>
      <c r="AY120" s="347">
        <f>AY118/AX118-1</f>
        <v>3.9283809304135886E-2</v>
      </c>
      <c r="AZ120" s="347">
        <f>AZ118/AY118-1</f>
        <v>9.5669422404704996E-2</v>
      </c>
      <c r="BA120" s="347">
        <f>BA118/AZ118-1</f>
        <v>0.14213371482105108</v>
      </c>
      <c r="BB120" s="54"/>
      <c r="BC120" s="346">
        <f>BC118/BA118-1</f>
        <v>2.8758756761550153E-2</v>
      </c>
      <c r="BD120" s="347">
        <f>BD118/BC118-1</f>
        <v>4.7139062929302256E-2</v>
      </c>
      <c r="BE120" s="347">
        <f>BE118/BD118-1</f>
        <v>3.2165292147491087E-2</v>
      </c>
      <c r="BF120" s="347">
        <f>BF118/BE118-1</f>
        <v>5.8338276269420675E-2</v>
      </c>
      <c r="BG120" s="54"/>
      <c r="BH120" s="346">
        <f>BH118/BF118-1</f>
        <v>3.003857257908793E-2</v>
      </c>
      <c r="BI120" s="347">
        <f>BI118/BH118-1</f>
        <v>1.6615989574998213E-2</v>
      </c>
      <c r="BJ120" s="347">
        <f>BJ118/BI118-1</f>
        <v>6.6529038990010836E-2</v>
      </c>
      <c r="BK120" s="347">
        <f>BK118/BJ118-1</f>
        <v>2.34174359320376E-2</v>
      </c>
      <c r="BL120" s="54"/>
      <c r="BM120" s="346">
        <f>BM118/BK118-1</f>
        <v>1.3012806777537911E-2</v>
      </c>
      <c r="BN120" s="347">
        <f>BN118/BM118-1</f>
        <v>1.8349183622001108E-2</v>
      </c>
      <c r="BO120" s="347">
        <f>BO118/BN118-1</f>
        <v>0.11401101644478007</v>
      </c>
      <c r="BP120" s="347">
        <f>BP118/BO118-1</f>
        <v>-3.8114566003097927E-3</v>
      </c>
      <c r="BQ120" s="54"/>
      <c r="BR120" s="346">
        <f>BR118/BP118-1</f>
        <v>-8.9694168799242524E-3</v>
      </c>
      <c r="BS120" s="347">
        <f>BS118/BR118-1</f>
        <v>4.096738226417429E-3</v>
      </c>
      <c r="BT120" s="347">
        <f>BT118/BS118-1</f>
        <v>5.8201823712604295E-2</v>
      </c>
      <c r="BU120" s="347">
        <f>BU118/BT118-1</f>
        <v>3.5890073831009062E-2</v>
      </c>
      <c r="BV120" s="54"/>
      <c r="BW120" s="346">
        <f>BW118/BU118-1</f>
        <v>-0.26841744539035184</v>
      </c>
      <c r="BX120" s="347">
        <f>BX118/BW118-1</f>
        <v>0.38163540934053319</v>
      </c>
      <c r="BY120" s="347">
        <f>BY118/BX118-1</f>
        <v>2.4164060842666979E-2</v>
      </c>
      <c r="BZ120" s="347">
        <f>BZ118/BY118-1</f>
        <v>7.5439747905495569E-2</v>
      </c>
      <c r="CA120" s="54"/>
    </row>
    <row r="121" spans="1:79" s="53" customFormat="1" ht="13.5">
      <c r="A121"/>
      <c r="C121" s="232"/>
      <c r="D121" s="232"/>
      <c r="E121" s="232"/>
      <c r="F121" s="232"/>
      <c r="G121" s="232"/>
      <c r="H121" s="232"/>
      <c r="I121" s="232"/>
      <c r="J121" s="232"/>
      <c r="K121" s="232"/>
      <c r="L121" s="232"/>
      <c r="M121" s="59"/>
      <c r="N121" s="59"/>
      <c r="O121" s="59"/>
      <c r="P121" s="59"/>
      <c r="Q121" s="59"/>
      <c r="R121" s="59"/>
      <c r="S121" s="59"/>
      <c r="T121" s="63"/>
      <c r="U121" s="63"/>
      <c r="V121" s="63"/>
      <c r="W121" s="63"/>
      <c r="X121" s="59"/>
      <c r="Y121" s="231"/>
      <c r="Z121" s="231"/>
      <c r="AA121" s="231"/>
      <c r="AB121" s="231"/>
      <c r="AC121" s="230"/>
      <c r="AD121" s="231"/>
      <c r="AE121" s="61"/>
      <c r="AF121" s="61"/>
      <c r="AG121" s="61"/>
      <c r="AH121" s="229"/>
      <c r="AI121" s="229"/>
      <c r="AJ121" s="229"/>
      <c r="AK121" s="229"/>
      <c r="AL121" s="229"/>
      <c r="AM121" s="229"/>
      <c r="AN121" s="229"/>
      <c r="AO121" s="229"/>
      <c r="AP121" s="229"/>
      <c r="AQ121" s="229"/>
      <c r="AR121" s="229"/>
      <c r="AS121" s="229"/>
      <c r="AT121" s="229"/>
      <c r="AU121" s="229"/>
      <c r="AV121" s="229"/>
      <c r="AW121" s="229"/>
      <c r="AX121" s="229"/>
      <c r="AY121" s="229"/>
      <c r="AZ121" s="229"/>
      <c r="BA121" s="229"/>
      <c r="BB121" s="229"/>
      <c r="BC121" s="229"/>
      <c r="BD121" s="229"/>
      <c r="BE121" s="229"/>
      <c r="BF121" s="229"/>
      <c r="BG121" s="229"/>
      <c r="BH121" s="229"/>
      <c r="BI121" s="229"/>
      <c r="BJ121" s="229"/>
      <c r="BK121" s="229"/>
      <c r="BL121" s="229"/>
      <c r="BM121" s="229"/>
      <c r="BN121" s="229"/>
      <c r="BO121" s="229"/>
      <c r="BP121" s="229"/>
      <c r="BQ121" s="229"/>
      <c r="BR121" s="229"/>
      <c r="BS121" s="229"/>
      <c r="BT121" s="229"/>
      <c r="BU121" s="229"/>
      <c r="BV121" s="229"/>
      <c r="BW121" s="229"/>
      <c r="BX121" s="229"/>
      <c r="BY121" s="229"/>
      <c r="BZ121" s="229"/>
      <c r="CA121" s="229"/>
    </row>
    <row r="122" spans="1:79" s="53" customFormat="1" ht="13.5">
      <c r="A122"/>
      <c r="C122" s="232"/>
      <c r="D122" s="232"/>
      <c r="E122" s="232"/>
      <c r="F122" s="232"/>
      <c r="G122" s="232"/>
      <c r="H122" s="232"/>
      <c r="I122" s="232"/>
      <c r="J122" s="232"/>
      <c r="K122" s="232"/>
      <c r="L122" s="232"/>
      <c r="M122" s="59"/>
      <c r="N122" s="59"/>
      <c r="O122" s="59"/>
      <c r="P122" s="59"/>
      <c r="Q122" s="59"/>
      <c r="R122" s="59"/>
      <c r="S122" s="59"/>
      <c r="T122" s="63"/>
      <c r="U122" s="63"/>
      <c r="V122" s="63"/>
      <c r="W122" s="63"/>
      <c r="X122" s="59"/>
      <c r="Y122" s="231"/>
      <c r="Z122" s="231"/>
      <c r="AA122" s="231"/>
      <c r="AB122" s="231"/>
      <c r="AC122" s="230"/>
      <c r="AD122" s="231"/>
      <c r="AE122" s="61"/>
      <c r="AF122" s="61"/>
      <c r="AG122" s="61"/>
      <c r="AH122" s="229"/>
      <c r="AI122" s="229"/>
      <c r="AJ122" s="229"/>
      <c r="AK122" s="229"/>
      <c r="AL122" s="229"/>
      <c r="AM122" s="229"/>
      <c r="AN122" s="229"/>
      <c r="AO122" s="229"/>
      <c r="AP122" s="229"/>
      <c r="AQ122" s="229"/>
      <c r="AR122" s="229"/>
      <c r="AS122" s="229"/>
      <c r="AT122" s="229"/>
      <c r="AU122" s="229"/>
      <c r="AV122" s="229"/>
      <c r="AW122" s="229"/>
      <c r="AX122" s="229"/>
      <c r="AY122" s="229"/>
      <c r="AZ122" s="229"/>
      <c r="BA122" s="229"/>
      <c r="BB122" s="229"/>
      <c r="BC122" s="229"/>
      <c r="BD122" s="229"/>
      <c r="BE122" s="229"/>
      <c r="BF122" s="229"/>
      <c r="BG122" s="229"/>
      <c r="BH122" s="229"/>
      <c r="BI122" s="229"/>
      <c r="BJ122" s="229"/>
      <c r="BK122" s="229"/>
      <c r="BL122" s="229"/>
      <c r="BM122" s="229"/>
      <c r="BN122" s="229"/>
      <c r="BO122" s="229"/>
      <c r="BP122" s="229"/>
      <c r="BQ122" s="229"/>
      <c r="BR122" s="229"/>
      <c r="BS122" s="229"/>
      <c r="BT122" s="229"/>
      <c r="BU122" s="229"/>
      <c r="BV122" s="229"/>
      <c r="BW122" s="229"/>
      <c r="BX122" s="229"/>
      <c r="BY122" s="229"/>
      <c r="BZ122" s="229"/>
      <c r="CA122" s="229"/>
    </row>
    <row r="123" spans="1:79" s="53" customFormat="1"/>
    <row r="124" spans="1:79" s="53" customFormat="1" ht="13.15" thickBot="1"/>
    <row r="125" spans="1:79">
      <c r="C125" s="365" t="s">
        <v>247</v>
      </c>
      <c r="D125" s="253"/>
      <c r="E125" s="354">
        <f>E5</f>
        <v>14321.10974</v>
      </c>
      <c r="F125" s="246">
        <f>F5</f>
        <v>15027.739539999999</v>
      </c>
      <c r="G125" s="246">
        <f>G5</f>
        <v>16202.042969999999</v>
      </c>
      <c r="H125" s="265">
        <f>H5</f>
        <v>18271.429219999998</v>
      </c>
      <c r="I125" s="253"/>
      <c r="J125" s="354">
        <f>J5</f>
        <v>19115.124780000002</v>
      </c>
      <c r="K125" s="246">
        <f>K5</f>
        <v>20282.90121</v>
      </c>
      <c r="L125" s="246">
        <f>L5</f>
        <v>21091.220200000003</v>
      </c>
      <c r="M125" s="265">
        <f>M5</f>
        <v>23642.753809999995</v>
      </c>
      <c r="N125" s="124"/>
      <c r="O125" s="354">
        <f>O5</f>
        <v>24274</v>
      </c>
      <c r="P125" s="246">
        <f>P5</f>
        <v>24685</v>
      </c>
      <c r="Q125" s="246">
        <f>Q5</f>
        <v>25869</v>
      </c>
      <c r="R125" s="265">
        <f>R5</f>
        <v>28274</v>
      </c>
      <c r="S125" s="124"/>
      <c r="T125" s="354">
        <f>T5</f>
        <v>30274</v>
      </c>
      <c r="U125" s="246">
        <f>U5</f>
        <v>30274</v>
      </c>
      <c r="V125" s="246">
        <f>V5</f>
        <v>32287</v>
      </c>
      <c r="W125" s="265">
        <f>W5</f>
        <v>36033</v>
      </c>
      <c r="X125" s="124"/>
      <c r="Y125" s="354">
        <f>Y5</f>
        <v>38015</v>
      </c>
      <c r="Z125" s="246">
        <f>Z5</f>
        <v>38886</v>
      </c>
      <c r="AA125" s="246">
        <f>AA5</f>
        <v>40982</v>
      </c>
      <c r="AB125" s="265">
        <f>AB5</f>
        <v>44207</v>
      </c>
      <c r="AC125" s="124"/>
      <c r="AD125" s="354">
        <f>AD5</f>
        <v>47014</v>
      </c>
      <c r="AE125" s="246">
        <f>AE5</f>
        <v>47727</v>
      </c>
      <c r="AF125" s="246">
        <f>AF5</f>
        <v>50081</v>
      </c>
      <c r="AG125" s="265">
        <f>AG5</f>
        <v>55403</v>
      </c>
      <c r="AI125" s="354">
        <f>AI5</f>
        <v>58905</v>
      </c>
      <c r="AJ125" s="246">
        <f>AJ5</f>
        <v>61120</v>
      </c>
      <c r="AK125" s="246">
        <f>AK5</f>
        <v>65304</v>
      </c>
      <c r="AL125" s="265">
        <f>AL5</f>
        <v>72335</v>
      </c>
      <c r="AN125" s="354">
        <f>AN5</f>
        <v>74538</v>
      </c>
      <c r="AO125" s="246">
        <f>AO5</f>
        <v>77436</v>
      </c>
      <c r="AP125" s="246">
        <f>AP5</f>
        <v>83769</v>
      </c>
      <c r="AQ125" s="265">
        <f>AQ5</f>
        <v>92263</v>
      </c>
      <c r="AS125" s="354">
        <f>AS5</f>
        <v>95088</v>
      </c>
      <c r="AT125" s="246">
        <f>AT5</f>
        <v>99792</v>
      </c>
      <c r="AU125" s="246">
        <f>AU5</f>
        <v>112143</v>
      </c>
      <c r="AV125" s="265">
        <f>AV5</f>
        <v>127885</v>
      </c>
      <c r="AX125" s="354">
        <f>AX5</f>
        <v>137882</v>
      </c>
      <c r="AY125" s="246">
        <f>AY5</f>
        <v>143782</v>
      </c>
      <c r="AZ125" s="246">
        <f>AZ5</f>
        <v>154328</v>
      </c>
      <c r="BA125" s="265">
        <f>BA5</f>
        <v>173599</v>
      </c>
      <c r="BC125" s="354">
        <f>BC5</f>
        <v>182777</v>
      </c>
      <c r="BD125" s="246">
        <f>BD5</f>
        <v>189382</v>
      </c>
      <c r="BE125" s="246">
        <f>BE5</f>
        <v>198342</v>
      </c>
      <c r="BF125" s="265">
        <f>BF5</f>
        <v>208345</v>
      </c>
      <c r="BH125" s="354">
        <f>BH5</f>
        <v>218439</v>
      </c>
      <c r="BI125" s="246">
        <f>BI5</f>
        <v>222882</v>
      </c>
      <c r="BJ125" s="246">
        <f>BJ5</f>
        <v>230105</v>
      </c>
      <c r="BK125" s="265">
        <f>BK5</f>
        <v>239062</v>
      </c>
      <c r="BM125" s="354">
        <f>BM5</f>
        <v>247010</v>
      </c>
      <c r="BN125" s="246">
        <f>BN5</f>
        <v>252086</v>
      </c>
      <c r="BO125" s="246">
        <f>BO5</f>
        <v>264182</v>
      </c>
      <c r="BP125" s="265">
        <f>BP5</f>
        <v>278660</v>
      </c>
      <c r="BR125" s="354">
        <f>BR5</f>
        <v>279705</v>
      </c>
      <c r="BS125" s="246">
        <f>BS5</f>
        <v>283269</v>
      </c>
      <c r="BT125" s="246">
        <f>BT5</f>
        <v>285832</v>
      </c>
      <c r="BU125" s="265">
        <f>BU5</f>
        <v>300282</v>
      </c>
      <c r="BW125" s="354">
        <f>BW5</f>
        <v>299228.40899999999</v>
      </c>
      <c r="BX125" s="246">
        <f>BX5</f>
        <v>306327.09660000005</v>
      </c>
      <c r="BY125" s="246">
        <f>BY5</f>
        <v>313729.20319999999</v>
      </c>
      <c r="BZ125" s="265">
        <f>BZ5</f>
        <v>337396.85519999999</v>
      </c>
    </row>
    <row r="126" spans="1:79">
      <c r="C126" s="207" t="s">
        <v>160</v>
      </c>
      <c r="D126" s="253"/>
      <c r="E126" s="367"/>
      <c r="F126" s="124"/>
      <c r="G126" s="124"/>
      <c r="H126" s="154">
        <f>H125+G125+F125+E125</f>
        <v>63822.321469999995</v>
      </c>
      <c r="I126" s="253"/>
      <c r="J126" s="367">
        <f>J125+H125+G125+F125</f>
        <v>68616.336509999994</v>
      </c>
      <c r="K126" s="124">
        <f>K125+J125+H125+G125</f>
        <v>73871.498179999995</v>
      </c>
      <c r="L126" s="124">
        <f>L125+K125+J125+H125</f>
        <v>78760.675409999996</v>
      </c>
      <c r="M126" s="154">
        <f>M125+L125+K125+J125</f>
        <v>84132</v>
      </c>
      <c r="O126" s="367">
        <f>O125+M125+L125+K125</f>
        <v>89290.875220000002</v>
      </c>
      <c r="P126" s="124">
        <f>P125+O125+M125+L125</f>
        <v>93692.974010000005</v>
      </c>
      <c r="Q126" s="124">
        <f>Q125+P125+O125+M125</f>
        <v>98470.753809999995</v>
      </c>
      <c r="R126" s="154">
        <f>R125+Q125+P125+O125</f>
        <v>103102</v>
      </c>
      <c r="T126" s="367">
        <f>T125+R125+Q125+P125</f>
        <v>109102</v>
      </c>
      <c r="U126" s="124">
        <f>U125+T125+R125+Q125</f>
        <v>114691</v>
      </c>
      <c r="V126" s="124">
        <f>V125+U125+T125+R125</f>
        <v>121109</v>
      </c>
      <c r="W126" s="154">
        <f>W125+V125+U125+T125</f>
        <v>128868</v>
      </c>
      <c r="Y126" s="367">
        <f>Y125+W125+V125+U125</f>
        <v>136609</v>
      </c>
      <c r="Z126" s="124">
        <f>Z125+Y125+W125+V125</f>
        <v>145221</v>
      </c>
      <c r="AA126" s="124">
        <f>AA125+Z125+Y125+W125</f>
        <v>153916</v>
      </c>
      <c r="AB126" s="154">
        <f>AB125+AA125+Z125+Y125</f>
        <v>162090</v>
      </c>
      <c r="AD126" s="367">
        <f>AD125+AB125+AA125+Z125</f>
        <v>171089</v>
      </c>
      <c r="AE126" s="124">
        <f>AE125+AD125+AB125+AA125</f>
        <v>179930</v>
      </c>
      <c r="AF126" s="124">
        <f>AF125+AE125+AD125+AB125</f>
        <v>189029</v>
      </c>
      <c r="AG126" s="154">
        <f>AG125+AF125+AE125+AD125</f>
        <v>200225</v>
      </c>
      <c r="AI126" s="367">
        <f>AI125+AG125+AF125+AE125</f>
        <v>212116</v>
      </c>
      <c r="AJ126" s="124">
        <f>AJ125+AI125+AG125+AF125</f>
        <v>225509</v>
      </c>
      <c r="AK126" s="124">
        <f>AK125+AJ125+AI125+AG125</f>
        <v>240732</v>
      </c>
      <c r="AL126" s="154">
        <f>AL125+AK125+AJ125+AI125</f>
        <v>257664</v>
      </c>
      <c r="AN126" s="367">
        <f>AN125+AL125+AK125+AJ125</f>
        <v>273297</v>
      </c>
      <c r="AO126" s="124">
        <f>AO125+AN125+AL125+AK125</f>
        <v>289613</v>
      </c>
      <c r="AP126" s="124">
        <f>AP125+AO125+AN125+AL125</f>
        <v>308078</v>
      </c>
      <c r="AQ126" s="154">
        <f>AQ125+AP125+AO125+AN125</f>
        <v>328006</v>
      </c>
      <c r="AS126" s="367">
        <f>AS125+AQ125+AP125+AO125</f>
        <v>348556</v>
      </c>
      <c r="AT126" s="124">
        <f>AT125+AS125+AQ125+AP125</f>
        <v>370912</v>
      </c>
      <c r="AU126" s="124">
        <f>AU125+AT125+AS125+AQ125</f>
        <v>399286</v>
      </c>
      <c r="AV126" s="154">
        <f>AV125+AU125+AT125+AS125</f>
        <v>434908</v>
      </c>
      <c r="AX126" s="367">
        <f>AX125+AV125+AU125+AT125</f>
        <v>477702</v>
      </c>
      <c r="AY126" s="124">
        <f>AY125+AX125+AV125+AU125</f>
        <v>521692</v>
      </c>
      <c r="AZ126" s="124">
        <f>AZ125+AY125+AX125+AV125</f>
        <v>563877</v>
      </c>
      <c r="BA126" s="154">
        <f>BA125+AZ125+AY125+AX125</f>
        <v>609591</v>
      </c>
      <c r="BC126" s="367">
        <f>BC125+BA125+AZ125+AY125</f>
        <v>654486</v>
      </c>
      <c r="BD126" s="124">
        <f>BD125+BC125+BA125+AZ125</f>
        <v>700086</v>
      </c>
      <c r="BE126" s="124">
        <f>BE125+BD125+BC125+BA125</f>
        <v>744100</v>
      </c>
      <c r="BF126" s="154">
        <f>BF125+BE125+BD125+BC125</f>
        <v>778846</v>
      </c>
      <c r="BH126" s="367">
        <f>BH125+BF125+BE125+BD125</f>
        <v>814508</v>
      </c>
      <c r="BI126" s="124">
        <f>BI125+BH125+BF125+BE125</f>
        <v>848008</v>
      </c>
      <c r="BJ126" s="124">
        <f>BJ125+BI125+BH125+BF125</f>
        <v>879771</v>
      </c>
      <c r="BK126" s="154">
        <f>BK125+BJ125+BI125+BH125</f>
        <v>910488</v>
      </c>
      <c r="BM126" s="367">
        <f>BM125+BK125+BJ125+BI125</f>
        <v>939059</v>
      </c>
      <c r="BN126" s="124">
        <f>BN125+BM125+BK125+BJ125</f>
        <v>968263</v>
      </c>
      <c r="BO126" s="124">
        <f>BO125+BN125+BM125+BK125</f>
        <v>1002340</v>
      </c>
      <c r="BP126" s="154">
        <f>BP125+BO125+BN125+BM125</f>
        <v>1041938</v>
      </c>
      <c r="BR126" s="367">
        <f>BR125+BP125+BO125+BN125</f>
        <v>1074633</v>
      </c>
      <c r="BS126" s="124">
        <f>BS125+BR125+BP125+BO125</f>
        <v>1105816</v>
      </c>
      <c r="BT126" s="124">
        <f>BT125+BS125+BR125+BP125</f>
        <v>1127466</v>
      </c>
      <c r="BU126" s="154">
        <f>BU125+BT125+BS125+BR125</f>
        <v>1149088</v>
      </c>
      <c r="BW126" s="367">
        <f>BW125+BU125+BT125+BS125</f>
        <v>1168611.409</v>
      </c>
      <c r="BX126" s="124">
        <f>BX125+BW125+BU125+BT125</f>
        <v>1191669.5056</v>
      </c>
      <c r="BY126" s="124">
        <f>BY125+BX125+BW125+BU125</f>
        <v>1219566.7088000001</v>
      </c>
      <c r="BZ126" s="154">
        <f>BZ125+BY125+BX125+BW125</f>
        <v>1256681.564</v>
      </c>
    </row>
    <row r="127" spans="1:79">
      <c r="C127" s="207" t="s">
        <v>161</v>
      </c>
      <c r="D127" s="253"/>
      <c r="E127" s="112"/>
      <c r="H127" s="154"/>
      <c r="I127" s="253"/>
      <c r="J127" s="112"/>
      <c r="M127" s="154">
        <f>M126-H126</f>
        <v>20309.678530000005</v>
      </c>
      <c r="O127" s="367">
        <f>O126-J126</f>
        <v>20674.538710000008</v>
      </c>
      <c r="P127" s="124">
        <f>P126-K126</f>
        <v>19821.47583000001</v>
      </c>
      <c r="Q127" s="124">
        <f>Q126-L126</f>
        <v>19710.078399999999</v>
      </c>
      <c r="R127" s="154">
        <f>R126-M126</f>
        <v>18970</v>
      </c>
      <c r="T127" s="367">
        <f>T126-O126</f>
        <v>19811.124779999998</v>
      </c>
      <c r="U127" s="124">
        <f>U126-P126</f>
        <v>20998.025989999995</v>
      </c>
      <c r="V127" s="124">
        <f>V126-Q126</f>
        <v>22638.246190000005</v>
      </c>
      <c r="W127" s="154">
        <f>W126-R126</f>
        <v>25766</v>
      </c>
      <c r="X127" s="124"/>
      <c r="Y127" s="367">
        <f>Y126-T126</f>
        <v>27507</v>
      </c>
      <c r="Z127" s="124">
        <f>Z126-U126</f>
        <v>30530</v>
      </c>
      <c r="AA127" s="124">
        <f>AA126-V126</f>
        <v>32807</v>
      </c>
      <c r="AB127" s="154">
        <f>AB126-W126</f>
        <v>33222</v>
      </c>
      <c r="AC127" s="124"/>
      <c r="AD127" s="367">
        <f>AD126-Y126</f>
        <v>34480</v>
      </c>
      <c r="AE127" s="124">
        <f>AE126-Z126</f>
        <v>34709</v>
      </c>
      <c r="AF127" s="124">
        <f>AF126-AA126</f>
        <v>35113</v>
      </c>
      <c r="AG127" s="154">
        <f>AG126-AB126</f>
        <v>38135</v>
      </c>
      <c r="AI127" s="367">
        <f>AI126-AD126</f>
        <v>41027</v>
      </c>
      <c r="AJ127" s="124">
        <f>AJ126-AE126</f>
        <v>45579</v>
      </c>
      <c r="AK127" s="124">
        <f>AK126-AF126</f>
        <v>51703</v>
      </c>
      <c r="AL127" s="154">
        <f>AL126-AG126</f>
        <v>57439</v>
      </c>
      <c r="AN127" s="367">
        <f>AN126-AI126</f>
        <v>61181</v>
      </c>
      <c r="AO127" s="124">
        <f>AO126-AJ126</f>
        <v>64104</v>
      </c>
      <c r="AP127" s="124">
        <f>AP126-AK126</f>
        <v>67346</v>
      </c>
      <c r="AQ127" s="154">
        <f>AQ126-AL126</f>
        <v>70342</v>
      </c>
      <c r="AS127" s="367">
        <f>AS126-AN126</f>
        <v>75259</v>
      </c>
      <c r="AT127" s="124">
        <f>AT126-AO126</f>
        <v>81299</v>
      </c>
      <c r="AU127" s="124">
        <f>AU126-AP126</f>
        <v>91208</v>
      </c>
      <c r="AV127" s="154">
        <f>AV126-AQ126</f>
        <v>106902</v>
      </c>
      <c r="AX127" s="367">
        <f>AX126-AS126</f>
        <v>129146</v>
      </c>
      <c r="AY127" s="124">
        <f>AY126-AT126</f>
        <v>150780</v>
      </c>
      <c r="AZ127" s="124">
        <f>AZ126-AU126</f>
        <v>164591</v>
      </c>
      <c r="BA127" s="154">
        <f>BA126-AV126</f>
        <v>174683</v>
      </c>
      <c r="BC127" s="367">
        <f>BC126-AX126</f>
        <v>176784</v>
      </c>
      <c r="BD127" s="124">
        <f>BD126-AY126</f>
        <v>178394</v>
      </c>
      <c r="BE127" s="124">
        <f>BE126-AZ126</f>
        <v>180223</v>
      </c>
      <c r="BF127" s="154">
        <f>BF126-BA126</f>
        <v>169255</v>
      </c>
      <c r="BH127" s="367">
        <f>BH126-BC126</f>
        <v>160022</v>
      </c>
      <c r="BI127" s="124">
        <f>BI126-BD126</f>
        <v>147922</v>
      </c>
      <c r="BJ127" s="124">
        <f>BJ126-BE126</f>
        <v>135671</v>
      </c>
      <c r="BK127" s="154">
        <f>BK126-BF126</f>
        <v>131642</v>
      </c>
      <c r="BM127" s="367">
        <f>BM126-BH126</f>
        <v>124551</v>
      </c>
      <c r="BN127" s="124">
        <f>BN126-BI126</f>
        <v>120255</v>
      </c>
      <c r="BO127" s="124">
        <f>BO126-BJ126</f>
        <v>122569</v>
      </c>
      <c r="BP127" s="154">
        <f>BP126-BK126</f>
        <v>131450</v>
      </c>
      <c r="BR127" s="367">
        <f>BR126-BM126</f>
        <v>135574</v>
      </c>
      <c r="BS127" s="124">
        <f>BS126-BN126</f>
        <v>137553</v>
      </c>
      <c r="BT127" s="124">
        <f>BT126-BO126</f>
        <v>125126</v>
      </c>
      <c r="BU127" s="154">
        <f>BU126-BP126</f>
        <v>107150</v>
      </c>
      <c r="BW127" s="367">
        <f>BW126-BR126</f>
        <v>93978.408999999985</v>
      </c>
      <c r="BX127" s="124">
        <f>BX126-BS126</f>
        <v>85853.505600000033</v>
      </c>
      <c r="BY127" s="124">
        <f>BY126-BT126</f>
        <v>92100.708800000139</v>
      </c>
      <c r="BZ127" s="154">
        <f>BZ126-BU126</f>
        <v>107593.56400000001</v>
      </c>
    </row>
    <row r="128" spans="1:79">
      <c r="C128" s="207" t="s">
        <v>162</v>
      </c>
      <c r="D128" s="253"/>
      <c r="E128" s="368">
        <v>0.95</v>
      </c>
      <c r="F128" s="369">
        <v>0.95</v>
      </c>
      <c r="G128" s="369">
        <v>0.95</v>
      </c>
      <c r="H128" s="370">
        <v>0.95</v>
      </c>
      <c r="I128" s="253"/>
      <c r="J128" s="368">
        <v>0.95</v>
      </c>
      <c r="K128" s="369">
        <v>0.95</v>
      </c>
      <c r="L128" s="369">
        <v>0.95</v>
      </c>
      <c r="M128" s="370">
        <v>0.95</v>
      </c>
      <c r="O128" s="368">
        <v>0.95</v>
      </c>
      <c r="P128" s="369">
        <v>0.95</v>
      </c>
      <c r="Q128" s="369">
        <v>0.95</v>
      </c>
      <c r="R128" s="370">
        <v>0.95</v>
      </c>
      <c r="S128" s="369"/>
      <c r="T128" s="368">
        <v>0.95</v>
      </c>
      <c r="U128" s="369">
        <v>0.95</v>
      </c>
      <c r="V128" s="369">
        <v>0.95</v>
      </c>
      <c r="W128" s="370">
        <v>0.95</v>
      </c>
      <c r="X128" s="369"/>
      <c r="Y128" s="368">
        <v>0.95</v>
      </c>
      <c r="Z128" s="369">
        <v>0.95</v>
      </c>
      <c r="AA128" s="369">
        <v>0.95</v>
      </c>
      <c r="AB128" s="370">
        <v>0.95</v>
      </c>
      <c r="AC128" s="369"/>
      <c r="AD128" s="368">
        <v>0.95</v>
      </c>
      <c r="AE128" s="369">
        <v>0.95</v>
      </c>
      <c r="AF128" s="369">
        <v>0.95</v>
      </c>
      <c r="AG128" s="370">
        <v>0.95</v>
      </c>
      <c r="AI128" s="368">
        <v>0.95</v>
      </c>
      <c r="AJ128" s="369">
        <v>0.95</v>
      </c>
      <c r="AK128" s="369">
        <v>0.95</v>
      </c>
      <c r="AL128" s="370">
        <v>0.95</v>
      </c>
      <c r="AN128" s="368">
        <v>0.95</v>
      </c>
      <c r="AO128" s="369">
        <v>0.95</v>
      </c>
      <c r="AP128" s="369">
        <v>0.95</v>
      </c>
      <c r="AQ128" s="370">
        <v>0.95</v>
      </c>
      <c r="AS128" s="368">
        <v>0.95</v>
      </c>
      <c r="AT128" s="369">
        <v>0.95</v>
      </c>
      <c r="AU128" s="369">
        <v>0.95</v>
      </c>
      <c r="AV128" s="370">
        <v>0.95</v>
      </c>
      <c r="AX128" s="368">
        <v>0.95</v>
      </c>
      <c r="AY128" s="369">
        <v>0.95</v>
      </c>
      <c r="AZ128" s="369">
        <v>0.95</v>
      </c>
      <c r="BA128" s="370">
        <v>0.95</v>
      </c>
      <c r="BC128" s="368">
        <v>0.95</v>
      </c>
      <c r="BD128" s="369">
        <v>0.95</v>
      </c>
      <c r="BE128" s="369">
        <v>0.95</v>
      </c>
      <c r="BF128" s="370">
        <v>0.95</v>
      </c>
      <c r="BH128" s="368">
        <v>0.95</v>
      </c>
      <c r="BI128" s="369">
        <v>0.95</v>
      </c>
      <c r="BJ128" s="369">
        <v>0.95</v>
      </c>
      <c r="BK128" s="370">
        <v>0.95</v>
      </c>
      <c r="BM128" s="368">
        <v>0.95</v>
      </c>
      <c r="BN128" s="369">
        <v>0.95</v>
      </c>
      <c r="BO128" s="369">
        <v>0.95</v>
      </c>
      <c r="BP128" s="370">
        <v>0.95</v>
      </c>
      <c r="BR128" s="368">
        <v>0.95</v>
      </c>
      <c r="BS128" s="369">
        <v>0.95</v>
      </c>
      <c r="BT128" s="369">
        <v>0.95</v>
      </c>
      <c r="BU128" s="370">
        <v>0.95</v>
      </c>
      <c r="BW128" s="368">
        <v>0.95</v>
      </c>
      <c r="BX128" s="369">
        <v>0.95</v>
      </c>
      <c r="BY128" s="369">
        <v>0.95</v>
      </c>
      <c r="BZ128" s="370">
        <v>0.95</v>
      </c>
    </row>
    <row r="129" spans="3:78">
      <c r="C129" s="207" t="s">
        <v>163</v>
      </c>
      <c r="D129" s="253"/>
      <c r="E129" s="112"/>
      <c r="H129" s="154">
        <f>H128*H126</f>
        <v>60631.205396499994</v>
      </c>
      <c r="I129" s="253"/>
      <c r="J129" s="112"/>
      <c r="M129" s="154">
        <f>M128*M126</f>
        <v>79925.399999999994</v>
      </c>
      <c r="O129" s="367">
        <f>O128*O126</f>
        <v>84826.331458999994</v>
      </c>
      <c r="P129" s="124">
        <f>P128*P126</f>
        <v>89008.325309499996</v>
      </c>
      <c r="Q129" s="124">
        <f>Q128*Q126</f>
        <v>93547.216119499994</v>
      </c>
      <c r="R129" s="154">
        <f>R128*R126</f>
        <v>97946.9</v>
      </c>
      <c r="T129" s="367">
        <f>T128*T126</f>
        <v>103646.9</v>
      </c>
      <c r="U129" s="124">
        <f>U128*U126</f>
        <v>108956.45</v>
      </c>
      <c r="V129" s="124">
        <f>V128*V126</f>
        <v>115053.54999999999</v>
      </c>
      <c r="W129" s="154">
        <f>W128*W126</f>
        <v>122424.59999999999</v>
      </c>
      <c r="X129" s="124"/>
      <c r="Y129" s="367">
        <f>Y128*Y126</f>
        <v>129778.54999999999</v>
      </c>
      <c r="Z129" s="124">
        <f>Z128*Z126</f>
        <v>137959.94999999998</v>
      </c>
      <c r="AA129" s="124">
        <f>AA128*AA126</f>
        <v>146220.19999999998</v>
      </c>
      <c r="AB129" s="154">
        <f>AB128*AB126</f>
        <v>153985.5</v>
      </c>
      <c r="AC129" s="124"/>
      <c r="AD129" s="367">
        <f>AD128*AD126</f>
        <v>162534.54999999999</v>
      </c>
      <c r="AE129" s="124">
        <f>AE128*AE126</f>
        <v>170933.5</v>
      </c>
      <c r="AF129" s="124">
        <f>AF128*AF126</f>
        <v>179577.55</v>
      </c>
      <c r="AG129" s="154">
        <f>AG128*AG126</f>
        <v>190213.75</v>
      </c>
      <c r="AI129" s="367">
        <f>AI128*AI126</f>
        <v>201510.19999999998</v>
      </c>
      <c r="AJ129" s="124">
        <f>AJ128*AJ126</f>
        <v>214233.55</v>
      </c>
      <c r="AK129" s="124">
        <f>AK128*AK126</f>
        <v>228695.4</v>
      </c>
      <c r="AL129" s="154">
        <f>AL128*AL126</f>
        <v>244780.79999999999</v>
      </c>
      <c r="AN129" s="367">
        <f>AN128*AN126</f>
        <v>259632.15</v>
      </c>
      <c r="AO129" s="124">
        <f>AO128*AO126</f>
        <v>275132.34999999998</v>
      </c>
      <c r="AP129" s="124">
        <f>AP128*AP126</f>
        <v>292674.09999999998</v>
      </c>
      <c r="AQ129" s="154">
        <f>AQ128*AQ126</f>
        <v>311605.7</v>
      </c>
      <c r="AS129" s="367">
        <f>AS128*AS126</f>
        <v>331128.2</v>
      </c>
      <c r="AT129" s="124">
        <f>AT128*AT126</f>
        <v>352366.39999999997</v>
      </c>
      <c r="AU129" s="124">
        <f>AU128*AU126</f>
        <v>379321.69999999995</v>
      </c>
      <c r="AV129" s="154">
        <f>AV128*AV126</f>
        <v>413162.6</v>
      </c>
      <c r="AX129" s="367">
        <f>AX128*AX126</f>
        <v>453816.89999999997</v>
      </c>
      <c r="AY129" s="124">
        <f>AY128*AY126</f>
        <v>495607.39999999997</v>
      </c>
      <c r="AZ129" s="124">
        <f>AZ128*AZ126</f>
        <v>535683.15</v>
      </c>
      <c r="BA129" s="154">
        <f>BA128*BA126</f>
        <v>579111.44999999995</v>
      </c>
      <c r="BC129" s="367">
        <f>BC128*BC126</f>
        <v>621761.69999999995</v>
      </c>
      <c r="BD129" s="124">
        <f>BD128*BD126</f>
        <v>665081.69999999995</v>
      </c>
      <c r="BE129" s="124">
        <f>BE128*BE126</f>
        <v>706895</v>
      </c>
      <c r="BF129" s="154">
        <f>BF128*BF126</f>
        <v>739903.7</v>
      </c>
      <c r="BH129" s="367">
        <f>BH128*BH126</f>
        <v>773782.6</v>
      </c>
      <c r="BI129" s="124">
        <f>BI128*BI126</f>
        <v>805607.6</v>
      </c>
      <c r="BJ129" s="124">
        <f>BJ128*BJ126</f>
        <v>835782.45</v>
      </c>
      <c r="BK129" s="154">
        <f>BK128*BK126</f>
        <v>864963.6</v>
      </c>
      <c r="BM129" s="367">
        <f>BM128*BM126</f>
        <v>892106.04999999993</v>
      </c>
      <c r="BN129" s="124">
        <f>BN128*BN126</f>
        <v>919849.85</v>
      </c>
      <c r="BO129" s="124">
        <f>BO128*BO126</f>
        <v>952223</v>
      </c>
      <c r="BP129" s="154">
        <f>BP128*BP126</f>
        <v>989841.1</v>
      </c>
      <c r="BR129" s="367">
        <f>BR128*BR126</f>
        <v>1020901.35</v>
      </c>
      <c r="BS129" s="124">
        <f>BS128*BS126</f>
        <v>1050525.2</v>
      </c>
      <c r="BT129" s="124">
        <f>BT128*BT126</f>
        <v>1071092.7</v>
      </c>
      <c r="BU129" s="154">
        <f>BU128*BU126</f>
        <v>1091633.5999999999</v>
      </c>
      <c r="BW129" s="367">
        <f>BW128*BW126</f>
        <v>1110180.83855</v>
      </c>
      <c r="BX129" s="124">
        <f>BX128*BX126</f>
        <v>1132086.0303199999</v>
      </c>
      <c r="BY129" s="124">
        <f>BY128*BY126</f>
        <v>1158588.3733600001</v>
      </c>
      <c r="BZ129" s="154">
        <f>BZ128*BZ126</f>
        <v>1193847.4857999999</v>
      </c>
    </row>
    <row r="130" spans="3:78">
      <c r="C130" s="207" t="s">
        <v>164</v>
      </c>
      <c r="D130" s="253"/>
      <c r="E130" s="112"/>
      <c r="H130" s="154">
        <f>H126-H129</f>
        <v>3191.1160735000012</v>
      </c>
      <c r="I130" s="253"/>
      <c r="J130" s="112"/>
      <c r="M130" s="154">
        <f>M126-M129</f>
        <v>4206.6000000000058</v>
      </c>
      <c r="N130" s="124"/>
      <c r="O130" s="367">
        <f>O126-O129</f>
        <v>4464.5437610000081</v>
      </c>
      <c r="P130" s="124">
        <f>P126-P129</f>
        <v>4684.648700500009</v>
      </c>
      <c r="Q130" s="124">
        <f>Q126-Q129</f>
        <v>4923.5376905000012</v>
      </c>
      <c r="R130" s="154">
        <f>R126-R129</f>
        <v>5155.1000000000058</v>
      </c>
      <c r="T130" s="367">
        <f>T126-T129</f>
        <v>5455.1000000000058</v>
      </c>
      <c r="U130" s="124">
        <f>U126-U129</f>
        <v>5734.5500000000029</v>
      </c>
      <c r="V130" s="124">
        <f>V126-V129</f>
        <v>6055.4500000000116</v>
      </c>
      <c r="W130" s="154">
        <f>W126-W129</f>
        <v>6443.4000000000087</v>
      </c>
      <c r="X130" s="124"/>
      <c r="Y130" s="367">
        <f>Y126-Y129</f>
        <v>6830.4500000000116</v>
      </c>
      <c r="Z130" s="124">
        <f>Z126-Z129</f>
        <v>7261.0500000000175</v>
      </c>
      <c r="AA130" s="124">
        <f>AA126-AA129</f>
        <v>7695.8000000000175</v>
      </c>
      <c r="AB130" s="154">
        <f>AB126-AB129</f>
        <v>8104.5</v>
      </c>
      <c r="AC130" s="124"/>
      <c r="AD130" s="367">
        <f>AD126-AD129</f>
        <v>8554.4500000000116</v>
      </c>
      <c r="AE130" s="124">
        <f>AE126-AE129</f>
        <v>8996.5</v>
      </c>
      <c r="AF130" s="124">
        <f>AF126-AF129</f>
        <v>9451.4500000000116</v>
      </c>
      <c r="AG130" s="154">
        <f>AG126-AG129</f>
        <v>10011.25</v>
      </c>
      <c r="AI130" s="367">
        <f>AI126-AI129</f>
        <v>10605.800000000017</v>
      </c>
      <c r="AJ130" s="124">
        <f>AJ126-AJ129</f>
        <v>11275.450000000012</v>
      </c>
      <c r="AK130" s="124">
        <f>AK126-AK129</f>
        <v>12036.600000000006</v>
      </c>
      <c r="AL130" s="154">
        <f>AL126-AL129</f>
        <v>12883.200000000012</v>
      </c>
      <c r="AN130" s="367">
        <f>AN126-AN129</f>
        <v>13664.850000000006</v>
      </c>
      <c r="AO130" s="124">
        <f>AO126-AO129</f>
        <v>14480.650000000023</v>
      </c>
      <c r="AP130" s="124">
        <f>AP126-AP129</f>
        <v>15403.900000000023</v>
      </c>
      <c r="AQ130" s="154">
        <f>AQ126-AQ129</f>
        <v>16400.299999999988</v>
      </c>
      <c r="AS130" s="367">
        <f>AS126-AS129</f>
        <v>17427.799999999988</v>
      </c>
      <c r="AT130" s="124">
        <f>AT126-AT129</f>
        <v>18545.600000000035</v>
      </c>
      <c r="AU130" s="124">
        <f>AU126-AU129</f>
        <v>19964.300000000047</v>
      </c>
      <c r="AV130" s="154">
        <f>AV126-AV129</f>
        <v>21745.400000000023</v>
      </c>
      <c r="AX130" s="367">
        <f>AX126-AX129</f>
        <v>23885.100000000035</v>
      </c>
      <c r="AY130" s="124">
        <f>AY126-AY129</f>
        <v>26084.600000000035</v>
      </c>
      <c r="AZ130" s="124">
        <f>AZ126-AZ129</f>
        <v>28193.849999999977</v>
      </c>
      <c r="BA130" s="154">
        <f>BA126-BA129</f>
        <v>30479.550000000047</v>
      </c>
      <c r="BC130" s="367">
        <f>BC126-BC129</f>
        <v>32724.300000000047</v>
      </c>
      <c r="BD130" s="124">
        <f>BD126-BD129</f>
        <v>35004.300000000047</v>
      </c>
      <c r="BE130" s="124">
        <f>BE126-BE129</f>
        <v>37205</v>
      </c>
      <c r="BF130" s="154">
        <f>BF126-BF129</f>
        <v>38942.300000000047</v>
      </c>
      <c r="BH130" s="367">
        <f>BH126-BH129</f>
        <v>40725.400000000023</v>
      </c>
      <c r="BI130" s="124">
        <f>BI126-BI129</f>
        <v>42400.400000000023</v>
      </c>
      <c r="BJ130" s="124">
        <f>BJ126-BJ129</f>
        <v>43988.550000000047</v>
      </c>
      <c r="BK130" s="154">
        <f>BK126-BK129</f>
        <v>45524.400000000023</v>
      </c>
      <c r="BM130" s="367">
        <f>BM126-BM129</f>
        <v>46952.95000000007</v>
      </c>
      <c r="BN130" s="124">
        <f>BN126-BN129</f>
        <v>48413.150000000023</v>
      </c>
      <c r="BO130" s="124">
        <f>BO126-BO129</f>
        <v>50117</v>
      </c>
      <c r="BP130" s="154">
        <f>BP126-BP129</f>
        <v>52096.900000000023</v>
      </c>
      <c r="BR130" s="367">
        <f>BR126-BR129</f>
        <v>53731.650000000023</v>
      </c>
      <c r="BS130" s="124">
        <f>BS126-BS129</f>
        <v>55290.800000000047</v>
      </c>
      <c r="BT130" s="124">
        <f>BT126-BT129</f>
        <v>56373.300000000047</v>
      </c>
      <c r="BU130" s="154">
        <f>BU126-BU129</f>
        <v>57454.40000000014</v>
      </c>
      <c r="BW130" s="367">
        <f>BW126-BW129</f>
        <v>58430.570449999999</v>
      </c>
      <c r="BX130" s="124">
        <f>BX126-BX129</f>
        <v>59583.47528000013</v>
      </c>
      <c r="BY130" s="124">
        <f>BY126-BY129</f>
        <v>60978.335440000053</v>
      </c>
      <c r="BZ130" s="154">
        <f>BZ126-BZ129</f>
        <v>62834.078200000105</v>
      </c>
    </row>
    <row r="131" spans="3:78" ht="13.15" thickBot="1">
      <c r="C131" s="208" t="s">
        <v>167</v>
      </c>
      <c r="D131" s="253"/>
      <c r="E131" s="112"/>
      <c r="H131" s="169"/>
      <c r="I131" s="253"/>
      <c r="J131" s="112"/>
      <c r="M131" s="169"/>
      <c r="O131" s="108"/>
      <c r="P131" s="245"/>
      <c r="Q131" s="245"/>
      <c r="R131" s="256">
        <f>R127+M130</f>
        <v>23176.600000000006</v>
      </c>
      <c r="S131" s="124"/>
      <c r="T131" s="367">
        <f>T127+O130</f>
        <v>24275.668541000006</v>
      </c>
      <c r="U131" s="124">
        <f>U127+P130</f>
        <v>25682.674690500004</v>
      </c>
      <c r="V131" s="124">
        <f>V127+Q130</f>
        <v>27561.783880500006</v>
      </c>
      <c r="W131" s="154">
        <f>W127+R130</f>
        <v>30921.100000000006</v>
      </c>
      <c r="X131" s="96"/>
      <c r="Y131" s="355">
        <f>Y127+T130</f>
        <v>32962.100000000006</v>
      </c>
      <c r="Z131" s="224">
        <f>Z127+U130</f>
        <v>36264.550000000003</v>
      </c>
      <c r="AA131" s="224">
        <f>AA127+V130</f>
        <v>38862.450000000012</v>
      </c>
      <c r="AB131" s="256">
        <f>AB127+W130</f>
        <v>39665.400000000009</v>
      </c>
      <c r="AC131" s="124"/>
      <c r="AD131" s="355">
        <f>AD127+Y130</f>
        <v>41310.450000000012</v>
      </c>
      <c r="AE131" s="224">
        <f>AE127+Z130</f>
        <v>41970.050000000017</v>
      </c>
      <c r="AF131" s="224">
        <f>AF127+AA130</f>
        <v>42808.800000000017</v>
      </c>
      <c r="AG131" s="256">
        <f>AG127+AB130</f>
        <v>46239.5</v>
      </c>
      <c r="AI131" s="355">
        <f>AI127+AD130</f>
        <v>49581.450000000012</v>
      </c>
      <c r="AJ131" s="224">
        <f>AJ127+AE130</f>
        <v>54575.5</v>
      </c>
      <c r="AK131" s="224">
        <f>AK127+AF130</f>
        <v>61154.450000000012</v>
      </c>
      <c r="AL131" s="256">
        <f>AL127+AG130</f>
        <v>67450.25</v>
      </c>
      <c r="AN131" s="355">
        <f>AN127+AI130</f>
        <v>71786.800000000017</v>
      </c>
      <c r="AO131" s="224">
        <f>AO127+AJ130</f>
        <v>75379.450000000012</v>
      </c>
      <c r="AP131" s="224">
        <f>AP127+AK130</f>
        <v>79382.600000000006</v>
      </c>
      <c r="AQ131" s="256">
        <f>AQ127+AL130</f>
        <v>83225.200000000012</v>
      </c>
      <c r="AS131" s="355">
        <f>AS127+AN130</f>
        <v>88923.85</v>
      </c>
      <c r="AT131" s="224">
        <f>AT127+AO130</f>
        <v>95779.650000000023</v>
      </c>
      <c r="AU131" s="224">
        <f>AU127+AP130</f>
        <v>106611.90000000002</v>
      </c>
      <c r="AV131" s="256">
        <f>AV127+AQ130</f>
        <v>123302.29999999999</v>
      </c>
      <c r="AX131" s="355">
        <f>AX127+AS130</f>
        <v>146573.79999999999</v>
      </c>
      <c r="AY131" s="224">
        <f>AY127+AT130</f>
        <v>169325.60000000003</v>
      </c>
      <c r="AZ131" s="224">
        <f>AZ127+AU130</f>
        <v>184555.30000000005</v>
      </c>
      <c r="BA131" s="256">
        <f>BA127+AV130</f>
        <v>196428.40000000002</v>
      </c>
      <c r="BC131" s="355">
        <f>BC127+AX130</f>
        <v>200669.10000000003</v>
      </c>
      <c r="BD131" s="224">
        <f>BD127+AY130</f>
        <v>204478.60000000003</v>
      </c>
      <c r="BE131" s="224">
        <f>BE127+AZ130</f>
        <v>208416.84999999998</v>
      </c>
      <c r="BF131" s="256">
        <f>BF127+BA130</f>
        <v>199734.55000000005</v>
      </c>
      <c r="BH131" s="355">
        <f>BH127+BC130</f>
        <v>192746.30000000005</v>
      </c>
      <c r="BI131" s="224">
        <f>BI127+BD130</f>
        <v>182926.30000000005</v>
      </c>
      <c r="BJ131" s="224">
        <f>BJ127+BE130</f>
        <v>172876</v>
      </c>
      <c r="BK131" s="256">
        <f>BK127+BF130</f>
        <v>170584.30000000005</v>
      </c>
      <c r="BM131" s="355">
        <f>BM127+BH130</f>
        <v>165276.40000000002</v>
      </c>
      <c r="BN131" s="224">
        <f>BN127+BI130</f>
        <v>162655.40000000002</v>
      </c>
      <c r="BO131" s="224">
        <f>BO127+BJ130</f>
        <v>166557.55000000005</v>
      </c>
      <c r="BP131" s="256">
        <f>BP127+BK130</f>
        <v>176974.40000000002</v>
      </c>
      <c r="BR131" s="355">
        <f>BR127+BM130</f>
        <v>182526.95000000007</v>
      </c>
      <c r="BS131" s="224">
        <f>BS127+BN130</f>
        <v>185966.15000000002</v>
      </c>
      <c r="BT131" s="224">
        <f>BT127+BO130</f>
        <v>175243</v>
      </c>
      <c r="BU131" s="256">
        <f>BU127+BP130</f>
        <v>159246.90000000002</v>
      </c>
      <c r="BW131" s="355">
        <f>BW127+BR130</f>
        <v>147710.05900000001</v>
      </c>
      <c r="BX131" s="224">
        <f>BX127+BS130</f>
        <v>141144.30560000008</v>
      </c>
      <c r="BY131" s="224">
        <f>BY127+BT130</f>
        <v>148474.00880000019</v>
      </c>
      <c r="BZ131" s="256">
        <f>BZ127+BU130</f>
        <v>165047.96400000015</v>
      </c>
    </row>
    <row r="132" spans="3:78" ht="13.15" thickBot="1">
      <c r="C132" s="207"/>
      <c r="D132" s="253"/>
      <c r="E132" s="264"/>
      <c r="F132" s="371"/>
      <c r="G132" s="371"/>
      <c r="H132" s="249"/>
      <c r="I132" s="253"/>
      <c r="J132" s="264"/>
      <c r="K132" s="371"/>
      <c r="L132" s="371"/>
      <c r="M132" s="249"/>
      <c r="O132" s="108"/>
      <c r="P132" s="245"/>
      <c r="Q132" s="245"/>
      <c r="R132" s="168"/>
      <c r="T132" s="243"/>
      <c r="U132" s="244"/>
      <c r="V132" s="244"/>
      <c r="W132" s="242"/>
      <c r="X132" s="99"/>
      <c r="Y132" s="112"/>
      <c r="AB132" s="169"/>
      <c r="AD132" s="112"/>
      <c r="AG132" s="169"/>
      <c r="AI132" s="112"/>
      <c r="AL132" s="169"/>
      <c r="AN132" s="112"/>
      <c r="AQ132" s="169"/>
      <c r="AS132" s="112"/>
      <c r="AV132" s="169"/>
      <c r="AX132" s="112"/>
      <c r="BA132" s="169"/>
      <c r="BC132" s="112"/>
      <c r="BF132" s="169"/>
      <c r="BH132" s="112"/>
      <c r="BK132" s="169"/>
      <c r="BM132" s="112"/>
      <c r="BP132" s="169"/>
      <c r="BR132" s="112"/>
      <c r="BU132" s="169"/>
      <c r="BW132" s="112"/>
      <c r="BZ132" s="169"/>
    </row>
    <row r="133" spans="3:78">
      <c r="C133" s="365" t="s">
        <v>165</v>
      </c>
      <c r="D133" s="253"/>
      <c r="E133" s="258">
        <f>'Balance Sheet '!E31</f>
        <v>3249</v>
      </c>
      <c r="F133" s="372">
        <f>'Balance Sheet '!F31</f>
        <v>3327</v>
      </c>
      <c r="G133" s="372">
        <f>'Balance Sheet '!G31</f>
        <v>3441</v>
      </c>
      <c r="H133" s="259">
        <f>'Balance Sheet '!H31</f>
        <v>4269</v>
      </c>
      <c r="I133" s="96"/>
      <c r="J133" s="258">
        <f>'Balance Sheet '!J31</f>
        <v>4150</v>
      </c>
      <c r="K133" s="372">
        <f>'Balance Sheet '!K31</f>
        <v>4482</v>
      </c>
      <c r="L133" s="372">
        <f>'Balance Sheet '!L31</f>
        <v>4594</v>
      </c>
      <c r="M133" s="259">
        <f>'Balance Sheet '!M31</f>
        <v>4375</v>
      </c>
      <c r="N133" s="96"/>
      <c r="O133" s="258">
        <f>'Balance Sheet '!O31</f>
        <v>4957</v>
      </c>
      <c r="P133" s="372">
        <f>'Balance Sheet '!P31</f>
        <v>5009</v>
      </c>
      <c r="Q133" s="372">
        <f>'Balance Sheet '!Q31</f>
        <v>4991</v>
      </c>
      <c r="R133" s="259">
        <f>'Balance Sheet '!R31</f>
        <v>5346</v>
      </c>
      <c r="S133" s="96"/>
      <c r="T133" s="258">
        <f>'Balance Sheet '!T31</f>
        <v>5641</v>
      </c>
      <c r="U133" s="372">
        <f>'Balance Sheet '!U31</f>
        <v>5525</v>
      </c>
      <c r="V133" s="372">
        <f>'Balance Sheet '!V31</f>
        <v>5562</v>
      </c>
      <c r="W133" s="259">
        <f>'Balance Sheet '!W31</f>
        <v>6413</v>
      </c>
      <c r="X133" s="96"/>
      <c r="Y133" s="258">
        <f>'Balance Sheet '!Y31</f>
        <v>7832</v>
      </c>
      <c r="Z133" s="372">
        <f>'Balance Sheet '!Z31</f>
        <v>7898</v>
      </c>
      <c r="AA133" s="372">
        <f>'Balance Sheet '!AA31</f>
        <v>8838</v>
      </c>
      <c r="AB133" s="259">
        <f>'Balance Sheet '!AB31</f>
        <v>10047</v>
      </c>
      <c r="AC133" s="96"/>
      <c r="AD133" s="258">
        <f>'Balance Sheet '!AD31</f>
        <v>10920</v>
      </c>
      <c r="AE133" s="372">
        <f>'Balance Sheet '!AE31</f>
        <v>11903</v>
      </c>
      <c r="AF133" s="372">
        <f>'Balance Sheet '!AF31</f>
        <v>13699</v>
      </c>
      <c r="AG133" s="259">
        <f>'Balance Sheet '!AG31</f>
        <v>13975</v>
      </c>
      <c r="AI133" s="258">
        <f>'Balance Sheet '!AI31</f>
        <v>13700</v>
      </c>
      <c r="AJ133" s="372">
        <f>'Balance Sheet '!AJ31</f>
        <v>14750</v>
      </c>
      <c r="AK133" s="372">
        <f>'Balance Sheet '!AK31</f>
        <v>17490</v>
      </c>
      <c r="AL133" s="259">
        <f>'Balance Sheet '!AL31</f>
        <v>17391</v>
      </c>
      <c r="AN133" s="258">
        <f>'Balance Sheet '!AN31</f>
        <v>17853</v>
      </c>
      <c r="AO133" s="372">
        <f>'Balance Sheet '!AO31</f>
        <v>19991</v>
      </c>
      <c r="AP133" s="372">
        <f>'Balance Sheet '!AP31</f>
        <v>21858</v>
      </c>
      <c r="AQ133" s="259">
        <f>'Balance Sheet '!AQ31</f>
        <v>24681</v>
      </c>
      <c r="AS133" s="258">
        <f>'Balance Sheet '!BC31</f>
        <v>46564</v>
      </c>
      <c r="AT133" s="372">
        <f>'Balance Sheet '!BD31</f>
        <v>51553</v>
      </c>
      <c r="AU133" s="372">
        <f>'Balance Sheet '!BE31</f>
        <v>53834</v>
      </c>
      <c r="AV133" s="259">
        <f>'Balance Sheet '!BF31</f>
        <v>57816</v>
      </c>
      <c r="AX133" s="258">
        <f>'Balance Sheet '!BH31</f>
        <v>58082</v>
      </c>
      <c r="AY133" s="372">
        <f>'Balance Sheet '!BI31</f>
        <v>57539</v>
      </c>
      <c r="AZ133" s="372">
        <f>'Balance Sheet '!BJ31</f>
        <v>64565</v>
      </c>
      <c r="BA133" s="259">
        <f>'Balance Sheet '!BK31</f>
        <v>68187</v>
      </c>
      <c r="BC133" s="258">
        <f>'Balance Sheet '!BM31</f>
        <v>67019</v>
      </c>
      <c r="BD133" s="372">
        <f>'Balance Sheet '!BN31</f>
        <v>65286</v>
      </c>
      <c r="BE133" s="372">
        <f>'Balance Sheet '!BO31</f>
        <v>80000</v>
      </c>
      <c r="BF133" s="259">
        <f>'Balance Sheet '!BP31</f>
        <v>79173</v>
      </c>
      <c r="BH133" s="258">
        <f>'Balance Sheet '!BR31</f>
        <v>74809</v>
      </c>
      <c r="BI133" s="372">
        <f>'Balance Sheet '!BS31</f>
        <v>68009</v>
      </c>
      <c r="BJ133" s="372">
        <f>'Balance Sheet '!BT31</f>
        <v>74737</v>
      </c>
      <c r="BK133" s="259">
        <f>'Balance Sheet '!BU31</f>
        <v>77515</v>
      </c>
      <c r="BM133" s="258">
        <f>'Balance Sheet '!BW31</f>
        <v>92760.806789999988</v>
      </c>
      <c r="BN133" s="372">
        <f>'Balance Sheet '!BX31</f>
        <v>91898.128980000009</v>
      </c>
      <c r="BO133" s="372">
        <f>'Balance Sheet '!BY31</f>
        <v>94118.76096</v>
      </c>
      <c r="BP133" s="259">
        <f>'Balance Sheet '!BZ31</f>
        <v>107966.99366399999</v>
      </c>
      <c r="BR133" s="258">
        <f>'Balance Sheet '!CB31</f>
        <v>0</v>
      </c>
      <c r="BS133" s="372">
        <f>'Balance Sheet '!CC31</f>
        <v>0</v>
      </c>
      <c r="BT133" s="372">
        <f>'Balance Sheet '!CD31</f>
        <v>0</v>
      </c>
      <c r="BU133" s="259">
        <f>'Balance Sheet '!CE31</f>
        <v>0</v>
      </c>
      <c r="BW133" s="258">
        <f>'Balance Sheet '!CG31</f>
        <v>0</v>
      </c>
      <c r="BX133" s="372">
        <f>'Balance Sheet '!CH31</f>
        <v>0</v>
      </c>
      <c r="BY133" s="372">
        <f>'Balance Sheet '!CI31</f>
        <v>0</v>
      </c>
      <c r="BZ133" s="259">
        <f>'Balance Sheet '!CJ31</f>
        <v>0</v>
      </c>
    </row>
    <row r="134" spans="3:78">
      <c r="C134" s="207" t="s">
        <v>171</v>
      </c>
      <c r="D134" s="253"/>
      <c r="E134" s="367"/>
      <c r="F134" s="124"/>
      <c r="G134" s="124"/>
      <c r="H134" s="154"/>
      <c r="I134" s="253"/>
      <c r="J134" s="367">
        <f>J133-E133</f>
        <v>901</v>
      </c>
      <c r="K134" s="124">
        <f>K133-F133</f>
        <v>1155</v>
      </c>
      <c r="L134" s="124">
        <f>L133-G133</f>
        <v>1153</v>
      </c>
      <c r="M134" s="154">
        <f>M133-H133</f>
        <v>106</v>
      </c>
      <c r="O134" s="367">
        <f t="shared" ref="O134:R135" si="111">O133-J133</f>
        <v>807</v>
      </c>
      <c r="P134" s="124">
        <f t="shared" si="111"/>
        <v>527</v>
      </c>
      <c r="Q134" s="124">
        <f t="shared" si="111"/>
        <v>397</v>
      </c>
      <c r="R134" s="154">
        <f t="shared" si="111"/>
        <v>971</v>
      </c>
      <c r="S134" s="124"/>
      <c r="T134" s="367">
        <f t="shared" ref="T134:W135" si="112">T133-O133</f>
        <v>684</v>
      </c>
      <c r="U134" s="124">
        <f t="shared" si="112"/>
        <v>516</v>
      </c>
      <c r="V134" s="124">
        <f t="shared" si="112"/>
        <v>571</v>
      </c>
      <c r="W134" s="154">
        <f t="shared" si="112"/>
        <v>1067</v>
      </c>
      <c r="Y134" s="367">
        <f t="shared" ref="Y134:AB135" si="113">Y133-T133</f>
        <v>2191</v>
      </c>
      <c r="Z134" s="124">
        <f t="shared" si="113"/>
        <v>2373</v>
      </c>
      <c r="AA134" s="124">
        <f t="shared" si="113"/>
        <v>3276</v>
      </c>
      <c r="AB134" s="154">
        <f t="shared" si="113"/>
        <v>3634</v>
      </c>
      <c r="AC134" s="124"/>
      <c r="AD134" s="367">
        <f t="shared" ref="AD134:AG135" si="114">AD133-Y133</f>
        <v>3088</v>
      </c>
      <c r="AE134" s="124">
        <f t="shared" si="114"/>
        <v>4005</v>
      </c>
      <c r="AF134" s="124">
        <f t="shared" si="114"/>
        <v>4861</v>
      </c>
      <c r="AG134" s="154">
        <f t="shared" si="114"/>
        <v>3928</v>
      </c>
      <c r="AI134" s="367">
        <f t="shared" ref="AI134:AL135" si="115">AI133-AD133</f>
        <v>2780</v>
      </c>
      <c r="AJ134" s="124">
        <f t="shared" si="115"/>
        <v>2847</v>
      </c>
      <c r="AK134" s="124">
        <f t="shared" si="115"/>
        <v>3791</v>
      </c>
      <c r="AL134" s="154">
        <f t="shared" si="115"/>
        <v>3416</v>
      </c>
      <c r="AN134" s="367">
        <f t="shared" ref="AN134:AQ135" si="116">AN133-AI133</f>
        <v>4153</v>
      </c>
      <c r="AO134" s="124">
        <f t="shared" si="116"/>
        <v>5241</v>
      </c>
      <c r="AP134" s="124">
        <f t="shared" si="116"/>
        <v>4368</v>
      </c>
      <c r="AQ134" s="154">
        <f t="shared" si="116"/>
        <v>7290</v>
      </c>
      <c r="AS134" s="367">
        <f t="shared" ref="AS134:AV135" si="117">AS133-AN133</f>
        <v>28711</v>
      </c>
      <c r="AT134" s="124">
        <f t="shared" si="117"/>
        <v>31562</v>
      </c>
      <c r="AU134" s="124">
        <f t="shared" si="117"/>
        <v>31976</v>
      </c>
      <c r="AV134" s="154">
        <f t="shared" si="117"/>
        <v>33135</v>
      </c>
      <c r="AX134" s="367">
        <f t="shared" ref="AX134:BA135" si="118">AX133-AS133</f>
        <v>11518</v>
      </c>
      <c r="AY134" s="124">
        <f t="shared" si="118"/>
        <v>5986</v>
      </c>
      <c r="AZ134" s="124">
        <f t="shared" si="118"/>
        <v>10731</v>
      </c>
      <c r="BA134" s="154">
        <f t="shared" si="118"/>
        <v>10371</v>
      </c>
      <c r="BC134" s="367">
        <f t="shared" ref="BC134:BF135" si="119">BC133-AX133</f>
        <v>8937</v>
      </c>
      <c r="BD134" s="124">
        <f t="shared" si="119"/>
        <v>7747</v>
      </c>
      <c r="BE134" s="124">
        <f t="shared" si="119"/>
        <v>15435</v>
      </c>
      <c r="BF134" s="154">
        <f t="shared" si="119"/>
        <v>10986</v>
      </c>
      <c r="BH134" s="367">
        <f t="shared" ref="BH134:BK135" si="120">BH133-BC133</f>
        <v>7790</v>
      </c>
      <c r="BI134" s="124">
        <f t="shared" si="120"/>
        <v>2723</v>
      </c>
      <c r="BJ134" s="124">
        <f t="shared" si="120"/>
        <v>-5263</v>
      </c>
      <c r="BK134" s="154">
        <f t="shared" si="120"/>
        <v>-1658</v>
      </c>
      <c r="BM134" s="367">
        <f t="shared" ref="BM134:BP135" si="121">BM133-BH133</f>
        <v>17951.806789999988</v>
      </c>
      <c r="BN134" s="124">
        <f t="shared" si="121"/>
        <v>23889.128980000009</v>
      </c>
      <c r="BO134" s="124">
        <f t="shared" si="121"/>
        <v>19381.76096</v>
      </c>
      <c r="BP134" s="154">
        <f t="shared" si="121"/>
        <v>30451.993663999994</v>
      </c>
      <c r="BR134" s="367">
        <f t="shared" ref="BR134:BU135" si="122">BR133-BM133</f>
        <v>-92760.806789999988</v>
      </c>
      <c r="BS134" s="124">
        <f t="shared" si="122"/>
        <v>-91898.128980000009</v>
      </c>
      <c r="BT134" s="124">
        <f t="shared" si="122"/>
        <v>-94118.76096</v>
      </c>
      <c r="BU134" s="154">
        <f t="shared" si="122"/>
        <v>-107966.99366399999</v>
      </c>
      <c r="BW134" s="367">
        <f t="shared" ref="BW134:BZ135" si="123">BW133-BR133</f>
        <v>0</v>
      </c>
      <c r="BX134" s="124">
        <f t="shared" si="123"/>
        <v>0</v>
      </c>
      <c r="BY134" s="124">
        <f t="shared" si="123"/>
        <v>0</v>
      </c>
      <c r="BZ134" s="154">
        <f t="shared" si="123"/>
        <v>0</v>
      </c>
    </row>
    <row r="135" spans="3:78" ht="13.15" thickBot="1">
      <c r="C135" s="208" t="s">
        <v>170</v>
      </c>
      <c r="D135" s="253"/>
      <c r="E135" s="355"/>
      <c r="F135" s="224"/>
      <c r="G135" s="224"/>
      <c r="H135" s="256"/>
      <c r="I135" s="253"/>
      <c r="J135" s="355"/>
      <c r="K135" s="224"/>
      <c r="L135" s="224"/>
      <c r="M135" s="256"/>
      <c r="O135" s="355">
        <f t="shared" si="111"/>
        <v>-94</v>
      </c>
      <c r="P135" s="224">
        <f t="shared" si="111"/>
        <v>-628</v>
      </c>
      <c r="Q135" s="224">
        <f t="shared" si="111"/>
        <v>-756</v>
      </c>
      <c r="R135" s="256">
        <f t="shared" si="111"/>
        <v>865</v>
      </c>
      <c r="T135" s="355">
        <f t="shared" si="112"/>
        <v>-123</v>
      </c>
      <c r="U135" s="224">
        <f t="shared" si="112"/>
        <v>-11</v>
      </c>
      <c r="V135" s="224">
        <f t="shared" si="112"/>
        <v>174</v>
      </c>
      <c r="W135" s="256">
        <f t="shared" si="112"/>
        <v>96</v>
      </c>
      <c r="X135" s="124"/>
      <c r="Y135" s="367">
        <f t="shared" si="113"/>
        <v>1507</v>
      </c>
      <c r="Z135" s="124">
        <f t="shared" si="113"/>
        <v>1857</v>
      </c>
      <c r="AA135" s="124">
        <f t="shared" si="113"/>
        <v>2705</v>
      </c>
      <c r="AB135" s="154">
        <f t="shared" si="113"/>
        <v>2567</v>
      </c>
      <c r="AC135" s="124"/>
      <c r="AD135" s="367">
        <f t="shared" si="114"/>
        <v>897</v>
      </c>
      <c r="AE135" s="124">
        <f t="shared" si="114"/>
        <v>1632</v>
      </c>
      <c r="AF135" s="124">
        <f t="shared" si="114"/>
        <v>1585</v>
      </c>
      <c r="AG135" s="154">
        <f t="shared" si="114"/>
        <v>294</v>
      </c>
      <c r="AI135" s="367">
        <f t="shared" si="115"/>
        <v>-308</v>
      </c>
      <c r="AJ135" s="124">
        <f t="shared" si="115"/>
        <v>-1158</v>
      </c>
      <c r="AK135" s="124">
        <f t="shared" si="115"/>
        <v>-1070</v>
      </c>
      <c r="AL135" s="154">
        <f t="shared" si="115"/>
        <v>-512</v>
      </c>
      <c r="AN135" s="367">
        <f t="shared" si="116"/>
        <v>1373</v>
      </c>
      <c r="AO135" s="124">
        <f t="shared" si="116"/>
        <v>2394</v>
      </c>
      <c r="AP135" s="124">
        <f t="shared" si="116"/>
        <v>577</v>
      </c>
      <c r="AQ135" s="154">
        <f t="shared" si="116"/>
        <v>3874</v>
      </c>
      <c r="AS135" s="367">
        <f t="shared" si="117"/>
        <v>24558</v>
      </c>
      <c r="AT135" s="124">
        <f t="shared" si="117"/>
        <v>26321</v>
      </c>
      <c r="AU135" s="124">
        <f t="shared" si="117"/>
        <v>27608</v>
      </c>
      <c r="AV135" s="154">
        <f t="shared" si="117"/>
        <v>25845</v>
      </c>
      <c r="AX135" s="367">
        <f t="shared" si="118"/>
        <v>-17193</v>
      </c>
      <c r="AY135" s="124">
        <f t="shared" si="118"/>
        <v>-25576</v>
      </c>
      <c r="AZ135" s="124">
        <f t="shared" si="118"/>
        <v>-21245</v>
      </c>
      <c r="BA135" s="154">
        <f t="shared" si="118"/>
        <v>-22764</v>
      </c>
      <c r="BC135" s="367">
        <f t="shared" si="119"/>
        <v>-2581</v>
      </c>
      <c r="BD135" s="124">
        <f t="shared" si="119"/>
        <v>1761</v>
      </c>
      <c r="BE135" s="124">
        <f t="shared" si="119"/>
        <v>4704</v>
      </c>
      <c r="BF135" s="154">
        <f t="shared" si="119"/>
        <v>615</v>
      </c>
      <c r="BH135" s="367">
        <f t="shared" si="120"/>
        <v>-1147</v>
      </c>
      <c r="BI135" s="124">
        <f t="shared" si="120"/>
        <v>-5024</v>
      </c>
      <c r="BJ135" s="124">
        <f t="shared" si="120"/>
        <v>-20698</v>
      </c>
      <c r="BK135" s="154">
        <f t="shared" si="120"/>
        <v>-12644</v>
      </c>
      <c r="BM135" s="367">
        <f t="shared" si="121"/>
        <v>10161.806789999988</v>
      </c>
      <c r="BN135" s="124">
        <f t="shared" si="121"/>
        <v>21166.128980000009</v>
      </c>
      <c r="BO135" s="124">
        <f t="shared" si="121"/>
        <v>24644.76096</v>
      </c>
      <c r="BP135" s="154">
        <f t="shared" si="121"/>
        <v>32109.993663999994</v>
      </c>
      <c r="BR135" s="367">
        <f t="shared" si="122"/>
        <v>-110712.61357999998</v>
      </c>
      <c r="BS135" s="124">
        <f t="shared" si="122"/>
        <v>-115787.25796000002</v>
      </c>
      <c r="BT135" s="124">
        <f t="shared" si="122"/>
        <v>-113500.52192</v>
      </c>
      <c r="BU135" s="154">
        <f t="shared" si="122"/>
        <v>-138418.98732799999</v>
      </c>
      <c r="BW135" s="367">
        <f t="shared" si="123"/>
        <v>92760.806789999988</v>
      </c>
      <c r="BX135" s="124">
        <f t="shared" si="123"/>
        <v>91898.128980000009</v>
      </c>
      <c r="BY135" s="124">
        <f t="shared" si="123"/>
        <v>94118.76096</v>
      </c>
      <c r="BZ135" s="154">
        <f t="shared" si="123"/>
        <v>107966.99366399999</v>
      </c>
    </row>
    <row r="136" spans="3:78">
      <c r="C136" s="206" t="s">
        <v>168</v>
      </c>
      <c r="D136" s="254"/>
      <c r="E136" s="354"/>
      <c r="F136" s="246"/>
      <c r="G136" s="246"/>
      <c r="H136" s="265"/>
      <c r="I136" s="254"/>
      <c r="J136" s="354"/>
      <c r="K136" s="246"/>
      <c r="L136" s="246"/>
      <c r="M136" s="265"/>
      <c r="O136" s="354"/>
      <c r="P136" s="246"/>
      <c r="Q136" s="246"/>
      <c r="R136" s="265">
        <f>R135+R131</f>
        <v>24041.600000000006</v>
      </c>
      <c r="T136" s="354">
        <f>T135+T131</f>
        <v>24152.668541000006</v>
      </c>
      <c r="U136" s="246">
        <f>U135+U131</f>
        <v>25671.674690500004</v>
      </c>
      <c r="V136" s="246">
        <f>V135+V131</f>
        <v>27735.783880500006</v>
      </c>
      <c r="W136" s="265">
        <f>W135+W131</f>
        <v>31017.100000000006</v>
      </c>
      <c r="Y136" s="354">
        <f>Y135+Y131</f>
        <v>34469.100000000006</v>
      </c>
      <c r="Z136" s="246">
        <f>Z135+Z131</f>
        <v>38121.550000000003</v>
      </c>
      <c r="AA136" s="246">
        <f>AA135+AA131</f>
        <v>41567.450000000012</v>
      </c>
      <c r="AB136" s="265">
        <f>AB135+AB131</f>
        <v>42232.400000000009</v>
      </c>
      <c r="AC136" s="124"/>
      <c r="AD136" s="354">
        <f>AD135+AD131</f>
        <v>42207.450000000012</v>
      </c>
      <c r="AE136" s="246">
        <f>AE135+AE131</f>
        <v>43602.050000000017</v>
      </c>
      <c r="AF136" s="246">
        <f>AF135+AF131</f>
        <v>44393.800000000017</v>
      </c>
      <c r="AG136" s="265">
        <f>AG135+AG131</f>
        <v>46533.5</v>
      </c>
      <c r="AI136" s="354">
        <f>AI135+AI131</f>
        <v>49273.450000000012</v>
      </c>
      <c r="AJ136" s="246">
        <f>AJ135+AJ131</f>
        <v>53417.5</v>
      </c>
      <c r="AK136" s="246">
        <f>AK135+AK131</f>
        <v>60084.450000000012</v>
      </c>
      <c r="AL136" s="265">
        <f>AL135+AL131</f>
        <v>66938.25</v>
      </c>
      <c r="AN136" s="354">
        <f>AN135+AN131</f>
        <v>73159.800000000017</v>
      </c>
      <c r="AO136" s="246">
        <f>AO135+AO131</f>
        <v>77773.450000000012</v>
      </c>
      <c r="AP136" s="246">
        <f>AP135+AP131</f>
        <v>79959.600000000006</v>
      </c>
      <c r="AQ136" s="265">
        <f>AQ135+AQ131</f>
        <v>87099.200000000012</v>
      </c>
      <c r="AS136" s="354">
        <f>AS135+AS131</f>
        <v>113481.85</v>
      </c>
      <c r="AT136" s="246">
        <f>AT135+AT131</f>
        <v>122100.65000000002</v>
      </c>
      <c r="AU136" s="246">
        <f>AU135+AU131</f>
        <v>134219.90000000002</v>
      </c>
      <c r="AV136" s="265">
        <f>AV135+AV131</f>
        <v>149147.29999999999</v>
      </c>
      <c r="AX136" s="354">
        <f>AX135+AX131</f>
        <v>129380.79999999999</v>
      </c>
      <c r="AY136" s="246">
        <f>AY135+AY131</f>
        <v>143749.60000000003</v>
      </c>
      <c r="AZ136" s="246">
        <f>AZ135+AZ131</f>
        <v>163310.30000000005</v>
      </c>
      <c r="BA136" s="265">
        <f>BA135+BA131</f>
        <v>173664.40000000002</v>
      </c>
      <c r="BC136" s="354">
        <f>BC135+BC131</f>
        <v>198088.10000000003</v>
      </c>
      <c r="BD136" s="246">
        <f>BD135+BD131</f>
        <v>206239.60000000003</v>
      </c>
      <c r="BE136" s="246">
        <f>BE135+BE131</f>
        <v>213120.84999999998</v>
      </c>
      <c r="BF136" s="265">
        <f>BF135+BF131</f>
        <v>200349.55000000005</v>
      </c>
      <c r="BH136" s="354">
        <f>BH135+BH131</f>
        <v>191599.30000000005</v>
      </c>
      <c r="BI136" s="246">
        <f>BI135+BI131</f>
        <v>177902.30000000005</v>
      </c>
      <c r="BJ136" s="246">
        <f>BJ135+BJ131</f>
        <v>152178</v>
      </c>
      <c r="BK136" s="265">
        <f>BK135+BK131</f>
        <v>157940.30000000005</v>
      </c>
      <c r="BM136" s="354">
        <f>BM135+BM131</f>
        <v>175438.20679000003</v>
      </c>
      <c r="BN136" s="246">
        <f>BN135+BN131</f>
        <v>183821.52898000003</v>
      </c>
      <c r="BO136" s="246">
        <f>BO135+BO131</f>
        <v>191202.31096000003</v>
      </c>
      <c r="BP136" s="265">
        <f>BP135+BP131</f>
        <v>209084.39366400003</v>
      </c>
      <c r="BR136" s="354">
        <f>BR135+BR131</f>
        <v>71814.336420000094</v>
      </c>
      <c r="BS136" s="246">
        <f>BS135+BS131</f>
        <v>70178.892040000006</v>
      </c>
      <c r="BT136" s="246">
        <f>BT135+BT131</f>
        <v>61742.478080000001</v>
      </c>
      <c r="BU136" s="265">
        <f>BU135+BU131</f>
        <v>20827.912672000035</v>
      </c>
      <c r="BW136" s="354">
        <f>BW135+BW131</f>
        <v>240470.86579000001</v>
      </c>
      <c r="BX136" s="246">
        <f>BX135+BX131</f>
        <v>233042.43458000009</v>
      </c>
      <c r="BY136" s="246">
        <f>BY135+BY131</f>
        <v>242592.76976000017</v>
      </c>
      <c r="BZ136" s="265">
        <f>BZ135+BZ131</f>
        <v>273014.95766400016</v>
      </c>
    </row>
    <row r="137" spans="3:78" ht="13.15" thickBot="1">
      <c r="C137" s="206" t="s">
        <v>169</v>
      </c>
      <c r="D137" s="254"/>
      <c r="E137" s="355"/>
      <c r="F137" s="224"/>
      <c r="G137" s="224"/>
      <c r="H137" s="256"/>
      <c r="I137" s="254"/>
      <c r="J137" s="355"/>
      <c r="K137" s="224"/>
      <c r="L137" s="224"/>
      <c r="M137" s="256"/>
      <c r="O137" s="355"/>
      <c r="P137" s="224"/>
      <c r="Q137" s="224"/>
      <c r="R137" s="256">
        <f>R136-M130</f>
        <v>19835</v>
      </c>
      <c r="T137" s="355">
        <f>T136-O130</f>
        <v>19688.124779999998</v>
      </c>
      <c r="U137" s="224">
        <f>U136-P130</f>
        <v>20987.025989999995</v>
      </c>
      <c r="V137" s="224">
        <f>V136-Q130</f>
        <v>22812.246190000005</v>
      </c>
      <c r="W137" s="256">
        <f>W136-R130</f>
        <v>25862</v>
      </c>
      <c r="Y137" s="367">
        <f>Y136-T130</f>
        <v>29014</v>
      </c>
      <c r="Z137" s="124">
        <f>Z136-U130</f>
        <v>32387</v>
      </c>
      <c r="AA137" s="124">
        <f>AA136-V130</f>
        <v>35512</v>
      </c>
      <c r="AB137" s="154">
        <f>AB136-W130</f>
        <v>35789</v>
      </c>
      <c r="AC137" s="124"/>
      <c r="AD137" s="355">
        <f>AD136-Y130</f>
        <v>35377</v>
      </c>
      <c r="AE137" s="224">
        <f>AE136-Z130</f>
        <v>36341</v>
      </c>
      <c r="AF137" s="224">
        <f>AF136-AA130</f>
        <v>36698</v>
      </c>
      <c r="AG137" s="256">
        <f>AG136-AB130</f>
        <v>38429</v>
      </c>
      <c r="AI137" s="355">
        <f>AI136-AD130</f>
        <v>40719</v>
      </c>
      <c r="AJ137" s="224">
        <f>AJ136-AE130</f>
        <v>44421</v>
      </c>
      <c r="AK137" s="224">
        <f>AK136-AF130</f>
        <v>50633</v>
      </c>
      <c r="AL137" s="256">
        <f>AL136-AG130</f>
        <v>56927</v>
      </c>
      <c r="AN137" s="355">
        <f>AN136-AI130</f>
        <v>62554</v>
      </c>
      <c r="AO137" s="224">
        <f>AO136-AJ130</f>
        <v>66498</v>
      </c>
      <c r="AP137" s="224">
        <f>AP136-AK130</f>
        <v>67923</v>
      </c>
      <c r="AQ137" s="256">
        <f>AQ136-AL130</f>
        <v>74216</v>
      </c>
      <c r="AS137" s="355">
        <f>AS136-AN130</f>
        <v>99817</v>
      </c>
      <c r="AT137" s="224">
        <f>AT136-AO130</f>
        <v>107620</v>
      </c>
      <c r="AU137" s="224">
        <f>AU136-AP130</f>
        <v>118816</v>
      </c>
      <c r="AV137" s="256">
        <f>AV136-AQ130</f>
        <v>132747</v>
      </c>
      <c r="AX137" s="355">
        <f>AX136-AS130</f>
        <v>111953</v>
      </c>
      <c r="AY137" s="224">
        <f>AY136-AT130</f>
        <v>125204</v>
      </c>
      <c r="AZ137" s="224">
        <f>AZ136-AU130</f>
        <v>143346</v>
      </c>
      <c r="BA137" s="256">
        <f>BA136-AV130</f>
        <v>151919</v>
      </c>
      <c r="BC137" s="355">
        <f>BC136-AX130</f>
        <v>174203</v>
      </c>
      <c r="BD137" s="224">
        <f>BD136-AY130</f>
        <v>180155</v>
      </c>
      <c r="BE137" s="224">
        <f>BE136-AZ130</f>
        <v>184927</v>
      </c>
      <c r="BF137" s="256">
        <f>BF136-BA130</f>
        <v>169870</v>
      </c>
      <c r="BH137" s="355">
        <f>BH136-BC130</f>
        <v>158875</v>
      </c>
      <c r="BI137" s="224">
        <f>BI136-BD130</f>
        <v>142898</v>
      </c>
      <c r="BJ137" s="224">
        <f>BJ136-BE130</f>
        <v>114973</v>
      </c>
      <c r="BK137" s="256">
        <f>BK136-BF130</f>
        <v>118998</v>
      </c>
      <c r="BM137" s="355">
        <f>BM136-BH130</f>
        <v>134712.80679</v>
      </c>
      <c r="BN137" s="224">
        <f>BN136-BI130</f>
        <v>141421.12898000001</v>
      </c>
      <c r="BO137" s="224">
        <f>BO136-BJ130</f>
        <v>147213.76095999999</v>
      </c>
      <c r="BP137" s="256">
        <f>BP136-BK130</f>
        <v>163559.99366400001</v>
      </c>
      <c r="BR137" s="355">
        <f>BR136-BM130</f>
        <v>24861.386420000024</v>
      </c>
      <c r="BS137" s="224">
        <f>BS136-BN130</f>
        <v>21765.742039999983</v>
      </c>
      <c r="BT137" s="224">
        <f>BT136-BO130</f>
        <v>11625.478080000001</v>
      </c>
      <c r="BU137" s="256">
        <f>BU136-BP130</f>
        <v>-31268.987327999988</v>
      </c>
      <c r="BW137" s="355">
        <f>BW136-BR130</f>
        <v>186739.21578999999</v>
      </c>
      <c r="BX137" s="224">
        <f>BX136-BS130</f>
        <v>177751.63458000004</v>
      </c>
      <c r="BY137" s="224">
        <f>BY136-BT130</f>
        <v>186219.46976000012</v>
      </c>
      <c r="BZ137" s="256">
        <f>BZ136-BU130</f>
        <v>215560.55766400002</v>
      </c>
    </row>
    <row r="138" spans="3:78" ht="13.15" thickBot="1">
      <c r="C138" s="366" t="s">
        <v>172</v>
      </c>
      <c r="D138" s="253"/>
      <c r="E138" s="299"/>
      <c r="F138" s="274"/>
      <c r="G138" s="274"/>
      <c r="H138" s="263"/>
      <c r="I138" s="253"/>
      <c r="J138" s="299"/>
      <c r="K138" s="274"/>
      <c r="L138" s="274"/>
      <c r="M138" s="263"/>
      <c r="O138" s="299"/>
      <c r="P138" s="274"/>
      <c r="Q138" s="274"/>
      <c r="R138" s="263">
        <f>R135+R126</f>
        <v>103967</v>
      </c>
      <c r="T138" s="299">
        <f>T135+T126</f>
        <v>108979</v>
      </c>
      <c r="U138" s="274">
        <f>U135+U126</f>
        <v>114680</v>
      </c>
      <c r="V138" s="274">
        <f>V135+V126</f>
        <v>121283</v>
      </c>
      <c r="W138" s="263">
        <f>W135+W126</f>
        <v>128964</v>
      </c>
      <c r="Y138" s="299">
        <f>Y135+Y126</f>
        <v>138116</v>
      </c>
      <c r="Z138" s="274">
        <f>Z135+Z126</f>
        <v>147078</v>
      </c>
      <c r="AA138" s="274">
        <f>AA135+AA126</f>
        <v>156621</v>
      </c>
      <c r="AB138" s="263">
        <f>AB135+AB126</f>
        <v>164657</v>
      </c>
      <c r="AC138" s="124"/>
      <c r="AD138" s="355">
        <f>AD135+AD126</f>
        <v>171986</v>
      </c>
      <c r="AE138" s="224">
        <f>AE135+AE126</f>
        <v>181562</v>
      </c>
      <c r="AF138" s="224">
        <f>AF135+AF126</f>
        <v>190614</v>
      </c>
      <c r="AG138" s="256">
        <f>AG135+AG126</f>
        <v>200519</v>
      </c>
      <c r="AI138" s="355">
        <f>AI135+AI126</f>
        <v>211808</v>
      </c>
      <c r="AJ138" s="224">
        <f>AJ135+AJ126</f>
        <v>224351</v>
      </c>
      <c r="AK138" s="224">
        <f>AK135+AK126</f>
        <v>239662</v>
      </c>
      <c r="AL138" s="256">
        <f>AL135+AL126</f>
        <v>257152</v>
      </c>
      <c r="AN138" s="355">
        <f>AN135+AN126</f>
        <v>274670</v>
      </c>
      <c r="AO138" s="224">
        <f>AO135+AO126</f>
        <v>292007</v>
      </c>
      <c r="AP138" s="224">
        <f>AP135+AP126</f>
        <v>308655</v>
      </c>
      <c r="AQ138" s="256">
        <f>AQ135+AQ126</f>
        <v>331880</v>
      </c>
      <c r="AS138" s="355">
        <f>AS135+AS126</f>
        <v>373114</v>
      </c>
      <c r="AT138" s="224">
        <f>AT135+AT126</f>
        <v>397233</v>
      </c>
      <c r="AU138" s="224">
        <f>AU135+AU126</f>
        <v>426894</v>
      </c>
      <c r="AV138" s="256">
        <f>AV135+AV126</f>
        <v>460753</v>
      </c>
      <c r="AX138" s="355">
        <f>AX135+AX126</f>
        <v>460509</v>
      </c>
      <c r="AY138" s="224">
        <f>AY135+AY126</f>
        <v>496116</v>
      </c>
      <c r="AZ138" s="224">
        <f>AZ135+AZ126</f>
        <v>542632</v>
      </c>
      <c r="BA138" s="256">
        <f>BA135+BA126</f>
        <v>586827</v>
      </c>
      <c r="BC138" s="355">
        <f>BC135+BC126</f>
        <v>651905</v>
      </c>
      <c r="BD138" s="224">
        <f>BD135+BD126</f>
        <v>701847</v>
      </c>
      <c r="BE138" s="224">
        <f>BE135+BE126</f>
        <v>748804</v>
      </c>
      <c r="BF138" s="256">
        <f>BF135+BF126</f>
        <v>779461</v>
      </c>
      <c r="BH138" s="355">
        <f>BH135+BH126</f>
        <v>813361</v>
      </c>
      <c r="BI138" s="224">
        <f>BI135+BI126</f>
        <v>842984</v>
      </c>
      <c r="BJ138" s="224">
        <f>BJ135+BJ126</f>
        <v>859073</v>
      </c>
      <c r="BK138" s="256">
        <f>BK135+BK126</f>
        <v>897844</v>
      </c>
      <c r="BM138" s="355">
        <f>BM135+BM126</f>
        <v>949220.80678999994</v>
      </c>
      <c r="BN138" s="224">
        <f>BN135+BN126</f>
        <v>989429.12898000004</v>
      </c>
      <c r="BO138" s="224">
        <f>BO135+BO126</f>
        <v>1026984.76096</v>
      </c>
      <c r="BP138" s="256">
        <f>BP135+BP126</f>
        <v>1074047.993664</v>
      </c>
      <c r="BR138" s="355">
        <f>BR135+BR126</f>
        <v>963920.38642</v>
      </c>
      <c r="BS138" s="224">
        <f>BS135+BS126</f>
        <v>990028.74203999992</v>
      </c>
      <c r="BT138" s="224">
        <f>BT135+BT126</f>
        <v>1013965.47808</v>
      </c>
      <c r="BU138" s="256">
        <f>BU135+BU126</f>
        <v>1010669.012672</v>
      </c>
      <c r="BW138" s="355">
        <f>BW135+BW126</f>
        <v>1261372.21579</v>
      </c>
      <c r="BX138" s="224">
        <f>BX135+BX126</f>
        <v>1283567.6345800001</v>
      </c>
      <c r="BY138" s="224">
        <f>BY135+BY126</f>
        <v>1313685.4697600002</v>
      </c>
      <c r="BZ138" s="256">
        <f>BZ135+BZ126</f>
        <v>1364648.557664</v>
      </c>
    </row>
    <row r="139" spans="3:78">
      <c r="C139" s="207"/>
      <c r="D139" s="253"/>
      <c r="E139" s="112"/>
      <c r="H139" s="169"/>
      <c r="I139" s="253"/>
      <c r="J139" s="112"/>
      <c r="M139" s="169"/>
      <c r="O139" s="112"/>
      <c r="R139" s="169"/>
      <c r="T139" s="112"/>
      <c r="W139" s="169"/>
      <c r="Y139" s="112"/>
      <c r="AB139" s="169"/>
      <c r="AD139" s="112"/>
      <c r="AG139" s="154"/>
      <c r="AI139" s="112"/>
      <c r="AL139" s="154"/>
      <c r="AN139" s="112"/>
      <c r="AQ139" s="154"/>
      <c r="AS139" s="112"/>
      <c r="AV139" s="154"/>
      <c r="AX139" s="112"/>
      <c r="BA139" s="154"/>
      <c r="BC139" s="112"/>
      <c r="BF139" s="154"/>
      <c r="BH139" s="112"/>
      <c r="BK139" s="154"/>
      <c r="BM139" s="112"/>
      <c r="BP139" s="154"/>
      <c r="BR139" s="112"/>
      <c r="BU139" s="154"/>
      <c r="BW139" s="112"/>
      <c r="BZ139" s="154"/>
    </row>
    <row r="140" spans="3:78">
      <c r="C140" s="205" t="s">
        <v>166</v>
      </c>
      <c r="D140" s="255"/>
      <c r="E140" s="367"/>
      <c r="F140" s="124"/>
      <c r="G140" s="124"/>
      <c r="H140" s="154">
        <f>H43+G43+F43+E43</f>
        <v>16696</v>
      </c>
      <c r="I140" s="255"/>
      <c r="J140" s="367">
        <f>J43+H43+G43+F43</f>
        <v>19449</v>
      </c>
      <c r="K140" s="124">
        <f>K43+J43+H43+G43</f>
        <v>22549</v>
      </c>
      <c r="L140" s="124">
        <f>L43+K43+J43+H43</f>
        <v>25022</v>
      </c>
      <c r="M140" s="154">
        <f>M43+L43+K43+J43</f>
        <v>27291</v>
      </c>
      <c r="O140" s="367">
        <f>O43+M43+L43+K43</f>
        <v>29917</v>
      </c>
      <c r="P140" s="124">
        <f>P43+O43+M43+L43</f>
        <v>32102</v>
      </c>
      <c r="Q140" s="124">
        <f>Q43+P43+O43+M43</f>
        <v>34226</v>
      </c>
      <c r="R140" s="154">
        <f>R43+Q43+P43+O43</f>
        <v>35821</v>
      </c>
      <c r="T140" s="367">
        <f>T43+R43+Q43+P43</f>
        <v>36532</v>
      </c>
      <c r="U140" s="124">
        <f>U43+T43+R43+Q43</f>
        <v>37362</v>
      </c>
      <c r="V140" s="124">
        <f>V43+U43+T43+R43</f>
        <v>38776</v>
      </c>
      <c r="W140" s="154">
        <f>W43+V43+U43+T43</f>
        <v>40128</v>
      </c>
      <c r="Y140" s="367">
        <f>Y43+W43+V43+U43</f>
        <v>42993</v>
      </c>
      <c r="Z140" s="124">
        <f>Z43+Y43+W43+V43</f>
        <v>44950</v>
      </c>
      <c r="AA140" s="124">
        <f>AA43+Z43+Y43+W43</f>
        <v>46900</v>
      </c>
      <c r="AB140" s="154">
        <f>AB43+AA43+Z43+Y43</f>
        <v>50270</v>
      </c>
      <c r="AD140" s="367">
        <f>AD43+AB43+AA43+Z43</f>
        <v>52847</v>
      </c>
      <c r="AE140" s="124">
        <f>AE43+AD43+AB43+AA43</f>
        <v>56461</v>
      </c>
      <c r="AF140" s="124">
        <f>AF43+AE43+AD43+AB43</f>
        <v>59581</v>
      </c>
      <c r="AG140" s="154">
        <f>AG43+AF43+AE43+AD43</f>
        <v>62092</v>
      </c>
      <c r="AI140" s="367">
        <f>AI43+AG43+AF43+AE43</f>
        <v>63359</v>
      </c>
      <c r="AJ140" s="124">
        <f>AJ43+AI43+AG43+AF43</f>
        <v>63979</v>
      </c>
      <c r="AK140" s="124">
        <f>AK43+AJ43+AI43+AG43</f>
        <v>64794</v>
      </c>
      <c r="AL140" s="154">
        <f>AL43+AK43+AJ43+AI43</f>
        <v>65638</v>
      </c>
      <c r="AN140" s="367">
        <f>AN43+AL43+AK43+AJ43</f>
        <v>69002</v>
      </c>
      <c r="AO140" s="124">
        <f>AO43+AN43+AL43+AK43</f>
        <v>73204</v>
      </c>
      <c r="AP140" s="124">
        <f>AP43+AO43+AN43+AL43</f>
        <v>78996</v>
      </c>
      <c r="AQ140" s="154">
        <f>AQ43+AP43+AO43+AN43</f>
        <v>84224</v>
      </c>
      <c r="AS140" s="367">
        <f>AS43+AQ43+AP43+AO43</f>
        <v>90826</v>
      </c>
      <c r="AT140" s="124">
        <f>AT43+AS43+AQ43+AP43</f>
        <v>96640</v>
      </c>
      <c r="AU140" s="124">
        <f>AU43+AT43+AS43+AQ43</f>
        <v>102185</v>
      </c>
      <c r="AV140" s="154">
        <f>AV43+AU43+AT43+AS43</f>
        <v>111598</v>
      </c>
      <c r="AX140" s="367">
        <f>AX43+AV43+AU43+AT43</f>
        <v>123572</v>
      </c>
      <c r="AY140" s="124">
        <f>AY43+AX43+AV43+AU43</f>
        <v>135073</v>
      </c>
      <c r="AZ140" s="124">
        <f>AZ43+AY43+AX43+AV43</f>
        <v>148939</v>
      </c>
      <c r="BA140" s="154">
        <f>BA43+AZ43+AY43+AX43</f>
        <v>158659</v>
      </c>
      <c r="BC140" s="367">
        <f>BC43+BA43+AZ43+AY43</f>
        <v>171772</v>
      </c>
      <c r="BD140" s="124">
        <f>BD43+BC43+BA43+AZ43</f>
        <v>183068</v>
      </c>
      <c r="BE140" s="124">
        <f>BE43+BD43+BC43+BA43</f>
        <v>193252</v>
      </c>
      <c r="BF140" s="154">
        <f>BF43+BE43+BD43+BC43</f>
        <v>202621</v>
      </c>
      <c r="BH140" s="367">
        <f>BH43+BF43+BE43+BD43</f>
        <v>210748</v>
      </c>
      <c r="BI140" s="124">
        <f>BI43+BH43+BF43+BE43</f>
        <v>218322</v>
      </c>
      <c r="BJ140" s="124">
        <f>BJ43+BI43+BH43+BF43</f>
        <v>223692</v>
      </c>
      <c r="BK140" s="154">
        <f>BK43+BJ43+BI43+BH43</f>
        <v>230483</v>
      </c>
      <c r="BM140" s="367">
        <f>BM43+BK43+BJ43+BI43</f>
        <v>238304</v>
      </c>
      <c r="BN140" s="124">
        <f>BN43+BM43+BK43+BJ43</f>
        <v>246126</v>
      </c>
      <c r="BO140" s="124">
        <f>BO43+BN43+BM43+BK43</f>
        <v>250865</v>
      </c>
      <c r="BP140" s="154">
        <f>BP43+BO43+BN43+BM43</f>
        <v>253559</v>
      </c>
      <c r="BR140" s="367">
        <f>BR43+BP43+BO43+BN43</f>
        <v>257751</v>
      </c>
      <c r="BS140" s="124">
        <f>BS43+BR43+BP43+BO43</f>
        <v>257237</v>
      </c>
      <c r="BT140" s="124">
        <f>BT43+BS43+BR43+BP43</f>
        <v>258610</v>
      </c>
      <c r="BU140" s="154">
        <f>BU43+BT43+BS43+BR43</f>
        <v>266106</v>
      </c>
      <c r="BW140" s="367">
        <f>BW43+BU43+BT43+BS43</f>
        <v>266639.81816000002</v>
      </c>
      <c r="BX140" s="124">
        <f>BX43+BW43+BU43+BT43</f>
        <v>274632.68586099998</v>
      </c>
      <c r="BY140" s="124">
        <f>BY43+BX43+BW43+BU43</f>
        <v>283716.40259700001</v>
      </c>
      <c r="BZ140" s="154">
        <f>BZ43+BY43+BX43+BW43</f>
        <v>291873.69501699996</v>
      </c>
    </row>
    <row r="141" spans="3:78" ht="13.15" thickBot="1">
      <c r="C141" s="207"/>
      <c r="D141" s="253"/>
      <c r="E141" s="108"/>
      <c r="F141" s="245"/>
      <c r="G141" s="245"/>
      <c r="H141" s="168"/>
      <c r="I141" s="253"/>
      <c r="J141" s="108"/>
      <c r="K141" s="245"/>
      <c r="L141" s="245"/>
      <c r="M141" s="168"/>
      <c r="O141" s="108"/>
      <c r="P141" s="245"/>
      <c r="Q141" s="245"/>
      <c r="R141" s="168"/>
      <c r="T141" s="108"/>
      <c r="U141" s="245"/>
      <c r="V141" s="245"/>
      <c r="W141" s="168"/>
      <c r="Y141" s="108"/>
      <c r="Z141" s="245"/>
      <c r="AA141" s="245"/>
      <c r="AB141" s="168"/>
      <c r="AD141" s="108"/>
      <c r="AE141" s="245"/>
      <c r="AF141" s="245"/>
      <c r="AG141" s="168"/>
      <c r="AI141" s="108"/>
      <c r="AJ141" s="245"/>
      <c r="AK141" s="245"/>
      <c r="AL141" s="168"/>
      <c r="AN141" s="108"/>
      <c r="AO141" s="245"/>
      <c r="AP141" s="245"/>
      <c r="AQ141" s="168"/>
      <c r="AS141" s="108"/>
      <c r="AT141" s="245"/>
      <c r="AU141" s="245"/>
      <c r="AV141" s="168"/>
      <c r="AX141" s="108"/>
      <c r="AY141" s="245"/>
      <c r="AZ141" s="245"/>
      <c r="BA141" s="168"/>
      <c r="BC141" s="108"/>
      <c r="BD141" s="245"/>
      <c r="BE141" s="245"/>
      <c r="BF141" s="168"/>
      <c r="BH141" s="108"/>
      <c r="BI141" s="245"/>
      <c r="BJ141" s="245"/>
      <c r="BK141" s="168"/>
      <c r="BM141" s="108"/>
      <c r="BN141" s="245"/>
      <c r="BO141" s="245"/>
      <c r="BP141" s="168"/>
      <c r="BR141" s="108"/>
      <c r="BS141" s="245"/>
      <c r="BT141" s="245"/>
      <c r="BU141" s="168"/>
      <c r="BW141" s="108"/>
      <c r="BX141" s="245"/>
      <c r="BY141" s="245"/>
      <c r="BZ141" s="168"/>
    </row>
    <row r="142" spans="3:78" ht="13.15" thickBot="1">
      <c r="C142" s="366" t="s">
        <v>173</v>
      </c>
      <c r="D142" s="253"/>
      <c r="E142" s="373"/>
      <c r="F142" s="374"/>
      <c r="G142" s="374"/>
      <c r="H142" s="375"/>
      <c r="I142" s="253"/>
      <c r="J142" s="373"/>
      <c r="K142" s="374"/>
      <c r="L142" s="374"/>
      <c r="M142" s="375"/>
      <c r="O142" s="373"/>
      <c r="P142" s="374"/>
      <c r="Q142" s="374"/>
      <c r="R142" s="375">
        <f>R140/R136</f>
        <v>1.4899590709436972</v>
      </c>
      <c r="T142" s="373">
        <f t="shared" ref="T142:AG142" si="124">T140/T136</f>
        <v>1.512545081218899</v>
      </c>
      <c r="U142" s="374">
        <f t="shared" si="124"/>
        <v>1.455378367420108</v>
      </c>
      <c r="V142" s="374">
        <f t="shared" si="124"/>
        <v>1.3980495437614784</v>
      </c>
      <c r="W142" s="375">
        <f t="shared" si="124"/>
        <v>1.29373797034539</v>
      </c>
      <c r="X142" s="190"/>
      <c r="Y142" s="373">
        <f t="shared" si="124"/>
        <v>1.2472910519856912</v>
      </c>
      <c r="Z142" s="374">
        <f t="shared" si="124"/>
        <v>1.1791230944177242</v>
      </c>
      <c r="AA142" s="374">
        <f t="shared" si="124"/>
        <v>1.1282866762334467</v>
      </c>
      <c r="AB142" s="375">
        <f t="shared" si="124"/>
        <v>1.1903183337911174</v>
      </c>
      <c r="AC142" s="190"/>
      <c r="AD142" s="373">
        <f t="shared" si="124"/>
        <v>1.2520775360747922</v>
      </c>
      <c r="AE142" s="374">
        <f t="shared" si="124"/>
        <v>1.2949161793998212</v>
      </c>
      <c r="AF142" s="374">
        <f t="shared" si="124"/>
        <v>1.3421018250296208</v>
      </c>
      <c r="AG142" s="375">
        <f t="shared" si="124"/>
        <v>1.334350521667186</v>
      </c>
      <c r="AI142" s="373">
        <f>AI140/AI136</f>
        <v>1.2858649029040992</v>
      </c>
      <c r="AJ142" s="374">
        <f>AJ140/AJ136</f>
        <v>1.1977161042729443</v>
      </c>
      <c r="AK142" s="374">
        <f>AK140/AK136</f>
        <v>1.0783821770857516</v>
      </c>
      <c r="AL142" s="375">
        <f>AL140/AL136</f>
        <v>0.98057538104148223</v>
      </c>
      <c r="AN142" s="373">
        <f>AN140/AN136</f>
        <v>0.94316824266878785</v>
      </c>
      <c r="AO142" s="374">
        <f>AO140/AO136</f>
        <v>0.94124665936768892</v>
      </c>
      <c r="AP142" s="374">
        <f>AP140/AP136</f>
        <v>0.98794891420167175</v>
      </c>
      <c r="AQ142" s="375">
        <f>AQ140/AQ136</f>
        <v>0.96698936385179191</v>
      </c>
      <c r="AS142" s="373">
        <f>AS140/AS136</f>
        <v>0.8003570615036677</v>
      </c>
      <c r="AT142" s="374">
        <f>AT140/AT136</f>
        <v>0.79147817804409704</v>
      </c>
      <c r="AU142" s="374">
        <f>AU140/AU136</f>
        <v>0.76132525802805684</v>
      </c>
      <c r="AV142" s="375">
        <f>AV140/AV136</f>
        <v>0.74824016257753245</v>
      </c>
      <c r="AX142" s="373">
        <f>AX140/AX136</f>
        <v>0.95510307557226426</v>
      </c>
      <c r="AY142" s="374">
        <f>AY140/AY136</f>
        <v>0.93964087552243603</v>
      </c>
      <c r="AZ142" s="374">
        <f>AZ140/AZ136</f>
        <v>0.9120000391891997</v>
      </c>
      <c r="BA142" s="375">
        <f>BA140/BA136</f>
        <v>0.91359541736821126</v>
      </c>
      <c r="BC142" s="373">
        <f>BC140/BC136</f>
        <v>0.8671495157962541</v>
      </c>
      <c r="BD142" s="374">
        <f>BD140/BD136</f>
        <v>0.8876471831791759</v>
      </c>
      <c r="BE142" s="374">
        <f>BE140/BE136</f>
        <v>0.90677190898966487</v>
      </c>
      <c r="BF142" s="375">
        <f>BF140/BF136</f>
        <v>1.011337434997982</v>
      </c>
      <c r="BH142" s="373">
        <f>BH140/BH136</f>
        <v>1.0999413880948414</v>
      </c>
      <c r="BI142" s="374">
        <f>BI140/BI136</f>
        <v>1.227201671928918</v>
      </c>
      <c r="BJ142" s="374">
        <f>BJ140/BJ136</f>
        <v>1.4699365217048457</v>
      </c>
      <c r="BK142" s="375">
        <f>BK140/BK136</f>
        <v>1.4593045600141314</v>
      </c>
      <c r="BM142" s="373">
        <f>BM140/BM136</f>
        <v>1.3583358172672757</v>
      </c>
      <c r="BN142" s="374">
        <f>BN140/BN136</f>
        <v>1.3389400108122198</v>
      </c>
      <c r="BO142" s="374">
        <f>BO140/BO136</f>
        <v>1.312039581218668</v>
      </c>
      <c r="BP142" s="375">
        <f>BP140/BP136</f>
        <v>1.2127112672381992</v>
      </c>
      <c r="BR142" s="373">
        <f>BR140/BR136</f>
        <v>3.5891301493418388</v>
      </c>
      <c r="BS142" s="374">
        <f>BS140/BS136</f>
        <v>3.6654468676048935</v>
      </c>
      <c r="BT142" s="374">
        <f>BT140/BT136</f>
        <v>4.1885264090780074</v>
      </c>
      <c r="BU142" s="375">
        <f>BU140/BU136</f>
        <v>12.776412317002803</v>
      </c>
      <c r="BW142" s="373">
        <f>BW140/BW136</f>
        <v>1.1088237956977833</v>
      </c>
      <c r="BX142" s="374">
        <f>BX140/BX136</f>
        <v>1.1784664297554039</v>
      </c>
      <c r="BY142" s="374">
        <f>BY140/BY136</f>
        <v>1.1695171413298258</v>
      </c>
      <c r="BZ142" s="375">
        <f>BZ140/BZ136</f>
        <v>1.0690758393399429</v>
      </c>
    </row>
    <row r="143" spans="3:78" s="53" customFormat="1"/>
    <row r="144" spans="3:78" s="53" customFormat="1">
      <c r="C144" s="53" t="s">
        <v>274</v>
      </c>
      <c r="Y144" s="143">
        <f>Y140/Y127</f>
        <v>1.5629839677173083</v>
      </c>
      <c r="Z144" s="143">
        <f t="shared" ref="Z144:AQ144" si="125">Z140/Z127</f>
        <v>1.4723223059285948</v>
      </c>
      <c r="AA144" s="143">
        <f t="shared" si="125"/>
        <v>1.4295729569908862</v>
      </c>
      <c r="AB144" s="143">
        <f t="shared" si="125"/>
        <v>1.5131539341400277</v>
      </c>
      <c r="AC144" s="143"/>
      <c r="AD144" s="143">
        <f t="shared" si="125"/>
        <v>1.5326856148491879</v>
      </c>
      <c r="AE144" s="143">
        <f t="shared" si="125"/>
        <v>1.6266962459304504</v>
      </c>
      <c r="AF144" s="143">
        <f t="shared" si="125"/>
        <v>1.6968359297126421</v>
      </c>
      <c r="AG144" s="143">
        <f t="shared" si="125"/>
        <v>1.6282155500196669</v>
      </c>
      <c r="AH144" s="143"/>
      <c r="AI144" s="143">
        <f t="shared" si="125"/>
        <v>1.544324469251956</v>
      </c>
      <c r="AJ144" s="143">
        <f t="shared" si="125"/>
        <v>1.4036946839553304</v>
      </c>
      <c r="AK144" s="143">
        <f t="shared" si="125"/>
        <v>1.2531961394890045</v>
      </c>
      <c r="AL144" s="143">
        <f t="shared" si="125"/>
        <v>1.1427427357718623</v>
      </c>
      <c r="AM144" s="143"/>
      <c r="AN144" s="143">
        <f t="shared" si="125"/>
        <v>1.1278338046125431</v>
      </c>
      <c r="AO144" s="143">
        <f t="shared" si="125"/>
        <v>1.1419568201672283</v>
      </c>
      <c r="AP144" s="143">
        <f t="shared" si="125"/>
        <v>1.1729872598224096</v>
      </c>
      <c r="AQ144" s="143">
        <f t="shared" si="125"/>
        <v>1.1973500895624236</v>
      </c>
      <c r="AS144" s="143">
        <f>AS140/AS127</f>
        <v>1.2068456928739419</v>
      </c>
      <c r="AT144" s="143">
        <f>AT140/AT127</f>
        <v>1.1886985079767278</v>
      </c>
      <c r="AU144" s="143">
        <f>AU140/AU127</f>
        <v>1.1203512849750021</v>
      </c>
      <c r="AV144" s="143">
        <f>AV140/AV127</f>
        <v>1.0439280836654132</v>
      </c>
      <c r="AX144" s="143">
        <f>AX140/AX127</f>
        <v>0.95683954594025367</v>
      </c>
      <c r="AY144" s="143">
        <f>AY140/AY127</f>
        <v>0.89582835919883275</v>
      </c>
      <c r="AZ144" s="143">
        <f>AZ140/AZ127</f>
        <v>0.90490367031004126</v>
      </c>
      <c r="BA144" s="143">
        <f>BA140/BA127</f>
        <v>0.90826811996588108</v>
      </c>
      <c r="BC144" s="143">
        <f>BC140/BC127</f>
        <v>0.97164901801067971</v>
      </c>
      <c r="BD144" s="143">
        <f>BD140/BD127</f>
        <v>1.0262004327499803</v>
      </c>
      <c r="BE144" s="143">
        <f>BE140/BE127</f>
        <v>1.0722937693857055</v>
      </c>
      <c r="BF144" s="143">
        <f>BF140/BF127</f>
        <v>1.1971345011964196</v>
      </c>
      <c r="BH144" s="143">
        <f>BH140/BH127</f>
        <v>1.3169939133369162</v>
      </c>
      <c r="BI144" s="143">
        <f>BI140/BI127</f>
        <v>1.4759265018050054</v>
      </c>
      <c r="BJ144" s="143">
        <f>BJ140/BJ127</f>
        <v>1.6487827170139528</v>
      </c>
      <c r="BK144" s="143">
        <f>BK140/BK127</f>
        <v>1.7508318014007687</v>
      </c>
      <c r="BM144" s="143">
        <f>BM140/BM127</f>
        <v>1.9133045900875947</v>
      </c>
      <c r="BN144" s="143">
        <f>BN140/BN127</f>
        <v>2.0467007608831236</v>
      </c>
      <c r="BO144" s="143">
        <f>BO140/BO127</f>
        <v>2.0467247020045853</v>
      </c>
      <c r="BP144" s="143">
        <f>BP140/BP127</f>
        <v>1.9289387599847851</v>
      </c>
      <c r="BR144" s="143">
        <f>BR140/BR127</f>
        <v>1.9011831177069349</v>
      </c>
      <c r="BS144" s="143">
        <f>BS140/BS127</f>
        <v>1.8700937093338568</v>
      </c>
      <c r="BT144" s="143">
        <f>BT140/BT127</f>
        <v>2.0667966689576907</v>
      </c>
      <c r="BU144" s="143">
        <f>BU140/BU127</f>
        <v>2.4834904339710686</v>
      </c>
      <c r="BW144" s="143">
        <f>BW140/BW127</f>
        <v>2.8372455013576583</v>
      </c>
      <c r="BX144" s="143">
        <f>BX140/BX127</f>
        <v>3.1988523234047168</v>
      </c>
      <c r="BY144" s="143">
        <f>BY140/BY127</f>
        <v>3.0805018364527461</v>
      </c>
      <c r="BZ144" s="143">
        <f>BZ140/BZ127</f>
        <v>2.7127430690649854</v>
      </c>
    </row>
    <row r="145" spans="3:78" s="53" customFormat="1" ht="13.15" thickBot="1"/>
    <row r="146" spans="3:78" s="53" customFormat="1">
      <c r="C146" s="446" t="s">
        <v>352</v>
      </c>
      <c r="AI146" s="124">
        <v>56500</v>
      </c>
      <c r="AJ146" s="124">
        <v>64000</v>
      </c>
      <c r="AK146" s="124">
        <v>93400</v>
      </c>
      <c r="AL146" s="124">
        <v>96800</v>
      </c>
      <c r="AN146" s="124">
        <v>105600</v>
      </c>
      <c r="AO146" s="124">
        <v>135400</v>
      </c>
      <c r="AP146" s="124">
        <v>162100</v>
      </c>
      <c r="AQ146" s="124">
        <v>159900</v>
      </c>
      <c r="AR146" s="124"/>
      <c r="AS146" s="124">
        <v>154100</v>
      </c>
      <c r="AT146" s="124">
        <v>242000</v>
      </c>
      <c r="AU146" s="124">
        <v>286500</v>
      </c>
      <c r="AV146" s="124">
        <v>330000</v>
      </c>
      <c r="AW146" s="124"/>
      <c r="AX146" s="124">
        <v>369800</v>
      </c>
      <c r="AY146" s="124"/>
      <c r="AZ146" s="124"/>
      <c r="BA146" s="124"/>
      <c r="BB146" s="124"/>
      <c r="BC146" s="124"/>
      <c r="BD146" s="124"/>
      <c r="BE146" s="124"/>
      <c r="BF146" s="124"/>
      <c r="BH146" s="124"/>
      <c r="BI146" s="124"/>
      <c r="BJ146" s="124"/>
      <c r="BK146" s="124"/>
      <c r="BM146" s="124"/>
      <c r="BN146" s="124"/>
      <c r="BO146" s="124"/>
      <c r="BP146" s="124"/>
      <c r="BR146" s="124"/>
      <c r="BS146" s="124"/>
      <c r="BT146" s="124"/>
      <c r="BU146" s="124"/>
      <c r="BW146" s="124"/>
      <c r="BX146" s="124"/>
      <c r="BY146" s="124"/>
      <c r="BZ146" s="124"/>
    </row>
    <row r="147" spans="3:78" s="53" customFormat="1">
      <c r="C147" s="207" t="s">
        <v>353</v>
      </c>
      <c r="AI147" s="153"/>
      <c r="AJ147" s="153"/>
      <c r="AK147" s="153"/>
      <c r="AL147" s="153"/>
      <c r="AN147" s="124">
        <f>AN146-AI146</f>
        <v>49100</v>
      </c>
      <c r="AO147" s="124">
        <f>AO146-AJ146</f>
        <v>71400</v>
      </c>
      <c r="AP147" s="124">
        <f>AP146-AK146</f>
        <v>68700</v>
      </c>
      <c r="AQ147" s="124">
        <f>AQ146-AL146</f>
        <v>63100</v>
      </c>
      <c r="AR147" s="124"/>
      <c r="AS147" s="124">
        <f>AS146-AN146</f>
        <v>48500</v>
      </c>
      <c r="AT147" s="124">
        <f>AT146-AO146</f>
        <v>106600</v>
      </c>
      <c r="AU147" s="124">
        <f>AU146-AP146</f>
        <v>124400</v>
      </c>
      <c r="AV147" s="124">
        <f>AV146-AQ146</f>
        <v>170100</v>
      </c>
      <c r="AW147" s="124"/>
      <c r="AX147" s="124">
        <f>AX146-AS146</f>
        <v>215700</v>
      </c>
      <c r="AY147" s="124"/>
      <c r="AZ147" s="124"/>
      <c r="BB147" s="124"/>
      <c r="BC147" s="124"/>
      <c r="BD147" s="124"/>
      <c r="BE147" s="124"/>
      <c r="BF147" s="124"/>
      <c r="BH147" s="124"/>
      <c r="BI147" s="124"/>
      <c r="BJ147" s="124"/>
      <c r="BK147" s="124"/>
      <c r="BM147" s="124"/>
      <c r="BN147" s="124"/>
      <c r="BO147" s="124"/>
      <c r="BP147" s="124"/>
      <c r="BR147" s="124"/>
      <c r="BS147" s="124"/>
      <c r="BT147" s="124"/>
      <c r="BU147" s="124"/>
      <c r="BW147" s="124"/>
      <c r="BX147" s="124"/>
      <c r="BY147" s="124"/>
      <c r="BZ147" s="124"/>
    </row>
    <row r="148" spans="3:78" s="116" customFormat="1" ht="13.15">
      <c r="C148" s="447" t="s">
        <v>354</v>
      </c>
      <c r="AN148" s="393">
        <f>AN147+AN28</f>
        <v>123638</v>
      </c>
      <c r="AO148" s="393">
        <f>AO147+AO28</f>
        <v>148836</v>
      </c>
      <c r="AP148" s="393">
        <f>AP147+AP28</f>
        <v>152469</v>
      </c>
      <c r="AQ148" s="393">
        <f>AQ147+AQ28</f>
        <v>155363</v>
      </c>
      <c r="AR148" s="393"/>
      <c r="AS148" s="393">
        <f>AS147+AS28</f>
        <v>143588</v>
      </c>
      <c r="AT148" s="393">
        <f>AT147+AT28</f>
        <v>206392</v>
      </c>
      <c r="AU148" s="393">
        <f>AU147+AU28</f>
        <v>236543</v>
      </c>
      <c r="AV148" s="393">
        <f>AV147+AV28</f>
        <v>297985</v>
      </c>
      <c r="AW148" s="393"/>
      <c r="AX148" s="393">
        <f>AX147+AX28</f>
        <v>353582</v>
      </c>
      <c r="AY148" s="393"/>
      <c r="AZ148" s="393"/>
      <c r="BA148" s="393"/>
      <c r="BB148" s="393"/>
      <c r="BC148" s="393"/>
      <c r="BD148" s="393"/>
      <c r="BE148" s="393"/>
      <c r="BF148" s="393"/>
      <c r="BH148" s="393"/>
      <c r="BI148" s="393"/>
      <c r="BJ148" s="393"/>
      <c r="BK148" s="393"/>
      <c r="BM148" s="393"/>
      <c r="BN148" s="393"/>
      <c r="BO148" s="393"/>
      <c r="BP148" s="393"/>
      <c r="BR148" s="393"/>
      <c r="BS148" s="393"/>
      <c r="BT148" s="393"/>
      <c r="BU148" s="393"/>
      <c r="BW148" s="393"/>
      <c r="BX148" s="393"/>
      <c r="BY148" s="393"/>
      <c r="BZ148" s="393"/>
    </row>
    <row r="149" spans="3:78" s="53" customFormat="1">
      <c r="C149" s="448" t="s">
        <v>59</v>
      </c>
      <c r="AN149" s="178"/>
      <c r="AO149" s="178"/>
      <c r="AP149" s="178"/>
      <c r="AQ149" s="178"/>
      <c r="AR149" s="178"/>
      <c r="AS149" s="114">
        <f>AS148/AN148-1</f>
        <v>0.16135815849496105</v>
      </c>
      <c r="AT149" s="114">
        <f>AT148/AO148-1</f>
        <v>0.38670751699857564</v>
      </c>
      <c r="AU149" s="114">
        <f>AU148/AP148-1</f>
        <v>0.55141700935927962</v>
      </c>
      <c r="AV149" s="114">
        <f>AV148/AQ148-1</f>
        <v>0.9179920573109428</v>
      </c>
      <c r="AW149" s="178"/>
      <c r="AX149" s="114">
        <f>AX148/AS148-1</f>
        <v>1.4624759729225283</v>
      </c>
      <c r="AY149" s="124"/>
      <c r="AZ149" s="124"/>
      <c r="BA149" s="124"/>
      <c r="BB149" s="124"/>
      <c r="BC149" s="124"/>
      <c r="BD149" s="124"/>
      <c r="BE149" s="124"/>
      <c r="BF149" s="124"/>
      <c r="BH149" s="124"/>
      <c r="BI149" s="124"/>
      <c r="BJ149" s="124"/>
      <c r="BK149" s="124"/>
      <c r="BM149" s="124"/>
      <c r="BN149" s="124"/>
      <c r="BO149" s="124"/>
      <c r="BP149" s="124"/>
      <c r="BR149" s="124"/>
      <c r="BS149" s="124"/>
      <c r="BT149" s="124"/>
      <c r="BU149" s="124"/>
      <c r="BW149" s="124"/>
      <c r="BX149" s="124"/>
      <c r="BY149" s="124"/>
      <c r="BZ149" s="124"/>
    </row>
    <row r="150" spans="3:78" s="53" customFormat="1">
      <c r="C150" s="448" t="s">
        <v>58</v>
      </c>
      <c r="AN150" s="178"/>
      <c r="AO150" s="114">
        <f>AO148/AN148-1</f>
        <v>0.20380465552661797</v>
      </c>
      <c r="AP150" s="114">
        <f>AP148/AO148-1</f>
        <v>2.4409417076513673E-2</v>
      </c>
      <c r="AQ150" s="114">
        <f>AQ148/AP148-1</f>
        <v>1.8980907594330576E-2</v>
      </c>
      <c r="AR150" s="178"/>
      <c r="AS150" s="114">
        <f>AS148/AQ148-1</f>
        <v>-7.5790246068883849E-2</v>
      </c>
      <c r="AT150" s="114">
        <f>AT148/AS148-1</f>
        <v>0.43739031116806415</v>
      </c>
      <c r="AU150" s="114">
        <f>AU148/AT148-1</f>
        <v>0.1460860886080857</v>
      </c>
      <c r="AV150" s="114">
        <f>AV148/AU148-1</f>
        <v>0.25974981293041854</v>
      </c>
      <c r="AW150" s="178"/>
      <c r="AX150" s="114">
        <f>AX148/AV148-1</f>
        <v>0.18657650552880178</v>
      </c>
      <c r="AY150" s="124"/>
      <c r="AZ150" s="124"/>
      <c r="BA150" s="124"/>
      <c r="BB150" s="124"/>
      <c r="BC150" s="124"/>
      <c r="BD150" s="124"/>
      <c r="BE150" s="124"/>
      <c r="BF150" s="124"/>
      <c r="BH150" s="124"/>
      <c r="BI150" s="124"/>
      <c r="BJ150" s="124"/>
      <c r="BK150" s="124"/>
      <c r="BM150" s="124"/>
      <c r="BN150" s="124"/>
      <c r="BO150" s="124"/>
      <c r="BP150" s="124"/>
      <c r="BR150" s="124"/>
      <c r="BS150" s="124"/>
      <c r="BT150" s="124"/>
      <c r="BU150" s="124"/>
      <c r="BW150" s="124"/>
      <c r="BX150" s="124"/>
      <c r="BY150" s="124"/>
      <c r="BZ150" s="124"/>
    </row>
    <row r="151" spans="3:78" s="53" customFormat="1">
      <c r="C151" s="449"/>
      <c r="AN151" s="124"/>
      <c r="AO151" s="124"/>
      <c r="AP151" s="124"/>
      <c r="AQ151" s="124"/>
      <c r="AR151" s="124"/>
      <c r="AS151" s="124"/>
      <c r="AT151" s="124"/>
      <c r="AU151" s="124"/>
      <c r="AV151" s="124"/>
      <c r="AW151" s="124"/>
      <c r="AX151" s="124"/>
      <c r="AY151" s="124"/>
      <c r="AZ151" s="124"/>
      <c r="BA151" s="124"/>
      <c r="BB151" s="124"/>
      <c r="BC151" s="124"/>
      <c r="BD151" s="124"/>
      <c r="BE151" s="124"/>
      <c r="BF151" s="124"/>
      <c r="BH151" s="124"/>
      <c r="BI151" s="124"/>
      <c r="BJ151" s="124"/>
      <c r="BK151" s="124"/>
      <c r="BM151" s="124"/>
      <c r="BN151" s="124"/>
      <c r="BO151" s="124"/>
      <c r="BP151" s="124"/>
      <c r="BR151" s="124"/>
      <c r="BS151" s="124"/>
      <c r="BT151" s="124"/>
      <c r="BU151" s="124"/>
      <c r="BW151" s="124"/>
      <c r="BX151" s="124"/>
      <c r="BY151" s="124"/>
      <c r="BZ151" s="124"/>
    </row>
    <row r="152" spans="3:78" s="53" customFormat="1">
      <c r="C152" s="207" t="s">
        <v>355</v>
      </c>
      <c r="AI152" s="124">
        <f>AI146*0.75</f>
        <v>42375</v>
      </c>
      <c r="AJ152" s="124">
        <f>AJ146*0.75</f>
        <v>48000</v>
      </c>
      <c r="AK152" s="124">
        <f>AK146*0.75</f>
        <v>70050</v>
      </c>
      <c r="AL152" s="124">
        <f>AL146*0.75</f>
        <v>72600</v>
      </c>
      <c r="AN152" s="124">
        <f>AN146*0.75</f>
        <v>79200</v>
      </c>
      <c r="AO152" s="124">
        <f>AO146*0.8</f>
        <v>108320</v>
      </c>
      <c r="AP152" s="124">
        <f>AP146*0.8</f>
        <v>129680</v>
      </c>
      <c r="AQ152" s="124">
        <f>AQ146*0.8</f>
        <v>127920</v>
      </c>
      <c r="AR152" s="124"/>
      <c r="AS152" s="124">
        <f>AS146*0.8</f>
        <v>123280</v>
      </c>
      <c r="AT152" s="124">
        <f>AT146*0.8</f>
        <v>193600</v>
      </c>
      <c r="AU152" s="124">
        <f>AU146*0.75</f>
        <v>214875</v>
      </c>
      <c r="AV152" s="124">
        <f>AV146*0.75</f>
        <v>247500</v>
      </c>
      <c r="AW152" s="124"/>
      <c r="AX152" s="124">
        <f>AX146*0.75</f>
        <v>277350</v>
      </c>
      <c r="AY152" s="124"/>
      <c r="AZ152" s="124"/>
      <c r="BA152" s="124"/>
      <c r="BB152" s="124"/>
      <c r="BC152" s="124"/>
      <c r="BD152" s="124"/>
      <c r="BE152" s="124"/>
      <c r="BF152" s="124"/>
      <c r="BH152" s="124"/>
      <c r="BI152" s="124"/>
      <c r="BJ152" s="124"/>
      <c r="BK152" s="124"/>
      <c r="BM152" s="124"/>
      <c r="BN152" s="124"/>
      <c r="BO152" s="124"/>
      <c r="BP152" s="124"/>
      <c r="BR152" s="124"/>
      <c r="BS152" s="124"/>
      <c r="BT152" s="124"/>
      <c r="BU152" s="124"/>
      <c r="BW152" s="124"/>
      <c r="BX152" s="124"/>
      <c r="BY152" s="124"/>
      <c r="BZ152" s="124"/>
    </row>
    <row r="153" spans="3:78" s="53" customFormat="1">
      <c r="C153" s="207" t="s">
        <v>356</v>
      </c>
      <c r="AI153" s="153"/>
      <c r="AJ153" s="153"/>
      <c r="AK153" s="153"/>
      <c r="AL153" s="153"/>
      <c r="AN153" s="124">
        <f>AN152-AI152</f>
        <v>36825</v>
      </c>
      <c r="AO153" s="124">
        <f>AO152-AJ152</f>
        <v>60320</v>
      </c>
      <c r="AP153" s="124">
        <f>AP152-AK152</f>
        <v>59630</v>
      </c>
      <c r="AQ153" s="124">
        <f>AQ152-AL152</f>
        <v>55320</v>
      </c>
      <c r="AR153" s="124"/>
      <c r="AS153" s="124">
        <f>AS152-AN152</f>
        <v>44080</v>
      </c>
      <c r="AT153" s="124">
        <f>AT152-AO152</f>
        <v>85280</v>
      </c>
      <c r="AU153" s="124">
        <f>AU152-AP152</f>
        <v>85195</v>
      </c>
      <c r="AV153" s="124">
        <f>AV152-AQ152</f>
        <v>119580</v>
      </c>
      <c r="AW153" s="124"/>
      <c r="AX153" s="124">
        <f>AX152-AS152</f>
        <v>154070</v>
      </c>
      <c r="AY153" s="124"/>
      <c r="AZ153" s="124"/>
      <c r="BA153" s="124"/>
      <c r="BB153" s="124"/>
      <c r="BC153" s="124"/>
      <c r="BD153" s="124"/>
      <c r="BE153" s="124"/>
      <c r="BF153" s="124"/>
      <c r="BH153" s="124"/>
      <c r="BI153" s="124"/>
      <c r="BJ153" s="124"/>
      <c r="BK153" s="124"/>
      <c r="BM153" s="124"/>
      <c r="BN153" s="124"/>
      <c r="BO153" s="124"/>
      <c r="BP153" s="124"/>
      <c r="BR153" s="124"/>
      <c r="BS153" s="124"/>
      <c r="BT153" s="124"/>
      <c r="BU153" s="124"/>
      <c r="BW153" s="124"/>
      <c r="BX153" s="124"/>
      <c r="BY153" s="124"/>
      <c r="BZ153" s="124"/>
    </row>
    <row r="154" spans="3:78" s="116" customFormat="1" ht="13.15">
      <c r="C154" s="447" t="s">
        <v>357</v>
      </c>
      <c r="AN154" s="393">
        <f>AN153+AN28</f>
        <v>111363</v>
      </c>
      <c r="AO154" s="393">
        <f>AO153+AO28</f>
        <v>137756</v>
      </c>
      <c r="AP154" s="393">
        <f>AP153+AP28</f>
        <v>143399</v>
      </c>
      <c r="AQ154" s="393">
        <f>AQ153+AQ28</f>
        <v>147583</v>
      </c>
      <c r="AR154" s="393"/>
      <c r="AS154" s="393">
        <f>AS153+AS28</f>
        <v>139168</v>
      </c>
      <c r="AT154" s="393">
        <f>AT153+AT28</f>
        <v>185072</v>
      </c>
      <c r="AU154" s="393">
        <f>AU153+AU28</f>
        <v>197338</v>
      </c>
      <c r="AV154" s="393">
        <f>AV153+AV28</f>
        <v>247465</v>
      </c>
      <c r="AW154" s="393"/>
      <c r="AX154" s="393">
        <f>AX153+AX28</f>
        <v>291952</v>
      </c>
      <c r="AY154" s="393"/>
      <c r="AZ154" s="393"/>
      <c r="BA154" s="393"/>
      <c r="BB154" s="393"/>
      <c r="BC154" s="393"/>
      <c r="BD154" s="393"/>
      <c r="BE154" s="393"/>
      <c r="BF154" s="393"/>
      <c r="BH154" s="393"/>
      <c r="BI154" s="393"/>
      <c r="BJ154" s="393"/>
      <c r="BK154" s="393"/>
      <c r="BM154" s="393"/>
      <c r="BN154" s="393"/>
      <c r="BO154" s="393"/>
      <c r="BP154" s="393"/>
      <c r="BR154" s="393"/>
      <c r="BS154" s="393"/>
      <c r="BT154" s="393"/>
      <c r="BU154" s="393"/>
      <c r="BW154" s="393"/>
      <c r="BX154" s="393"/>
      <c r="BY154" s="393"/>
      <c r="BZ154" s="393"/>
    </row>
    <row r="155" spans="3:78" s="53" customFormat="1">
      <c r="C155" s="450" t="s">
        <v>59</v>
      </c>
      <c r="AN155" s="178"/>
      <c r="AO155" s="178"/>
      <c r="AP155" s="178"/>
      <c r="AQ155" s="178"/>
      <c r="AR155" s="178"/>
      <c r="AS155" s="114">
        <f>AS154/AN154-1</f>
        <v>0.24967897775742398</v>
      </c>
      <c r="AT155" s="114">
        <f>AT154/AO154-1</f>
        <v>0.34347687215075928</v>
      </c>
      <c r="AU155" s="114">
        <f>AU154/AP154-1</f>
        <v>0.3761462771706916</v>
      </c>
      <c r="AV155" s="114">
        <f>AV154/AQ154-1</f>
        <v>0.67678526659574612</v>
      </c>
      <c r="AW155" s="178"/>
      <c r="AX155" s="114">
        <f>AX154/AS154-1</f>
        <v>1.0978385835824329</v>
      </c>
      <c r="AY155" s="124"/>
      <c r="AZ155" s="124"/>
      <c r="BA155" s="124"/>
      <c r="BB155" s="124"/>
      <c r="BC155" s="124"/>
      <c r="BD155" s="124"/>
      <c r="BE155" s="124"/>
      <c r="BF155" s="124"/>
      <c r="BH155" s="124"/>
      <c r="BI155" s="124"/>
      <c r="BJ155" s="124"/>
      <c r="BK155" s="124"/>
      <c r="BM155" s="124"/>
      <c r="BN155" s="124"/>
      <c r="BO155" s="124"/>
      <c r="BP155" s="124"/>
      <c r="BR155" s="124"/>
      <c r="BS155" s="124"/>
      <c r="BT155" s="124"/>
      <c r="BU155" s="124"/>
      <c r="BW155" s="124"/>
      <c r="BX155" s="124"/>
      <c r="BY155" s="124"/>
      <c r="BZ155" s="124"/>
    </row>
    <row r="156" spans="3:78" s="53" customFormat="1" ht="13.15" thickBot="1">
      <c r="C156" s="451" t="s">
        <v>58</v>
      </c>
      <c r="AN156" s="178"/>
      <c r="AO156" s="114">
        <f>AO154/AN154-1</f>
        <v>0.23699972163106242</v>
      </c>
      <c r="AP156" s="114">
        <f>AP154/AO154-1</f>
        <v>4.0963732977147949E-2</v>
      </c>
      <c r="AQ156" s="114">
        <f>AQ154/AP154-1</f>
        <v>2.9177330385846467E-2</v>
      </c>
      <c r="AR156" s="178"/>
      <c r="AS156" s="114">
        <f>AS154/AQ154-1</f>
        <v>-5.7018762323573835E-2</v>
      </c>
      <c r="AT156" s="114">
        <f>AT154/AS154-1</f>
        <v>0.32984594159576908</v>
      </c>
      <c r="AU156" s="114">
        <f>AU154/AT154-1</f>
        <v>6.6276908446442517E-2</v>
      </c>
      <c r="AV156" s="114">
        <f>AV154/AU154-1</f>
        <v>0.25401595232545171</v>
      </c>
      <c r="AW156" s="178"/>
      <c r="AX156" s="114">
        <f>AX154/AV154-1</f>
        <v>0.17977087668963287</v>
      </c>
    </row>
    <row r="158" spans="3:78" ht="13.15">
      <c r="AV158" s="393">
        <f>BA158/1.34</f>
        <v>184113.43283582089</v>
      </c>
      <c r="AW158" s="393"/>
      <c r="AX158" s="393"/>
      <c r="AY158" s="393"/>
      <c r="AZ158" s="393"/>
      <c r="BA158" s="393">
        <v>246712</v>
      </c>
    </row>
    <row r="159" spans="3:78">
      <c r="BA159" s="114">
        <f>BA158/AV158-1</f>
        <v>0.34000000000000008</v>
      </c>
    </row>
    <row r="161" spans="48:53" ht="13.15">
      <c r="AV161" s="762">
        <f>(AV28*1000)/AV158</f>
        <v>694.59896559551225</v>
      </c>
      <c r="BA161" s="762">
        <f>(BA28*1000)/BA158</f>
        <v>703.65041019488308</v>
      </c>
    </row>
    <row r="162" spans="48:53">
      <c r="BA162" s="114">
        <f>BA161/AV161-1</f>
        <v>1.3031180649125451E-2</v>
      </c>
    </row>
  </sheetData>
  <mergeCells count="13">
    <mergeCell ref="BW114:BZ114"/>
    <mergeCell ref="O114:R114"/>
    <mergeCell ref="AI114:AL114"/>
    <mergeCell ref="AS114:AV114"/>
    <mergeCell ref="AN114:AQ114"/>
    <mergeCell ref="AD114:AG114"/>
    <mergeCell ref="Y114:AB114"/>
    <mergeCell ref="T114:W114"/>
    <mergeCell ref="BR114:BU114"/>
    <mergeCell ref="BM114:BP114"/>
    <mergeCell ref="BH114:BK114"/>
    <mergeCell ref="BC114:BF114"/>
    <mergeCell ref="AX114:BA114"/>
  </mergeCells>
  <pageMargins left="0.17" right="0.17" top="0.75" bottom="0.75" header="0.3" footer="0.3"/>
  <pageSetup scale="58" orientation="landscape" r:id="rId1"/>
  <ignoredErrors>
    <ignoredError sqref="AM23:AQ24 AR6:BG8 AR29:BG32 AM100 AR105:BG105 AR100:BA104 BL42:BL46 AM74 AM42:AM45 AR5:BC5 BG5 BD23:BE23 BF12:BG12 AR23:BC27 AR36:BG40 AR33:BC35 AR51:BG51 AR41:BC48 AR60:BE61 AR64:BG65 AR63:BC63 BG63 AR72:BG73 AR69:BC70 BG69:BG70 AR78:BG80 BG76 AR88:BG90 AR87:BC87 BG87 AR94:BG97 AR93:BC93 BE93 AR50:BC50 AR49:BB49 AR76:BC77 AR106:BC110 BG106:BG110 AR52:BC58 BE52:BG52 AR92:BG92 AR91:BC91 BE91:BG91 AR99:BG99 AR98:BD98 BG98 BF47:BG47 BG41:BG46 BE50:BG50 AR28:BD28 BF27:BG28 BG23:BG26 BG33:BG35 BG93 BG53:BG61 BE48:BE49 BG48:BG49 BG9:BG11 AR84:BG85 AR83:BB83 BE83 AR67:BG68 AR66:BB66 BD66:BG66 AR59:BB59 AR86:BB86 BD86:BG86 AR75:BG75 AR74:BB74 BD74:BG74 AM9:BC12" formula="1"/>
    <ignoredError sqref="BB100:BG102 BL100 BB104:BC104 BB103:BC103 BG103 BG104 BH100:BK100" formula="1" formulaRange="1"/>
    <ignoredError sqref="BH101:BL102 BL104 BL103"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pageSetUpPr fitToPage="1"/>
  </sheetPr>
  <dimension ref="B1:CA84"/>
  <sheetViews>
    <sheetView showGridLines="0" zoomScaleNormal="100" workbookViewId="0">
      <pane xSplit="3" ySplit="4" topLeftCell="BN5" activePane="bottomRight" state="frozen"/>
      <selection pane="topRight" activeCell="D1" sqref="D1"/>
      <selection pane="bottomLeft" activeCell="A5" sqref="A5"/>
      <selection pane="bottomRight" activeCell="BW6" sqref="BW6"/>
    </sheetView>
  </sheetViews>
  <sheetFormatPr defaultRowHeight="12.75" outlineLevelCol="1"/>
  <cols>
    <col min="1" max="2" width="1.625" style="105" customWidth="1"/>
    <col min="3" max="3" width="35.375" style="105" customWidth="1"/>
    <col min="4" max="4" width="7.375" style="105" hidden="1" customWidth="1"/>
    <col min="5" max="6" width="7.125" style="105" hidden="1" customWidth="1" outlineLevel="1"/>
    <col min="7" max="8" width="7.375" style="105" hidden="1" customWidth="1" outlineLevel="1"/>
    <col min="9" max="9" width="7.375" style="105" hidden="1" customWidth="1" collapsed="1"/>
    <col min="10" max="12" width="7.375" style="105" hidden="1" customWidth="1" outlineLevel="1"/>
    <col min="13" max="13" width="7.125" style="105" hidden="1" customWidth="1" outlineLevel="1"/>
    <col min="14" max="14" width="7.125" style="105" hidden="1" customWidth="1" collapsed="1"/>
    <col min="15" max="15" width="7.125" style="105" hidden="1" customWidth="1" outlineLevel="1"/>
    <col min="16" max="18" width="8.375" style="105" hidden="1" customWidth="1" outlineLevel="1"/>
    <col min="19" max="19" width="8.375" style="105" hidden="1" customWidth="1" collapsed="1"/>
    <col min="20" max="21" width="8" style="105" hidden="1" customWidth="1" outlineLevel="1"/>
    <col min="22" max="23" width="7.125" style="105" hidden="1" customWidth="1" outlineLevel="1"/>
    <col min="24" max="24" width="7.125" style="105" hidden="1" customWidth="1" collapsed="1"/>
    <col min="25" max="25" width="8" style="105" hidden="1" customWidth="1" outlineLevel="1"/>
    <col min="26" max="26" width="7.125" style="105" hidden="1" customWidth="1" outlineLevel="1"/>
    <col min="27" max="28" width="8" style="105" hidden="1" customWidth="1" outlineLevel="1"/>
    <col min="29" max="29" width="8" style="105" hidden="1" customWidth="1" collapsed="1"/>
    <col min="30" max="33" width="8" style="105" hidden="1" customWidth="1" outlineLevel="1"/>
    <col min="34" max="34" width="8" style="105" hidden="1" customWidth="1" collapsed="1"/>
    <col min="35" max="38" width="8" style="105" hidden="1" customWidth="1" outlineLevel="1"/>
    <col min="39" max="39" width="9.125" style="105" customWidth="1" collapsed="1"/>
    <col min="40" max="43" width="9.125" style="105" hidden="1" customWidth="1" outlineLevel="1"/>
    <col min="44" max="44" width="9.125" style="105" customWidth="1" collapsed="1"/>
    <col min="45" max="48" width="9.125" style="105" hidden="1" customWidth="1" outlineLevel="1"/>
    <col min="49" max="49" width="10" style="105" customWidth="1" collapsed="1"/>
    <col min="50" max="53" width="10" style="105" hidden="1" customWidth="1" outlineLevel="1"/>
    <col min="54" max="54" width="10" style="105" customWidth="1" collapsed="1"/>
    <col min="55" max="58" width="10" style="105" hidden="1" customWidth="1" outlineLevel="1"/>
    <col min="59" max="59" width="10" style="105" customWidth="1" collapsed="1"/>
    <col min="60" max="63" width="10" style="105" hidden="1" customWidth="1" outlineLevel="1"/>
    <col min="64" max="64" width="10" style="105" customWidth="1" collapsed="1"/>
    <col min="65" max="68" width="10" style="105" customWidth="1" outlineLevel="1"/>
    <col min="69" max="69" width="10" style="105" customWidth="1"/>
    <col min="70" max="73" width="10" style="105" customWidth="1" outlineLevel="1"/>
    <col min="74" max="74" width="10" style="105" customWidth="1"/>
    <col min="75" max="78" width="10" style="105" customWidth="1" outlineLevel="1"/>
    <col min="79" max="79" width="10" style="105" customWidth="1"/>
    <col min="80" max="265" width="9" style="105"/>
    <col min="266" max="266" width="3.625" style="105" customWidth="1"/>
    <col min="267" max="267" width="1.625" style="105" customWidth="1"/>
    <col min="268" max="268" width="35.375" style="105" customWidth="1"/>
    <col min="269" max="273" width="0" style="105" hidden="1" customWidth="1"/>
    <col min="274" max="275" width="8.5" style="105" customWidth="1"/>
    <col min="276" max="279" width="7.625" style="105" bestFit="1" customWidth="1"/>
    <col min="280" max="280" width="8.5" style="105" customWidth="1"/>
    <col min="281" max="281" width="7.625" style="105" bestFit="1" customWidth="1"/>
    <col min="282" max="282" width="9.875" style="105" bestFit="1" customWidth="1"/>
    <col min="283" max="284" width="7.625" style="105" bestFit="1" customWidth="1"/>
    <col min="285" max="285" width="9.875" style="105" bestFit="1" customWidth="1"/>
    <col min="286" max="521" width="9" style="105"/>
    <col min="522" max="522" width="3.625" style="105" customWidth="1"/>
    <col min="523" max="523" width="1.625" style="105" customWidth="1"/>
    <col min="524" max="524" width="35.375" style="105" customWidth="1"/>
    <col min="525" max="529" width="0" style="105" hidden="1" customWidth="1"/>
    <col min="530" max="531" width="8.5" style="105" customWidth="1"/>
    <col min="532" max="535" width="7.625" style="105" bestFit="1" customWidth="1"/>
    <col min="536" max="536" width="8.5" style="105" customWidth="1"/>
    <col min="537" max="537" width="7.625" style="105" bestFit="1" customWidth="1"/>
    <col min="538" max="538" width="9.875" style="105" bestFit="1" customWidth="1"/>
    <col min="539" max="540" width="7.625" style="105" bestFit="1" customWidth="1"/>
    <col min="541" max="541" width="9.875" style="105" bestFit="1" customWidth="1"/>
    <col min="542" max="777" width="9" style="105"/>
    <col min="778" max="778" width="3.625" style="105" customWidth="1"/>
    <col min="779" max="779" width="1.625" style="105" customWidth="1"/>
    <col min="780" max="780" width="35.375" style="105" customWidth="1"/>
    <col min="781" max="785" width="0" style="105" hidden="1" customWidth="1"/>
    <col min="786" max="787" width="8.5" style="105" customWidth="1"/>
    <col min="788" max="791" width="7.625" style="105" bestFit="1" customWidth="1"/>
    <col min="792" max="792" width="8.5" style="105" customWidth="1"/>
    <col min="793" max="793" width="7.625" style="105" bestFit="1" customWidth="1"/>
    <col min="794" max="794" width="9.875" style="105" bestFit="1" customWidth="1"/>
    <col min="795" max="796" width="7.625" style="105" bestFit="1" customWidth="1"/>
    <col min="797" max="797" width="9.875" style="105" bestFit="1" customWidth="1"/>
    <col min="798" max="1033" width="9" style="105"/>
    <col min="1034" max="1034" width="3.625" style="105" customWidth="1"/>
    <col min="1035" max="1035" width="1.625" style="105" customWidth="1"/>
    <col min="1036" max="1036" width="35.375" style="105" customWidth="1"/>
    <col min="1037" max="1041" width="0" style="105" hidden="1" customWidth="1"/>
    <col min="1042" max="1043" width="8.5" style="105" customWidth="1"/>
    <col min="1044" max="1047" width="7.625" style="105" bestFit="1" customWidth="1"/>
    <col min="1048" max="1048" width="8.5" style="105" customWidth="1"/>
    <col min="1049" max="1049" width="7.625" style="105" bestFit="1" customWidth="1"/>
    <col min="1050" max="1050" width="9.875" style="105" bestFit="1" customWidth="1"/>
    <col min="1051" max="1052" width="7.625" style="105" bestFit="1" customWidth="1"/>
    <col min="1053" max="1053" width="9.875" style="105" bestFit="1" customWidth="1"/>
    <col min="1054" max="1289" width="9" style="105"/>
    <col min="1290" max="1290" width="3.625" style="105" customWidth="1"/>
    <col min="1291" max="1291" width="1.625" style="105" customWidth="1"/>
    <col min="1292" max="1292" width="35.375" style="105" customWidth="1"/>
    <col min="1293" max="1297" width="0" style="105" hidden="1" customWidth="1"/>
    <col min="1298" max="1299" width="8.5" style="105" customWidth="1"/>
    <col min="1300" max="1303" width="7.625" style="105" bestFit="1" customWidth="1"/>
    <col min="1304" max="1304" width="8.5" style="105" customWidth="1"/>
    <col min="1305" max="1305" width="7.625" style="105" bestFit="1" customWidth="1"/>
    <col min="1306" max="1306" width="9.875" style="105" bestFit="1" customWidth="1"/>
    <col min="1307" max="1308" width="7.625" style="105" bestFit="1" customWidth="1"/>
    <col min="1309" max="1309" width="9.875" style="105" bestFit="1" customWidth="1"/>
    <col min="1310" max="1545" width="9" style="105"/>
    <col min="1546" max="1546" width="3.625" style="105" customWidth="1"/>
    <col min="1547" max="1547" width="1.625" style="105" customWidth="1"/>
    <col min="1548" max="1548" width="35.375" style="105" customWidth="1"/>
    <col min="1549" max="1553" width="0" style="105" hidden="1" customWidth="1"/>
    <col min="1554" max="1555" width="8.5" style="105" customWidth="1"/>
    <col min="1556" max="1559" width="7.625" style="105" bestFit="1" customWidth="1"/>
    <col min="1560" max="1560" width="8.5" style="105" customWidth="1"/>
    <col min="1561" max="1561" width="7.625" style="105" bestFit="1" customWidth="1"/>
    <col min="1562" max="1562" width="9.875" style="105" bestFit="1" customWidth="1"/>
    <col min="1563" max="1564" width="7.625" style="105" bestFit="1" customWidth="1"/>
    <col min="1565" max="1565" width="9.875" style="105" bestFit="1" customWidth="1"/>
    <col min="1566" max="1801" width="9" style="105"/>
    <col min="1802" max="1802" width="3.625" style="105" customWidth="1"/>
    <col min="1803" max="1803" width="1.625" style="105" customWidth="1"/>
    <col min="1804" max="1804" width="35.375" style="105" customWidth="1"/>
    <col min="1805" max="1809" width="0" style="105" hidden="1" customWidth="1"/>
    <col min="1810" max="1811" width="8.5" style="105" customWidth="1"/>
    <col min="1812" max="1815" width="7.625" style="105" bestFit="1" customWidth="1"/>
    <col min="1816" max="1816" width="8.5" style="105" customWidth="1"/>
    <col min="1817" max="1817" width="7.625" style="105" bestFit="1" customWidth="1"/>
    <col min="1818" max="1818" width="9.875" style="105" bestFit="1" customWidth="1"/>
    <col min="1819" max="1820" width="7.625" style="105" bestFit="1" customWidth="1"/>
    <col min="1821" max="1821" width="9.875" style="105" bestFit="1" customWidth="1"/>
    <col min="1822" max="2057" width="9" style="105"/>
    <col min="2058" max="2058" width="3.625" style="105" customWidth="1"/>
    <col min="2059" max="2059" width="1.625" style="105" customWidth="1"/>
    <col min="2060" max="2060" width="35.375" style="105" customWidth="1"/>
    <col min="2061" max="2065" width="0" style="105" hidden="1" customWidth="1"/>
    <col min="2066" max="2067" width="8.5" style="105" customWidth="1"/>
    <col min="2068" max="2071" width="7.625" style="105" bestFit="1" customWidth="1"/>
    <col min="2072" max="2072" width="8.5" style="105" customWidth="1"/>
    <col min="2073" max="2073" width="7.625" style="105" bestFit="1" customWidth="1"/>
    <col min="2074" max="2074" width="9.875" style="105" bestFit="1" customWidth="1"/>
    <col min="2075" max="2076" width="7.625" style="105" bestFit="1" customWidth="1"/>
    <col min="2077" max="2077" width="9.875" style="105" bestFit="1" customWidth="1"/>
    <col min="2078" max="2313" width="9" style="105"/>
    <col min="2314" max="2314" width="3.625" style="105" customWidth="1"/>
    <col min="2315" max="2315" width="1.625" style="105" customWidth="1"/>
    <col min="2316" max="2316" width="35.375" style="105" customWidth="1"/>
    <col min="2317" max="2321" width="0" style="105" hidden="1" customWidth="1"/>
    <col min="2322" max="2323" width="8.5" style="105" customWidth="1"/>
    <col min="2324" max="2327" width="7.625" style="105" bestFit="1" customWidth="1"/>
    <col min="2328" max="2328" width="8.5" style="105" customWidth="1"/>
    <col min="2329" max="2329" width="7.625" style="105" bestFit="1" customWidth="1"/>
    <col min="2330" max="2330" width="9.875" style="105" bestFit="1" customWidth="1"/>
    <col min="2331" max="2332" width="7.625" style="105" bestFit="1" customWidth="1"/>
    <col min="2333" max="2333" width="9.875" style="105" bestFit="1" customWidth="1"/>
    <col min="2334" max="2569" width="9" style="105"/>
    <col min="2570" max="2570" width="3.625" style="105" customWidth="1"/>
    <col min="2571" max="2571" width="1.625" style="105" customWidth="1"/>
    <col min="2572" max="2572" width="35.375" style="105" customWidth="1"/>
    <col min="2573" max="2577" width="0" style="105" hidden="1" customWidth="1"/>
    <col min="2578" max="2579" width="8.5" style="105" customWidth="1"/>
    <col min="2580" max="2583" width="7.625" style="105" bestFit="1" customWidth="1"/>
    <col min="2584" max="2584" width="8.5" style="105" customWidth="1"/>
    <col min="2585" max="2585" width="7.625" style="105" bestFit="1" customWidth="1"/>
    <col min="2586" max="2586" width="9.875" style="105" bestFit="1" customWidth="1"/>
    <col min="2587" max="2588" width="7.625" style="105" bestFit="1" customWidth="1"/>
    <col min="2589" max="2589" width="9.875" style="105" bestFit="1" customWidth="1"/>
    <col min="2590" max="2825" width="9" style="105"/>
    <col min="2826" max="2826" width="3.625" style="105" customWidth="1"/>
    <col min="2827" max="2827" width="1.625" style="105" customWidth="1"/>
    <col min="2828" max="2828" width="35.375" style="105" customWidth="1"/>
    <col min="2829" max="2833" width="0" style="105" hidden="1" customWidth="1"/>
    <col min="2834" max="2835" width="8.5" style="105" customWidth="1"/>
    <col min="2836" max="2839" width="7.625" style="105" bestFit="1" customWidth="1"/>
    <col min="2840" max="2840" width="8.5" style="105" customWidth="1"/>
    <col min="2841" max="2841" width="7.625" style="105" bestFit="1" customWidth="1"/>
    <col min="2842" max="2842" width="9.875" style="105" bestFit="1" customWidth="1"/>
    <col min="2843" max="2844" width="7.625" style="105" bestFit="1" customWidth="1"/>
    <col min="2845" max="2845" width="9.875" style="105" bestFit="1" customWidth="1"/>
    <col min="2846" max="3081" width="9" style="105"/>
    <col min="3082" max="3082" width="3.625" style="105" customWidth="1"/>
    <col min="3083" max="3083" width="1.625" style="105" customWidth="1"/>
    <col min="3084" max="3084" width="35.375" style="105" customWidth="1"/>
    <col min="3085" max="3089" width="0" style="105" hidden="1" customWidth="1"/>
    <col min="3090" max="3091" width="8.5" style="105" customWidth="1"/>
    <col min="3092" max="3095" width="7.625" style="105" bestFit="1" customWidth="1"/>
    <col min="3096" max="3096" width="8.5" style="105" customWidth="1"/>
    <col min="3097" max="3097" width="7.625" style="105" bestFit="1" customWidth="1"/>
    <col min="3098" max="3098" width="9.875" style="105" bestFit="1" customWidth="1"/>
    <col min="3099" max="3100" width="7.625" style="105" bestFit="1" customWidth="1"/>
    <col min="3101" max="3101" width="9.875" style="105" bestFit="1" customWidth="1"/>
    <col min="3102" max="3337" width="9" style="105"/>
    <col min="3338" max="3338" width="3.625" style="105" customWidth="1"/>
    <col min="3339" max="3339" width="1.625" style="105" customWidth="1"/>
    <col min="3340" max="3340" width="35.375" style="105" customWidth="1"/>
    <col min="3341" max="3345" width="0" style="105" hidden="1" customWidth="1"/>
    <col min="3346" max="3347" width="8.5" style="105" customWidth="1"/>
    <col min="3348" max="3351" width="7.625" style="105" bestFit="1" customWidth="1"/>
    <col min="3352" max="3352" width="8.5" style="105" customWidth="1"/>
    <col min="3353" max="3353" width="7.625" style="105" bestFit="1" customWidth="1"/>
    <col min="3354" max="3354" width="9.875" style="105" bestFit="1" customWidth="1"/>
    <col min="3355" max="3356" width="7.625" style="105" bestFit="1" customWidth="1"/>
    <col min="3357" max="3357" width="9.875" style="105" bestFit="1" customWidth="1"/>
    <col min="3358" max="3593" width="9" style="105"/>
    <col min="3594" max="3594" width="3.625" style="105" customWidth="1"/>
    <col min="3595" max="3595" width="1.625" style="105" customWidth="1"/>
    <col min="3596" max="3596" width="35.375" style="105" customWidth="1"/>
    <col min="3597" max="3601" width="0" style="105" hidden="1" customWidth="1"/>
    <col min="3602" max="3603" width="8.5" style="105" customWidth="1"/>
    <col min="3604" max="3607" width="7.625" style="105" bestFit="1" customWidth="1"/>
    <col min="3608" max="3608" width="8.5" style="105" customWidth="1"/>
    <col min="3609" max="3609" width="7.625" style="105" bestFit="1" customWidth="1"/>
    <col min="3610" max="3610" width="9.875" style="105" bestFit="1" customWidth="1"/>
    <col min="3611" max="3612" width="7.625" style="105" bestFit="1" customWidth="1"/>
    <col min="3613" max="3613" width="9.875" style="105" bestFit="1" customWidth="1"/>
    <col min="3614" max="3849" width="9" style="105"/>
    <col min="3850" max="3850" width="3.625" style="105" customWidth="1"/>
    <col min="3851" max="3851" width="1.625" style="105" customWidth="1"/>
    <col min="3852" max="3852" width="35.375" style="105" customWidth="1"/>
    <col min="3853" max="3857" width="0" style="105" hidden="1" customWidth="1"/>
    <col min="3858" max="3859" width="8.5" style="105" customWidth="1"/>
    <col min="3860" max="3863" width="7.625" style="105" bestFit="1" customWidth="1"/>
    <col min="3864" max="3864" width="8.5" style="105" customWidth="1"/>
    <col min="3865" max="3865" width="7.625" style="105" bestFit="1" customWidth="1"/>
    <col min="3866" max="3866" width="9.875" style="105" bestFit="1" customWidth="1"/>
    <col min="3867" max="3868" width="7.625" style="105" bestFit="1" customWidth="1"/>
    <col min="3869" max="3869" width="9.875" style="105" bestFit="1" customWidth="1"/>
    <col min="3870" max="4105" width="9" style="105"/>
    <col min="4106" max="4106" width="3.625" style="105" customWidth="1"/>
    <col min="4107" max="4107" width="1.625" style="105" customWidth="1"/>
    <col min="4108" max="4108" width="35.375" style="105" customWidth="1"/>
    <col min="4109" max="4113" width="0" style="105" hidden="1" customWidth="1"/>
    <col min="4114" max="4115" width="8.5" style="105" customWidth="1"/>
    <col min="4116" max="4119" width="7.625" style="105" bestFit="1" customWidth="1"/>
    <col min="4120" max="4120" width="8.5" style="105" customWidth="1"/>
    <col min="4121" max="4121" width="7.625" style="105" bestFit="1" customWidth="1"/>
    <col min="4122" max="4122" width="9.875" style="105" bestFit="1" customWidth="1"/>
    <col min="4123" max="4124" width="7.625" style="105" bestFit="1" customWidth="1"/>
    <col min="4125" max="4125" width="9.875" style="105" bestFit="1" customWidth="1"/>
    <col min="4126" max="4361" width="9" style="105"/>
    <col min="4362" max="4362" width="3.625" style="105" customWidth="1"/>
    <col min="4363" max="4363" width="1.625" style="105" customWidth="1"/>
    <col min="4364" max="4364" width="35.375" style="105" customWidth="1"/>
    <col min="4365" max="4369" width="0" style="105" hidden="1" customWidth="1"/>
    <col min="4370" max="4371" width="8.5" style="105" customWidth="1"/>
    <col min="4372" max="4375" width="7.625" style="105" bestFit="1" customWidth="1"/>
    <col min="4376" max="4376" width="8.5" style="105" customWidth="1"/>
    <col min="4377" max="4377" width="7.625" style="105" bestFit="1" customWidth="1"/>
    <col min="4378" max="4378" width="9.875" style="105" bestFit="1" customWidth="1"/>
    <col min="4379" max="4380" width="7.625" style="105" bestFit="1" customWidth="1"/>
    <col min="4381" max="4381" width="9.875" style="105" bestFit="1" customWidth="1"/>
    <col min="4382" max="4617" width="9" style="105"/>
    <col min="4618" max="4618" width="3.625" style="105" customWidth="1"/>
    <col min="4619" max="4619" width="1.625" style="105" customWidth="1"/>
    <col min="4620" max="4620" width="35.375" style="105" customWidth="1"/>
    <col min="4621" max="4625" width="0" style="105" hidden="1" customWidth="1"/>
    <col min="4626" max="4627" width="8.5" style="105" customWidth="1"/>
    <col min="4628" max="4631" width="7.625" style="105" bestFit="1" customWidth="1"/>
    <col min="4632" max="4632" width="8.5" style="105" customWidth="1"/>
    <col min="4633" max="4633" width="7.625" style="105" bestFit="1" customWidth="1"/>
    <col min="4634" max="4634" width="9.875" style="105" bestFit="1" customWidth="1"/>
    <col min="4635" max="4636" width="7.625" style="105" bestFit="1" customWidth="1"/>
    <col min="4637" max="4637" width="9.875" style="105" bestFit="1" customWidth="1"/>
    <col min="4638" max="4873" width="9" style="105"/>
    <col min="4874" max="4874" width="3.625" style="105" customWidth="1"/>
    <col min="4875" max="4875" width="1.625" style="105" customWidth="1"/>
    <col min="4876" max="4876" width="35.375" style="105" customWidth="1"/>
    <col min="4877" max="4881" width="0" style="105" hidden="1" customWidth="1"/>
    <col min="4882" max="4883" width="8.5" style="105" customWidth="1"/>
    <col min="4884" max="4887" width="7.625" style="105" bestFit="1" customWidth="1"/>
    <col min="4888" max="4888" width="8.5" style="105" customWidth="1"/>
    <col min="4889" max="4889" width="7.625" style="105" bestFit="1" customWidth="1"/>
    <col min="4890" max="4890" width="9.875" style="105" bestFit="1" customWidth="1"/>
    <col min="4891" max="4892" width="7.625" style="105" bestFit="1" customWidth="1"/>
    <col min="4893" max="4893" width="9.875" style="105" bestFit="1" customWidth="1"/>
    <col min="4894" max="5129" width="9" style="105"/>
    <col min="5130" max="5130" width="3.625" style="105" customWidth="1"/>
    <col min="5131" max="5131" width="1.625" style="105" customWidth="1"/>
    <col min="5132" max="5132" width="35.375" style="105" customWidth="1"/>
    <col min="5133" max="5137" width="0" style="105" hidden="1" customWidth="1"/>
    <col min="5138" max="5139" width="8.5" style="105" customWidth="1"/>
    <col min="5140" max="5143" width="7.625" style="105" bestFit="1" customWidth="1"/>
    <col min="5144" max="5144" width="8.5" style="105" customWidth="1"/>
    <col min="5145" max="5145" width="7.625" style="105" bestFit="1" customWidth="1"/>
    <col min="5146" max="5146" width="9.875" style="105" bestFit="1" customWidth="1"/>
    <col min="5147" max="5148" width="7.625" style="105" bestFit="1" customWidth="1"/>
    <col min="5149" max="5149" width="9.875" style="105" bestFit="1" customWidth="1"/>
    <col min="5150" max="5385" width="9" style="105"/>
    <col min="5386" max="5386" width="3.625" style="105" customWidth="1"/>
    <col min="5387" max="5387" width="1.625" style="105" customWidth="1"/>
    <col min="5388" max="5388" width="35.375" style="105" customWidth="1"/>
    <col min="5389" max="5393" width="0" style="105" hidden="1" customWidth="1"/>
    <col min="5394" max="5395" width="8.5" style="105" customWidth="1"/>
    <col min="5396" max="5399" width="7.625" style="105" bestFit="1" customWidth="1"/>
    <col min="5400" max="5400" width="8.5" style="105" customWidth="1"/>
    <col min="5401" max="5401" width="7.625" style="105" bestFit="1" customWidth="1"/>
    <col min="5402" max="5402" width="9.875" style="105" bestFit="1" customWidth="1"/>
    <col min="5403" max="5404" width="7.625" style="105" bestFit="1" customWidth="1"/>
    <col min="5405" max="5405" width="9.875" style="105" bestFit="1" customWidth="1"/>
    <col min="5406" max="5641" width="9" style="105"/>
    <col min="5642" max="5642" width="3.625" style="105" customWidth="1"/>
    <col min="5643" max="5643" width="1.625" style="105" customWidth="1"/>
    <col min="5644" max="5644" width="35.375" style="105" customWidth="1"/>
    <col min="5645" max="5649" width="0" style="105" hidden="1" customWidth="1"/>
    <col min="5650" max="5651" width="8.5" style="105" customWidth="1"/>
    <col min="5652" max="5655" width="7.625" style="105" bestFit="1" customWidth="1"/>
    <col min="5656" max="5656" width="8.5" style="105" customWidth="1"/>
    <col min="5657" max="5657" width="7.625" style="105" bestFit="1" customWidth="1"/>
    <col min="5658" max="5658" width="9.875" style="105" bestFit="1" customWidth="1"/>
    <col min="5659" max="5660" width="7.625" style="105" bestFit="1" customWidth="1"/>
    <col min="5661" max="5661" width="9.875" style="105" bestFit="1" customWidth="1"/>
    <col min="5662" max="5897" width="9" style="105"/>
    <col min="5898" max="5898" width="3.625" style="105" customWidth="1"/>
    <col min="5899" max="5899" width="1.625" style="105" customWidth="1"/>
    <col min="5900" max="5900" width="35.375" style="105" customWidth="1"/>
    <col min="5901" max="5905" width="0" style="105" hidden="1" customWidth="1"/>
    <col min="5906" max="5907" width="8.5" style="105" customWidth="1"/>
    <col min="5908" max="5911" width="7.625" style="105" bestFit="1" customWidth="1"/>
    <col min="5912" max="5912" width="8.5" style="105" customWidth="1"/>
    <col min="5913" max="5913" width="7.625" style="105" bestFit="1" customWidth="1"/>
    <col min="5914" max="5914" width="9.875" style="105" bestFit="1" customWidth="1"/>
    <col min="5915" max="5916" width="7.625" style="105" bestFit="1" customWidth="1"/>
    <col min="5917" max="5917" width="9.875" style="105" bestFit="1" customWidth="1"/>
    <col min="5918" max="6153" width="9" style="105"/>
    <col min="6154" max="6154" width="3.625" style="105" customWidth="1"/>
    <col min="6155" max="6155" width="1.625" style="105" customWidth="1"/>
    <col min="6156" max="6156" width="35.375" style="105" customWidth="1"/>
    <col min="6157" max="6161" width="0" style="105" hidden="1" customWidth="1"/>
    <col min="6162" max="6163" width="8.5" style="105" customWidth="1"/>
    <col min="6164" max="6167" width="7.625" style="105" bestFit="1" customWidth="1"/>
    <col min="6168" max="6168" width="8.5" style="105" customWidth="1"/>
    <col min="6169" max="6169" width="7.625" style="105" bestFit="1" customWidth="1"/>
    <col min="6170" max="6170" width="9.875" style="105" bestFit="1" customWidth="1"/>
    <col min="6171" max="6172" width="7.625" style="105" bestFit="1" customWidth="1"/>
    <col min="6173" max="6173" width="9.875" style="105" bestFit="1" customWidth="1"/>
    <col min="6174" max="6409" width="9" style="105"/>
    <col min="6410" max="6410" width="3.625" style="105" customWidth="1"/>
    <col min="6411" max="6411" width="1.625" style="105" customWidth="1"/>
    <col min="6412" max="6412" width="35.375" style="105" customWidth="1"/>
    <col min="6413" max="6417" width="0" style="105" hidden="1" customWidth="1"/>
    <col min="6418" max="6419" width="8.5" style="105" customWidth="1"/>
    <col min="6420" max="6423" width="7.625" style="105" bestFit="1" customWidth="1"/>
    <col min="6424" max="6424" width="8.5" style="105" customWidth="1"/>
    <col min="6425" max="6425" width="7.625" style="105" bestFit="1" customWidth="1"/>
    <col min="6426" max="6426" width="9.875" style="105" bestFit="1" customWidth="1"/>
    <col min="6427" max="6428" width="7.625" style="105" bestFit="1" customWidth="1"/>
    <col min="6429" max="6429" width="9.875" style="105" bestFit="1" customWidth="1"/>
    <col min="6430" max="6665" width="9" style="105"/>
    <col min="6666" max="6666" width="3.625" style="105" customWidth="1"/>
    <col min="6667" max="6667" width="1.625" style="105" customWidth="1"/>
    <col min="6668" max="6668" width="35.375" style="105" customWidth="1"/>
    <col min="6669" max="6673" width="0" style="105" hidden="1" customWidth="1"/>
    <col min="6674" max="6675" width="8.5" style="105" customWidth="1"/>
    <col min="6676" max="6679" width="7.625" style="105" bestFit="1" customWidth="1"/>
    <col min="6680" max="6680" width="8.5" style="105" customWidth="1"/>
    <col min="6681" max="6681" width="7.625" style="105" bestFit="1" customWidth="1"/>
    <col min="6682" max="6682" width="9.875" style="105" bestFit="1" customWidth="1"/>
    <col min="6683" max="6684" width="7.625" style="105" bestFit="1" customWidth="1"/>
    <col min="6685" max="6685" width="9.875" style="105" bestFit="1" customWidth="1"/>
    <col min="6686" max="6921" width="9" style="105"/>
    <col min="6922" max="6922" width="3.625" style="105" customWidth="1"/>
    <col min="6923" max="6923" width="1.625" style="105" customWidth="1"/>
    <col min="6924" max="6924" width="35.375" style="105" customWidth="1"/>
    <col min="6925" max="6929" width="0" style="105" hidden="1" customWidth="1"/>
    <col min="6930" max="6931" width="8.5" style="105" customWidth="1"/>
    <col min="6932" max="6935" width="7.625" style="105" bestFit="1" customWidth="1"/>
    <col min="6936" max="6936" width="8.5" style="105" customWidth="1"/>
    <col min="6937" max="6937" width="7.625" style="105" bestFit="1" customWidth="1"/>
    <col min="6938" max="6938" width="9.875" style="105" bestFit="1" customWidth="1"/>
    <col min="6939" max="6940" width="7.625" style="105" bestFit="1" customWidth="1"/>
    <col min="6941" max="6941" width="9.875" style="105" bestFit="1" customWidth="1"/>
    <col min="6942" max="7177" width="9" style="105"/>
    <col min="7178" max="7178" width="3.625" style="105" customWidth="1"/>
    <col min="7179" max="7179" width="1.625" style="105" customWidth="1"/>
    <col min="7180" max="7180" width="35.375" style="105" customWidth="1"/>
    <col min="7181" max="7185" width="0" style="105" hidden="1" customWidth="1"/>
    <col min="7186" max="7187" width="8.5" style="105" customWidth="1"/>
    <col min="7188" max="7191" width="7.625" style="105" bestFit="1" customWidth="1"/>
    <col min="7192" max="7192" width="8.5" style="105" customWidth="1"/>
    <col min="7193" max="7193" width="7.625" style="105" bestFit="1" customWidth="1"/>
    <col min="7194" max="7194" width="9.875" style="105" bestFit="1" customWidth="1"/>
    <col min="7195" max="7196" width="7.625" style="105" bestFit="1" customWidth="1"/>
    <col min="7197" max="7197" width="9.875" style="105" bestFit="1" customWidth="1"/>
    <col min="7198" max="7433" width="9" style="105"/>
    <col min="7434" max="7434" width="3.625" style="105" customWidth="1"/>
    <col min="7435" max="7435" width="1.625" style="105" customWidth="1"/>
    <col min="7436" max="7436" width="35.375" style="105" customWidth="1"/>
    <col min="7437" max="7441" width="0" style="105" hidden="1" customWidth="1"/>
    <col min="7442" max="7443" width="8.5" style="105" customWidth="1"/>
    <col min="7444" max="7447" width="7.625" style="105" bestFit="1" customWidth="1"/>
    <col min="7448" max="7448" width="8.5" style="105" customWidth="1"/>
    <col min="7449" max="7449" width="7.625" style="105" bestFit="1" customWidth="1"/>
    <col min="7450" max="7450" width="9.875" style="105" bestFit="1" customWidth="1"/>
    <col min="7451" max="7452" width="7.625" style="105" bestFit="1" customWidth="1"/>
    <col min="7453" max="7453" width="9.875" style="105" bestFit="1" customWidth="1"/>
    <col min="7454" max="7689" width="9" style="105"/>
    <col min="7690" max="7690" width="3.625" style="105" customWidth="1"/>
    <col min="7691" max="7691" width="1.625" style="105" customWidth="1"/>
    <col min="7692" max="7692" width="35.375" style="105" customWidth="1"/>
    <col min="7693" max="7697" width="0" style="105" hidden="1" customWidth="1"/>
    <col min="7698" max="7699" width="8.5" style="105" customWidth="1"/>
    <col min="7700" max="7703" width="7.625" style="105" bestFit="1" customWidth="1"/>
    <col min="7704" max="7704" width="8.5" style="105" customWidth="1"/>
    <col min="7705" max="7705" width="7.625" style="105" bestFit="1" customWidth="1"/>
    <col min="7706" max="7706" width="9.875" style="105" bestFit="1" customWidth="1"/>
    <col min="7707" max="7708" width="7.625" style="105" bestFit="1" customWidth="1"/>
    <col min="7709" max="7709" width="9.875" style="105" bestFit="1" customWidth="1"/>
    <col min="7710" max="7945" width="9" style="105"/>
    <col min="7946" max="7946" width="3.625" style="105" customWidth="1"/>
    <col min="7947" max="7947" width="1.625" style="105" customWidth="1"/>
    <col min="7948" max="7948" width="35.375" style="105" customWidth="1"/>
    <col min="7949" max="7953" width="0" style="105" hidden="1" customWidth="1"/>
    <col min="7954" max="7955" width="8.5" style="105" customWidth="1"/>
    <col min="7956" max="7959" width="7.625" style="105" bestFit="1" customWidth="1"/>
    <col min="7960" max="7960" width="8.5" style="105" customWidth="1"/>
    <col min="7961" max="7961" width="7.625" style="105" bestFit="1" customWidth="1"/>
    <col min="7962" max="7962" width="9.875" style="105" bestFit="1" customWidth="1"/>
    <col min="7963" max="7964" width="7.625" style="105" bestFit="1" customWidth="1"/>
    <col min="7965" max="7965" width="9.875" style="105" bestFit="1" customWidth="1"/>
    <col min="7966" max="8201" width="9" style="105"/>
    <col min="8202" max="8202" width="3.625" style="105" customWidth="1"/>
    <col min="8203" max="8203" width="1.625" style="105" customWidth="1"/>
    <col min="8204" max="8204" width="35.375" style="105" customWidth="1"/>
    <col min="8205" max="8209" width="0" style="105" hidden="1" customWidth="1"/>
    <col min="8210" max="8211" width="8.5" style="105" customWidth="1"/>
    <col min="8212" max="8215" width="7.625" style="105" bestFit="1" customWidth="1"/>
    <col min="8216" max="8216" width="8.5" style="105" customWidth="1"/>
    <col min="8217" max="8217" width="7.625" style="105" bestFit="1" customWidth="1"/>
    <col min="8218" max="8218" width="9.875" style="105" bestFit="1" customWidth="1"/>
    <col min="8219" max="8220" width="7.625" style="105" bestFit="1" customWidth="1"/>
    <col min="8221" max="8221" width="9.875" style="105" bestFit="1" customWidth="1"/>
    <col min="8222" max="8457" width="9" style="105"/>
    <col min="8458" max="8458" width="3.625" style="105" customWidth="1"/>
    <col min="8459" max="8459" width="1.625" style="105" customWidth="1"/>
    <col min="8460" max="8460" width="35.375" style="105" customWidth="1"/>
    <col min="8461" max="8465" width="0" style="105" hidden="1" customWidth="1"/>
    <col min="8466" max="8467" width="8.5" style="105" customWidth="1"/>
    <col min="8468" max="8471" width="7.625" style="105" bestFit="1" customWidth="1"/>
    <col min="8472" max="8472" width="8.5" style="105" customWidth="1"/>
    <col min="8473" max="8473" width="7.625" style="105" bestFit="1" customWidth="1"/>
    <col min="8474" max="8474" width="9.875" style="105" bestFit="1" customWidth="1"/>
    <col min="8475" max="8476" width="7.625" style="105" bestFit="1" customWidth="1"/>
    <col min="8477" max="8477" width="9.875" style="105" bestFit="1" customWidth="1"/>
    <col min="8478" max="8713" width="9" style="105"/>
    <col min="8714" max="8714" width="3.625" style="105" customWidth="1"/>
    <col min="8715" max="8715" width="1.625" style="105" customWidth="1"/>
    <col min="8716" max="8716" width="35.375" style="105" customWidth="1"/>
    <col min="8717" max="8721" width="0" style="105" hidden="1" customWidth="1"/>
    <col min="8722" max="8723" width="8.5" style="105" customWidth="1"/>
    <col min="8724" max="8727" width="7.625" style="105" bestFit="1" customWidth="1"/>
    <col min="8728" max="8728" width="8.5" style="105" customWidth="1"/>
    <col min="8729" max="8729" width="7.625" style="105" bestFit="1" customWidth="1"/>
    <col min="8730" max="8730" width="9.875" style="105" bestFit="1" customWidth="1"/>
    <col min="8731" max="8732" width="7.625" style="105" bestFit="1" customWidth="1"/>
    <col min="8733" max="8733" width="9.875" style="105" bestFit="1" customWidth="1"/>
    <col min="8734" max="8969" width="9" style="105"/>
    <col min="8970" max="8970" width="3.625" style="105" customWidth="1"/>
    <col min="8971" max="8971" width="1.625" style="105" customWidth="1"/>
    <col min="8972" max="8972" width="35.375" style="105" customWidth="1"/>
    <col min="8973" max="8977" width="0" style="105" hidden="1" customWidth="1"/>
    <col min="8978" max="8979" width="8.5" style="105" customWidth="1"/>
    <col min="8980" max="8983" width="7.625" style="105" bestFit="1" customWidth="1"/>
    <col min="8984" max="8984" width="8.5" style="105" customWidth="1"/>
    <col min="8985" max="8985" width="7.625" style="105" bestFit="1" customWidth="1"/>
    <col min="8986" max="8986" width="9.875" style="105" bestFit="1" customWidth="1"/>
    <col min="8987" max="8988" width="7.625" style="105" bestFit="1" customWidth="1"/>
    <col min="8989" max="8989" width="9.875" style="105" bestFit="1" customWidth="1"/>
    <col min="8990" max="9225" width="9" style="105"/>
    <col min="9226" max="9226" width="3.625" style="105" customWidth="1"/>
    <col min="9227" max="9227" width="1.625" style="105" customWidth="1"/>
    <col min="9228" max="9228" width="35.375" style="105" customWidth="1"/>
    <col min="9229" max="9233" width="0" style="105" hidden="1" customWidth="1"/>
    <col min="9234" max="9235" width="8.5" style="105" customWidth="1"/>
    <col min="9236" max="9239" width="7.625" style="105" bestFit="1" customWidth="1"/>
    <col min="9240" max="9240" width="8.5" style="105" customWidth="1"/>
    <col min="9241" max="9241" width="7.625" style="105" bestFit="1" customWidth="1"/>
    <col min="9242" max="9242" width="9.875" style="105" bestFit="1" customWidth="1"/>
    <col min="9243" max="9244" width="7.625" style="105" bestFit="1" customWidth="1"/>
    <col min="9245" max="9245" width="9.875" style="105" bestFit="1" customWidth="1"/>
    <col min="9246" max="9481" width="9" style="105"/>
    <col min="9482" max="9482" width="3.625" style="105" customWidth="1"/>
    <col min="9483" max="9483" width="1.625" style="105" customWidth="1"/>
    <col min="9484" max="9484" width="35.375" style="105" customWidth="1"/>
    <col min="9485" max="9489" width="0" style="105" hidden="1" customWidth="1"/>
    <col min="9490" max="9491" width="8.5" style="105" customWidth="1"/>
    <col min="9492" max="9495" width="7.625" style="105" bestFit="1" customWidth="1"/>
    <col min="9496" max="9496" width="8.5" style="105" customWidth="1"/>
    <col min="9497" max="9497" width="7.625" style="105" bestFit="1" customWidth="1"/>
    <col min="9498" max="9498" width="9.875" style="105" bestFit="1" customWidth="1"/>
    <col min="9499" max="9500" width="7.625" style="105" bestFit="1" customWidth="1"/>
    <col min="9501" max="9501" width="9.875" style="105" bestFit="1" customWidth="1"/>
    <col min="9502" max="9737" width="9" style="105"/>
    <col min="9738" max="9738" width="3.625" style="105" customWidth="1"/>
    <col min="9739" max="9739" width="1.625" style="105" customWidth="1"/>
    <col min="9740" max="9740" width="35.375" style="105" customWidth="1"/>
    <col min="9741" max="9745" width="0" style="105" hidden="1" customWidth="1"/>
    <col min="9746" max="9747" width="8.5" style="105" customWidth="1"/>
    <col min="9748" max="9751" width="7.625" style="105" bestFit="1" customWidth="1"/>
    <col min="9752" max="9752" width="8.5" style="105" customWidth="1"/>
    <col min="9753" max="9753" width="7.625" style="105" bestFit="1" customWidth="1"/>
    <col min="9754" max="9754" width="9.875" style="105" bestFit="1" customWidth="1"/>
    <col min="9755" max="9756" width="7.625" style="105" bestFit="1" customWidth="1"/>
    <col min="9757" max="9757" width="9.875" style="105" bestFit="1" customWidth="1"/>
    <col min="9758" max="9993" width="9" style="105"/>
    <col min="9994" max="9994" width="3.625" style="105" customWidth="1"/>
    <col min="9995" max="9995" width="1.625" style="105" customWidth="1"/>
    <col min="9996" max="9996" width="35.375" style="105" customWidth="1"/>
    <col min="9997" max="10001" width="0" style="105" hidden="1" customWidth="1"/>
    <col min="10002" max="10003" width="8.5" style="105" customWidth="1"/>
    <col min="10004" max="10007" width="7.625" style="105" bestFit="1" customWidth="1"/>
    <col min="10008" max="10008" width="8.5" style="105" customWidth="1"/>
    <col min="10009" max="10009" width="7.625" style="105" bestFit="1" customWidth="1"/>
    <col min="10010" max="10010" width="9.875" style="105" bestFit="1" customWidth="1"/>
    <col min="10011" max="10012" width="7.625" style="105" bestFit="1" customWidth="1"/>
    <col min="10013" max="10013" width="9.875" style="105" bestFit="1" customWidth="1"/>
    <col min="10014" max="10249" width="9" style="105"/>
    <col min="10250" max="10250" width="3.625" style="105" customWidth="1"/>
    <col min="10251" max="10251" width="1.625" style="105" customWidth="1"/>
    <col min="10252" max="10252" width="35.375" style="105" customWidth="1"/>
    <col min="10253" max="10257" width="0" style="105" hidden="1" customWidth="1"/>
    <col min="10258" max="10259" width="8.5" style="105" customWidth="1"/>
    <col min="10260" max="10263" width="7.625" style="105" bestFit="1" customWidth="1"/>
    <col min="10264" max="10264" width="8.5" style="105" customWidth="1"/>
    <col min="10265" max="10265" width="7.625" style="105" bestFit="1" customWidth="1"/>
    <col min="10266" max="10266" width="9.875" style="105" bestFit="1" customWidth="1"/>
    <col min="10267" max="10268" width="7.625" style="105" bestFit="1" customWidth="1"/>
    <col min="10269" max="10269" width="9.875" style="105" bestFit="1" customWidth="1"/>
    <col min="10270" max="10505" width="9" style="105"/>
    <col min="10506" max="10506" width="3.625" style="105" customWidth="1"/>
    <col min="10507" max="10507" width="1.625" style="105" customWidth="1"/>
    <col min="10508" max="10508" width="35.375" style="105" customWidth="1"/>
    <col min="10509" max="10513" width="0" style="105" hidden="1" customWidth="1"/>
    <col min="10514" max="10515" width="8.5" style="105" customWidth="1"/>
    <col min="10516" max="10519" width="7.625" style="105" bestFit="1" customWidth="1"/>
    <col min="10520" max="10520" width="8.5" style="105" customWidth="1"/>
    <col min="10521" max="10521" width="7.625" style="105" bestFit="1" customWidth="1"/>
    <col min="10522" max="10522" width="9.875" style="105" bestFit="1" customWidth="1"/>
    <col min="10523" max="10524" width="7.625" style="105" bestFit="1" customWidth="1"/>
    <col min="10525" max="10525" width="9.875" style="105" bestFit="1" customWidth="1"/>
    <col min="10526" max="10761" width="9" style="105"/>
    <col min="10762" max="10762" width="3.625" style="105" customWidth="1"/>
    <col min="10763" max="10763" width="1.625" style="105" customWidth="1"/>
    <col min="10764" max="10764" width="35.375" style="105" customWidth="1"/>
    <col min="10765" max="10769" width="0" style="105" hidden="1" customWidth="1"/>
    <col min="10770" max="10771" width="8.5" style="105" customWidth="1"/>
    <col min="10772" max="10775" width="7.625" style="105" bestFit="1" customWidth="1"/>
    <col min="10776" max="10776" width="8.5" style="105" customWidth="1"/>
    <col min="10777" max="10777" width="7.625" style="105" bestFit="1" customWidth="1"/>
    <col min="10778" max="10778" width="9.875" style="105" bestFit="1" customWidth="1"/>
    <col min="10779" max="10780" width="7.625" style="105" bestFit="1" customWidth="1"/>
    <col min="10781" max="10781" width="9.875" style="105" bestFit="1" customWidth="1"/>
    <col min="10782" max="11017" width="9" style="105"/>
    <col min="11018" max="11018" width="3.625" style="105" customWidth="1"/>
    <col min="11019" max="11019" width="1.625" style="105" customWidth="1"/>
    <col min="11020" max="11020" width="35.375" style="105" customWidth="1"/>
    <col min="11021" max="11025" width="0" style="105" hidden="1" customWidth="1"/>
    <col min="11026" max="11027" width="8.5" style="105" customWidth="1"/>
    <col min="11028" max="11031" width="7.625" style="105" bestFit="1" customWidth="1"/>
    <col min="11032" max="11032" width="8.5" style="105" customWidth="1"/>
    <col min="11033" max="11033" width="7.625" style="105" bestFit="1" customWidth="1"/>
    <col min="11034" max="11034" width="9.875" style="105" bestFit="1" customWidth="1"/>
    <col min="11035" max="11036" width="7.625" style="105" bestFit="1" customWidth="1"/>
    <col min="11037" max="11037" width="9.875" style="105" bestFit="1" customWidth="1"/>
    <col min="11038" max="11273" width="9" style="105"/>
    <col min="11274" max="11274" width="3.625" style="105" customWidth="1"/>
    <col min="11275" max="11275" width="1.625" style="105" customWidth="1"/>
    <col min="11276" max="11276" width="35.375" style="105" customWidth="1"/>
    <col min="11277" max="11281" width="0" style="105" hidden="1" customWidth="1"/>
    <col min="11282" max="11283" width="8.5" style="105" customWidth="1"/>
    <col min="11284" max="11287" width="7.625" style="105" bestFit="1" customWidth="1"/>
    <col min="11288" max="11288" width="8.5" style="105" customWidth="1"/>
    <col min="11289" max="11289" width="7.625" style="105" bestFit="1" customWidth="1"/>
    <col min="11290" max="11290" width="9.875" style="105" bestFit="1" customWidth="1"/>
    <col min="11291" max="11292" width="7.625" style="105" bestFit="1" customWidth="1"/>
    <col min="11293" max="11293" width="9.875" style="105" bestFit="1" customWidth="1"/>
    <col min="11294" max="11529" width="9" style="105"/>
    <col min="11530" max="11530" width="3.625" style="105" customWidth="1"/>
    <col min="11531" max="11531" width="1.625" style="105" customWidth="1"/>
    <col min="11532" max="11532" width="35.375" style="105" customWidth="1"/>
    <col min="11533" max="11537" width="0" style="105" hidden="1" customWidth="1"/>
    <col min="11538" max="11539" width="8.5" style="105" customWidth="1"/>
    <col min="11540" max="11543" width="7.625" style="105" bestFit="1" customWidth="1"/>
    <col min="11544" max="11544" width="8.5" style="105" customWidth="1"/>
    <col min="11545" max="11545" width="7.625" style="105" bestFit="1" customWidth="1"/>
    <col min="11546" max="11546" width="9.875" style="105" bestFit="1" customWidth="1"/>
    <col min="11547" max="11548" width="7.625" style="105" bestFit="1" customWidth="1"/>
    <col min="11549" max="11549" width="9.875" style="105" bestFit="1" customWidth="1"/>
    <col min="11550" max="11785" width="9" style="105"/>
    <col min="11786" max="11786" width="3.625" style="105" customWidth="1"/>
    <col min="11787" max="11787" width="1.625" style="105" customWidth="1"/>
    <col min="11788" max="11788" width="35.375" style="105" customWidth="1"/>
    <col min="11789" max="11793" width="0" style="105" hidden="1" customWidth="1"/>
    <col min="11794" max="11795" width="8.5" style="105" customWidth="1"/>
    <col min="11796" max="11799" width="7.625" style="105" bestFit="1" customWidth="1"/>
    <col min="11800" max="11800" width="8.5" style="105" customWidth="1"/>
    <col min="11801" max="11801" width="7.625" style="105" bestFit="1" customWidth="1"/>
    <col min="11802" max="11802" width="9.875" style="105" bestFit="1" customWidth="1"/>
    <col min="11803" max="11804" width="7.625" style="105" bestFit="1" customWidth="1"/>
    <col min="11805" max="11805" width="9.875" style="105" bestFit="1" customWidth="1"/>
    <col min="11806" max="12041" width="9" style="105"/>
    <col min="12042" max="12042" width="3.625" style="105" customWidth="1"/>
    <col min="12043" max="12043" width="1.625" style="105" customWidth="1"/>
    <col min="12044" max="12044" width="35.375" style="105" customWidth="1"/>
    <col min="12045" max="12049" width="0" style="105" hidden="1" customWidth="1"/>
    <col min="12050" max="12051" width="8.5" style="105" customWidth="1"/>
    <col min="12052" max="12055" width="7.625" style="105" bestFit="1" customWidth="1"/>
    <col min="12056" max="12056" width="8.5" style="105" customWidth="1"/>
    <col min="12057" max="12057" width="7.625" style="105" bestFit="1" customWidth="1"/>
    <col min="12058" max="12058" width="9.875" style="105" bestFit="1" customWidth="1"/>
    <col min="12059" max="12060" width="7.625" style="105" bestFit="1" customWidth="1"/>
    <col min="12061" max="12061" width="9.875" style="105" bestFit="1" customWidth="1"/>
    <col min="12062" max="12297" width="9" style="105"/>
    <col min="12298" max="12298" width="3.625" style="105" customWidth="1"/>
    <col min="12299" max="12299" width="1.625" style="105" customWidth="1"/>
    <col min="12300" max="12300" width="35.375" style="105" customWidth="1"/>
    <col min="12301" max="12305" width="0" style="105" hidden="1" customWidth="1"/>
    <col min="12306" max="12307" width="8.5" style="105" customWidth="1"/>
    <col min="12308" max="12311" width="7.625" style="105" bestFit="1" customWidth="1"/>
    <col min="12312" max="12312" width="8.5" style="105" customWidth="1"/>
    <col min="12313" max="12313" width="7.625" style="105" bestFit="1" customWidth="1"/>
    <col min="12314" max="12314" width="9.875" style="105" bestFit="1" customWidth="1"/>
    <col min="12315" max="12316" width="7.625" style="105" bestFit="1" customWidth="1"/>
    <col min="12317" max="12317" width="9.875" style="105" bestFit="1" customWidth="1"/>
    <col min="12318" max="12553" width="9" style="105"/>
    <col min="12554" max="12554" width="3.625" style="105" customWidth="1"/>
    <col min="12555" max="12555" width="1.625" style="105" customWidth="1"/>
    <col min="12556" max="12556" width="35.375" style="105" customWidth="1"/>
    <col min="12557" max="12561" width="0" style="105" hidden="1" customWidth="1"/>
    <col min="12562" max="12563" width="8.5" style="105" customWidth="1"/>
    <col min="12564" max="12567" width="7.625" style="105" bestFit="1" customWidth="1"/>
    <col min="12568" max="12568" width="8.5" style="105" customWidth="1"/>
    <col min="12569" max="12569" width="7.625" style="105" bestFit="1" customWidth="1"/>
    <col min="12570" max="12570" width="9.875" style="105" bestFit="1" customWidth="1"/>
    <col min="12571" max="12572" width="7.625" style="105" bestFit="1" customWidth="1"/>
    <col min="12573" max="12573" width="9.875" style="105" bestFit="1" customWidth="1"/>
    <col min="12574" max="12809" width="9" style="105"/>
    <col min="12810" max="12810" width="3.625" style="105" customWidth="1"/>
    <col min="12811" max="12811" width="1.625" style="105" customWidth="1"/>
    <col min="12812" max="12812" width="35.375" style="105" customWidth="1"/>
    <col min="12813" max="12817" width="0" style="105" hidden="1" customWidth="1"/>
    <col min="12818" max="12819" width="8.5" style="105" customWidth="1"/>
    <col min="12820" max="12823" width="7.625" style="105" bestFit="1" customWidth="1"/>
    <col min="12824" max="12824" width="8.5" style="105" customWidth="1"/>
    <col min="12825" max="12825" width="7.625" style="105" bestFit="1" customWidth="1"/>
    <col min="12826" max="12826" width="9.875" style="105" bestFit="1" customWidth="1"/>
    <col min="12827" max="12828" width="7.625" style="105" bestFit="1" customWidth="1"/>
    <col min="12829" max="12829" width="9.875" style="105" bestFit="1" customWidth="1"/>
    <col min="12830" max="13065" width="9" style="105"/>
    <col min="13066" max="13066" width="3.625" style="105" customWidth="1"/>
    <col min="13067" max="13067" width="1.625" style="105" customWidth="1"/>
    <col min="13068" max="13068" width="35.375" style="105" customWidth="1"/>
    <col min="13069" max="13073" width="0" style="105" hidden="1" customWidth="1"/>
    <col min="13074" max="13075" width="8.5" style="105" customWidth="1"/>
    <col min="13076" max="13079" width="7.625" style="105" bestFit="1" customWidth="1"/>
    <col min="13080" max="13080" width="8.5" style="105" customWidth="1"/>
    <col min="13081" max="13081" width="7.625" style="105" bestFit="1" customWidth="1"/>
    <col min="13082" max="13082" width="9.875" style="105" bestFit="1" customWidth="1"/>
    <col min="13083" max="13084" width="7.625" style="105" bestFit="1" customWidth="1"/>
    <col min="13085" max="13085" width="9.875" style="105" bestFit="1" customWidth="1"/>
    <col min="13086" max="13321" width="9" style="105"/>
    <col min="13322" max="13322" width="3.625" style="105" customWidth="1"/>
    <col min="13323" max="13323" width="1.625" style="105" customWidth="1"/>
    <col min="13324" max="13324" width="35.375" style="105" customWidth="1"/>
    <col min="13325" max="13329" width="0" style="105" hidden="1" customWidth="1"/>
    <col min="13330" max="13331" width="8.5" style="105" customWidth="1"/>
    <col min="13332" max="13335" width="7.625" style="105" bestFit="1" customWidth="1"/>
    <col min="13336" max="13336" width="8.5" style="105" customWidth="1"/>
    <col min="13337" max="13337" width="7.625" style="105" bestFit="1" customWidth="1"/>
    <col min="13338" max="13338" width="9.875" style="105" bestFit="1" customWidth="1"/>
    <col min="13339" max="13340" width="7.625" style="105" bestFit="1" customWidth="1"/>
    <col min="13341" max="13341" width="9.875" style="105" bestFit="1" customWidth="1"/>
    <col min="13342" max="13577" width="9" style="105"/>
    <col min="13578" max="13578" width="3.625" style="105" customWidth="1"/>
    <col min="13579" max="13579" width="1.625" style="105" customWidth="1"/>
    <col min="13580" max="13580" width="35.375" style="105" customWidth="1"/>
    <col min="13581" max="13585" width="0" style="105" hidden="1" customWidth="1"/>
    <col min="13586" max="13587" width="8.5" style="105" customWidth="1"/>
    <col min="13588" max="13591" width="7.625" style="105" bestFit="1" customWidth="1"/>
    <col min="13592" max="13592" width="8.5" style="105" customWidth="1"/>
    <col min="13593" max="13593" width="7.625" style="105" bestFit="1" customWidth="1"/>
    <col min="13594" max="13594" width="9.875" style="105" bestFit="1" customWidth="1"/>
    <col min="13595" max="13596" width="7.625" style="105" bestFit="1" customWidth="1"/>
    <col min="13597" max="13597" width="9.875" style="105" bestFit="1" customWidth="1"/>
    <col min="13598" max="13833" width="9" style="105"/>
    <col min="13834" max="13834" width="3.625" style="105" customWidth="1"/>
    <col min="13835" max="13835" width="1.625" style="105" customWidth="1"/>
    <col min="13836" max="13836" width="35.375" style="105" customWidth="1"/>
    <col min="13837" max="13841" width="0" style="105" hidden="1" customWidth="1"/>
    <col min="13842" max="13843" width="8.5" style="105" customWidth="1"/>
    <col min="13844" max="13847" width="7.625" style="105" bestFit="1" customWidth="1"/>
    <col min="13848" max="13848" width="8.5" style="105" customWidth="1"/>
    <col min="13849" max="13849" width="7.625" style="105" bestFit="1" customWidth="1"/>
    <col min="13850" max="13850" width="9.875" style="105" bestFit="1" customWidth="1"/>
    <col min="13851" max="13852" width="7.625" style="105" bestFit="1" customWidth="1"/>
    <col min="13853" max="13853" width="9.875" style="105" bestFit="1" customWidth="1"/>
    <col min="13854" max="14089" width="9" style="105"/>
    <col min="14090" max="14090" width="3.625" style="105" customWidth="1"/>
    <col min="14091" max="14091" width="1.625" style="105" customWidth="1"/>
    <col min="14092" max="14092" width="35.375" style="105" customWidth="1"/>
    <col min="14093" max="14097" width="0" style="105" hidden="1" customWidth="1"/>
    <col min="14098" max="14099" width="8.5" style="105" customWidth="1"/>
    <col min="14100" max="14103" width="7.625" style="105" bestFit="1" customWidth="1"/>
    <col min="14104" max="14104" width="8.5" style="105" customWidth="1"/>
    <col min="14105" max="14105" width="7.625" style="105" bestFit="1" customWidth="1"/>
    <col min="14106" max="14106" width="9.875" style="105" bestFit="1" customWidth="1"/>
    <col min="14107" max="14108" width="7.625" style="105" bestFit="1" customWidth="1"/>
    <col min="14109" max="14109" width="9.875" style="105" bestFit="1" customWidth="1"/>
    <col min="14110" max="14345" width="9" style="105"/>
    <col min="14346" max="14346" width="3.625" style="105" customWidth="1"/>
    <col min="14347" max="14347" width="1.625" style="105" customWidth="1"/>
    <col min="14348" max="14348" width="35.375" style="105" customWidth="1"/>
    <col min="14349" max="14353" width="0" style="105" hidden="1" customWidth="1"/>
    <col min="14354" max="14355" width="8.5" style="105" customWidth="1"/>
    <col min="14356" max="14359" width="7.625" style="105" bestFit="1" customWidth="1"/>
    <col min="14360" max="14360" width="8.5" style="105" customWidth="1"/>
    <col min="14361" max="14361" width="7.625" style="105" bestFit="1" customWidth="1"/>
    <col min="14362" max="14362" width="9.875" style="105" bestFit="1" customWidth="1"/>
    <col min="14363" max="14364" width="7.625" style="105" bestFit="1" customWidth="1"/>
    <col min="14365" max="14365" width="9.875" style="105" bestFit="1" customWidth="1"/>
    <col min="14366" max="14601" width="9" style="105"/>
    <col min="14602" max="14602" width="3.625" style="105" customWidth="1"/>
    <col min="14603" max="14603" width="1.625" style="105" customWidth="1"/>
    <col min="14604" max="14604" width="35.375" style="105" customWidth="1"/>
    <col min="14605" max="14609" width="0" style="105" hidden="1" customWidth="1"/>
    <col min="14610" max="14611" width="8.5" style="105" customWidth="1"/>
    <col min="14612" max="14615" width="7.625" style="105" bestFit="1" customWidth="1"/>
    <col min="14616" max="14616" width="8.5" style="105" customWidth="1"/>
    <col min="14617" max="14617" width="7.625" style="105" bestFit="1" customWidth="1"/>
    <col min="14618" max="14618" width="9.875" style="105" bestFit="1" customWidth="1"/>
    <col min="14619" max="14620" width="7.625" style="105" bestFit="1" customWidth="1"/>
    <col min="14621" max="14621" width="9.875" style="105" bestFit="1" customWidth="1"/>
    <col min="14622" max="14857" width="9" style="105"/>
    <col min="14858" max="14858" width="3.625" style="105" customWidth="1"/>
    <col min="14859" max="14859" width="1.625" style="105" customWidth="1"/>
    <col min="14860" max="14860" width="35.375" style="105" customWidth="1"/>
    <col min="14861" max="14865" width="0" style="105" hidden="1" customWidth="1"/>
    <col min="14866" max="14867" width="8.5" style="105" customWidth="1"/>
    <col min="14868" max="14871" width="7.625" style="105" bestFit="1" customWidth="1"/>
    <col min="14872" max="14872" width="8.5" style="105" customWidth="1"/>
    <col min="14873" max="14873" width="7.625" style="105" bestFit="1" customWidth="1"/>
    <col min="14874" max="14874" width="9.875" style="105" bestFit="1" customWidth="1"/>
    <col min="14875" max="14876" width="7.625" style="105" bestFit="1" customWidth="1"/>
    <col min="14877" max="14877" width="9.875" style="105" bestFit="1" customWidth="1"/>
    <col min="14878" max="15113" width="9" style="105"/>
    <col min="15114" max="15114" width="3.625" style="105" customWidth="1"/>
    <col min="15115" max="15115" width="1.625" style="105" customWidth="1"/>
    <col min="15116" max="15116" width="35.375" style="105" customWidth="1"/>
    <col min="15117" max="15121" width="0" style="105" hidden="1" customWidth="1"/>
    <col min="15122" max="15123" width="8.5" style="105" customWidth="1"/>
    <col min="15124" max="15127" width="7.625" style="105" bestFit="1" customWidth="1"/>
    <col min="15128" max="15128" width="8.5" style="105" customWidth="1"/>
    <col min="15129" max="15129" width="7.625" style="105" bestFit="1" customWidth="1"/>
    <col min="15130" max="15130" width="9.875" style="105" bestFit="1" customWidth="1"/>
    <col min="15131" max="15132" width="7.625" style="105" bestFit="1" customWidth="1"/>
    <col min="15133" max="15133" width="9.875" style="105" bestFit="1" customWidth="1"/>
    <col min="15134" max="15369" width="9" style="105"/>
    <col min="15370" max="15370" width="3.625" style="105" customWidth="1"/>
    <col min="15371" max="15371" width="1.625" style="105" customWidth="1"/>
    <col min="15372" max="15372" width="35.375" style="105" customWidth="1"/>
    <col min="15373" max="15377" width="0" style="105" hidden="1" customWidth="1"/>
    <col min="15378" max="15379" width="8.5" style="105" customWidth="1"/>
    <col min="15380" max="15383" width="7.625" style="105" bestFit="1" customWidth="1"/>
    <col min="15384" max="15384" width="8.5" style="105" customWidth="1"/>
    <col min="15385" max="15385" width="7.625" style="105" bestFit="1" customWidth="1"/>
    <col min="15386" max="15386" width="9.875" style="105" bestFit="1" customWidth="1"/>
    <col min="15387" max="15388" width="7.625" style="105" bestFit="1" customWidth="1"/>
    <col min="15389" max="15389" width="9.875" style="105" bestFit="1" customWidth="1"/>
    <col min="15390" max="15625" width="9" style="105"/>
    <col min="15626" max="15626" width="3.625" style="105" customWidth="1"/>
    <col min="15627" max="15627" width="1.625" style="105" customWidth="1"/>
    <col min="15628" max="15628" width="35.375" style="105" customWidth="1"/>
    <col min="15629" max="15633" width="0" style="105" hidden="1" customWidth="1"/>
    <col min="15634" max="15635" width="8.5" style="105" customWidth="1"/>
    <col min="15636" max="15639" width="7.625" style="105" bestFit="1" customWidth="1"/>
    <col min="15640" max="15640" width="8.5" style="105" customWidth="1"/>
    <col min="15641" max="15641" width="7.625" style="105" bestFit="1" customWidth="1"/>
    <col min="15642" max="15642" width="9.875" style="105" bestFit="1" customWidth="1"/>
    <col min="15643" max="15644" width="7.625" style="105" bestFit="1" customWidth="1"/>
    <col min="15645" max="15645" width="9.875" style="105" bestFit="1" customWidth="1"/>
    <col min="15646" max="15881" width="9" style="105"/>
    <col min="15882" max="15882" width="3.625" style="105" customWidth="1"/>
    <col min="15883" max="15883" width="1.625" style="105" customWidth="1"/>
    <col min="15884" max="15884" width="35.375" style="105" customWidth="1"/>
    <col min="15885" max="15889" width="0" style="105" hidden="1" customWidth="1"/>
    <col min="15890" max="15891" width="8.5" style="105" customWidth="1"/>
    <col min="15892" max="15895" width="7.625" style="105" bestFit="1" customWidth="1"/>
    <col min="15896" max="15896" width="8.5" style="105" customWidth="1"/>
    <col min="15897" max="15897" width="7.625" style="105" bestFit="1" customWidth="1"/>
    <col min="15898" max="15898" width="9.875" style="105" bestFit="1" customWidth="1"/>
    <col min="15899" max="15900" width="7.625" style="105" bestFit="1" customWidth="1"/>
    <col min="15901" max="15901" width="9.875" style="105" bestFit="1" customWidth="1"/>
    <col min="15902" max="16137" width="9" style="105"/>
    <col min="16138" max="16138" width="3.625" style="105" customWidth="1"/>
    <col min="16139" max="16139" width="1.625" style="105" customWidth="1"/>
    <col min="16140" max="16140" width="35.375" style="105" customWidth="1"/>
    <col min="16141" max="16145" width="0" style="105" hidden="1" customWidth="1"/>
    <col min="16146" max="16147" width="8.5" style="105" customWidth="1"/>
    <col min="16148" max="16151" width="7.625" style="105" bestFit="1" customWidth="1"/>
    <col min="16152" max="16152" width="8.5" style="105" customWidth="1"/>
    <col min="16153" max="16153" width="7.625" style="105" bestFit="1" customWidth="1"/>
    <col min="16154" max="16154" width="9.875" style="105" bestFit="1" customWidth="1"/>
    <col min="16155" max="16156" width="7.625" style="105" bestFit="1" customWidth="1"/>
    <col min="16157" max="16157" width="9.875" style="105" bestFit="1" customWidth="1"/>
    <col min="16158" max="16384" width="9" style="105"/>
  </cols>
  <sheetData>
    <row r="1" spans="2:79" ht="10.15" customHeight="1">
      <c r="BC1" s="758"/>
      <c r="BD1" s="410"/>
      <c r="BE1" s="410"/>
      <c r="BF1" s="410"/>
      <c r="BG1" s="410"/>
      <c r="BH1" s="409"/>
      <c r="BI1" s="410"/>
      <c r="BJ1" s="410"/>
      <c r="BK1" s="410"/>
      <c r="BL1" s="410"/>
      <c r="BM1" s="409"/>
      <c r="BN1" s="410"/>
      <c r="BO1" s="410"/>
      <c r="BP1" s="410"/>
      <c r="BQ1" s="410"/>
      <c r="BR1" s="409"/>
      <c r="BS1" s="410"/>
      <c r="BT1" s="410"/>
      <c r="BU1" s="410"/>
      <c r="BV1" s="410"/>
      <c r="BW1" s="409"/>
      <c r="BX1" s="410"/>
      <c r="BY1" s="410"/>
      <c r="BZ1" s="410"/>
      <c r="CA1" s="410"/>
    </row>
    <row r="2" spans="2:79" ht="15">
      <c r="B2" s="159" t="str">
        <f>'Income Statement'!B2</f>
        <v>Five9, Inc (Nasdaq: FIVN)</v>
      </c>
      <c r="C2" s="159"/>
      <c r="D2" s="159"/>
      <c r="E2" s="159"/>
      <c r="F2" s="159"/>
      <c r="G2" s="159"/>
      <c r="H2" s="159"/>
      <c r="I2" s="159"/>
      <c r="J2" s="159"/>
      <c r="K2" s="159"/>
      <c r="L2" s="159"/>
      <c r="M2" s="159"/>
      <c r="T2" s="124"/>
      <c r="AD2" s="124"/>
    </row>
    <row r="3" spans="2:79" ht="5.45" customHeight="1" thickBot="1">
      <c r="C3" s="159"/>
      <c r="D3" s="159"/>
      <c r="E3" s="159"/>
      <c r="F3" s="159"/>
      <c r="G3" s="159"/>
      <c r="H3" s="159"/>
      <c r="I3" s="159"/>
      <c r="J3" s="159"/>
      <c r="K3" s="159"/>
      <c r="L3" s="159"/>
      <c r="M3" s="159"/>
      <c r="T3" s="124"/>
    </row>
    <row r="4" spans="2:79" ht="13.5" thickBot="1">
      <c r="B4" s="837" t="s">
        <v>252</v>
      </c>
      <c r="C4" s="838"/>
      <c r="D4" s="839">
        <v>2011</v>
      </c>
      <c r="E4" s="840" t="s">
        <v>187</v>
      </c>
      <c r="F4" s="840" t="s">
        <v>186</v>
      </c>
      <c r="G4" s="840" t="s">
        <v>185</v>
      </c>
      <c r="H4" s="840" t="s">
        <v>184</v>
      </c>
      <c r="I4" s="839">
        <v>2012</v>
      </c>
      <c r="J4" s="840" t="s">
        <v>110</v>
      </c>
      <c r="K4" s="840" t="s">
        <v>109</v>
      </c>
      <c r="L4" s="840" t="s">
        <v>108</v>
      </c>
      <c r="M4" s="840" t="s">
        <v>107</v>
      </c>
      <c r="N4" s="839">
        <v>2013</v>
      </c>
      <c r="O4" s="840" t="s">
        <v>68</v>
      </c>
      <c r="P4" s="840" t="s">
        <v>67</v>
      </c>
      <c r="Q4" s="840" t="s">
        <v>66</v>
      </c>
      <c r="R4" s="840" t="s">
        <v>65</v>
      </c>
      <c r="S4" s="839">
        <v>2014</v>
      </c>
      <c r="T4" s="840" t="s">
        <v>64</v>
      </c>
      <c r="U4" s="840" t="s">
        <v>63</v>
      </c>
      <c r="V4" s="840" t="s">
        <v>62</v>
      </c>
      <c r="W4" s="840" t="s">
        <v>156</v>
      </c>
      <c r="X4" s="839">
        <v>2015</v>
      </c>
      <c r="Y4" s="840" t="s">
        <v>179</v>
      </c>
      <c r="Z4" s="840" t="s">
        <v>180</v>
      </c>
      <c r="AA4" s="840" t="s">
        <v>249</v>
      </c>
      <c r="AB4" s="840" t="s">
        <v>253</v>
      </c>
      <c r="AC4" s="839">
        <v>2016</v>
      </c>
      <c r="AD4" s="840" t="s">
        <v>257</v>
      </c>
      <c r="AE4" s="840" t="s">
        <v>258</v>
      </c>
      <c r="AF4" s="840" t="s">
        <v>259</v>
      </c>
      <c r="AG4" s="840" t="s">
        <v>260</v>
      </c>
      <c r="AH4" s="839">
        <v>2017</v>
      </c>
      <c r="AI4" s="840" t="s">
        <v>261</v>
      </c>
      <c r="AJ4" s="840" t="s">
        <v>264</v>
      </c>
      <c r="AK4" s="840" t="s">
        <v>273</v>
      </c>
      <c r="AL4" s="840" t="s">
        <v>275</v>
      </c>
      <c r="AM4" s="839">
        <v>2018</v>
      </c>
      <c r="AN4" s="840" t="s">
        <v>279</v>
      </c>
      <c r="AO4" s="840" t="s">
        <v>284</v>
      </c>
      <c r="AP4" s="840" t="s">
        <v>286</v>
      </c>
      <c r="AQ4" s="840" t="s">
        <v>289</v>
      </c>
      <c r="AR4" s="839">
        <v>2019</v>
      </c>
      <c r="AS4" s="840" t="s">
        <v>291</v>
      </c>
      <c r="AT4" s="840" t="s">
        <v>292</v>
      </c>
      <c r="AU4" s="840" t="s">
        <v>293</v>
      </c>
      <c r="AV4" s="840" t="s">
        <v>294</v>
      </c>
      <c r="AW4" s="839">
        <v>2020</v>
      </c>
      <c r="AX4" s="840" t="s">
        <v>347</v>
      </c>
      <c r="AY4" s="840" t="s">
        <v>358</v>
      </c>
      <c r="AZ4" s="840" t="s">
        <v>366</v>
      </c>
      <c r="BA4" s="840" t="s">
        <v>444</v>
      </c>
      <c r="BB4" s="839">
        <v>2021</v>
      </c>
      <c r="BC4" s="840" t="s">
        <v>464</v>
      </c>
      <c r="BD4" s="840" t="s">
        <v>472</v>
      </c>
      <c r="BE4" s="840" t="s">
        <v>476</v>
      </c>
      <c r="BF4" s="840" t="s">
        <v>479</v>
      </c>
      <c r="BG4" s="839">
        <v>2022</v>
      </c>
      <c r="BH4" s="840" t="s">
        <v>486</v>
      </c>
      <c r="BI4" s="840" t="s">
        <v>489</v>
      </c>
      <c r="BJ4" s="840" t="s">
        <v>492</v>
      </c>
      <c r="BK4" s="840" t="s">
        <v>495</v>
      </c>
      <c r="BL4" s="839">
        <v>2023</v>
      </c>
      <c r="BM4" s="840" t="s">
        <v>498</v>
      </c>
      <c r="BN4" s="840" t="s">
        <v>503</v>
      </c>
      <c r="BO4" s="840" t="s">
        <v>505</v>
      </c>
      <c r="BP4" s="840" t="s">
        <v>509</v>
      </c>
      <c r="BQ4" s="839">
        <v>2024</v>
      </c>
      <c r="BR4" s="840" t="s">
        <v>519</v>
      </c>
      <c r="BS4" s="840" t="s">
        <v>524</v>
      </c>
      <c r="BT4" s="840" t="str">
        <f>'Income Statement'!BT4</f>
        <v>3Q25</v>
      </c>
      <c r="BU4" s="840" t="s">
        <v>531</v>
      </c>
      <c r="BV4" s="839">
        <v>2025</v>
      </c>
      <c r="BW4" s="840" t="s">
        <v>514</v>
      </c>
      <c r="BX4" s="840" t="s">
        <v>515</v>
      </c>
      <c r="BY4" s="840" t="s">
        <v>516</v>
      </c>
      <c r="BZ4" s="840" t="s">
        <v>517</v>
      </c>
      <c r="CA4" s="839" t="s">
        <v>518</v>
      </c>
    </row>
    <row r="5" spans="2:79" ht="13.15">
      <c r="B5" s="260" t="s">
        <v>129</v>
      </c>
      <c r="C5" s="242"/>
      <c r="D5" s="270"/>
      <c r="E5" s="96"/>
      <c r="F5" s="96"/>
      <c r="G5" s="96"/>
      <c r="H5" s="96"/>
      <c r="I5" s="270"/>
      <c r="J5" s="96"/>
      <c r="K5" s="96"/>
      <c r="L5" s="96"/>
      <c r="M5" s="96"/>
      <c r="N5" s="270"/>
      <c r="O5" s="96"/>
      <c r="P5" s="96"/>
      <c r="Q5" s="96"/>
      <c r="R5" s="96"/>
      <c r="S5" s="270"/>
      <c r="T5" s="96"/>
      <c r="U5" s="96"/>
      <c r="V5" s="96"/>
      <c r="W5" s="96"/>
      <c r="X5" s="270"/>
      <c r="Y5" s="96"/>
      <c r="Z5" s="96"/>
      <c r="AA5" s="96"/>
      <c r="AB5" s="96"/>
      <c r="AC5" s="270"/>
      <c r="AD5" s="96"/>
      <c r="AE5" s="96"/>
      <c r="AF5" s="96"/>
      <c r="AG5" s="96"/>
      <c r="AH5" s="270"/>
      <c r="AI5" s="96"/>
      <c r="AJ5" s="96"/>
      <c r="AK5" s="96"/>
      <c r="AL5" s="96"/>
      <c r="AM5" s="270"/>
      <c r="AN5" s="96"/>
      <c r="AO5" s="96"/>
      <c r="AP5" s="96"/>
      <c r="AQ5" s="96"/>
      <c r="AR5" s="270"/>
      <c r="AS5" s="96"/>
      <c r="AT5" s="96"/>
      <c r="AU5" s="96"/>
      <c r="AV5" s="96"/>
      <c r="AW5" s="270"/>
      <c r="AX5" s="96"/>
      <c r="AY5" s="96"/>
      <c r="AZ5" s="96"/>
      <c r="BA5" s="96"/>
      <c r="BB5" s="270"/>
      <c r="BC5" s="96"/>
      <c r="BD5" s="96"/>
      <c r="BE5" s="96"/>
      <c r="BF5" s="96"/>
      <c r="BG5" s="270"/>
      <c r="BH5" s="96"/>
      <c r="BI5" s="96"/>
      <c r="BJ5" s="96"/>
      <c r="BK5" s="96"/>
      <c r="BL5" s="270"/>
      <c r="BM5" s="96"/>
      <c r="BN5" s="96"/>
      <c r="BO5" s="96"/>
      <c r="BP5" s="96"/>
      <c r="BQ5" s="270"/>
      <c r="BR5" s="96"/>
      <c r="BS5" s="96"/>
      <c r="BT5" s="96"/>
      <c r="BU5" s="96"/>
      <c r="BV5" s="270"/>
      <c r="BW5" s="96"/>
      <c r="BX5" s="96"/>
      <c r="BY5" s="96"/>
      <c r="BZ5" s="96"/>
      <c r="CA5" s="270"/>
    </row>
    <row r="6" spans="2:79">
      <c r="B6" s="112"/>
      <c r="C6" s="226" t="s">
        <v>189</v>
      </c>
      <c r="D6" s="95">
        <v>5378</v>
      </c>
      <c r="E6" s="275">
        <v>1735</v>
      </c>
      <c r="F6" s="275">
        <v>13129</v>
      </c>
      <c r="G6" s="275">
        <v>8468</v>
      </c>
      <c r="H6" s="275">
        <v>5961</v>
      </c>
      <c r="I6" s="95">
        <f>H6</f>
        <v>5961</v>
      </c>
      <c r="J6" s="275">
        <v>5475</v>
      </c>
      <c r="K6" s="275">
        <v>17742</v>
      </c>
      <c r="L6" s="275">
        <v>10110</v>
      </c>
      <c r="M6" s="275">
        <v>17748</v>
      </c>
      <c r="N6" s="95">
        <f>M6</f>
        <v>17748</v>
      </c>
      <c r="O6" s="287">
        <v>29238</v>
      </c>
      <c r="P6" s="275">
        <v>61577</v>
      </c>
      <c r="Q6" s="275">
        <v>53489</v>
      </c>
      <c r="R6" s="287">
        <v>58289</v>
      </c>
      <c r="S6" s="95">
        <f t="shared" ref="S6:S18" si="0">R6</f>
        <v>58289</v>
      </c>
      <c r="T6" s="287">
        <v>50646</v>
      </c>
      <c r="U6" s="287">
        <v>65333</v>
      </c>
      <c r="V6" s="287">
        <v>59501</v>
      </c>
      <c r="W6" s="287">
        <v>58484</v>
      </c>
      <c r="X6" s="95">
        <f t="shared" ref="X6:X18" si="1">W6</f>
        <v>58484</v>
      </c>
      <c r="Y6" s="96">
        <v>57767</v>
      </c>
      <c r="Z6" s="96">
        <v>57638</v>
      </c>
      <c r="AA6" s="96">
        <v>57333</v>
      </c>
      <c r="AB6" s="96">
        <v>58122</v>
      </c>
      <c r="AC6" s="95">
        <f t="shared" ref="AC6:AC18" si="2">AB6</f>
        <v>58122</v>
      </c>
      <c r="AD6" s="96">
        <v>56452</v>
      </c>
      <c r="AE6" s="96">
        <v>57149</v>
      </c>
      <c r="AF6" s="96">
        <v>63364</v>
      </c>
      <c r="AG6" s="96">
        <v>68947</v>
      </c>
      <c r="AH6" s="95">
        <f>AG6</f>
        <v>68947</v>
      </c>
      <c r="AI6" s="96">
        <v>80676</v>
      </c>
      <c r="AJ6" s="96">
        <v>166162</v>
      </c>
      <c r="AK6" s="96">
        <v>79619</v>
      </c>
      <c r="AL6" s="96">
        <v>81912</v>
      </c>
      <c r="AM6" s="95">
        <f>AL6</f>
        <v>81912</v>
      </c>
      <c r="AN6" s="96">
        <v>93492</v>
      </c>
      <c r="AO6" s="96">
        <f>110469</f>
        <v>110469</v>
      </c>
      <c r="AP6" s="96">
        <v>120573</v>
      </c>
      <c r="AQ6" s="96">
        <v>77976</v>
      </c>
      <c r="AR6" s="95">
        <f>AQ6</f>
        <v>77976</v>
      </c>
      <c r="AS6" s="96">
        <v>155863</v>
      </c>
      <c r="AT6" s="96">
        <v>233235</v>
      </c>
      <c r="AU6" s="96">
        <v>301767</v>
      </c>
      <c r="AV6" s="96">
        <f>+AV7</f>
        <v>383171</v>
      </c>
      <c r="AW6" s="95">
        <f t="shared" ref="AW6:AW13" si="3">AV6</f>
        <v>383171</v>
      </c>
      <c r="AX6" s="96">
        <v>176326</v>
      </c>
      <c r="AY6" s="96">
        <v>175199</v>
      </c>
      <c r="AZ6" s="96">
        <v>82465</v>
      </c>
      <c r="BA6" s="96">
        <v>90878</v>
      </c>
      <c r="BB6" s="95">
        <f t="shared" ref="BB6:BB13" si="4">BA6</f>
        <v>90878</v>
      </c>
      <c r="BC6" s="96">
        <v>100151</v>
      </c>
      <c r="BD6" s="96">
        <v>101315</v>
      </c>
      <c r="BE6" s="96">
        <v>129492</v>
      </c>
      <c r="BF6" s="96">
        <v>180520</v>
      </c>
      <c r="BG6" s="95">
        <f>BF6</f>
        <v>180520</v>
      </c>
      <c r="BH6" s="96">
        <v>141359</v>
      </c>
      <c r="BI6" s="96">
        <v>195592</v>
      </c>
      <c r="BJ6" s="96">
        <v>127828</v>
      </c>
      <c r="BK6" s="96">
        <v>143201</v>
      </c>
      <c r="BL6" s="95">
        <f>BK6</f>
        <v>143201</v>
      </c>
      <c r="BM6" s="96">
        <v>240190</v>
      </c>
      <c r="BN6" s="96">
        <v>175699</v>
      </c>
      <c r="BO6" s="96">
        <v>290959</v>
      </c>
      <c r="BP6" s="96">
        <v>362546</v>
      </c>
      <c r="BQ6" s="95">
        <f>BP6</f>
        <v>362546</v>
      </c>
      <c r="BR6" s="96">
        <v>370344</v>
      </c>
      <c r="BS6" s="96">
        <v>205479</v>
      </c>
      <c r="BT6" s="96">
        <v>193409</v>
      </c>
      <c r="BU6" s="96">
        <v>232084</v>
      </c>
      <c r="BV6" s="95">
        <f t="shared" ref="BV6:BV13" si="5">BU6</f>
        <v>232084</v>
      </c>
      <c r="BW6" s="96">
        <f>BV6+'Cash Flows'!BW93</f>
        <v>275266.52156699996</v>
      </c>
      <c r="BX6" s="96">
        <f>BW6+'Cash Flows'!BX93</f>
        <v>299270.19032099994</v>
      </c>
      <c r="BY6" s="96">
        <f>BX6+'Cash Flows'!BY93</f>
        <v>334709.61973811866</v>
      </c>
      <c r="BZ6" s="96">
        <f>BY6+'Cash Flows'!BZ93</f>
        <v>383119.70770665852</v>
      </c>
      <c r="CA6" s="95">
        <f>BZ6</f>
        <v>383119.70770665852</v>
      </c>
    </row>
    <row r="7" spans="2:79">
      <c r="B7" s="112"/>
      <c r="C7" s="226" t="s">
        <v>190</v>
      </c>
      <c r="D7" s="95">
        <v>3581</v>
      </c>
      <c r="E7" s="275">
        <v>3581</v>
      </c>
      <c r="F7" s="275">
        <v>2738</v>
      </c>
      <c r="G7" s="275">
        <v>2490</v>
      </c>
      <c r="H7" s="275">
        <v>2490</v>
      </c>
      <c r="I7" s="95">
        <f>H7</f>
        <v>2490</v>
      </c>
      <c r="J7" s="275">
        <v>2241</v>
      </c>
      <c r="K7" s="275">
        <v>0</v>
      </c>
      <c r="L7" s="275">
        <v>0</v>
      </c>
      <c r="M7" s="275">
        <v>0</v>
      </c>
      <c r="N7" s="95">
        <f>M7</f>
        <v>0</v>
      </c>
      <c r="O7" s="287">
        <v>0</v>
      </c>
      <c r="P7" s="275">
        <v>29995</v>
      </c>
      <c r="Q7" s="275">
        <v>29999</v>
      </c>
      <c r="R7" s="287">
        <v>20000</v>
      </c>
      <c r="S7" s="95">
        <f t="shared" si="0"/>
        <v>20000</v>
      </c>
      <c r="T7" s="287">
        <v>19999</v>
      </c>
      <c r="U7" s="287">
        <v>0</v>
      </c>
      <c r="V7" s="287">
        <v>0</v>
      </c>
      <c r="W7" s="287">
        <v>0</v>
      </c>
      <c r="X7" s="95">
        <f t="shared" si="1"/>
        <v>0</v>
      </c>
      <c r="Y7" s="96">
        <v>0</v>
      </c>
      <c r="Z7" s="96"/>
      <c r="AA7" s="96"/>
      <c r="AB7" s="96"/>
      <c r="AC7" s="95">
        <f t="shared" si="2"/>
        <v>0</v>
      </c>
      <c r="AD7" s="96"/>
      <c r="AE7" s="96"/>
      <c r="AF7" s="96"/>
      <c r="AG7" s="96"/>
      <c r="AH7" s="95">
        <f>AG7</f>
        <v>0</v>
      </c>
      <c r="AI7" s="96"/>
      <c r="AJ7" s="96">
        <v>108140</v>
      </c>
      <c r="AK7" s="96">
        <v>200007</v>
      </c>
      <c r="AL7" s="96">
        <v>209907</v>
      </c>
      <c r="AM7" s="95">
        <f>AL7</f>
        <v>209907</v>
      </c>
      <c r="AN7" s="96">
        <v>205450</v>
      </c>
      <c r="AO7" s="96">
        <f>197007</f>
        <v>197007</v>
      </c>
      <c r="AP7" s="96">
        <v>200385</v>
      </c>
      <c r="AQ7" s="96">
        <v>241973</v>
      </c>
      <c r="AR7" s="95">
        <f>AQ7</f>
        <v>241973</v>
      </c>
      <c r="AS7" s="96">
        <v>170433</v>
      </c>
      <c r="AT7" s="96">
        <v>452708</v>
      </c>
      <c r="AU7" s="96">
        <v>479141</v>
      </c>
      <c r="AV7" s="96">
        <v>383171</v>
      </c>
      <c r="AW7" s="95">
        <f t="shared" si="3"/>
        <v>383171</v>
      </c>
      <c r="AX7" s="96">
        <v>467143</v>
      </c>
      <c r="AY7" s="96">
        <v>390986</v>
      </c>
      <c r="AZ7" s="96">
        <v>332824</v>
      </c>
      <c r="BA7" s="96">
        <v>378980</v>
      </c>
      <c r="BB7" s="95">
        <f t="shared" si="4"/>
        <v>378980</v>
      </c>
      <c r="BC7" s="96">
        <v>377519</v>
      </c>
      <c r="BD7" s="96">
        <v>397067</v>
      </c>
      <c r="BE7" s="96">
        <v>447612</v>
      </c>
      <c r="BF7" s="96">
        <v>433743</v>
      </c>
      <c r="BG7" s="95">
        <f>BF7</f>
        <v>433743</v>
      </c>
      <c r="BH7" s="96">
        <v>488381</v>
      </c>
      <c r="BI7" s="96">
        <v>464244</v>
      </c>
      <c r="BJ7" s="96">
        <v>572462</v>
      </c>
      <c r="BK7" s="96">
        <v>587096</v>
      </c>
      <c r="BL7" s="95">
        <f>BK7</f>
        <v>587096</v>
      </c>
      <c r="BM7" s="96">
        <v>843212</v>
      </c>
      <c r="BN7" s="96">
        <v>930639</v>
      </c>
      <c r="BO7" s="96">
        <v>675704</v>
      </c>
      <c r="BP7" s="96">
        <v>643410</v>
      </c>
      <c r="BQ7" s="95">
        <f>BP7</f>
        <v>643410</v>
      </c>
      <c r="BR7" s="96">
        <v>671394</v>
      </c>
      <c r="BS7" s="96">
        <v>430397</v>
      </c>
      <c r="BT7" s="96">
        <v>482747</v>
      </c>
      <c r="BU7" s="96">
        <v>464835</v>
      </c>
      <c r="BV7" s="95">
        <f t="shared" si="5"/>
        <v>464835</v>
      </c>
      <c r="BW7" s="96">
        <f>BV7</f>
        <v>464835</v>
      </c>
      <c r="BX7" s="96">
        <f>BW7</f>
        <v>464835</v>
      </c>
      <c r="BY7" s="96">
        <f>BX7</f>
        <v>464835</v>
      </c>
      <c r="BZ7" s="96">
        <f>BY7</f>
        <v>464835</v>
      </c>
      <c r="CA7" s="95">
        <f>BZ7</f>
        <v>464835</v>
      </c>
    </row>
    <row r="8" spans="2:79">
      <c r="B8" s="112"/>
      <c r="C8" s="226" t="s">
        <v>191</v>
      </c>
      <c r="D8" s="95">
        <v>3530</v>
      </c>
      <c r="E8" s="275">
        <v>4064</v>
      </c>
      <c r="F8" s="275">
        <v>4127</v>
      </c>
      <c r="G8" s="275">
        <v>4102</v>
      </c>
      <c r="H8" s="275">
        <v>5441</v>
      </c>
      <c r="I8" s="95">
        <f>H8</f>
        <v>5441</v>
      </c>
      <c r="J8" s="275">
        <v>5528</v>
      </c>
      <c r="K8" s="275">
        <v>5625</v>
      </c>
      <c r="L8" s="275">
        <v>5124</v>
      </c>
      <c r="M8" s="275">
        <v>6970</v>
      </c>
      <c r="N8" s="95">
        <f>M8</f>
        <v>6970</v>
      </c>
      <c r="O8" s="287">
        <v>6650</v>
      </c>
      <c r="P8" s="275">
        <v>7098</v>
      </c>
      <c r="Q8" s="275">
        <v>7725</v>
      </c>
      <c r="R8" s="287">
        <v>8335</v>
      </c>
      <c r="S8" s="95">
        <f t="shared" si="0"/>
        <v>8335</v>
      </c>
      <c r="T8" s="287">
        <v>8719</v>
      </c>
      <c r="U8" s="287">
        <v>8250</v>
      </c>
      <c r="V8" s="287">
        <v>9309</v>
      </c>
      <c r="W8" s="287">
        <v>10567</v>
      </c>
      <c r="X8" s="95">
        <f t="shared" si="1"/>
        <v>10567</v>
      </c>
      <c r="Y8" s="96">
        <v>12528</v>
      </c>
      <c r="Z8" s="96">
        <v>10765</v>
      </c>
      <c r="AA8" s="96">
        <v>12899</v>
      </c>
      <c r="AB8" s="96">
        <v>13881</v>
      </c>
      <c r="AC8" s="95">
        <f t="shared" si="2"/>
        <v>13881</v>
      </c>
      <c r="AD8" s="96">
        <v>15453</v>
      </c>
      <c r="AE8" s="96">
        <v>16281</v>
      </c>
      <c r="AF8" s="96">
        <v>17231</v>
      </c>
      <c r="AG8" s="96">
        <v>19048</v>
      </c>
      <c r="AH8" s="95">
        <f>AG8</f>
        <v>19048</v>
      </c>
      <c r="AI8" s="96">
        <v>18534</v>
      </c>
      <c r="AJ8" s="96">
        <v>20167</v>
      </c>
      <c r="AK8" s="96">
        <v>23903</v>
      </c>
      <c r="AL8" s="96">
        <v>24797</v>
      </c>
      <c r="AM8" s="95">
        <f>AL8</f>
        <v>24797</v>
      </c>
      <c r="AN8" s="96">
        <v>25840</v>
      </c>
      <c r="AO8" s="96">
        <v>28153</v>
      </c>
      <c r="AP8" s="96">
        <v>31407</v>
      </c>
      <c r="AQ8" s="96">
        <v>37655</v>
      </c>
      <c r="AR8" s="95">
        <f>AQ8</f>
        <v>37655</v>
      </c>
      <c r="AS8" s="96">
        <v>39972</v>
      </c>
      <c r="AT8" s="96">
        <v>39607</v>
      </c>
      <c r="AU8" s="96">
        <v>42542</v>
      </c>
      <c r="AV8" s="96">
        <v>48731</v>
      </c>
      <c r="AW8" s="95">
        <f t="shared" si="3"/>
        <v>48731</v>
      </c>
      <c r="AX8" s="96">
        <v>51987</v>
      </c>
      <c r="AY8" s="96">
        <v>53811</v>
      </c>
      <c r="AZ8" s="96">
        <v>60383</v>
      </c>
      <c r="BA8" s="96">
        <v>83731</v>
      </c>
      <c r="BB8" s="95">
        <f t="shared" si="4"/>
        <v>83731</v>
      </c>
      <c r="BC8" s="96">
        <v>77912</v>
      </c>
      <c r="BD8" s="96">
        <v>82885</v>
      </c>
      <c r="BE8" s="96">
        <v>88225</v>
      </c>
      <c r="BF8" s="96">
        <v>87494</v>
      </c>
      <c r="BG8" s="95">
        <f>BF8</f>
        <v>87494</v>
      </c>
      <c r="BH8" s="96">
        <v>88085</v>
      </c>
      <c r="BI8" s="96">
        <v>88461</v>
      </c>
      <c r="BJ8" s="96">
        <v>94436</v>
      </c>
      <c r="BK8" s="96">
        <v>97424</v>
      </c>
      <c r="BL8" s="95">
        <f>BK8</f>
        <v>97424</v>
      </c>
      <c r="BM8" s="96">
        <v>103157</v>
      </c>
      <c r="BN8" s="96">
        <v>104382</v>
      </c>
      <c r="BO8" s="96">
        <v>116430</v>
      </c>
      <c r="BP8" s="96">
        <v>115172</v>
      </c>
      <c r="BQ8" s="95">
        <f>BP8</f>
        <v>115172</v>
      </c>
      <c r="BR8" s="96">
        <v>118614</v>
      </c>
      <c r="BS8" s="96">
        <v>127835</v>
      </c>
      <c r="BT8" s="96">
        <v>138486</v>
      </c>
      <c r="BU8" s="96">
        <v>130984</v>
      </c>
      <c r="BV8" s="95">
        <f t="shared" si="5"/>
        <v>130984</v>
      </c>
      <c r="BW8" s="96">
        <f>BW61*'Income Statement'!BW28</f>
        <v>131660.49995999999</v>
      </c>
      <c r="BX8" s="96">
        <f>BX61*'Income Statement'!BX28</f>
        <v>128657.38057200001</v>
      </c>
      <c r="BY8" s="96">
        <f>BY61*'Income Statement'!BY28</f>
        <v>138040.84940800001</v>
      </c>
      <c r="BZ8" s="96">
        <f>BZ61*'Income Statement'!BZ28</f>
        <v>151828.58484</v>
      </c>
      <c r="CA8" s="95">
        <f>BZ8</f>
        <v>151828.58484</v>
      </c>
    </row>
    <row r="9" spans="2:79">
      <c r="B9" s="112"/>
      <c r="C9" s="226" t="s">
        <v>192</v>
      </c>
      <c r="D9" s="95">
        <v>592</v>
      </c>
      <c r="E9" s="275">
        <v>961</v>
      </c>
      <c r="F9" s="275">
        <v>950</v>
      </c>
      <c r="G9" s="275">
        <v>1200</v>
      </c>
      <c r="H9" s="275">
        <v>942</v>
      </c>
      <c r="I9" s="95">
        <f>H9</f>
        <v>942</v>
      </c>
      <c r="J9" s="275">
        <v>2194</v>
      </c>
      <c r="K9" s="275">
        <v>1505</v>
      </c>
      <c r="L9" s="275">
        <v>1592</v>
      </c>
      <c r="M9" s="275">
        <v>1651</v>
      </c>
      <c r="N9" s="95">
        <f>M9</f>
        <v>1651</v>
      </c>
      <c r="O9" s="287">
        <v>2647</v>
      </c>
      <c r="P9" s="275">
        <v>2779</v>
      </c>
      <c r="Q9" s="275">
        <v>2726</v>
      </c>
      <c r="R9" s="287">
        <v>1960</v>
      </c>
      <c r="S9" s="95">
        <f t="shared" si="0"/>
        <v>1960</v>
      </c>
      <c r="T9" s="287">
        <v>3170</v>
      </c>
      <c r="U9" s="287">
        <v>4228</v>
      </c>
      <c r="V9" s="287">
        <v>2917</v>
      </c>
      <c r="W9" s="287">
        <v>2184</v>
      </c>
      <c r="X9" s="95">
        <f t="shared" si="1"/>
        <v>2184</v>
      </c>
      <c r="Y9" s="96">
        <v>3899</v>
      </c>
      <c r="Z9" s="96">
        <v>3390</v>
      </c>
      <c r="AA9" s="96">
        <v>4097</v>
      </c>
      <c r="AB9" s="96">
        <v>3008</v>
      </c>
      <c r="AC9" s="95">
        <f t="shared" si="2"/>
        <v>3008</v>
      </c>
      <c r="AD9" s="96">
        <v>5117</v>
      </c>
      <c r="AE9" s="96">
        <v>7074</v>
      </c>
      <c r="AF9" s="96">
        <v>4809</v>
      </c>
      <c r="AG9" s="96">
        <v>4840</v>
      </c>
      <c r="AH9" s="95">
        <f t="shared" ref="AH9:AH18" si="6">AG9</f>
        <v>4840</v>
      </c>
      <c r="AI9" s="96">
        <v>7150</v>
      </c>
      <c r="AJ9" s="96">
        <v>8437</v>
      </c>
      <c r="AK9" s="96">
        <v>7962</v>
      </c>
      <c r="AL9" s="96">
        <v>9014</v>
      </c>
      <c r="AM9" s="95">
        <f t="shared" ref="AM9:AM19" si="7">AL9</f>
        <v>9014</v>
      </c>
      <c r="AN9" s="96">
        <v>9719</v>
      </c>
      <c r="AO9" s="96">
        <v>12036</v>
      </c>
      <c r="AP9" s="96">
        <v>11140</v>
      </c>
      <c r="AQ9" s="96">
        <v>10656</v>
      </c>
      <c r="AR9" s="95">
        <f t="shared" ref="AR9:AR19" si="8">AQ9</f>
        <v>10656</v>
      </c>
      <c r="AS9" s="96">
        <v>13396</v>
      </c>
      <c r="AT9" s="96">
        <v>17529</v>
      </c>
      <c r="AU9" s="96">
        <v>15908</v>
      </c>
      <c r="AV9" s="96">
        <v>16149</v>
      </c>
      <c r="AW9" s="95">
        <f t="shared" si="3"/>
        <v>16149</v>
      </c>
      <c r="AX9" s="96">
        <v>19673</v>
      </c>
      <c r="AY9" s="96">
        <v>22110</v>
      </c>
      <c r="AZ9" s="96">
        <v>29814</v>
      </c>
      <c r="BA9" s="96">
        <v>30342</v>
      </c>
      <c r="BB9" s="95">
        <f t="shared" si="4"/>
        <v>30342</v>
      </c>
      <c r="BC9" s="96">
        <v>32534</v>
      </c>
      <c r="BD9" s="96">
        <v>38464</v>
      </c>
      <c r="BE9" s="96">
        <v>32600</v>
      </c>
      <c r="BF9" s="96">
        <v>29711</v>
      </c>
      <c r="BG9" s="95">
        <f t="shared" ref="BG9:BG17" si="9">BF9</f>
        <v>29711</v>
      </c>
      <c r="BH9" s="96">
        <v>32018</v>
      </c>
      <c r="BI9" s="96">
        <v>38476</v>
      </c>
      <c r="BJ9" s="96">
        <v>37627</v>
      </c>
      <c r="BK9" s="96">
        <v>34622</v>
      </c>
      <c r="BL9" s="95">
        <f t="shared" ref="BL9:BL19" si="10">BK9</f>
        <v>34622</v>
      </c>
      <c r="BM9" s="96">
        <v>35627</v>
      </c>
      <c r="BN9" s="96">
        <v>41760</v>
      </c>
      <c r="BO9" s="96">
        <v>48640</v>
      </c>
      <c r="BP9" s="96">
        <v>50840</v>
      </c>
      <c r="BQ9" s="95">
        <f t="shared" ref="BQ9:BQ19" si="11">BP9</f>
        <v>50840</v>
      </c>
      <c r="BR9" s="96">
        <v>47832</v>
      </c>
      <c r="BS9" s="96">
        <v>47986</v>
      </c>
      <c r="BT9" s="96">
        <v>49590</v>
      </c>
      <c r="BU9" s="96">
        <v>43107</v>
      </c>
      <c r="BV9" s="95">
        <f t="shared" si="5"/>
        <v>43107</v>
      </c>
      <c r="BW9" s="96">
        <f>BW62*'Income Statement'!BW28</f>
        <v>56853.397709999997</v>
      </c>
      <c r="BX9" s="96">
        <f>BX62*'Income Statement'!BX28</f>
        <v>61265.419320000015</v>
      </c>
      <c r="BY9" s="96">
        <f>BY62*'Income Statement'!BY28</f>
        <v>62745.840640000002</v>
      </c>
      <c r="BZ9" s="96">
        <f>BZ62*'Income Statement'!BZ28</f>
        <v>67479.371039999998</v>
      </c>
      <c r="CA9" s="95">
        <f t="shared" ref="CA9:CA19" si="12">BZ9</f>
        <v>67479.371039999998</v>
      </c>
    </row>
    <row r="10" spans="2:79">
      <c r="B10" s="112"/>
      <c r="C10" s="226" t="s">
        <v>262</v>
      </c>
      <c r="D10" s="95"/>
      <c r="E10" s="275"/>
      <c r="F10" s="275"/>
      <c r="G10" s="275"/>
      <c r="H10" s="275"/>
      <c r="I10" s="95"/>
      <c r="J10" s="275"/>
      <c r="K10" s="275"/>
      <c r="L10" s="275"/>
      <c r="M10" s="275"/>
      <c r="N10" s="95"/>
      <c r="O10" s="287"/>
      <c r="P10" s="275"/>
      <c r="Q10" s="275"/>
      <c r="R10" s="287"/>
      <c r="S10" s="95"/>
      <c r="T10" s="287"/>
      <c r="U10" s="287"/>
      <c r="V10" s="287"/>
      <c r="W10" s="287"/>
      <c r="X10" s="95"/>
      <c r="Y10" s="96"/>
      <c r="Z10" s="96"/>
      <c r="AA10" s="96"/>
      <c r="AB10" s="96"/>
      <c r="AC10" s="95"/>
      <c r="AD10" s="96"/>
      <c r="AE10" s="96"/>
      <c r="AF10" s="96"/>
      <c r="AG10" s="96"/>
      <c r="AH10" s="95"/>
      <c r="AI10" s="96">
        <v>7562</v>
      </c>
      <c r="AJ10" s="96">
        <v>8083</v>
      </c>
      <c r="AK10" s="96">
        <v>8633</v>
      </c>
      <c r="AL10" s="96">
        <v>9372</v>
      </c>
      <c r="AM10" s="95">
        <f t="shared" si="7"/>
        <v>9372</v>
      </c>
      <c r="AN10" s="96">
        <v>10095</v>
      </c>
      <c r="AO10" s="96">
        <v>10954</v>
      </c>
      <c r="AP10" s="96">
        <v>11947</v>
      </c>
      <c r="AQ10" s="96">
        <v>13014</v>
      </c>
      <c r="AR10" s="95">
        <f t="shared" si="8"/>
        <v>13014</v>
      </c>
      <c r="AS10" s="96">
        <v>14317</v>
      </c>
      <c r="AT10" s="96">
        <v>16151</v>
      </c>
      <c r="AU10" s="96">
        <v>17932</v>
      </c>
      <c r="AV10" s="96">
        <v>20695</v>
      </c>
      <c r="AW10" s="95">
        <f t="shared" si="3"/>
        <v>20695</v>
      </c>
      <c r="AX10" s="96">
        <v>23249</v>
      </c>
      <c r="AY10" s="96">
        <v>26791</v>
      </c>
      <c r="AZ10" s="96">
        <v>29649</v>
      </c>
      <c r="BA10" s="96">
        <v>33295</v>
      </c>
      <c r="BB10" s="95">
        <f t="shared" si="4"/>
        <v>33295</v>
      </c>
      <c r="BC10" s="96">
        <v>36478</v>
      </c>
      <c r="BD10" s="96">
        <v>40306</v>
      </c>
      <c r="BE10" s="96">
        <v>43587</v>
      </c>
      <c r="BF10" s="96">
        <v>47242</v>
      </c>
      <c r="BG10" s="95">
        <f t="shared" si="9"/>
        <v>47242</v>
      </c>
      <c r="BH10" s="96">
        <v>50566</v>
      </c>
      <c r="BI10" s="96">
        <v>54462</v>
      </c>
      <c r="BJ10" s="96">
        <v>58320</v>
      </c>
      <c r="BK10" s="96">
        <v>61711</v>
      </c>
      <c r="BL10" s="95">
        <f t="shared" si="10"/>
        <v>61711</v>
      </c>
      <c r="BM10" s="96">
        <v>67169</v>
      </c>
      <c r="BN10" s="96">
        <v>69622</v>
      </c>
      <c r="BO10" s="96">
        <v>72534</v>
      </c>
      <c r="BP10" s="96">
        <v>76600</v>
      </c>
      <c r="BQ10" s="95">
        <f t="shared" si="11"/>
        <v>76600</v>
      </c>
      <c r="BR10" s="96">
        <v>79267</v>
      </c>
      <c r="BS10" s="96">
        <v>82497</v>
      </c>
      <c r="BT10" s="96">
        <v>85181</v>
      </c>
      <c r="BU10" s="96">
        <v>88714</v>
      </c>
      <c r="BV10" s="95">
        <f t="shared" si="5"/>
        <v>88714</v>
      </c>
      <c r="BW10" s="96">
        <f>BV10-'Cash Flows'!BW35</f>
        <v>108714</v>
      </c>
      <c r="BX10" s="96">
        <f>BW10-'Cash Flows'!BX35</f>
        <v>128714</v>
      </c>
      <c r="BY10" s="96">
        <f>BX10-'Cash Flows'!BY35</f>
        <v>148714</v>
      </c>
      <c r="BZ10" s="96">
        <f>BY10-'Cash Flows'!BZ35</f>
        <v>168714</v>
      </c>
      <c r="CA10" s="95">
        <f t="shared" si="12"/>
        <v>168714</v>
      </c>
    </row>
    <row r="11" spans="2:79" s="146" customFormat="1" ht="13.15">
      <c r="B11" s="138" t="s">
        <v>7</v>
      </c>
      <c r="C11" s="173"/>
      <c r="D11" s="136">
        <f t="shared" ref="D11:R11" si="13">SUM(D6:D9)</f>
        <v>13081</v>
      </c>
      <c r="E11" s="137">
        <f t="shared" si="13"/>
        <v>10341</v>
      </c>
      <c r="F11" s="137">
        <f t="shared" si="13"/>
        <v>20944</v>
      </c>
      <c r="G11" s="137">
        <f t="shared" si="13"/>
        <v>16260</v>
      </c>
      <c r="H11" s="137">
        <f t="shared" si="13"/>
        <v>14834</v>
      </c>
      <c r="I11" s="136">
        <f t="shared" si="13"/>
        <v>14834</v>
      </c>
      <c r="J11" s="137">
        <f t="shared" si="13"/>
        <v>15438</v>
      </c>
      <c r="K11" s="137">
        <f t="shared" si="13"/>
        <v>24872</v>
      </c>
      <c r="L11" s="137">
        <f t="shared" si="13"/>
        <v>16826</v>
      </c>
      <c r="M11" s="137">
        <f t="shared" si="13"/>
        <v>26369</v>
      </c>
      <c r="N11" s="136">
        <f t="shared" si="13"/>
        <v>26369</v>
      </c>
      <c r="O11" s="137">
        <f t="shared" si="13"/>
        <v>38535</v>
      </c>
      <c r="P11" s="137">
        <f t="shared" si="13"/>
        <v>101449</v>
      </c>
      <c r="Q11" s="137">
        <f t="shared" si="13"/>
        <v>93939</v>
      </c>
      <c r="R11" s="137">
        <f t="shared" si="13"/>
        <v>88584</v>
      </c>
      <c r="S11" s="136">
        <f t="shared" si="0"/>
        <v>88584</v>
      </c>
      <c r="T11" s="137">
        <f>SUM(T6:T9)</f>
        <v>82534</v>
      </c>
      <c r="U11" s="137">
        <f>SUM(U6:U9)</f>
        <v>77811</v>
      </c>
      <c r="V11" s="137">
        <f>SUM(V6:V9)</f>
        <v>71727</v>
      </c>
      <c r="W11" s="137">
        <f>SUM(W6:W9)</f>
        <v>71235</v>
      </c>
      <c r="X11" s="136">
        <f t="shared" si="1"/>
        <v>71235</v>
      </c>
      <c r="Y11" s="137">
        <f>SUM(Y6:Y9)</f>
        <v>74194</v>
      </c>
      <c r="Z11" s="137">
        <f>SUM(Z6:Z9)</f>
        <v>71793</v>
      </c>
      <c r="AA11" s="137">
        <f>SUM(AA6:AA9)</f>
        <v>74329</v>
      </c>
      <c r="AB11" s="137">
        <f>SUM(AB6:AB9)</f>
        <v>75011</v>
      </c>
      <c r="AC11" s="136">
        <f t="shared" si="2"/>
        <v>75011</v>
      </c>
      <c r="AD11" s="137">
        <f>SUM(AD6:AD9)</f>
        <v>77022</v>
      </c>
      <c r="AE11" s="137">
        <f>SUM(AE6:AE9)</f>
        <v>80504</v>
      </c>
      <c r="AF11" s="137">
        <f>SUM(AF6:AF9)</f>
        <v>85404</v>
      </c>
      <c r="AG11" s="137">
        <f>SUM(AG6:AG9)</f>
        <v>92835</v>
      </c>
      <c r="AH11" s="136">
        <f t="shared" si="6"/>
        <v>92835</v>
      </c>
      <c r="AI11" s="137">
        <f>SUM(AI6:AI10)</f>
        <v>113922</v>
      </c>
      <c r="AJ11" s="137">
        <f>SUM(AJ6:AJ10)</f>
        <v>310989</v>
      </c>
      <c r="AK11" s="137">
        <f>SUM(AK6:AK10)</f>
        <v>320124</v>
      </c>
      <c r="AL11" s="137">
        <f>SUM(AL6:AL10)</f>
        <v>335002</v>
      </c>
      <c r="AM11" s="136">
        <f t="shared" si="7"/>
        <v>335002</v>
      </c>
      <c r="AN11" s="137">
        <f>SUM(AN6:AN10)</f>
        <v>344596</v>
      </c>
      <c r="AO11" s="137">
        <f>SUM(AO6:AO10)</f>
        <v>358619</v>
      </c>
      <c r="AP11" s="137">
        <f>SUM(AP6:AP10)</f>
        <v>375452</v>
      </c>
      <c r="AQ11" s="137">
        <f>SUM(AQ6:AQ10)</f>
        <v>381274</v>
      </c>
      <c r="AR11" s="136">
        <f t="shared" si="8"/>
        <v>381274</v>
      </c>
      <c r="AS11" s="137">
        <f>SUM(AS6:AS10)</f>
        <v>393981</v>
      </c>
      <c r="AT11" s="137">
        <f>SUM(AT6:AT10)</f>
        <v>759230</v>
      </c>
      <c r="AU11" s="137">
        <f>SUM(AU6:AU10)</f>
        <v>857290</v>
      </c>
      <c r="AV11" s="137">
        <f>SUM(AV6:AV10)</f>
        <v>851917</v>
      </c>
      <c r="AW11" s="136">
        <f t="shared" si="3"/>
        <v>851917</v>
      </c>
      <c r="AX11" s="137">
        <f>SUM(AX6:AX10)</f>
        <v>738378</v>
      </c>
      <c r="AY11" s="137">
        <f>SUM(AY6:AY10)</f>
        <v>668897</v>
      </c>
      <c r="AZ11" s="137">
        <f>SUM(AZ6:AZ10)</f>
        <v>535135</v>
      </c>
      <c r="BA11" s="137">
        <f>SUM(BA6:BA10)</f>
        <v>617226</v>
      </c>
      <c r="BB11" s="136">
        <f t="shared" si="4"/>
        <v>617226</v>
      </c>
      <c r="BC11" s="137">
        <f>SUM(BC6:BC10)</f>
        <v>624594</v>
      </c>
      <c r="BD11" s="137">
        <f>SUM(BD6:BD10)</f>
        <v>660037</v>
      </c>
      <c r="BE11" s="137">
        <f>SUM(BE6:BE10)</f>
        <v>741516</v>
      </c>
      <c r="BF11" s="137">
        <f>SUM(BF6:BF10)</f>
        <v>778710</v>
      </c>
      <c r="BG11" s="136">
        <f t="shared" si="9"/>
        <v>778710</v>
      </c>
      <c r="BH11" s="137">
        <f>SUM(BH6:BH10)</f>
        <v>800409</v>
      </c>
      <c r="BI11" s="137">
        <f>SUM(BI6:BI10)</f>
        <v>841235</v>
      </c>
      <c r="BJ11" s="137">
        <f>SUM(BJ6:BJ10)</f>
        <v>890673</v>
      </c>
      <c r="BK11" s="137">
        <f>SUM(BK6:BK10)</f>
        <v>924054</v>
      </c>
      <c r="BL11" s="136">
        <f t="shared" si="10"/>
        <v>924054</v>
      </c>
      <c r="BM11" s="137">
        <f>SUM(BM6:BM10)</f>
        <v>1289355</v>
      </c>
      <c r="BN11" s="137">
        <f>SUM(BN6:BN10)</f>
        <v>1322102</v>
      </c>
      <c r="BO11" s="137">
        <f>SUM(BO6:BO10)</f>
        <v>1204267</v>
      </c>
      <c r="BP11" s="137">
        <f>SUM(BP6:BP10)</f>
        <v>1248568</v>
      </c>
      <c r="BQ11" s="136">
        <f t="shared" si="11"/>
        <v>1248568</v>
      </c>
      <c r="BR11" s="137">
        <f>SUM(BR6:BR10)</f>
        <v>1287451</v>
      </c>
      <c r="BS11" s="137">
        <f>SUM(BS6:BS10)</f>
        <v>894194</v>
      </c>
      <c r="BT11" s="137">
        <f>SUM(BT6:BT10)</f>
        <v>949413</v>
      </c>
      <c r="BU11" s="137">
        <f>SUM(BU6:BU10)</f>
        <v>959724</v>
      </c>
      <c r="BV11" s="136">
        <f t="shared" si="5"/>
        <v>959724</v>
      </c>
      <c r="BW11" s="137">
        <f>SUM(BW6:BW10)</f>
        <v>1037329.4192370001</v>
      </c>
      <c r="BX11" s="137">
        <f>SUM(BX6:BX10)</f>
        <v>1082741.990213</v>
      </c>
      <c r="BY11" s="137">
        <f>SUM(BY6:BY10)</f>
        <v>1149045.3097861186</v>
      </c>
      <c r="BZ11" s="137">
        <f>SUM(BZ6:BZ10)</f>
        <v>1235976.6635866584</v>
      </c>
      <c r="CA11" s="136">
        <f t="shared" si="12"/>
        <v>1235976.6635866584</v>
      </c>
    </row>
    <row r="12" spans="2:79">
      <c r="B12" s="112"/>
      <c r="C12" s="226" t="s">
        <v>193</v>
      </c>
      <c r="D12" s="95">
        <v>4437</v>
      </c>
      <c r="E12" s="275">
        <v>5787</v>
      </c>
      <c r="F12" s="275">
        <v>7958</v>
      </c>
      <c r="G12" s="275">
        <v>8130</v>
      </c>
      <c r="H12" s="275">
        <v>10874</v>
      </c>
      <c r="I12" s="95">
        <f>H12</f>
        <v>10874</v>
      </c>
      <c r="J12" s="275">
        <v>10885</v>
      </c>
      <c r="K12" s="275">
        <v>11672</v>
      </c>
      <c r="L12" s="275">
        <v>11955</v>
      </c>
      <c r="M12" s="275">
        <v>11607</v>
      </c>
      <c r="N12" s="95">
        <f>M12</f>
        <v>11607</v>
      </c>
      <c r="O12" s="287">
        <v>11179</v>
      </c>
      <c r="P12" s="275">
        <v>11521</v>
      </c>
      <c r="Q12" s="275">
        <v>12117</v>
      </c>
      <c r="R12" s="287">
        <v>12571</v>
      </c>
      <c r="S12" s="95">
        <f t="shared" si="0"/>
        <v>12571</v>
      </c>
      <c r="T12" s="96">
        <v>12426</v>
      </c>
      <c r="U12" s="96">
        <v>11964</v>
      </c>
      <c r="V12" s="96">
        <v>12376</v>
      </c>
      <c r="W12" s="96">
        <v>13225</v>
      </c>
      <c r="X12" s="95">
        <f t="shared" si="1"/>
        <v>13225</v>
      </c>
      <c r="Y12" s="96">
        <v>12795</v>
      </c>
      <c r="Z12" s="96">
        <v>13188</v>
      </c>
      <c r="AA12" s="96">
        <v>13690</v>
      </c>
      <c r="AB12" s="96">
        <v>14688</v>
      </c>
      <c r="AC12" s="95">
        <f t="shared" si="2"/>
        <v>14688</v>
      </c>
      <c r="AD12" s="96">
        <v>15830</v>
      </c>
      <c r="AE12" s="96">
        <v>15656</v>
      </c>
      <c r="AF12" s="96">
        <v>17958</v>
      </c>
      <c r="AG12" s="96">
        <v>19888</v>
      </c>
      <c r="AH12" s="95">
        <f t="shared" si="6"/>
        <v>19888</v>
      </c>
      <c r="AI12" s="96">
        <v>20876</v>
      </c>
      <c r="AJ12" s="96">
        <v>22019</v>
      </c>
      <c r="AK12" s="96">
        <v>22909</v>
      </c>
      <c r="AL12" s="96">
        <v>25885</v>
      </c>
      <c r="AM12" s="95">
        <f t="shared" si="7"/>
        <v>25885</v>
      </c>
      <c r="AN12" s="96">
        <v>27496</v>
      </c>
      <c r="AO12" s="96">
        <v>28255</v>
      </c>
      <c r="AP12" s="96">
        <v>28399</v>
      </c>
      <c r="AQ12" s="96">
        <v>33190</v>
      </c>
      <c r="AR12" s="95">
        <f t="shared" si="8"/>
        <v>33190</v>
      </c>
      <c r="AS12" s="96">
        <v>34940</v>
      </c>
      <c r="AT12" s="96">
        <v>39799</v>
      </c>
      <c r="AU12" s="96">
        <v>41676</v>
      </c>
      <c r="AV12" s="96">
        <v>51213</v>
      </c>
      <c r="AW12" s="95">
        <f t="shared" si="3"/>
        <v>51213</v>
      </c>
      <c r="AX12" s="96">
        <v>58296</v>
      </c>
      <c r="AY12" s="96">
        <v>63107</v>
      </c>
      <c r="AZ12" s="96">
        <v>71444</v>
      </c>
      <c r="BA12" s="96">
        <v>77785</v>
      </c>
      <c r="BB12" s="95">
        <f t="shared" si="4"/>
        <v>77785</v>
      </c>
      <c r="BC12" s="96">
        <v>91476</v>
      </c>
      <c r="BD12" s="96">
        <v>99994</v>
      </c>
      <c r="BE12" s="96">
        <v>101696</v>
      </c>
      <c r="BF12" s="96">
        <v>101221</v>
      </c>
      <c r="BG12" s="95">
        <f t="shared" si="9"/>
        <v>101221</v>
      </c>
      <c r="BH12" s="96">
        <v>104057</v>
      </c>
      <c r="BI12" s="96">
        <v>98879</v>
      </c>
      <c r="BJ12" s="96">
        <v>102029</v>
      </c>
      <c r="BK12" s="96">
        <v>108572</v>
      </c>
      <c r="BL12" s="95">
        <f t="shared" si="10"/>
        <v>108572</v>
      </c>
      <c r="BM12" s="96">
        <v>113640</v>
      </c>
      <c r="BN12" s="96">
        <v>124600</v>
      </c>
      <c r="BO12" s="96">
        <v>136052</v>
      </c>
      <c r="BP12" s="96">
        <v>144888</v>
      </c>
      <c r="BQ12" s="95">
        <f t="shared" si="11"/>
        <v>144888</v>
      </c>
      <c r="BR12" s="96">
        <v>146460</v>
      </c>
      <c r="BS12" s="96">
        <v>154499</v>
      </c>
      <c r="BT12" s="96">
        <v>164305</v>
      </c>
      <c r="BU12" s="96">
        <v>164635</v>
      </c>
      <c r="BV12" s="95">
        <f t="shared" si="5"/>
        <v>164635</v>
      </c>
      <c r="BW12" s="96">
        <f>BV12-'Cash Flows'!BW46-(0.05*'Cash Flows'!BW8)</f>
        <v>175883.7775</v>
      </c>
      <c r="BX12" s="96">
        <f>BW12-'Cash Flows'!BX46-(0.05*'Cash Flows'!BX8)</f>
        <v>187093.18427875001</v>
      </c>
      <c r="BY12" s="96">
        <f>BX12-'Cash Flows'!BY46-(0.05*'Cash Flows'!BY8)</f>
        <v>198310.13142984407</v>
      </c>
      <c r="BZ12" s="96">
        <f>BY12-'Cash Flows'!BZ46-(0.05*'Cash Flows'!BZ8)</f>
        <v>209490.62350269707</v>
      </c>
      <c r="CA12" s="95">
        <f t="shared" si="12"/>
        <v>209490.62350269707</v>
      </c>
    </row>
    <row r="13" spans="2:79">
      <c r="B13" s="112"/>
      <c r="C13" s="226" t="s">
        <v>280</v>
      </c>
      <c r="D13" s="95"/>
      <c r="E13" s="275"/>
      <c r="F13" s="275"/>
      <c r="G13" s="275"/>
      <c r="H13" s="275"/>
      <c r="I13" s="95"/>
      <c r="J13" s="275"/>
      <c r="K13" s="275"/>
      <c r="L13" s="275"/>
      <c r="M13" s="275"/>
      <c r="N13" s="95"/>
      <c r="O13" s="287"/>
      <c r="P13" s="275"/>
      <c r="Q13" s="275"/>
      <c r="R13" s="287"/>
      <c r="S13" s="95"/>
      <c r="T13" s="96"/>
      <c r="U13" s="96"/>
      <c r="V13" s="96"/>
      <c r="W13" s="96"/>
      <c r="X13" s="95"/>
      <c r="Y13" s="96"/>
      <c r="Z13" s="96"/>
      <c r="AA13" s="96"/>
      <c r="AB13" s="96"/>
      <c r="AC13" s="95"/>
      <c r="AD13" s="96"/>
      <c r="AE13" s="96"/>
      <c r="AF13" s="96"/>
      <c r="AG13" s="96"/>
      <c r="AH13" s="95"/>
      <c r="AI13" s="96"/>
      <c r="AJ13" s="96"/>
      <c r="AK13" s="96"/>
      <c r="AL13" s="96"/>
      <c r="AM13" s="95"/>
      <c r="AN13" s="96">
        <v>6735</v>
      </c>
      <c r="AO13" s="96">
        <v>10219</v>
      </c>
      <c r="AP13" s="96">
        <v>8933</v>
      </c>
      <c r="AQ13" s="96">
        <v>8746</v>
      </c>
      <c r="AR13" s="95">
        <f t="shared" si="8"/>
        <v>8746</v>
      </c>
      <c r="AS13" s="96">
        <v>11034</v>
      </c>
      <c r="AT13" s="96">
        <v>10006</v>
      </c>
      <c r="AU13" s="96">
        <v>8669</v>
      </c>
      <c r="AV13" s="96">
        <v>9010</v>
      </c>
      <c r="AW13" s="95">
        <f t="shared" si="3"/>
        <v>9010</v>
      </c>
      <c r="AX13" s="96">
        <v>44960</v>
      </c>
      <c r="AY13" s="96">
        <v>46966</v>
      </c>
      <c r="AZ13" s="96">
        <v>45778</v>
      </c>
      <c r="BA13" s="96">
        <v>48703</v>
      </c>
      <c r="BB13" s="95">
        <f t="shared" si="4"/>
        <v>48703</v>
      </c>
      <c r="BC13" s="96">
        <v>46536</v>
      </c>
      <c r="BD13" s="96">
        <v>43593</v>
      </c>
      <c r="BE13" s="96">
        <v>44941</v>
      </c>
      <c r="BF13" s="96">
        <v>44120</v>
      </c>
      <c r="BG13" s="95">
        <f t="shared" si="9"/>
        <v>44120</v>
      </c>
      <c r="BH13" s="96">
        <v>45339</v>
      </c>
      <c r="BI13" s="96">
        <v>43748</v>
      </c>
      <c r="BJ13" s="96">
        <v>41522</v>
      </c>
      <c r="BK13" s="96">
        <v>38873</v>
      </c>
      <c r="BL13" s="95">
        <f t="shared" si="10"/>
        <v>38873</v>
      </c>
      <c r="BM13" s="96">
        <v>36215</v>
      </c>
      <c r="BN13" s="96">
        <v>34107</v>
      </c>
      <c r="BO13" s="96">
        <v>43480</v>
      </c>
      <c r="BP13" s="96">
        <v>38880</v>
      </c>
      <c r="BQ13" s="95">
        <f t="shared" si="11"/>
        <v>38880</v>
      </c>
      <c r="BR13" s="96">
        <v>36444</v>
      </c>
      <c r="BS13" s="96">
        <v>37433</v>
      </c>
      <c r="BT13" s="96">
        <v>37695</v>
      </c>
      <c r="BU13" s="96">
        <v>46375</v>
      </c>
      <c r="BV13" s="95">
        <f t="shared" si="5"/>
        <v>46375</v>
      </c>
      <c r="BW13" s="96">
        <f>BV13</f>
        <v>46375</v>
      </c>
      <c r="BX13" s="96">
        <f>BW13</f>
        <v>46375</v>
      </c>
      <c r="BY13" s="96">
        <f>BX13</f>
        <v>46375</v>
      </c>
      <c r="BZ13" s="96">
        <f>BY13</f>
        <v>46375</v>
      </c>
      <c r="CA13" s="95">
        <f t="shared" si="12"/>
        <v>46375</v>
      </c>
    </row>
    <row r="14" spans="2:79">
      <c r="B14" s="112"/>
      <c r="C14" s="226" t="s">
        <v>490</v>
      </c>
      <c r="D14" s="95"/>
      <c r="E14" s="275"/>
      <c r="F14" s="275"/>
      <c r="G14" s="275"/>
      <c r="H14" s="275"/>
      <c r="I14" s="95"/>
      <c r="J14" s="275"/>
      <c r="K14" s="275"/>
      <c r="L14" s="275"/>
      <c r="M14" s="275"/>
      <c r="N14" s="95"/>
      <c r="O14" s="287"/>
      <c r="P14" s="275"/>
      <c r="Q14" s="275"/>
      <c r="R14" s="287"/>
      <c r="S14" s="95"/>
      <c r="T14" s="96"/>
      <c r="U14" s="96"/>
      <c r="V14" s="96"/>
      <c r="W14" s="96"/>
      <c r="X14" s="95"/>
      <c r="Y14" s="96"/>
      <c r="Z14" s="96"/>
      <c r="AA14" s="96"/>
      <c r="AB14" s="96"/>
      <c r="AC14" s="95"/>
      <c r="AD14" s="96"/>
      <c r="AE14" s="96"/>
      <c r="AF14" s="96"/>
      <c r="AG14" s="96"/>
      <c r="AH14" s="95"/>
      <c r="AI14" s="96"/>
      <c r="AJ14" s="96"/>
      <c r="AK14" s="96"/>
      <c r="AL14" s="96"/>
      <c r="AM14" s="95"/>
      <c r="AN14" s="96"/>
      <c r="AO14" s="96"/>
      <c r="AP14" s="96"/>
      <c r="AQ14" s="96"/>
      <c r="AR14" s="95"/>
      <c r="AS14" s="96"/>
      <c r="AT14" s="96"/>
      <c r="AU14" s="96"/>
      <c r="AV14" s="96"/>
      <c r="AW14" s="95"/>
      <c r="AX14" s="96"/>
      <c r="AY14" s="96"/>
      <c r="AZ14" s="96"/>
      <c r="BA14" s="96"/>
      <c r="BB14" s="95"/>
      <c r="BC14" s="96"/>
      <c r="BD14" s="96"/>
      <c r="BE14" s="96"/>
      <c r="BF14" s="96"/>
      <c r="BG14" s="95"/>
      <c r="BH14" s="96"/>
      <c r="BI14" s="96">
        <v>2167</v>
      </c>
      <c r="BJ14" s="96">
        <v>4612</v>
      </c>
      <c r="BK14" s="96">
        <v>4564</v>
      </c>
      <c r="BL14" s="95">
        <f t="shared" si="10"/>
        <v>4564</v>
      </c>
      <c r="BM14" s="96">
        <v>4108</v>
      </c>
      <c r="BN14" s="96">
        <v>3653</v>
      </c>
      <c r="BO14" s="96">
        <v>21262</v>
      </c>
      <c r="BP14" s="96">
        <v>19269</v>
      </c>
      <c r="BQ14" s="95">
        <f t="shared" si="11"/>
        <v>19269</v>
      </c>
      <c r="BR14" s="96">
        <v>21113</v>
      </c>
      <c r="BS14" s="96">
        <v>18803</v>
      </c>
      <c r="BT14" s="96">
        <v>16507</v>
      </c>
      <c r="BU14" s="96">
        <v>14216</v>
      </c>
      <c r="BV14" s="95">
        <f t="shared" ref="BV14:BV19" si="14">BU14</f>
        <v>14216</v>
      </c>
      <c r="BW14" s="96"/>
      <c r="BX14" s="96"/>
      <c r="BY14" s="96"/>
      <c r="BZ14" s="96"/>
      <c r="CA14" s="95">
        <f t="shared" si="12"/>
        <v>0</v>
      </c>
    </row>
    <row r="15" spans="2:79">
      <c r="B15" s="112"/>
      <c r="C15" s="226" t="s">
        <v>194</v>
      </c>
      <c r="D15" s="95">
        <v>0</v>
      </c>
      <c r="E15" s="275">
        <v>0</v>
      </c>
      <c r="F15" s="275">
        <v>0</v>
      </c>
      <c r="G15" s="275">
        <v>0</v>
      </c>
      <c r="H15" s="275">
        <v>0</v>
      </c>
      <c r="I15" s="95">
        <f>H15</f>
        <v>0</v>
      </c>
      <c r="J15" s="275">
        <v>0</v>
      </c>
      <c r="K15" s="275">
        <v>0</v>
      </c>
      <c r="L15" s="275">
        <v>0</v>
      </c>
      <c r="M15" s="275">
        <v>3065</v>
      </c>
      <c r="N15" s="95">
        <f>M15</f>
        <v>3065</v>
      </c>
      <c r="O15" s="275">
        <v>2937</v>
      </c>
      <c r="P15" s="275">
        <v>2809</v>
      </c>
      <c r="Q15" s="275">
        <v>2681</v>
      </c>
      <c r="R15" s="287">
        <v>2553</v>
      </c>
      <c r="S15" s="95">
        <f t="shared" si="0"/>
        <v>2553</v>
      </c>
      <c r="T15" s="96">
        <v>2425</v>
      </c>
      <c r="U15" s="96">
        <v>2297</v>
      </c>
      <c r="V15" s="96">
        <v>2169</v>
      </c>
      <c r="W15" s="96">
        <v>2041</v>
      </c>
      <c r="X15" s="95">
        <f t="shared" si="1"/>
        <v>2041</v>
      </c>
      <c r="Y15" s="96">
        <v>1913</v>
      </c>
      <c r="Z15" s="96">
        <v>1785</v>
      </c>
      <c r="AA15" s="96">
        <v>1657</v>
      </c>
      <c r="AB15" s="96">
        <v>1539</v>
      </c>
      <c r="AC15" s="95">
        <f t="shared" si="2"/>
        <v>1539</v>
      </c>
      <c r="AD15" s="96">
        <v>1422</v>
      </c>
      <c r="AE15" s="96">
        <v>1306</v>
      </c>
      <c r="AF15" s="96">
        <v>1190</v>
      </c>
      <c r="AG15" s="96">
        <v>1073</v>
      </c>
      <c r="AH15" s="95">
        <f t="shared" si="6"/>
        <v>1073</v>
      </c>
      <c r="AI15" s="96">
        <v>957</v>
      </c>
      <c r="AJ15" s="96">
        <v>841</v>
      </c>
      <c r="AK15" s="96">
        <v>724</v>
      </c>
      <c r="AL15" s="96">
        <v>631</v>
      </c>
      <c r="AM15" s="95">
        <f t="shared" si="7"/>
        <v>631</v>
      </c>
      <c r="AN15" s="96">
        <v>543</v>
      </c>
      <c r="AO15" s="96">
        <v>455</v>
      </c>
      <c r="AP15" s="96">
        <v>367</v>
      </c>
      <c r="AQ15" s="96">
        <v>15533</v>
      </c>
      <c r="AR15" s="95">
        <f t="shared" si="8"/>
        <v>15533</v>
      </c>
      <c r="AS15" s="96">
        <v>14543</v>
      </c>
      <c r="AT15" s="96">
        <v>25605</v>
      </c>
      <c r="AU15" s="96">
        <v>23867</v>
      </c>
      <c r="AV15" s="96">
        <v>51684</v>
      </c>
      <c r="AW15" s="95">
        <f>AV15</f>
        <v>51684</v>
      </c>
      <c r="AX15" s="96">
        <v>48737</v>
      </c>
      <c r="AY15" s="96">
        <v>45790</v>
      </c>
      <c r="AZ15" s="96">
        <v>42843</v>
      </c>
      <c r="BA15" s="96">
        <v>39897</v>
      </c>
      <c r="BB15" s="95">
        <f>BA15</f>
        <v>39897</v>
      </c>
      <c r="BC15" s="96">
        <v>36950</v>
      </c>
      <c r="BD15" s="96">
        <v>34015</v>
      </c>
      <c r="BE15" s="96">
        <v>31081</v>
      </c>
      <c r="BF15" s="96">
        <v>28192</v>
      </c>
      <c r="BG15" s="95">
        <f t="shared" si="9"/>
        <v>28192</v>
      </c>
      <c r="BH15" s="96">
        <v>25346</v>
      </c>
      <c r="BI15" s="96">
        <v>22501</v>
      </c>
      <c r="BJ15" s="96">
        <v>41469</v>
      </c>
      <c r="BK15" s="96">
        <v>38323</v>
      </c>
      <c r="BL15" s="95">
        <f t="shared" si="10"/>
        <v>38323</v>
      </c>
      <c r="BM15" s="96">
        <v>35675</v>
      </c>
      <c r="BN15" s="96">
        <v>33027</v>
      </c>
      <c r="BO15" s="96">
        <v>69731</v>
      </c>
      <c r="BP15" s="96">
        <v>65632</v>
      </c>
      <c r="BQ15" s="95">
        <f t="shared" si="11"/>
        <v>65632</v>
      </c>
      <c r="BR15" s="96">
        <v>61532</v>
      </c>
      <c r="BS15" s="96">
        <v>58068</v>
      </c>
      <c r="BT15" s="96">
        <v>54604</v>
      </c>
      <c r="BU15" s="96">
        <v>51166</v>
      </c>
      <c r="BV15" s="95">
        <f t="shared" si="14"/>
        <v>51166</v>
      </c>
      <c r="BW15" s="96">
        <f t="shared" ref="BW15:BZ16" si="15">BV15</f>
        <v>51166</v>
      </c>
      <c r="BX15" s="96">
        <f t="shared" si="15"/>
        <v>51166</v>
      </c>
      <c r="BY15" s="96">
        <f t="shared" si="15"/>
        <v>51166</v>
      </c>
      <c r="BZ15" s="96">
        <f t="shared" si="15"/>
        <v>51166</v>
      </c>
      <c r="CA15" s="95">
        <f t="shared" si="12"/>
        <v>51166</v>
      </c>
    </row>
    <row r="16" spans="2:79">
      <c r="B16" s="112"/>
      <c r="C16" s="226" t="s">
        <v>8</v>
      </c>
      <c r="D16" s="95">
        <v>0</v>
      </c>
      <c r="E16" s="275">
        <v>0</v>
      </c>
      <c r="F16" s="275">
        <v>0</v>
      </c>
      <c r="G16" s="275">
        <v>0</v>
      </c>
      <c r="H16" s="275">
        <v>0</v>
      </c>
      <c r="I16" s="95">
        <f>H16</f>
        <v>0</v>
      </c>
      <c r="J16" s="275">
        <v>0</v>
      </c>
      <c r="K16" s="275">
        <v>0</v>
      </c>
      <c r="L16" s="275">
        <v>0</v>
      </c>
      <c r="M16" s="275">
        <v>11798</v>
      </c>
      <c r="N16" s="95">
        <f>M16</f>
        <v>11798</v>
      </c>
      <c r="O16" s="275">
        <f>M16</f>
        <v>11798</v>
      </c>
      <c r="P16" s="275">
        <v>11798</v>
      </c>
      <c r="Q16" s="275">
        <v>11798</v>
      </c>
      <c r="R16" s="287">
        <v>11798</v>
      </c>
      <c r="S16" s="95">
        <f t="shared" si="0"/>
        <v>11798</v>
      </c>
      <c r="T16" s="96">
        <v>11798</v>
      </c>
      <c r="U16" s="96">
        <v>11798</v>
      </c>
      <c r="V16" s="96">
        <v>11798</v>
      </c>
      <c r="W16" s="96">
        <v>11798</v>
      </c>
      <c r="X16" s="95">
        <f t="shared" si="1"/>
        <v>11798</v>
      </c>
      <c r="Y16" s="96">
        <v>11798</v>
      </c>
      <c r="Z16" s="96">
        <v>11798</v>
      </c>
      <c r="AA16" s="96">
        <v>11798</v>
      </c>
      <c r="AB16" s="96">
        <v>11798</v>
      </c>
      <c r="AC16" s="95">
        <f t="shared" si="2"/>
        <v>11798</v>
      </c>
      <c r="AD16" s="96">
        <v>11798</v>
      </c>
      <c r="AE16" s="96">
        <v>11798</v>
      </c>
      <c r="AF16" s="96">
        <v>11798</v>
      </c>
      <c r="AG16" s="96">
        <v>11798</v>
      </c>
      <c r="AH16" s="95">
        <f t="shared" si="6"/>
        <v>11798</v>
      </c>
      <c r="AI16" s="96">
        <v>11798</v>
      </c>
      <c r="AJ16" s="96">
        <v>11798</v>
      </c>
      <c r="AK16" s="96">
        <v>11798</v>
      </c>
      <c r="AL16" s="96">
        <v>11798</v>
      </c>
      <c r="AM16" s="95">
        <f t="shared" si="7"/>
        <v>11798</v>
      </c>
      <c r="AN16" s="96">
        <v>11798</v>
      </c>
      <c r="AO16" s="96">
        <v>11798</v>
      </c>
      <c r="AP16" s="96">
        <f>AO16</f>
        <v>11798</v>
      </c>
      <c r="AQ16" s="96">
        <v>11798</v>
      </c>
      <c r="AR16" s="95">
        <f t="shared" si="8"/>
        <v>11798</v>
      </c>
      <c r="AS16" s="96">
        <v>11798</v>
      </c>
      <c r="AT16" s="96">
        <v>34444</v>
      </c>
      <c r="AU16" s="96">
        <v>34444</v>
      </c>
      <c r="AV16" s="96">
        <v>165420</v>
      </c>
      <c r="AW16" s="95">
        <f>AV16</f>
        <v>165420</v>
      </c>
      <c r="AX16" s="96">
        <v>165420</v>
      </c>
      <c r="AY16" s="96">
        <f>AX16</f>
        <v>165420</v>
      </c>
      <c r="AZ16" s="96">
        <v>165420</v>
      </c>
      <c r="BA16" s="96">
        <v>165420</v>
      </c>
      <c r="BB16" s="95">
        <f>BA16</f>
        <v>165420</v>
      </c>
      <c r="BC16" s="96">
        <v>165420</v>
      </c>
      <c r="BD16" s="96">
        <v>165420</v>
      </c>
      <c r="BE16" s="96">
        <v>165420</v>
      </c>
      <c r="BF16" s="96">
        <v>165420</v>
      </c>
      <c r="BG16" s="95">
        <f t="shared" si="9"/>
        <v>165420</v>
      </c>
      <c r="BH16" s="96">
        <v>165420</v>
      </c>
      <c r="BI16" s="96">
        <v>165420</v>
      </c>
      <c r="BJ16" s="96">
        <v>227412</v>
      </c>
      <c r="BK16" s="96">
        <f>BJ16</f>
        <v>227412</v>
      </c>
      <c r="BL16" s="95">
        <f t="shared" si="10"/>
        <v>227412</v>
      </c>
      <c r="BM16" s="96">
        <v>227269</v>
      </c>
      <c r="BN16" s="96">
        <v>227269</v>
      </c>
      <c r="BO16" s="96">
        <v>365450</v>
      </c>
      <c r="BP16" s="96">
        <v>365436</v>
      </c>
      <c r="BQ16" s="95">
        <f t="shared" si="11"/>
        <v>365436</v>
      </c>
      <c r="BR16" s="96">
        <v>366698</v>
      </c>
      <c r="BS16" s="96">
        <v>366698</v>
      </c>
      <c r="BT16" s="96">
        <v>366253</v>
      </c>
      <c r="BU16" s="96">
        <v>366253</v>
      </c>
      <c r="BV16" s="95">
        <f t="shared" si="14"/>
        <v>366253</v>
      </c>
      <c r="BW16" s="96">
        <f t="shared" si="15"/>
        <v>366253</v>
      </c>
      <c r="BX16" s="96">
        <f t="shared" si="15"/>
        <v>366253</v>
      </c>
      <c r="BY16" s="96">
        <f t="shared" si="15"/>
        <v>366253</v>
      </c>
      <c r="BZ16" s="96">
        <f t="shared" si="15"/>
        <v>366253</v>
      </c>
      <c r="CA16" s="95">
        <f t="shared" si="12"/>
        <v>366253</v>
      </c>
    </row>
    <row r="17" spans="2:79">
      <c r="B17" s="112"/>
      <c r="C17" s="226" t="s">
        <v>317</v>
      </c>
      <c r="D17" s="95"/>
      <c r="E17" s="275"/>
      <c r="F17" s="275"/>
      <c r="G17" s="275"/>
      <c r="H17" s="275"/>
      <c r="I17" s="95"/>
      <c r="J17" s="275"/>
      <c r="K17" s="275"/>
      <c r="L17" s="275"/>
      <c r="M17" s="275"/>
      <c r="N17" s="95"/>
      <c r="O17" s="275"/>
      <c r="P17" s="275"/>
      <c r="Q17" s="275"/>
      <c r="R17" s="287"/>
      <c r="S17" s="95"/>
      <c r="T17" s="96"/>
      <c r="U17" s="96"/>
      <c r="V17" s="96"/>
      <c r="W17" s="96"/>
      <c r="X17" s="95"/>
      <c r="Y17" s="96"/>
      <c r="Z17" s="96"/>
      <c r="AA17" s="96"/>
      <c r="AB17" s="96"/>
      <c r="AC17" s="95"/>
      <c r="AD17" s="96"/>
      <c r="AE17" s="96"/>
      <c r="AF17" s="96"/>
      <c r="AG17" s="96"/>
      <c r="AH17" s="95"/>
      <c r="AI17" s="96"/>
      <c r="AJ17" s="96"/>
      <c r="AK17" s="96"/>
      <c r="AL17" s="96"/>
      <c r="AM17" s="95"/>
      <c r="AN17" s="96"/>
      <c r="AO17" s="96"/>
      <c r="AP17" s="96"/>
      <c r="AQ17" s="96"/>
      <c r="AR17" s="95"/>
      <c r="AS17" s="96"/>
      <c r="AT17" s="96"/>
      <c r="AU17" s="96"/>
      <c r="AV17" s="96">
        <v>42127</v>
      </c>
      <c r="AW17" s="95">
        <f>AV17</f>
        <v>42127</v>
      </c>
      <c r="AX17" s="96">
        <v>0</v>
      </c>
      <c r="AY17" s="96">
        <v>72758</v>
      </c>
      <c r="AZ17" s="96">
        <v>208468</v>
      </c>
      <c r="BA17" s="96">
        <v>147377</v>
      </c>
      <c r="BB17" s="95">
        <f>BA17</f>
        <v>147377</v>
      </c>
      <c r="BC17" s="96">
        <v>118707</v>
      </c>
      <c r="BD17" s="96">
        <v>60424</v>
      </c>
      <c r="BE17" s="96">
        <v>1961</v>
      </c>
      <c r="BF17" s="96">
        <v>885</v>
      </c>
      <c r="BG17" s="95">
        <f t="shared" si="9"/>
        <v>885</v>
      </c>
      <c r="BH17" s="96">
        <v>13498</v>
      </c>
      <c r="BI17" s="96">
        <v>85110</v>
      </c>
      <c r="BJ17" s="96"/>
      <c r="BK17" s="96"/>
      <c r="BL17" s="95">
        <f t="shared" si="10"/>
        <v>0</v>
      </c>
      <c r="BM17" s="96"/>
      <c r="BN17" s="96"/>
      <c r="BO17" s="96"/>
      <c r="BP17" s="96"/>
      <c r="BQ17" s="95">
        <f t="shared" si="11"/>
        <v>0</v>
      </c>
      <c r="BR17" s="96"/>
      <c r="BS17" s="96"/>
      <c r="BT17" s="96"/>
      <c r="BU17" s="96"/>
      <c r="BV17" s="95">
        <f t="shared" si="14"/>
        <v>0</v>
      </c>
      <c r="BW17" s="96"/>
      <c r="BX17" s="96"/>
      <c r="BY17" s="96"/>
      <c r="BZ17" s="96"/>
      <c r="CA17" s="95">
        <f t="shared" si="12"/>
        <v>0</v>
      </c>
    </row>
    <row r="18" spans="2:79">
      <c r="B18" s="112"/>
      <c r="C18" s="226" t="s">
        <v>132</v>
      </c>
      <c r="D18" s="95">
        <v>921</v>
      </c>
      <c r="E18" s="275">
        <v>921</v>
      </c>
      <c r="F18" s="275">
        <v>910</v>
      </c>
      <c r="G18" s="275">
        <v>917</v>
      </c>
      <c r="H18" s="275">
        <v>899</v>
      </c>
      <c r="I18" s="95">
        <f>H18</f>
        <v>899</v>
      </c>
      <c r="J18" s="275">
        <v>1185</v>
      </c>
      <c r="K18" s="275">
        <v>1628</v>
      </c>
      <c r="L18" s="275">
        <v>2092</v>
      </c>
      <c r="M18" s="275">
        <v>3439</v>
      </c>
      <c r="N18" s="95">
        <f>M18</f>
        <v>3439</v>
      </c>
      <c r="O18" s="287">
        <v>4786</v>
      </c>
      <c r="P18" s="275">
        <v>1350</v>
      </c>
      <c r="Q18" s="275">
        <v>1339</v>
      </c>
      <c r="R18" s="287">
        <v>1428</v>
      </c>
      <c r="S18" s="95">
        <f t="shared" si="0"/>
        <v>1428</v>
      </c>
      <c r="T18" s="96">
        <v>863</v>
      </c>
      <c r="U18" s="96">
        <v>709</v>
      </c>
      <c r="V18" s="96">
        <v>800</v>
      </c>
      <c r="W18" s="96">
        <v>934</v>
      </c>
      <c r="X18" s="95">
        <f t="shared" si="1"/>
        <v>934</v>
      </c>
      <c r="Y18" s="96">
        <v>964</v>
      </c>
      <c r="Z18" s="96">
        <v>932</v>
      </c>
      <c r="AA18" s="96">
        <v>1225</v>
      </c>
      <c r="AB18" s="96">
        <v>2203</v>
      </c>
      <c r="AC18" s="95">
        <f t="shared" si="2"/>
        <v>2203</v>
      </c>
      <c r="AD18" s="96">
        <v>2276</v>
      </c>
      <c r="AE18" s="96">
        <v>2199</v>
      </c>
      <c r="AF18" s="96">
        <v>2365</v>
      </c>
      <c r="AG18" s="96">
        <v>2602</v>
      </c>
      <c r="AH18" s="95">
        <f t="shared" si="6"/>
        <v>2602</v>
      </c>
      <c r="AI18" s="96">
        <v>1120</v>
      </c>
      <c r="AJ18" s="96">
        <v>1026</v>
      </c>
      <c r="AK18" s="96">
        <v>962</v>
      </c>
      <c r="AL18" s="96">
        <v>836</v>
      </c>
      <c r="AM18" s="95">
        <f t="shared" si="7"/>
        <v>836</v>
      </c>
      <c r="AN18" s="96">
        <v>936</v>
      </c>
      <c r="AO18" s="96">
        <v>1000</v>
      </c>
      <c r="AP18" s="96">
        <v>1100</v>
      </c>
      <c r="AQ18" s="96">
        <v>1184</v>
      </c>
      <c r="AR18" s="95">
        <f t="shared" si="8"/>
        <v>1184</v>
      </c>
      <c r="AS18" s="96">
        <v>3316</v>
      </c>
      <c r="AT18" s="96">
        <v>2789</v>
      </c>
      <c r="AU18" s="96">
        <v>3258</v>
      </c>
      <c r="AV18" s="96">
        <v>3236</v>
      </c>
      <c r="AW18" s="95">
        <f>AV18</f>
        <v>3236</v>
      </c>
      <c r="AX18" s="96">
        <v>3135</v>
      </c>
      <c r="AY18" s="96">
        <v>3089</v>
      </c>
      <c r="AZ18" s="96">
        <v>5432</v>
      </c>
      <c r="BA18" s="96">
        <v>11871</v>
      </c>
      <c r="BB18" s="95">
        <f>BA18</f>
        <v>11871</v>
      </c>
      <c r="BC18" s="96">
        <v>11748</v>
      </c>
      <c r="BD18" s="96">
        <v>11886</v>
      </c>
      <c r="BE18" s="96">
        <v>11963</v>
      </c>
      <c r="BF18" s="96">
        <v>11057</v>
      </c>
      <c r="BG18" s="95">
        <f>BF18</f>
        <v>11057</v>
      </c>
      <c r="BH18" s="96">
        <v>15240</v>
      </c>
      <c r="BI18" s="96">
        <v>17329</v>
      </c>
      <c r="BJ18" s="96">
        <v>16603</v>
      </c>
      <c r="BK18" s="96">
        <v>16199</v>
      </c>
      <c r="BL18" s="95">
        <f t="shared" si="10"/>
        <v>16199</v>
      </c>
      <c r="BM18" s="96">
        <v>16668</v>
      </c>
      <c r="BN18" s="96">
        <v>17755</v>
      </c>
      <c r="BO18" s="96">
        <v>17765</v>
      </c>
      <c r="BP18" s="96">
        <v>13384</v>
      </c>
      <c r="BQ18" s="95">
        <f t="shared" si="11"/>
        <v>13384</v>
      </c>
      <c r="BR18" s="96">
        <v>12669</v>
      </c>
      <c r="BS18" s="96">
        <v>11252</v>
      </c>
      <c r="BT18" s="96">
        <v>11107</v>
      </c>
      <c r="BU18" s="96">
        <v>10725</v>
      </c>
      <c r="BV18" s="95">
        <f t="shared" si="14"/>
        <v>10725</v>
      </c>
      <c r="BW18" s="96">
        <f>BW63*'Income Statement'!BW28</f>
        <v>19449.846584999999</v>
      </c>
      <c r="BX18" s="96">
        <f>BX63*'Income Statement'!BX28</f>
        <v>21442.896762000004</v>
      </c>
      <c r="BY18" s="96">
        <f>BY63*'Income Statement'!BY28</f>
        <v>21961.044224000001</v>
      </c>
      <c r="BZ18" s="96">
        <f>BZ63*'Income Statement'!BZ28</f>
        <v>21930.795588000001</v>
      </c>
      <c r="CA18" s="95">
        <f t="shared" si="12"/>
        <v>21930.795588000001</v>
      </c>
    </row>
    <row r="19" spans="2:79">
      <c r="B19" s="112"/>
      <c r="C19" s="226" t="s">
        <v>263</v>
      </c>
      <c r="D19" s="95"/>
      <c r="E19" s="275"/>
      <c r="F19" s="275"/>
      <c r="G19" s="275"/>
      <c r="H19" s="275"/>
      <c r="I19" s="95"/>
      <c r="J19" s="275"/>
      <c r="K19" s="275"/>
      <c r="L19" s="275"/>
      <c r="M19" s="275"/>
      <c r="N19" s="95"/>
      <c r="O19" s="287"/>
      <c r="P19" s="275"/>
      <c r="Q19" s="275"/>
      <c r="R19" s="287"/>
      <c r="S19" s="95"/>
      <c r="T19" s="96"/>
      <c r="U19" s="96"/>
      <c r="V19" s="96"/>
      <c r="W19" s="96"/>
      <c r="X19" s="95"/>
      <c r="Y19" s="96"/>
      <c r="Z19" s="96"/>
      <c r="AA19" s="96"/>
      <c r="AB19" s="96"/>
      <c r="AC19" s="95"/>
      <c r="AD19" s="96"/>
      <c r="AE19" s="96"/>
      <c r="AF19" s="96"/>
      <c r="AG19" s="96"/>
      <c r="AH19" s="95"/>
      <c r="AI19" s="96">
        <v>17238</v>
      </c>
      <c r="AJ19" s="96">
        <v>18393</v>
      </c>
      <c r="AK19" s="96">
        <v>19599</v>
      </c>
      <c r="AL19" s="96">
        <v>21514</v>
      </c>
      <c r="AM19" s="95">
        <f t="shared" si="7"/>
        <v>21514</v>
      </c>
      <c r="AN19" s="96">
        <v>23262</v>
      </c>
      <c r="AO19" s="96">
        <v>25421</v>
      </c>
      <c r="AP19" s="96">
        <v>27975</v>
      </c>
      <c r="AQ19" s="96">
        <v>30655</v>
      </c>
      <c r="AR19" s="95">
        <f t="shared" si="8"/>
        <v>30655</v>
      </c>
      <c r="AS19" s="96">
        <v>34047</v>
      </c>
      <c r="AT19" s="96">
        <v>39366</v>
      </c>
      <c r="AU19" s="96">
        <v>44083</v>
      </c>
      <c r="AV19" s="96">
        <v>51934</v>
      </c>
      <c r="AW19" s="95">
        <f>AV19</f>
        <v>51934</v>
      </c>
      <c r="AX19" s="96">
        <v>59823</v>
      </c>
      <c r="AY19" s="96">
        <v>69689</v>
      </c>
      <c r="AZ19" s="96">
        <v>76386</v>
      </c>
      <c r="BA19" s="96">
        <v>84663</v>
      </c>
      <c r="BB19" s="95">
        <f>BA19</f>
        <v>84663</v>
      </c>
      <c r="BC19" s="96">
        <v>92964</v>
      </c>
      <c r="BD19" s="96">
        <v>101854</v>
      </c>
      <c r="BE19" s="96">
        <v>107961</v>
      </c>
      <c r="BF19" s="96">
        <v>114880</v>
      </c>
      <c r="BG19" s="95">
        <f>BF19</f>
        <v>114880</v>
      </c>
      <c r="BH19" s="96">
        <v>119799</v>
      </c>
      <c r="BI19" s="96">
        <v>126555</v>
      </c>
      <c r="BJ19" s="96">
        <v>132124</v>
      </c>
      <c r="BK19" s="96">
        <v>136571</v>
      </c>
      <c r="BL19" s="95">
        <f t="shared" si="10"/>
        <v>136571</v>
      </c>
      <c r="BM19" s="96">
        <v>148408</v>
      </c>
      <c r="BN19" s="96">
        <v>147867</v>
      </c>
      <c r="BO19" s="96">
        <v>149885</v>
      </c>
      <c r="BP19" s="96">
        <v>155157</v>
      </c>
      <c r="BQ19" s="95">
        <f t="shared" si="11"/>
        <v>155157</v>
      </c>
      <c r="BR19" s="96">
        <v>157557</v>
      </c>
      <c r="BS19" s="96">
        <v>163913</v>
      </c>
      <c r="BT19" s="96">
        <v>168521</v>
      </c>
      <c r="BU19" s="96">
        <v>176976</v>
      </c>
      <c r="BV19" s="95">
        <f t="shared" si="14"/>
        <v>176976</v>
      </c>
      <c r="BW19" s="96">
        <f>BV19</f>
        <v>176976</v>
      </c>
      <c r="BX19" s="96">
        <f>BW19</f>
        <v>176976</v>
      </c>
      <c r="BY19" s="96">
        <f>BX19</f>
        <v>176976</v>
      </c>
      <c r="BZ19" s="96">
        <f>BY19</f>
        <v>176976</v>
      </c>
      <c r="CA19" s="95">
        <f t="shared" si="12"/>
        <v>176976</v>
      </c>
    </row>
    <row r="20" spans="2:79" s="146" customFormat="1" ht="13.15">
      <c r="B20" s="138" t="s">
        <v>9</v>
      </c>
      <c r="C20" s="173"/>
      <c r="D20" s="136">
        <f t="shared" ref="D20:M20" si="16">D11+SUM(D12:D18)</f>
        <v>18439</v>
      </c>
      <c r="E20" s="137">
        <f t="shared" si="16"/>
        <v>17049</v>
      </c>
      <c r="F20" s="137">
        <f t="shared" si="16"/>
        <v>29812</v>
      </c>
      <c r="G20" s="185">
        <f t="shared" si="16"/>
        <v>25307</v>
      </c>
      <c r="H20" s="137">
        <f t="shared" si="16"/>
        <v>26607</v>
      </c>
      <c r="I20" s="136">
        <f t="shared" si="16"/>
        <v>26607</v>
      </c>
      <c r="J20" s="137">
        <f t="shared" si="16"/>
        <v>27508</v>
      </c>
      <c r="K20" s="137">
        <f t="shared" si="16"/>
        <v>38172</v>
      </c>
      <c r="L20" s="185">
        <f t="shared" si="16"/>
        <v>30873</v>
      </c>
      <c r="M20" s="137">
        <f t="shared" si="16"/>
        <v>56278</v>
      </c>
      <c r="N20" s="136">
        <f t="shared" ref="N20:AC20" si="17">N11+SUM(N12:N18)</f>
        <v>56278</v>
      </c>
      <c r="O20" s="137">
        <f t="shared" si="17"/>
        <v>69235</v>
      </c>
      <c r="P20" s="137">
        <f t="shared" si="17"/>
        <v>128927</v>
      </c>
      <c r="Q20" s="185">
        <f t="shared" si="17"/>
        <v>121874</v>
      </c>
      <c r="R20" s="137">
        <f t="shared" si="17"/>
        <v>116934</v>
      </c>
      <c r="S20" s="136">
        <f t="shared" si="17"/>
        <v>116934</v>
      </c>
      <c r="T20" s="137">
        <f t="shared" si="17"/>
        <v>110046</v>
      </c>
      <c r="U20" s="137">
        <f t="shared" si="17"/>
        <v>104579</v>
      </c>
      <c r="V20" s="137">
        <f t="shared" si="17"/>
        <v>98870</v>
      </c>
      <c r="W20" s="137">
        <f t="shared" si="17"/>
        <v>99233</v>
      </c>
      <c r="X20" s="136">
        <f t="shared" si="17"/>
        <v>99233</v>
      </c>
      <c r="Y20" s="137">
        <f t="shared" si="17"/>
        <v>101664</v>
      </c>
      <c r="Z20" s="137">
        <f t="shared" si="17"/>
        <v>99496</v>
      </c>
      <c r="AA20" s="137">
        <f t="shared" si="17"/>
        <v>102699</v>
      </c>
      <c r="AB20" s="137">
        <f t="shared" si="17"/>
        <v>105239</v>
      </c>
      <c r="AC20" s="136">
        <f t="shared" si="17"/>
        <v>105239</v>
      </c>
      <c r="AD20" s="137">
        <f>AD11+SUM(AD12:AD18)</f>
        <v>108348</v>
      </c>
      <c r="AE20" s="137">
        <f>AE11+SUM(AE12:AE18)</f>
        <v>111463</v>
      </c>
      <c r="AF20" s="137">
        <f>AF11+SUM(AF12:AF18)</f>
        <v>118715</v>
      </c>
      <c r="AG20" s="137">
        <f>AG11+SUM(AG12:AG18)</f>
        <v>128196</v>
      </c>
      <c r="AH20" s="136">
        <f>AH11+SUM(AH12:AH18)</f>
        <v>128196</v>
      </c>
      <c r="AI20" s="137">
        <f t="shared" ref="AI20:CA20" si="18">AI11+SUM(AI12:AI19)</f>
        <v>165911</v>
      </c>
      <c r="AJ20" s="137">
        <f t="shared" si="18"/>
        <v>365066</v>
      </c>
      <c r="AK20" s="137">
        <f t="shared" si="18"/>
        <v>376116</v>
      </c>
      <c r="AL20" s="137">
        <f t="shared" si="18"/>
        <v>395666</v>
      </c>
      <c r="AM20" s="136">
        <f t="shared" si="18"/>
        <v>395666</v>
      </c>
      <c r="AN20" s="137">
        <f t="shared" si="18"/>
        <v>415366</v>
      </c>
      <c r="AO20" s="137">
        <f t="shared" si="18"/>
        <v>435767</v>
      </c>
      <c r="AP20" s="137">
        <f t="shared" si="18"/>
        <v>454024</v>
      </c>
      <c r="AQ20" s="137">
        <f t="shared" si="18"/>
        <v>482380</v>
      </c>
      <c r="AR20" s="136">
        <f t="shared" si="18"/>
        <v>482380</v>
      </c>
      <c r="AS20" s="137">
        <f t="shared" si="18"/>
        <v>503659</v>
      </c>
      <c r="AT20" s="137">
        <f t="shared" si="18"/>
        <v>911239</v>
      </c>
      <c r="AU20" s="137">
        <f t="shared" si="18"/>
        <v>1013287</v>
      </c>
      <c r="AV20" s="137">
        <f t="shared" si="18"/>
        <v>1226541</v>
      </c>
      <c r="AW20" s="136">
        <f t="shared" si="18"/>
        <v>1226541</v>
      </c>
      <c r="AX20" s="137">
        <f t="shared" si="18"/>
        <v>1118749</v>
      </c>
      <c r="AY20" s="137">
        <f t="shared" si="18"/>
        <v>1135716</v>
      </c>
      <c r="AZ20" s="137">
        <f t="shared" si="18"/>
        <v>1150906</v>
      </c>
      <c r="BA20" s="137">
        <f t="shared" si="18"/>
        <v>1192942</v>
      </c>
      <c r="BB20" s="136">
        <f t="shared" si="18"/>
        <v>1192942</v>
      </c>
      <c r="BC20" s="137">
        <f t="shared" si="18"/>
        <v>1188395</v>
      </c>
      <c r="BD20" s="137">
        <f t="shared" si="18"/>
        <v>1177223</v>
      </c>
      <c r="BE20" s="137">
        <f t="shared" si="18"/>
        <v>1206539</v>
      </c>
      <c r="BF20" s="137">
        <f t="shared" si="18"/>
        <v>1244485</v>
      </c>
      <c r="BG20" s="136">
        <f t="shared" si="18"/>
        <v>1244485</v>
      </c>
      <c r="BH20" s="137">
        <f t="shared" si="18"/>
        <v>1289108</v>
      </c>
      <c r="BI20" s="137">
        <f t="shared" si="18"/>
        <v>1402944</v>
      </c>
      <c r="BJ20" s="137">
        <f t="shared" si="18"/>
        <v>1456444</v>
      </c>
      <c r="BK20" s="137">
        <f t="shared" si="18"/>
        <v>1494568</v>
      </c>
      <c r="BL20" s="136">
        <f t="shared" si="18"/>
        <v>1494568</v>
      </c>
      <c r="BM20" s="137">
        <f t="shared" si="18"/>
        <v>1871338</v>
      </c>
      <c r="BN20" s="137">
        <f t="shared" si="18"/>
        <v>1910380</v>
      </c>
      <c r="BO20" s="137">
        <f t="shared" si="18"/>
        <v>2007892</v>
      </c>
      <c r="BP20" s="137">
        <f t="shared" si="18"/>
        <v>2051214</v>
      </c>
      <c r="BQ20" s="136">
        <f t="shared" si="18"/>
        <v>2051214</v>
      </c>
      <c r="BR20" s="137">
        <f t="shared" si="18"/>
        <v>2089924</v>
      </c>
      <c r="BS20" s="137">
        <f t="shared" si="18"/>
        <v>1704860</v>
      </c>
      <c r="BT20" s="137">
        <f t="shared" si="18"/>
        <v>1768405</v>
      </c>
      <c r="BU20" s="137">
        <f t="shared" si="18"/>
        <v>1790070</v>
      </c>
      <c r="BV20" s="136">
        <f t="shared" si="18"/>
        <v>1790070</v>
      </c>
      <c r="BW20" s="137">
        <f t="shared" si="18"/>
        <v>1873433.0433220002</v>
      </c>
      <c r="BX20" s="137">
        <f t="shared" si="18"/>
        <v>1932048.07125375</v>
      </c>
      <c r="BY20" s="137">
        <f t="shared" si="18"/>
        <v>2010086.4854399627</v>
      </c>
      <c r="BZ20" s="137">
        <f t="shared" si="18"/>
        <v>2108168.0826773555</v>
      </c>
      <c r="CA20" s="136">
        <f t="shared" si="18"/>
        <v>2108168.0826773555</v>
      </c>
    </row>
    <row r="21" spans="2:79">
      <c r="B21" s="112"/>
      <c r="C21" s="169"/>
      <c r="D21" s="95"/>
      <c r="E21" s="96"/>
      <c r="F21" s="96"/>
      <c r="G21" s="96"/>
      <c r="H21" s="96"/>
      <c r="I21" s="95"/>
      <c r="J21" s="96"/>
      <c r="K21" s="96"/>
      <c r="L21" s="96"/>
      <c r="M21" s="96"/>
      <c r="N21" s="95"/>
      <c r="O21" s="96"/>
      <c r="P21" s="96"/>
      <c r="Q21" s="96"/>
      <c r="R21" s="96"/>
      <c r="S21" s="95"/>
      <c r="T21" s="96"/>
      <c r="U21" s="96"/>
      <c r="V21" s="96"/>
      <c r="W21" s="96"/>
      <c r="X21" s="95"/>
      <c r="Y21" s="96"/>
      <c r="Z21" s="96"/>
      <c r="AA21" s="96"/>
      <c r="AB21" s="96"/>
      <c r="AC21" s="95"/>
      <c r="AD21" s="96"/>
      <c r="AE21" s="96"/>
      <c r="AF21" s="96"/>
      <c r="AG21" s="96"/>
      <c r="AH21" s="95"/>
      <c r="AI21" s="96"/>
      <c r="AJ21" s="96"/>
      <c r="AK21" s="96"/>
      <c r="AL21" s="96"/>
      <c r="AM21" s="95"/>
      <c r="AN21" s="96"/>
      <c r="AO21" s="96"/>
      <c r="AP21" s="96"/>
      <c r="AQ21" s="96"/>
      <c r="AR21" s="95"/>
      <c r="AS21" s="96"/>
      <c r="AT21" s="96"/>
      <c r="AU21" s="96"/>
      <c r="AV21" s="96"/>
      <c r="AW21" s="95"/>
      <c r="AX21" s="96"/>
      <c r="AY21" s="96"/>
      <c r="AZ21" s="96"/>
      <c r="BA21" s="96"/>
      <c r="BB21" s="95"/>
      <c r="BC21" s="96"/>
      <c r="BD21" s="96"/>
      <c r="BE21" s="96"/>
      <c r="BF21" s="96"/>
      <c r="BG21" s="95"/>
      <c r="BH21" s="96"/>
      <c r="BI21" s="96"/>
      <c r="BJ21" s="96"/>
      <c r="BK21" s="96"/>
      <c r="BL21" s="95"/>
      <c r="BM21" s="96"/>
      <c r="BN21" s="96"/>
      <c r="BO21" s="96"/>
      <c r="BP21" s="96"/>
      <c r="BQ21" s="95"/>
      <c r="BR21" s="96"/>
      <c r="BS21" s="96"/>
      <c r="BT21" s="96"/>
      <c r="BU21" s="96"/>
      <c r="BV21" s="95"/>
      <c r="BW21" s="96"/>
      <c r="BX21" s="96"/>
      <c r="BY21" s="96"/>
      <c r="BZ21" s="96"/>
      <c r="CA21" s="95"/>
    </row>
    <row r="22" spans="2:79" ht="13.15">
      <c r="B22" s="138" t="s">
        <v>133</v>
      </c>
      <c r="C22" s="169"/>
      <c r="D22" s="95"/>
      <c r="E22" s="96"/>
      <c r="F22" s="96"/>
      <c r="G22" s="96"/>
      <c r="H22" s="96"/>
      <c r="I22" s="95"/>
      <c r="J22" s="96"/>
      <c r="K22" s="96"/>
      <c r="L22" s="96"/>
      <c r="M22" s="96"/>
      <c r="N22" s="95"/>
      <c r="O22" s="96"/>
      <c r="P22" s="96"/>
      <c r="Q22" s="96"/>
      <c r="R22" s="96"/>
      <c r="S22" s="95"/>
      <c r="T22" s="96"/>
      <c r="U22" s="96"/>
      <c r="V22" s="96"/>
      <c r="W22" s="96"/>
      <c r="X22" s="95"/>
      <c r="Y22" s="96"/>
      <c r="Z22" s="96"/>
      <c r="AA22" s="96"/>
      <c r="AB22" s="96"/>
      <c r="AC22" s="95"/>
      <c r="AD22" s="96"/>
      <c r="AE22" s="96"/>
      <c r="AF22" s="96"/>
      <c r="AG22" s="96"/>
      <c r="AH22" s="95"/>
      <c r="AI22" s="96"/>
      <c r="AJ22" s="96"/>
      <c r="AK22" s="96"/>
      <c r="AL22" s="96"/>
      <c r="AM22" s="95"/>
      <c r="AN22" s="96"/>
      <c r="AO22" s="96"/>
      <c r="AP22" s="96"/>
      <c r="AQ22" s="96"/>
      <c r="AR22" s="95"/>
      <c r="AS22" s="96"/>
      <c r="AT22" s="96"/>
      <c r="AU22" s="96"/>
      <c r="AV22" s="96"/>
      <c r="AW22" s="95"/>
      <c r="AX22" s="96"/>
      <c r="AY22" s="96"/>
      <c r="AZ22" s="96"/>
      <c r="BA22" s="96"/>
      <c r="BB22" s="95"/>
      <c r="BC22" s="96"/>
      <c r="BD22" s="96"/>
      <c r="BE22" s="96"/>
      <c r="BF22" s="96"/>
      <c r="BG22" s="95"/>
      <c r="BH22" s="96"/>
      <c r="BI22" s="96"/>
      <c r="BJ22" s="96"/>
      <c r="BK22" s="96"/>
      <c r="BL22" s="95"/>
      <c r="BM22" s="96"/>
      <c r="BN22" s="96"/>
      <c r="BO22" s="96"/>
      <c r="BP22" s="96"/>
      <c r="BQ22" s="95"/>
      <c r="BR22" s="96"/>
      <c r="BS22" s="96"/>
      <c r="BT22" s="96"/>
      <c r="BU22" s="96"/>
      <c r="BV22" s="95"/>
      <c r="BW22" s="96"/>
      <c r="BX22" s="96"/>
      <c r="BY22" s="96"/>
      <c r="BZ22" s="96"/>
      <c r="CA22" s="95"/>
    </row>
    <row r="23" spans="2:79" ht="13.15">
      <c r="B23" s="138"/>
      <c r="C23" s="278" t="s">
        <v>195</v>
      </c>
      <c r="D23" s="95">
        <v>2552</v>
      </c>
      <c r="E23" s="275">
        <v>2162</v>
      </c>
      <c r="F23" s="275">
        <v>2975</v>
      </c>
      <c r="G23" s="275">
        <v>1853</v>
      </c>
      <c r="H23" s="275">
        <v>4649</v>
      </c>
      <c r="I23" s="95">
        <f>H23</f>
        <v>4649</v>
      </c>
      <c r="J23" s="275">
        <v>4768</v>
      </c>
      <c r="K23" s="275">
        <v>4170</v>
      </c>
      <c r="L23" s="275">
        <v>3159</v>
      </c>
      <c r="M23" s="275">
        <v>4306</v>
      </c>
      <c r="N23" s="95">
        <f>M23</f>
        <v>4306</v>
      </c>
      <c r="O23" s="287">
        <v>3753</v>
      </c>
      <c r="P23" s="275">
        <v>3373</v>
      </c>
      <c r="Q23" s="275">
        <v>2856</v>
      </c>
      <c r="R23" s="287">
        <v>4179</v>
      </c>
      <c r="S23" s="95">
        <f t="shared" ref="S23:S31" si="19">R23</f>
        <v>4179</v>
      </c>
      <c r="T23" s="96">
        <v>2541</v>
      </c>
      <c r="U23" s="96">
        <v>2766</v>
      </c>
      <c r="V23" s="96">
        <v>2865</v>
      </c>
      <c r="W23" s="96">
        <v>2569</v>
      </c>
      <c r="X23" s="95">
        <f>W23</f>
        <v>2569</v>
      </c>
      <c r="Y23" s="96">
        <v>3376</v>
      </c>
      <c r="Z23" s="96">
        <v>3004</v>
      </c>
      <c r="AA23" s="96">
        <v>3609</v>
      </c>
      <c r="AB23" s="96">
        <v>3366</v>
      </c>
      <c r="AC23" s="95">
        <f t="shared" ref="AC23:AC31" si="20">AB23</f>
        <v>3366</v>
      </c>
      <c r="AD23" s="96">
        <v>3394</v>
      </c>
      <c r="AE23" s="96">
        <v>4586</v>
      </c>
      <c r="AF23" s="96">
        <v>4787</v>
      </c>
      <c r="AG23" s="96">
        <v>4292</v>
      </c>
      <c r="AH23" s="95">
        <f t="shared" ref="AH23:AH31" si="21">AG23</f>
        <v>4292</v>
      </c>
      <c r="AI23" s="96">
        <v>5482</v>
      </c>
      <c r="AJ23" s="96">
        <v>6035</v>
      </c>
      <c r="AK23" s="96">
        <v>4528</v>
      </c>
      <c r="AL23" s="96">
        <v>7010</v>
      </c>
      <c r="AM23" s="95">
        <f t="shared" ref="AM23:AM31" si="22">AL23</f>
        <v>7010</v>
      </c>
      <c r="AN23" s="96">
        <v>7233</v>
      </c>
      <c r="AO23" s="96">
        <v>7534</v>
      </c>
      <c r="AP23" s="96">
        <v>6757</v>
      </c>
      <c r="AQ23" s="96">
        <v>10156</v>
      </c>
      <c r="AR23" s="95">
        <f t="shared" ref="AR23:AR31" si="23">AQ23</f>
        <v>10156</v>
      </c>
      <c r="AS23" s="96">
        <v>8367</v>
      </c>
      <c r="AT23" s="96">
        <v>12045</v>
      </c>
      <c r="AU23" s="96">
        <v>12829</v>
      </c>
      <c r="AV23" s="96">
        <v>17145</v>
      </c>
      <c r="AW23" s="95">
        <f>AV23</f>
        <v>17145</v>
      </c>
      <c r="AX23" s="96">
        <v>16056</v>
      </c>
      <c r="AY23" s="96">
        <v>17632</v>
      </c>
      <c r="AZ23" s="96">
        <v>21330</v>
      </c>
      <c r="BA23" s="96">
        <v>20510</v>
      </c>
      <c r="BB23" s="95">
        <f t="shared" ref="BB23:BB31" si="24">BA23</f>
        <v>20510</v>
      </c>
      <c r="BC23" s="96">
        <v>31981</v>
      </c>
      <c r="BD23" s="96">
        <v>25931</v>
      </c>
      <c r="BE23" s="96">
        <v>21153</v>
      </c>
      <c r="BF23" s="96">
        <v>23629</v>
      </c>
      <c r="BG23" s="95">
        <f t="shared" ref="BG23:BG31" si="25">BF23</f>
        <v>23629</v>
      </c>
      <c r="BH23" s="96">
        <v>22461</v>
      </c>
      <c r="BI23" s="96">
        <v>23286</v>
      </c>
      <c r="BJ23" s="96">
        <v>28528</v>
      </c>
      <c r="BK23" s="96">
        <v>24399</v>
      </c>
      <c r="BL23" s="95">
        <f t="shared" ref="BL23:BL31" si="26">BK23</f>
        <v>24399</v>
      </c>
      <c r="BM23" s="96">
        <v>25671</v>
      </c>
      <c r="BN23" s="96">
        <v>29405</v>
      </c>
      <c r="BO23" s="96">
        <v>33876</v>
      </c>
      <c r="BP23" s="96">
        <v>26282</v>
      </c>
      <c r="BQ23" s="95">
        <f t="shared" ref="BQ23:BQ31" si="27">BP23</f>
        <v>26282</v>
      </c>
      <c r="BR23" s="96">
        <v>29477</v>
      </c>
      <c r="BS23" s="96">
        <v>31063</v>
      </c>
      <c r="BT23" s="96">
        <v>30430</v>
      </c>
      <c r="BU23" s="96">
        <v>29973</v>
      </c>
      <c r="BV23" s="95">
        <f t="shared" ref="BV23:BV31" si="28">BU23</f>
        <v>29973</v>
      </c>
      <c r="BW23" s="96">
        <f>BW67*'Income Statement'!BW28</f>
        <v>35907.409079999998</v>
      </c>
      <c r="BX23" s="96">
        <f>BX67*'Income Statement'!BX28</f>
        <v>39822.522558000004</v>
      </c>
      <c r="BY23" s="96">
        <f>BY67*'Income Statement'!BY28</f>
        <v>43922.088448000002</v>
      </c>
      <c r="BZ23" s="96">
        <f>BZ67*'Income Statement'!BZ28</f>
        <v>40487.622623999996</v>
      </c>
      <c r="CA23" s="95">
        <f t="shared" ref="CA23:CA31" si="29">BZ23</f>
        <v>40487.622623999996</v>
      </c>
    </row>
    <row r="24" spans="2:79">
      <c r="B24" s="112"/>
      <c r="C24" s="278" t="s">
        <v>196</v>
      </c>
      <c r="D24" s="95">
        <v>2396</v>
      </c>
      <c r="E24" s="275">
        <v>2965</v>
      </c>
      <c r="F24" s="275">
        <v>2832</v>
      </c>
      <c r="G24" s="275">
        <v>3382</v>
      </c>
      <c r="H24" s="275">
        <v>3470</v>
      </c>
      <c r="I24" s="95">
        <f t="shared" ref="I24:I31" si="30">H24</f>
        <v>3470</v>
      </c>
      <c r="J24" s="275">
        <v>4687</v>
      </c>
      <c r="K24" s="275">
        <v>4745</v>
      </c>
      <c r="L24" s="275">
        <v>4585</v>
      </c>
      <c r="M24" s="275">
        <v>5929</v>
      </c>
      <c r="N24" s="95">
        <f t="shared" ref="N24:N31" si="31">M24</f>
        <v>5929</v>
      </c>
      <c r="O24" s="287">
        <v>7788</v>
      </c>
      <c r="P24" s="275">
        <v>8152</v>
      </c>
      <c r="Q24" s="275">
        <v>7778</v>
      </c>
      <c r="R24" s="287">
        <v>7318</v>
      </c>
      <c r="S24" s="95">
        <f t="shared" si="19"/>
        <v>7318</v>
      </c>
      <c r="T24" s="96">
        <v>8107</v>
      </c>
      <c r="U24" s="96">
        <v>8718</v>
      </c>
      <c r="V24" s="96">
        <v>8053</v>
      </c>
      <c r="W24" s="96">
        <v>7911</v>
      </c>
      <c r="X24" s="95">
        <f t="shared" ref="X24:X30" si="32">W24</f>
        <v>7911</v>
      </c>
      <c r="Y24" s="96">
        <v>9747</v>
      </c>
      <c r="Z24" s="96">
        <v>9153</v>
      </c>
      <c r="AA24" s="96">
        <v>10500</v>
      </c>
      <c r="AB24" s="96">
        <v>9604</v>
      </c>
      <c r="AC24" s="95">
        <f t="shared" si="20"/>
        <v>9604</v>
      </c>
      <c r="AD24" s="96">
        <v>13028</v>
      </c>
      <c r="AE24" s="96">
        <v>10277</v>
      </c>
      <c r="AF24" s="96">
        <v>11967</v>
      </c>
      <c r="AG24" s="96">
        <v>11787</v>
      </c>
      <c r="AH24" s="95">
        <f t="shared" si="21"/>
        <v>11787</v>
      </c>
      <c r="AI24" s="96">
        <v>14132</v>
      </c>
      <c r="AJ24" s="96">
        <v>13615</v>
      </c>
      <c r="AK24" s="96">
        <v>14144</v>
      </c>
      <c r="AL24" s="96">
        <v>13771</v>
      </c>
      <c r="AM24" s="95">
        <f t="shared" si="22"/>
        <v>13771</v>
      </c>
      <c r="AN24" s="96">
        <v>17965</v>
      </c>
      <c r="AO24" s="96">
        <v>14925</v>
      </c>
      <c r="AP24" s="96">
        <v>20141</v>
      </c>
      <c r="AQ24" s="96">
        <v>18385</v>
      </c>
      <c r="AR24" s="95">
        <f t="shared" si="23"/>
        <v>18385</v>
      </c>
      <c r="AS24" s="96">
        <v>24738</v>
      </c>
      <c r="AT24" s="96">
        <v>34817</v>
      </c>
      <c r="AU24" s="96">
        <v>40814</v>
      </c>
      <c r="AV24" s="96">
        <v>44450</v>
      </c>
      <c r="AW24" s="95">
        <f>AV24</f>
        <v>44450</v>
      </c>
      <c r="AX24" s="96">
        <v>52960</v>
      </c>
      <c r="AY24" s="96">
        <v>74024</v>
      </c>
      <c r="AZ24" s="96">
        <v>77905</v>
      </c>
      <c r="BA24" s="96">
        <v>78577</v>
      </c>
      <c r="BB24" s="95">
        <f t="shared" si="24"/>
        <v>78577</v>
      </c>
      <c r="BC24" s="96">
        <v>91411</v>
      </c>
      <c r="BD24" s="96">
        <v>56894</v>
      </c>
      <c r="BE24" s="96">
        <v>63122</v>
      </c>
      <c r="BF24" s="96">
        <v>53092</v>
      </c>
      <c r="BG24" s="95">
        <f t="shared" si="25"/>
        <v>53092</v>
      </c>
      <c r="BH24" s="96">
        <v>62196</v>
      </c>
      <c r="BI24" s="96">
        <v>58860</v>
      </c>
      <c r="BJ24" s="96">
        <v>49511</v>
      </c>
      <c r="BK24" s="96">
        <v>62131</v>
      </c>
      <c r="BL24" s="95">
        <f t="shared" si="26"/>
        <v>62131</v>
      </c>
      <c r="BM24" s="96">
        <v>79185</v>
      </c>
      <c r="BN24" s="96">
        <v>76320</v>
      </c>
      <c r="BO24" s="96">
        <v>84297</v>
      </c>
      <c r="BP24" s="96">
        <v>83720</v>
      </c>
      <c r="BQ24" s="95">
        <f t="shared" si="27"/>
        <v>83720</v>
      </c>
      <c r="BR24" s="96">
        <v>80354</v>
      </c>
      <c r="BS24" s="96">
        <v>81870</v>
      </c>
      <c r="BT24" s="96">
        <v>80568</v>
      </c>
      <c r="BU24" s="96">
        <v>84120</v>
      </c>
      <c r="BV24" s="95">
        <f t="shared" si="28"/>
        <v>84120</v>
      </c>
      <c r="BW24" s="96">
        <f>BW68*'Income Statement'!BW28</f>
        <v>95753.090880000003</v>
      </c>
      <c r="BX24" s="96">
        <f>BX68*'Income Statement'!BX28</f>
        <v>85771.587048000016</v>
      </c>
      <c r="BY24" s="96">
        <f>BY68*'Income Statement'!BY28</f>
        <v>84706.884864000007</v>
      </c>
      <c r="BZ24" s="96">
        <f>BZ68*'Income Statement'!BZ28</f>
        <v>84349.213799999998</v>
      </c>
      <c r="CA24" s="95">
        <f t="shared" si="29"/>
        <v>84349.213799999998</v>
      </c>
    </row>
    <row r="25" spans="2:79">
      <c r="B25" s="112"/>
      <c r="C25" s="278" t="s">
        <v>281</v>
      </c>
      <c r="D25" s="95"/>
      <c r="E25" s="275"/>
      <c r="F25" s="275"/>
      <c r="G25" s="275"/>
      <c r="H25" s="275"/>
      <c r="I25" s="95"/>
      <c r="J25" s="275"/>
      <c r="K25" s="275"/>
      <c r="L25" s="275"/>
      <c r="M25" s="275"/>
      <c r="N25" s="95"/>
      <c r="O25" s="287"/>
      <c r="P25" s="275"/>
      <c r="Q25" s="275"/>
      <c r="R25" s="287"/>
      <c r="S25" s="95"/>
      <c r="T25" s="96"/>
      <c r="U25" s="96"/>
      <c r="V25" s="96"/>
      <c r="W25" s="96"/>
      <c r="X25" s="95"/>
      <c r="Y25" s="96"/>
      <c r="Z25" s="96"/>
      <c r="AA25" s="96"/>
      <c r="AB25" s="96"/>
      <c r="AC25" s="95"/>
      <c r="AD25" s="96"/>
      <c r="AE25" s="96"/>
      <c r="AF25" s="96"/>
      <c r="AG25" s="96"/>
      <c r="AH25" s="95"/>
      <c r="AI25" s="96"/>
      <c r="AJ25" s="96"/>
      <c r="AK25" s="96"/>
      <c r="AL25" s="96"/>
      <c r="AM25" s="95"/>
      <c r="AN25" s="96">
        <v>4322</v>
      </c>
      <c r="AO25" s="96">
        <v>5132</v>
      </c>
      <c r="AP25" s="96">
        <v>5010</v>
      </c>
      <c r="AQ25" s="96">
        <v>5064</v>
      </c>
      <c r="AR25" s="95">
        <f t="shared" si="23"/>
        <v>5064</v>
      </c>
      <c r="AS25" s="96">
        <v>6087</v>
      </c>
      <c r="AT25" s="96">
        <v>5247</v>
      </c>
      <c r="AU25" s="96">
        <v>4307</v>
      </c>
      <c r="AV25" s="96">
        <v>3912</v>
      </c>
      <c r="AW25" s="95">
        <f>AV25</f>
        <v>3912</v>
      </c>
      <c r="AX25" s="96">
        <v>5478</v>
      </c>
      <c r="AY25" s="96">
        <v>7758</v>
      </c>
      <c r="AZ25" s="96">
        <v>8849</v>
      </c>
      <c r="BA25" s="96">
        <v>9826</v>
      </c>
      <c r="BB25" s="95">
        <f t="shared" si="24"/>
        <v>9826</v>
      </c>
      <c r="BC25" s="96">
        <v>10135</v>
      </c>
      <c r="BD25" s="96">
        <v>9836</v>
      </c>
      <c r="BE25" s="96">
        <v>10201</v>
      </c>
      <c r="BF25" s="96">
        <v>10626</v>
      </c>
      <c r="BG25" s="95">
        <f t="shared" si="25"/>
        <v>10626</v>
      </c>
      <c r="BH25" s="96">
        <v>11739</v>
      </c>
      <c r="BI25" s="96">
        <v>11931</v>
      </c>
      <c r="BJ25" s="96">
        <v>11454</v>
      </c>
      <c r="BK25" s="96">
        <v>10731</v>
      </c>
      <c r="BL25" s="95">
        <f t="shared" si="26"/>
        <v>10731</v>
      </c>
      <c r="BM25" s="96">
        <v>9880</v>
      </c>
      <c r="BN25" s="96">
        <v>9509</v>
      </c>
      <c r="BO25" s="96">
        <v>11446</v>
      </c>
      <c r="BP25" s="96">
        <v>11258</v>
      </c>
      <c r="BQ25" s="95">
        <f t="shared" si="27"/>
        <v>11258</v>
      </c>
      <c r="BR25" s="96">
        <v>11131</v>
      </c>
      <c r="BS25" s="96">
        <v>11473</v>
      </c>
      <c r="BT25" s="96">
        <v>11187</v>
      </c>
      <c r="BU25" s="96">
        <v>12922</v>
      </c>
      <c r="BV25" s="95">
        <f t="shared" si="28"/>
        <v>12922</v>
      </c>
      <c r="BW25" s="96">
        <f>BV25</f>
        <v>12922</v>
      </c>
      <c r="BX25" s="96">
        <f>BW25</f>
        <v>12922</v>
      </c>
      <c r="BY25" s="96">
        <f>BX25</f>
        <v>12922</v>
      </c>
      <c r="BZ25" s="96">
        <f>BY25</f>
        <v>12922</v>
      </c>
      <c r="CA25" s="95">
        <f t="shared" si="29"/>
        <v>12922</v>
      </c>
    </row>
    <row r="26" spans="2:79">
      <c r="B26" s="112"/>
      <c r="C26" s="278" t="s">
        <v>197</v>
      </c>
      <c r="D26" s="95">
        <v>0</v>
      </c>
      <c r="E26" s="275">
        <v>0</v>
      </c>
      <c r="F26" s="275">
        <v>0</v>
      </c>
      <c r="G26" s="275">
        <v>0</v>
      </c>
      <c r="H26" s="275">
        <v>401</v>
      </c>
      <c r="I26" s="95">
        <f t="shared" si="30"/>
        <v>401</v>
      </c>
      <c r="J26" s="275">
        <v>8960</v>
      </c>
      <c r="K26" s="275">
        <v>8383</v>
      </c>
      <c r="L26" s="275">
        <v>4269</v>
      </c>
      <c r="M26" s="275">
        <v>4206</v>
      </c>
      <c r="N26" s="95">
        <f t="shared" si="31"/>
        <v>4206</v>
      </c>
      <c r="O26" s="287">
        <v>4353</v>
      </c>
      <c r="P26" s="275">
        <v>4361</v>
      </c>
      <c r="Q26" s="275">
        <v>6430</v>
      </c>
      <c r="R26" s="287">
        <v>7215</v>
      </c>
      <c r="S26" s="95">
        <f t="shared" si="19"/>
        <v>7215</v>
      </c>
      <c r="T26" s="96">
        <v>7531</v>
      </c>
      <c r="U26" s="96">
        <v>5658</v>
      </c>
      <c r="V26" s="96">
        <v>5595</v>
      </c>
      <c r="W26" s="96">
        <v>5684</v>
      </c>
      <c r="X26" s="95">
        <f t="shared" si="32"/>
        <v>5684</v>
      </c>
      <c r="Y26" s="96">
        <v>5885</v>
      </c>
      <c r="Z26" s="96">
        <v>6008</v>
      </c>
      <c r="AA26" s="96">
        <v>5873</v>
      </c>
      <c r="AB26" s="96">
        <v>2742</v>
      </c>
      <c r="AC26" s="95">
        <f t="shared" si="20"/>
        <v>2742</v>
      </c>
      <c r="AD26" s="96">
        <v>3018</v>
      </c>
      <c r="AE26" s="96">
        <v>3261</v>
      </c>
      <c r="AF26" s="96">
        <v>1146</v>
      </c>
      <c r="AG26" s="96">
        <v>1151</v>
      </c>
      <c r="AH26" s="95">
        <f t="shared" si="21"/>
        <v>1151</v>
      </c>
      <c r="AI26" s="96">
        <v>1331</v>
      </c>
      <c r="AJ26" s="96">
        <v>1638</v>
      </c>
      <c r="AK26" s="96">
        <v>1681</v>
      </c>
      <c r="AL26" s="96">
        <v>1434</v>
      </c>
      <c r="AM26" s="95">
        <f t="shared" si="22"/>
        <v>1434</v>
      </c>
      <c r="AN26" s="96">
        <v>1348</v>
      </c>
      <c r="AO26" s="96">
        <v>1577</v>
      </c>
      <c r="AP26" s="96">
        <v>1981</v>
      </c>
      <c r="AQ26" s="96">
        <v>2303</v>
      </c>
      <c r="AR26" s="95">
        <f t="shared" si="23"/>
        <v>2303</v>
      </c>
      <c r="AS26" s="96">
        <v>1754</v>
      </c>
      <c r="AT26" s="96">
        <v>1670</v>
      </c>
      <c r="AU26" s="96">
        <v>2562</v>
      </c>
      <c r="AV26" s="96">
        <v>3745</v>
      </c>
      <c r="AW26" s="95">
        <f t="shared" ref="AW26:AW31" si="33">AV26</f>
        <v>3745</v>
      </c>
      <c r="AX26" s="96">
        <v>5024</v>
      </c>
      <c r="AY26" s="96">
        <v>5138</v>
      </c>
      <c r="AZ26" s="96">
        <v>242</v>
      </c>
      <c r="BA26" s="96">
        <v>2282</v>
      </c>
      <c r="BB26" s="95">
        <f t="shared" si="24"/>
        <v>2282</v>
      </c>
      <c r="BC26" s="96">
        <v>1650</v>
      </c>
      <c r="BD26" s="96">
        <v>0</v>
      </c>
      <c r="BE26" s="96">
        <v>439</v>
      </c>
      <c r="BF26" s="96">
        <v>2471</v>
      </c>
      <c r="BG26" s="95">
        <f t="shared" si="25"/>
        <v>2471</v>
      </c>
      <c r="BH26" s="96">
        <v>3360</v>
      </c>
      <c r="BI26" s="96">
        <v>3384</v>
      </c>
      <c r="BJ26" s="96">
        <v>3336</v>
      </c>
      <c r="BK26" s="96"/>
      <c r="BL26" s="95">
        <f t="shared" si="26"/>
        <v>0</v>
      </c>
      <c r="BM26" s="96"/>
      <c r="BN26" s="96"/>
      <c r="BO26" s="96"/>
      <c r="BP26" s="96">
        <v>0</v>
      </c>
      <c r="BQ26" s="95">
        <f t="shared" si="27"/>
        <v>0</v>
      </c>
      <c r="BR26" s="96"/>
      <c r="BS26" s="96"/>
      <c r="BT26" s="96"/>
      <c r="BU26" s="96"/>
      <c r="BV26" s="95">
        <f t="shared" si="28"/>
        <v>0</v>
      </c>
      <c r="BW26" s="96">
        <f>BW69*'Income Statement'!BW28</f>
        <v>5984.5681800000002</v>
      </c>
      <c r="BX26" s="96">
        <f>BX69*'Income Statement'!BX28</f>
        <v>6126.541932000001</v>
      </c>
      <c r="BY26" s="96">
        <f>BY69*'Income Statement'!BY28</f>
        <v>6274.5840639999997</v>
      </c>
      <c r="BZ26" s="96">
        <f>BZ69*'Income Statement'!BZ28</f>
        <v>6747.9371039999996</v>
      </c>
      <c r="CA26" s="95">
        <f t="shared" si="29"/>
        <v>6747.9371039999996</v>
      </c>
    </row>
    <row r="27" spans="2:79">
      <c r="B27" s="112"/>
      <c r="C27" s="278" t="s">
        <v>198</v>
      </c>
      <c r="D27" s="95"/>
      <c r="E27" s="275"/>
      <c r="F27" s="275"/>
      <c r="G27" s="275"/>
      <c r="H27" s="275"/>
      <c r="I27" s="95">
        <f t="shared" si="30"/>
        <v>0</v>
      </c>
      <c r="J27" s="275">
        <v>0</v>
      </c>
      <c r="K27" s="275">
        <v>0</v>
      </c>
      <c r="L27" s="275">
        <v>0</v>
      </c>
      <c r="M27" s="275">
        <v>0</v>
      </c>
      <c r="N27" s="95">
        <f t="shared" si="31"/>
        <v>0</v>
      </c>
      <c r="O27" s="287">
        <v>12500</v>
      </c>
      <c r="P27" s="275">
        <v>12500</v>
      </c>
      <c r="Q27" s="275">
        <v>12500</v>
      </c>
      <c r="R27" s="290">
        <v>0</v>
      </c>
      <c r="S27" s="95">
        <f t="shared" si="19"/>
        <v>0</v>
      </c>
      <c r="T27" s="96">
        <v>0</v>
      </c>
      <c r="U27" s="96">
        <v>0</v>
      </c>
      <c r="V27" s="96">
        <v>0</v>
      </c>
      <c r="W27" s="96">
        <v>12500</v>
      </c>
      <c r="X27" s="95">
        <f t="shared" si="32"/>
        <v>12500</v>
      </c>
      <c r="Y27" s="96">
        <v>12500</v>
      </c>
      <c r="Z27" s="96">
        <v>12500</v>
      </c>
      <c r="AA27" s="96">
        <v>0</v>
      </c>
      <c r="AB27" s="96"/>
      <c r="AC27" s="95">
        <f t="shared" si="20"/>
        <v>0</v>
      </c>
      <c r="AD27" s="96">
        <f>AC27</f>
        <v>0</v>
      </c>
      <c r="AE27" s="96">
        <f>AD27</f>
        <v>0</v>
      </c>
      <c r="AF27" s="96">
        <f>AE27</f>
        <v>0</v>
      </c>
      <c r="AG27" s="96">
        <f>AF27</f>
        <v>0</v>
      </c>
      <c r="AH27" s="95">
        <f t="shared" si="21"/>
        <v>0</v>
      </c>
      <c r="AI27" s="96">
        <f>AH27</f>
        <v>0</v>
      </c>
      <c r="AJ27" s="96">
        <f>AI27</f>
        <v>0</v>
      </c>
      <c r="AK27" s="96">
        <f>AJ27</f>
        <v>0</v>
      </c>
      <c r="AL27" s="96">
        <v>0</v>
      </c>
      <c r="AM27" s="95">
        <f t="shared" si="22"/>
        <v>0</v>
      </c>
      <c r="AN27" s="96">
        <f>AM27</f>
        <v>0</v>
      </c>
      <c r="AO27" s="96">
        <f>AN27</f>
        <v>0</v>
      </c>
      <c r="AP27" s="96">
        <f>AO27</f>
        <v>0</v>
      </c>
      <c r="AQ27" s="96">
        <f>AP27</f>
        <v>0</v>
      </c>
      <c r="AR27" s="95">
        <f t="shared" si="23"/>
        <v>0</v>
      </c>
      <c r="AS27" s="96">
        <f>AR27</f>
        <v>0</v>
      </c>
      <c r="AT27" s="96">
        <f>AS27</f>
        <v>0</v>
      </c>
      <c r="AU27" s="96">
        <f>AT27</f>
        <v>0</v>
      </c>
      <c r="AV27" s="96">
        <f>AU27</f>
        <v>0</v>
      </c>
      <c r="AW27" s="95">
        <f t="shared" si="33"/>
        <v>0</v>
      </c>
      <c r="AX27" s="96">
        <f>AW27</f>
        <v>0</v>
      </c>
      <c r="AY27" s="96">
        <f>AX27</f>
        <v>0</v>
      </c>
      <c r="AZ27" s="96">
        <f>AY27</f>
        <v>0</v>
      </c>
      <c r="BA27" s="96">
        <f>AZ27</f>
        <v>0</v>
      </c>
      <c r="BB27" s="95">
        <f t="shared" si="24"/>
        <v>0</v>
      </c>
      <c r="BC27" s="96">
        <f>BB27</f>
        <v>0</v>
      </c>
      <c r="BD27" s="96">
        <f>BC27</f>
        <v>0</v>
      </c>
      <c r="BE27" s="96">
        <f>BD27</f>
        <v>0</v>
      </c>
      <c r="BF27" s="96">
        <f>BE27</f>
        <v>0</v>
      </c>
      <c r="BG27" s="95">
        <f t="shared" si="25"/>
        <v>0</v>
      </c>
      <c r="BH27" s="96">
        <f>BG27</f>
        <v>0</v>
      </c>
      <c r="BI27" s="96">
        <f>BH27</f>
        <v>0</v>
      </c>
      <c r="BJ27" s="96">
        <f>BI27</f>
        <v>0</v>
      </c>
      <c r="BK27" s="96">
        <f>BJ27</f>
        <v>0</v>
      </c>
      <c r="BL27" s="95">
        <f t="shared" si="26"/>
        <v>0</v>
      </c>
      <c r="BM27" s="96">
        <f>BL27</f>
        <v>0</v>
      </c>
      <c r="BN27" s="96">
        <f>BM27</f>
        <v>0</v>
      </c>
      <c r="BO27" s="96">
        <f>BN27</f>
        <v>0</v>
      </c>
      <c r="BP27" s="96">
        <f>BO27</f>
        <v>0</v>
      </c>
      <c r="BQ27" s="95">
        <f t="shared" si="27"/>
        <v>0</v>
      </c>
      <c r="BR27" s="96">
        <f>BQ27</f>
        <v>0</v>
      </c>
      <c r="BS27" s="96">
        <f>BR27</f>
        <v>0</v>
      </c>
      <c r="BT27" s="96">
        <f>BS27</f>
        <v>0</v>
      </c>
      <c r="BU27" s="96">
        <f>BT27</f>
        <v>0</v>
      </c>
      <c r="BV27" s="95">
        <f t="shared" si="28"/>
        <v>0</v>
      </c>
      <c r="BW27" s="96">
        <f>BV27</f>
        <v>0</v>
      </c>
      <c r="BX27" s="96">
        <f>BW27</f>
        <v>0</v>
      </c>
      <c r="BY27" s="96">
        <f>BX27</f>
        <v>0</v>
      </c>
      <c r="BZ27" s="96">
        <f>BY27</f>
        <v>0</v>
      </c>
      <c r="CA27" s="95">
        <f t="shared" si="29"/>
        <v>0</v>
      </c>
    </row>
    <row r="28" spans="2:79">
      <c r="B28" s="112"/>
      <c r="C28" s="278" t="s">
        <v>199</v>
      </c>
      <c r="D28" s="95">
        <v>604</v>
      </c>
      <c r="E28" s="275">
        <v>704</v>
      </c>
      <c r="F28" s="275">
        <v>795</v>
      </c>
      <c r="G28" s="275">
        <v>317</v>
      </c>
      <c r="H28" s="275">
        <v>105</v>
      </c>
      <c r="I28" s="95">
        <f t="shared" si="30"/>
        <v>105</v>
      </c>
      <c r="J28" s="275">
        <v>75</v>
      </c>
      <c r="K28" s="275">
        <v>78</v>
      </c>
      <c r="L28" s="275">
        <v>77</v>
      </c>
      <c r="M28" s="275">
        <v>98</v>
      </c>
      <c r="N28" s="95">
        <f t="shared" si="31"/>
        <v>98</v>
      </c>
      <c r="O28" s="287">
        <v>90</v>
      </c>
      <c r="P28" s="275">
        <v>127</v>
      </c>
      <c r="Q28" s="275">
        <v>260</v>
      </c>
      <c r="R28" s="287">
        <v>297</v>
      </c>
      <c r="S28" s="95">
        <f t="shared" si="19"/>
        <v>297</v>
      </c>
      <c r="T28" s="96">
        <v>1221</v>
      </c>
      <c r="U28" s="96">
        <v>863</v>
      </c>
      <c r="V28" s="96">
        <v>1036</v>
      </c>
      <c r="W28" s="96">
        <v>1262</v>
      </c>
      <c r="X28" s="95">
        <f t="shared" si="32"/>
        <v>1262</v>
      </c>
      <c r="Y28" s="96">
        <v>1167</v>
      </c>
      <c r="Z28" s="96">
        <v>1215</v>
      </c>
      <c r="AA28" s="96">
        <v>1307</v>
      </c>
      <c r="AB28" s="96">
        <v>1347</v>
      </c>
      <c r="AC28" s="95">
        <f t="shared" si="20"/>
        <v>1347</v>
      </c>
      <c r="AD28" s="96">
        <v>1138</v>
      </c>
      <c r="AE28" s="96">
        <v>1191</v>
      </c>
      <c r="AF28" s="96">
        <v>1174</v>
      </c>
      <c r="AG28" s="96">
        <v>1326</v>
      </c>
      <c r="AH28" s="95">
        <f t="shared" si="21"/>
        <v>1326</v>
      </c>
      <c r="AI28" s="96">
        <v>1097</v>
      </c>
      <c r="AJ28" s="96">
        <v>1201</v>
      </c>
      <c r="AK28" s="96">
        <v>1322</v>
      </c>
      <c r="AL28" s="96">
        <v>1741</v>
      </c>
      <c r="AM28" s="95">
        <f t="shared" si="22"/>
        <v>1741</v>
      </c>
      <c r="AN28" s="96">
        <v>1404</v>
      </c>
      <c r="AO28" s="96">
        <v>1266</v>
      </c>
      <c r="AP28" s="96">
        <v>1435</v>
      </c>
      <c r="AQ28" s="96">
        <v>1885</v>
      </c>
      <c r="AR28" s="95">
        <f t="shared" si="23"/>
        <v>1885</v>
      </c>
      <c r="AS28" s="96">
        <v>1723</v>
      </c>
      <c r="AT28" s="96">
        <v>1565</v>
      </c>
      <c r="AU28" s="96">
        <v>1629</v>
      </c>
      <c r="AV28" s="96">
        <v>1714</v>
      </c>
      <c r="AW28" s="95">
        <f t="shared" si="33"/>
        <v>1714</v>
      </c>
      <c r="AX28" s="96">
        <v>1168</v>
      </c>
      <c r="AY28" s="96">
        <v>1588</v>
      </c>
      <c r="AZ28" s="96">
        <v>1839</v>
      </c>
      <c r="BA28" s="96">
        <v>2660</v>
      </c>
      <c r="BB28" s="95">
        <f t="shared" si="24"/>
        <v>2660</v>
      </c>
      <c r="BC28" s="96">
        <v>2047</v>
      </c>
      <c r="BD28" s="96">
        <v>2253</v>
      </c>
      <c r="BE28" s="96">
        <v>2485</v>
      </c>
      <c r="BF28" s="96">
        <v>2973</v>
      </c>
      <c r="BG28" s="95">
        <f t="shared" si="25"/>
        <v>2973</v>
      </c>
      <c r="BH28" s="96">
        <v>2209</v>
      </c>
      <c r="BI28" s="96">
        <v>2547</v>
      </c>
      <c r="BJ28" s="96">
        <v>2965</v>
      </c>
      <c r="BK28" s="96"/>
      <c r="BL28" s="95">
        <f t="shared" si="26"/>
        <v>0</v>
      </c>
      <c r="BM28" s="96"/>
      <c r="BN28" s="96"/>
      <c r="BO28" s="96"/>
      <c r="BP28" s="96"/>
      <c r="BQ28" s="95">
        <f t="shared" si="27"/>
        <v>0</v>
      </c>
      <c r="BR28" s="96"/>
      <c r="BS28" s="96"/>
      <c r="BT28" s="96"/>
      <c r="BU28" s="96"/>
      <c r="BV28" s="95">
        <f t="shared" si="28"/>
        <v>0</v>
      </c>
      <c r="BW28" s="96">
        <f>BW70*'Income Statement'!BW28</f>
        <v>1496.1420450000001</v>
      </c>
      <c r="BX28" s="96">
        <f>BX70*'Income Statement'!BX28</f>
        <v>1531.6354830000002</v>
      </c>
      <c r="BY28" s="96">
        <f>BY70*'Income Statement'!BY28</f>
        <v>1568.6460159999999</v>
      </c>
      <c r="BZ28" s="96">
        <f>BZ70*'Income Statement'!BZ28</f>
        <v>1686.9842759999999</v>
      </c>
      <c r="CA28" s="95">
        <f t="shared" si="29"/>
        <v>1686.9842759999999</v>
      </c>
    </row>
    <row r="29" spans="2:79">
      <c r="B29" s="112"/>
      <c r="C29" s="278" t="s">
        <v>200</v>
      </c>
      <c r="D29" s="95">
        <v>737</v>
      </c>
      <c r="E29" s="275">
        <v>748</v>
      </c>
      <c r="F29" s="275">
        <v>705</v>
      </c>
      <c r="G29" s="275">
        <v>571</v>
      </c>
      <c r="H29" s="275">
        <v>415</v>
      </c>
      <c r="I29" s="95">
        <f t="shared" si="30"/>
        <v>415</v>
      </c>
      <c r="J29" s="275">
        <v>247</v>
      </c>
      <c r="K29" s="275">
        <v>109</v>
      </c>
      <c r="L29" s="275">
        <v>1079</v>
      </c>
      <c r="M29" s="275">
        <v>1522</v>
      </c>
      <c r="N29" s="95">
        <f t="shared" si="31"/>
        <v>1522</v>
      </c>
      <c r="O29" s="287">
        <v>2037</v>
      </c>
      <c r="P29" s="275">
        <v>2573</v>
      </c>
      <c r="Q29" s="275">
        <v>3112</v>
      </c>
      <c r="R29" s="287">
        <v>3146</v>
      </c>
      <c r="S29" s="95">
        <f t="shared" si="19"/>
        <v>3146</v>
      </c>
      <c r="T29" s="96">
        <v>3528</v>
      </c>
      <c r="U29" s="96">
        <v>5081</v>
      </c>
      <c r="V29" s="96">
        <v>6045</v>
      </c>
      <c r="W29" s="96">
        <v>7212</v>
      </c>
      <c r="X29" s="95">
        <f t="shared" si="32"/>
        <v>7212</v>
      </c>
      <c r="Y29" s="96">
        <v>7375</v>
      </c>
      <c r="Z29" s="96">
        <v>6576</v>
      </c>
      <c r="AA29" s="96">
        <v>1070</v>
      </c>
      <c r="AB29" s="96">
        <v>742</v>
      </c>
      <c r="AC29" s="95">
        <f t="shared" si="20"/>
        <v>742</v>
      </c>
      <c r="AD29" s="96">
        <v>643</v>
      </c>
      <c r="AE29" s="96">
        <v>663</v>
      </c>
      <c r="AF29" s="96">
        <v>486</v>
      </c>
      <c r="AG29" s="96">
        <v>336</v>
      </c>
      <c r="AH29" s="95">
        <f t="shared" si="21"/>
        <v>336</v>
      </c>
      <c r="AI29" s="96">
        <v>180</v>
      </c>
      <c r="AJ29" s="96">
        <v>31</v>
      </c>
      <c r="AK29" s="96">
        <v>0</v>
      </c>
      <c r="AL29" s="96">
        <v>0</v>
      </c>
      <c r="AM29" s="95">
        <f t="shared" si="22"/>
        <v>0</v>
      </c>
      <c r="AN29" s="96">
        <f>AM29</f>
        <v>0</v>
      </c>
      <c r="AO29" s="96">
        <f>AN29</f>
        <v>0</v>
      </c>
      <c r="AP29" s="96">
        <f>AO29</f>
        <v>0</v>
      </c>
      <c r="AQ29" s="96">
        <f>AP29</f>
        <v>0</v>
      </c>
      <c r="AR29" s="95">
        <f t="shared" si="23"/>
        <v>0</v>
      </c>
      <c r="AS29" s="96">
        <f>AR29</f>
        <v>0</v>
      </c>
      <c r="AT29" s="96">
        <f>AS29</f>
        <v>0</v>
      </c>
      <c r="AU29" s="96">
        <f>AT29</f>
        <v>0</v>
      </c>
      <c r="AV29" s="96">
        <f>AU29</f>
        <v>0</v>
      </c>
      <c r="AW29" s="95">
        <f t="shared" si="33"/>
        <v>0</v>
      </c>
      <c r="AX29" s="96">
        <f>AW29</f>
        <v>0</v>
      </c>
      <c r="AY29" s="96">
        <f>AX29</f>
        <v>0</v>
      </c>
      <c r="AZ29" s="96">
        <f>AY29</f>
        <v>0</v>
      </c>
      <c r="BA29" s="96">
        <f>AZ29</f>
        <v>0</v>
      </c>
      <c r="BB29" s="95">
        <f t="shared" si="24"/>
        <v>0</v>
      </c>
      <c r="BC29" s="96">
        <f>BB29</f>
        <v>0</v>
      </c>
      <c r="BD29" s="96">
        <v>187</v>
      </c>
      <c r="BE29" s="96">
        <v>176</v>
      </c>
      <c r="BF29" s="96"/>
      <c r="BG29" s="95">
        <f t="shared" si="25"/>
        <v>0</v>
      </c>
      <c r="BH29" s="96">
        <f>BG29</f>
        <v>0</v>
      </c>
      <c r="BI29" s="96">
        <f>BH29</f>
        <v>0</v>
      </c>
      <c r="BJ29" s="96">
        <f>BI29</f>
        <v>0</v>
      </c>
      <c r="BK29" s="96">
        <f>BJ29</f>
        <v>0</v>
      </c>
      <c r="BL29" s="95">
        <f t="shared" si="26"/>
        <v>0</v>
      </c>
      <c r="BM29" s="96">
        <f>BL29</f>
        <v>0</v>
      </c>
      <c r="BN29" s="96">
        <f>BM29</f>
        <v>0</v>
      </c>
      <c r="BO29" s="96">
        <f>BN29</f>
        <v>0</v>
      </c>
      <c r="BP29" s="96">
        <f>BO29</f>
        <v>0</v>
      </c>
      <c r="BQ29" s="95">
        <f t="shared" si="27"/>
        <v>0</v>
      </c>
      <c r="BR29" s="96">
        <f>BQ29</f>
        <v>0</v>
      </c>
      <c r="BS29" s="96">
        <f>BR29</f>
        <v>0</v>
      </c>
      <c r="BT29" s="96">
        <f>BS29</f>
        <v>0</v>
      </c>
      <c r="BU29" s="96">
        <f>BT29</f>
        <v>0</v>
      </c>
      <c r="BV29" s="95">
        <f t="shared" si="28"/>
        <v>0</v>
      </c>
      <c r="BW29" s="96">
        <f>BV29</f>
        <v>0</v>
      </c>
      <c r="BX29" s="96">
        <f>BW29</f>
        <v>0</v>
      </c>
      <c r="BY29" s="96">
        <f>BX29</f>
        <v>0</v>
      </c>
      <c r="BZ29" s="96">
        <f>BY29</f>
        <v>0</v>
      </c>
      <c r="CA29" s="95">
        <f t="shared" si="29"/>
        <v>0</v>
      </c>
    </row>
    <row r="30" spans="2:79">
      <c r="B30" s="112"/>
      <c r="C30" s="278" t="s">
        <v>201</v>
      </c>
      <c r="D30" s="95">
        <v>1121</v>
      </c>
      <c r="E30" s="275">
        <v>1273</v>
      </c>
      <c r="F30" s="275">
        <v>2480</v>
      </c>
      <c r="G30" s="275">
        <v>2561</v>
      </c>
      <c r="H30" s="275">
        <v>3572</v>
      </c>
      <c r="I30" s="95">
        <f t="shared" si="30"/>
        <v>3572</v>
      </c>
      <c r="J30" s="275">
        <v>4255</v>
      </c>
      <c r="K30" s="275">
        <v>4505</v>
      </c>
      <c r="L30" s="275">
        <v>4768</v>
      </c>
      <c r="M30" s="275">
        <v>4857</v>
      </c>
      <c r="N30" s="95">
        <f t="shared" si="31"/>
        <v>4857</v>
      </c>
      <c r="O30" s="287">
        <v>4907</v>
      </c>
      <c r="P30" s="275">
        <v>4742</v>
      </c>
      <c r="Q30" s="275">
        <v>4988</v>
      </c>
      <c r="R30" s="287">
        <v>4849</v>
      </c>
      <c r="S30" s="95">
        <f t="shared" si="19"/>
        <v>4849</v>
      </c>
      <c r="T30" s="96">
        <v>4467</v>
      </c>
      <c r="U30" s="96">
        <v>4365</v>
      </c>
      <c r="V30" s="96">
        <v>4313</v>
      </c>
      <c r="W30" s="96">
        <v>4972</v>
      </c>
      <c r="X30" s="95">
        <f t="shared" si="32"/>
        <v>4972</v>
      </c>
      <c r="Y30" s="96">
        <v>5185</v>
      </c>
      <c r="Z30" s="96">
        <v>5271</v>
      </c>
      <c r="AA30" s="96">
        <v>5634</v>
      </c>
      <c r="AB30" s="96">
        <v>6230</v>
      </c>
      <c r="AC30" s="95">
        <f t="shared" si="20"/>
        <v>6230</v>
      </c>
      <c r="AD30" s="96">
        <v>6009</v>
      </c>
      <c r="AE30" s="96">
        <v>6155</v>
      </c>
      <c r="AF30" s="96">
        <v>6057</v>
      </c>
      <c r="AG30" s="96">
        <v>6651</v>
      </c>
      <c r="AH30" s="95">
        <f t="shared" si="21"/>
        <v>6651</v>
      </c>
      <c r="AI30" s="96">
        <v>6810</v>
      </c>
      <c r="AJ30" s="96">
        <v>7442</v>
      </c>
      <c r="AK30" s="96">
        <v>6909</v>
      </c>
      <c r="AL30" s="96">
        <v>6647</v>
      </c>
      <c r="AM30" s="95">
        <f t="shared" si="22"/>
        <v>6647</v>
      </c>
      <c r="AN30" s="96">
        <v>6208</v>
      </c>
      <c r="AO30" s="96">
        <v>5545</v>
      </c>
      <c r="AP30" s="96">
        <v>4457</v>
      </c>
      <c r="AQ30" s="96">
        <v>3518</v>
      </c>
      <c r="AR30" s="95">
        <f t="shared" si="23"/>
        <v>3518</v>
      </c>
      <c r="AS30" s="96">
        <v>2812</v>
      </c>
      <c r="AT30" s="96">
        <v>2032</v>
      </c>
      <c r="AU30" s="96">
        <v>1299</v>
      </c>
      <c r="AV30" s="96">
        <v>612</v>
      </c>
      <c r="AW30" s="95">
        <f t="shared" si="33"/>
        <v>612</v>
      </c>
      <c r="AX30" s="96">
        <v>156</v>
      </c>
      <c r="AY30" s="96">
        <v>36</v>
      </c>
      <c r="AZ30" s="96">
        <v>0</v>
      </c>
      <c r="BA30" s="96">
        <f>AZ30-'Cash Flows'!BA11</f>
        <v>-2253</v>
      </c>
      <c r="BB30" s="95">
        <f t="shared" si="24"/>
        <v>-2253</v>
      </c>
      <c r="BC30" s="96">
        <v>0</v>
      </c>
      <c r="BD30" s="96">
        <f>BC30-'Cash Flows'!BD11</f>
        <v>-2539</v>
      </c>
      <c r="BE30" s="96">
        <v>0</v>
      </c>
      <c r="BF30" s="96"/>
      <c r="BG30" s="95">
        <f t="shared" si="25"/>
        <v>0</v>
      </c>
      <c r="BH30" s="96">
        <f>BG30-'Cash Flows'!BH11</f>
        <v>-2934</v>
      </c>
      <c r="BI30" s="96">
        <v>704</v>
      </c>
      <c r="BJ30" s="96">
        <v>1617</v>
      </c>
      <c r="BK30" s="96">
        <v>1767</v>
      </c>
      <c r="BL30" s="95">
        <f t="shared" si="26"/>
        <v>1767</v>
      </c>
      <c r="BM30" s="96">
        <v>1791</v>
      </c>
      <c r="BN30" s="96">
        <v>1819</v>
      </c>
      <c r="BO30" s="96">
        <v>7695</v>
      </c>
      <c r="BP30" s="96">
        <v>7768</v>
      </c>
      <c r="BQ30" s="95">
        <f t="shared" si="27"/>
        <v>7768</v>
      </c>
      <c r="BR30" s="96">
        <v>9090</v>
      </c>
      <c r="BS30" s="96">
        <v>9174</v>
      </c>
      <c r="BT30" s="96">
        <v>8826</v>
      </c>
      <c r="BU30" s="96">
        <v>8480</v>
      </c>
      <c r="BV30" s="95">
        <f t="shared" si="28"/>
        <v>8480</v>
      </c>
      <c r="BW30" s="96">
        <f>BV30-'Cash Flows'!BW11</f>
        <v>8480</v>
      </c>
      <c r="BX30" s="96">
        <f>BW30-'Cash Flows'!BX11</f>
        <v>8480</v>
      </c>
      <c r="BY30" s="96">
        <f>BX30-'Cash Flows'!BY11</f>
        <v>8480</v>
      </c>
      <c r="BZ30" s="96">
        <f>BY30-'Cash Flows'!BZ11</f>
        <v>8480</v>
      </c>
      <c r="CA30" s="95">
        <f t="shared" si="29"/>
        <v>8480</v>
      </c>
    </row>
    <row r="31" spans="2:79">
      <c r="B31" s="112"/>
      <c r="C31" s="278" t="s">
        <v>202</v>
      </c>
      <c r="D31" s="95">
        <v>2915</v>
      </c>
      <c r="E31" s="275">
        <v>3249</v>
      </c>
      <c r="F31" s="275">
        <v>3327</v>
      </c>
      <c r="G31" s="275">
        <v>3441</v>
      </c>
      <c r="H31" s="275">
        <v>4269</v>
      </c>
      <c r="I31" s="95">
        <f t="shared" si="30"/>
        <v>4269</v>
      </c>
      <c r="J31" s="275">
        <v>4150</v>
      </c>
      <c r="K31" s="275">
        <v>4482</v>
      </c>
      <c r="L31" s="275">
        <v>4594</v>
      </c>
      <c r="M31" s="275">
        <v>4375</v>
      </c>
      <c r="N31" s="95">
        <f t="shared" si="31"/>
        <v>4375</v>
      </c>
      <c r="O31" s="287">
        <v>4957</v>
      </c>
      <c r="P31" s="275">
        <v>5009</v>
      </c>
      <c r="Q31" s="275">
        <v>4991</v>
      </c>
      <c r="R31" s="287">
        <v>5346</v>
      </c>
      <c r="S31" s="95">
        <f t="shared" si="19"/>
        <v>5346</v>
      </c>
      <c r="T31" s="96">
        <v>5641</v>
      </c>
      <c r="U31" s="96">
        <v>5525</v>
      </c>
      <c r="V31" s="96">
        <v>5562</v>
      </c>
      <c r="W31" s="96">
        <v>6413</v>
      </c>
      <c r="X31" s="95">
        <f>W31</f>
        <v>6413</v>
      </c>
      <c r="Y31" s="96">
        <v>7832</v>
      </c>
      <c r="Z31" s="96">
        <v>7898</v>
      </c>
      <c r="AA31" s="96">
        <v>8838</v>
      </c>
      <c r="AB31" s="96">
        <v>10047</v>
      </c>
      <c r="AC31" s="95">
        <f t="shared" si="20"/>
        <v>10047</v>
      </c>
      <c r="AD31" s="96">
        <v>10920</v>
      </c>
      <c r="AE31" s="96">
        <v>11903</v>
      </c>
      <c r="AF31" s="96">
        <v>13699</v>
      </c>
      <c r="AG31" s="96">
        <v>13975</v>
      </c>
      <c r="AH31" s="95">
        <f t="shared" si="21"/>
        <v>13975</v>
      </c>
      <c r="AI31" s="96">
        <v>13700</v>
      </c>
      <c r="AJ31" s="96">
        <v>14750</v>
      </c>
      <c r="AK31" s="96">
        <v>17490</v>
      </c>
      <c r="AL31" s="96">
        <v>17391</v>
      </c>
      <c r="AM31" s="95">
        <f t="shared" si="22"/>
        <v>17391</v>
      </c>
      <c r="AN31" s="96">
        <v>17853</v>
      </c>
      <c r="AO31" s="96">
        <v>19991</v>
      </c>
      <c r="AP31" s="96">
        <v>21858</v>
      </c>
      <c r="AQ31" s="96">
        <v>24681</v>
      </c>
      <c r="AR31" s="95">
        <f t="shared" si="23"/>
        <v>24681</v>
      </c>
      <c r="AS31" s="96">
        <v>25632</v>
      </c>
      <c r="AT31" s="96">
        <v>26306</v>
      </c>
      <c r="AU31" s="96">
        <v>28527</v>
      </c>
      <c r="AV31" s="96">
        <v>31983</v>
      </c>
      <c r="AW31" s="95">
        <f t="shared" si="33"/>
        <v>31983</v>
      </c>
      <c r="AX31" s="96">
        <v>32835</v>
      </c>
      <c r="AY31" s="96">
        <v>33237</v>
      </c>
      <c r="AZ31" s="96">
        <v>36887</v>
      </c>
      <c r="BA31" s="96">
        <v>43720</v>
      </c>
      <c r="BB31" s="95">
        <f t="shared" si="24"/>
        <v>43720</v>
      </c>
      <c r="BC31" s="96">
        <v>46564</v>
      </c>
      <c r="BD31" s="96">
        <v>51553</v>
      </c>
      <c r="BE31" s="96">
        <v>53834</v>
      </c>
      <c r="BF31" s="96">
        <v>57816</v>
      </c>
      <c r="BG31" s="95">
        <f t="shared" si="25"/>
        <v>57816</v>
      </c>
      <c r="BH31" s="96">
        <v>58082</v>
      </c>
      <c r="BI31" s="96">
        <v>57539</v>
      </c>
      <c r="BJ31" s="96">
        <v>64565</v>
      </c>
      <c r="BK31" s="96">
        <v>68187</v>
      </c>
      <c r="BL31" s="95">
        <f t="shared" si="26"/>
        <v>68187</v>
      </c>
      <c r="BM31" s="96">
        <v>67019</v>
      </c>
      <c r="BN31" s="96">
        <v>65286</v>
      </c>
      <c r="BO31" s="96">
        <v>80000</v>
      </c>
      <c r="BP31" s="96">
        <v>79173</v>
      </c>
      <c r="BQ31" s="95">
        <f t="shared" si="27"/>
        <v>79173</v>
      </c>
      <c r="BR31" s="96">
        <v>74809</v>
      </c>
      <c r="BS31" s="96">
        <v>68009</v>
      </c>
      <c r="BT31" s="96">
        <v>74737</v>
      </c>
      <c r="BU31" s="96">
        <v>77515</v>
      </c>
      <c r="BV31" s="95">
        <f t="shared" si="28"/>
        <v>77515</v>
      </c>
      <c r="BW31" s="96">
        <f>BW71*'Income Statement'!BW28</f>
        <v>92760.806789999988</v>
      </c>
      <c r="BX31" s="96">
        <f>BX71*'Income Statement'!BX28</f>
        <v>91898.128980000009</v>
      </c>
      <c r="BY31" s="96">
        <f>BY71*'Income Statement'!BY28</f>
        <v>94118.76096</v>
      </c>
      <c r="BZ31" s="96">
        <f>BZ71*'Income Statement'!BZ28</f>
        <v>107966.99366399999</v>
      </c>
      <c r="CA31" s="95">
        <f t="shared" si="29"/>
        <v>107966.99366399999</v>
      </c>
    </row>
    <row r="32" spans="2:79">
      <c r="B32" s="112"/>
      <c r="C32" s="278" t="s">
        <v>481</v>
      </c>
      <c r="D32" s="95"/>
      <c r="E32" s="275"/>
      <c r="F32" s="275"/>
      <c r="G32" s="275"/>
      <c r="H32" s="275"/>
      <c r="I32" s="95"/>
      <c r="J32" s="275"/>
      <c r="K32" s="275"/>
      <c r="L32" s="275"/>
      <c r="M32" s="275"/>
      <c r="N32" s="95"/>
      <c r="O32" s="287"/>
      <c r="P32" s="275"/>
      <c r="Q32" s="275"/>
      <c r="R32" s="287"/>
      <c r="S32" s="95"/>
      <c r="T32" s="96"/>
      <c r="U32" s="96"/>
      <c r="V32" s="96"/>
      <c r="W32" s="96"/>
      <c r="X32" s="95"/>
      <c r="Y32" s="96"/>
      <c r="Z32" s="96"/>
      <c r="AA32" s="96"/>
      <c r="AB32" s="96"/>
      <c r="AC32" s="95"/>
      <c r="AD32" s="96"/>
      <c r="AE32" s="96"/>
      <c r="AF32" s="96"/>
      <c r="AG32" s="96"/>
      <c r="AH32" s="95"/>
      <c r="AI32" s="96"/>
      <c r="AJ32" s="96"/>
      <c r="AK32" s="96"/>
      <c r="AL32" s="96"/>
      <c r="AM32" s="95"/>
      <c r="AN32" s="96"/>
      <c r="AO32" s="96"/>
      <c r="AP32" s="96"/>
      <c r="AQ32" s="96"/>
      <c r="AR32" s="95"/>
      <c r="AS32" s="96"/>
      <c r="AT32" s="96"/>
      <c r="AU32" s="96"/>
      <c r="AV32" s="96"/>
      <c r="AW32" s="95"/>
      <c r="AX32" s="96"/>
      <c r="AY32" s="96"/>
      <c r="AZ32" s="96"/>
      <c r="BA32" s="96"/>
      <c r="BB32" s="95"/>
      <c r="BC32" s="96"/>
      <c r="BD32" s="96"/>
      <c r="BE32" s="96"/>
      <c r="BF32" s="96">
        <v>169</v>
      </c>
      <c r="BG32" s="95">
        <f>SUM(BF32)</f>
        <v>169</v>
      </c>
      <c r="BH32" s="96">
        <v>169</v>
      </c>
      <c r="BI32" s="96"/>
      <c r="BJ32" s="96"/>
      <c r="BK32" s="96"/>
      <c r="BL32" s="95"/>
      <c r="BM32" s="96"/>
      <c r="BN32" s="96">
        <v>432364</v>
      </c>
      <c r="BO32" s="96">
        <v>432927</v>
      </c>
      <c r="BP32" s="96">
        <v>433490</v>
      </c>
      <c r="BQ32" s="95"/>
      <c r="BR32" s="96">
        <v>434031</v>
      </c>
      <c r="BS32" s="96"/>
      <c r="BT32" s="96"/>
      <c r="BU32" s="96"/>
      <c r="BV32" s="95"/>
      <c r="BW32" s="96"/>
      <c r="BX32" s="96"/>
      <c r="BY32" s="96"/>
      <c r="BZ32" s="96"/>
      <c r="CA32" s="95"/>
    </row>
    <row r="33" spans="2:79" s="146" customFormat="1" ht="13.15">
      <c r="B33" s="138" t="s">
        <v>10</v>
      </c>
      <c r="C33" s="173"/>
      <c r="D33" s="136">
        <f t="shared" ref="D33:AI33" si="34">SUM(D23:D31)</f>
        <v>10325</v>
      </c>
      <c r="E33" s="137">
        <f t="shared" si="34"/>
        <v>11101</v>
      </c>
      <c r="F33" s="137">
        <f t="shared" si="34"/>
        <v>13114</v>
      </c>
      <c r="G33" s="137">
        <f t="shared" si="34"/>
        <v>12125</v>
      </c>
      <c r="H33" s="137">
        <f t="shared" si="34"/>
        <v>16881</v>
      </c>
      <c r="I33" s="136">
        <f t="shared" si="34"/>
        <v>16881</v>
      </c>
      <c r="J33" s="137">
        <f t="shared" si="34"/>
        <v>27142</v>
      </c>
      <c r="K33" s="137">
        <f t="shared" si="34"/>
        <v>26472</v>
      </c>
      <c r="L33" s="137">
        <f t="shared" si="34"/>
        <v>22531</v>
      </c>
      <c r="M33" s="137">
        <f t="shared" si="34"/>
        <v>25293</v>
      </c>
      <c r="N33" s="136">
        <f t="shared" si="34"/>
        <v>25293</v>
      </c>
      <c r="O33" s="137">
        <f t="shared" si="34"/>
        <v>40385</v>
      </c>
      <c r="P33" s="137">
        <f t="shared" si="34"/>
        <v>40837</v>
      </c>
      <c r="Q33" s="137">
        <f t="shared" si="34"/>
        <v>42915</v>
      </c>
      <c r="R33" s="137">
        <f t="shared" si="34"/>
        <v>32350</v>
      </c>
      <c r="S33" s="136">
        <f t="shared" si="34"/>
        <v>32350</v>
      </c>
      <c r="T33" s="137">
        <f t="shared" si="34"/>
        <v>33036</v>
      </c>
      <c r="U33" s="137">
        <f t="shared" si="34"/>
        <v>32976</v>
      </c>
      <c r="V33" s="137">
        <f t="shared" si="34"/>
        <v>33469</v>
      </c>
      <c r="W33" s="137">
        <f t="shared" si="34"/>
        <v>48523</v>
      </c>
      <c r="X33" s="136">
        <f t="shared" si="34"/>
        <v>48523</v>
      </c>
      <c r="Y33" s="137">
        <f t="shared" si="34"/>
        <v>53067</v>
      </c>
      <c r="Z33" s="137">
        <f t="shared" si="34"/>
        <v>51625</v>
      </c>
      <c r="AA33" s="137">
        <f t="shared" si="34"/>
        <v>36831</v>
      </c>
      <c r="AB33" s="137">
        <f t="shared" si="34"/>
        <v>34078</v>
      </c>
      <c r="AC33" s="136">
        <f t="shared" si="34"/>
        <v>34078</v>
      </c>
      <c r="AD33" s="137">
        <f t="shared" si="34"/>
        <v>38150</v>
      </c>
      <c r="AE33" s="137">
        <f t="shared" si="34"/>
        <v>38036</v>
      </c>
      <c r="AF33" s="137">
        <f t="shared" si="34"/>
        <v>39316</v>
      </c>
      <c r="AG33" s="137">
        <f t="shared" si="34"/>
        <v>39518</v>
      </c>
      <c r="AH33" s="136">
        <f t="shared" si="34"/>
        <v>39518</v>
      </c>
      <c r="AI33" s="137">
        <f t="shared" si="34"/>
        <v>42732</v>
      </c>
      <c r="AJ33" s="137">
        <f t="shared" ref="AJ33:BE33" si="35">SUM(AJ23:AJ31)</f>
        <v>44712</v>
      </c>
      <c r="AK33" s="137">
        <f t="shared" si="35"/>
        <v>46074</v>
      </c>
      <c r="AL33" s="137">
        <f t="shared" si="35"/>
        <v>47994</v>
      </c>
      <c r="AM33" s="136">
        <f t="shared" si="35"/>
        <v>47994</v>
      </c>
      <c r="AN33" s="137">
        <f t="shared" si="35"/>
        <v>56333</v>
      </c>
      <c r="AO33" s="137">
        <f t="shared" si="35"/>
        <v>55970</v>
      </c>
      <c r="AP33" s="137">
        <f t="shared" si="35"/>
        <v>61639</v>
      </c>
      <c r="AQ33" s="137">
        <f t="shared" si="35"/>
        <v>65992</v>
      </c>
      <c r="AR33" s="136">
        <f t="shared" si="35"/>
        <v>65992</v>
      </c>
      <c r="AS33" s="137">
        <f t="shared" si="35"/>
        <v>71113</v>
      </c>
      <c r="AT33" s="137">
        <f t="shared" si="35"/>
        <v>83682</v>
      </c>
      <c r="AU33" s="137">
        <f t="shared" si="35"/>
        <v>91967</v>
      </c>
      <c r="AV33" s="137">
        <f t="shared" si="35"/>
        <v>103561</v>
      </c>
      <c r="AW33" s="136">
        <f t="shared" si="35"/>
        <v>103561</v>
      </c>
      <c r="AX33" s="137">
        <f t="shared" si="35"/>
        <v>113677</v>
      </c>
      <c r="AY33" s="137">
        <f t="shared" si="35"/>
        <v>139413</v>
      </c>
      <c r="AZ33" s="137">
        <f t="shared" si="35"/>
        <v>147052</v>
      </c>
      <c r="BA33" s="137">
        <f t="shared" si="35"/>
        <v>155322</v>
      </c>
      <c r="BB33" s="136">
        <f t="shared" si="35"/>
        <v>155322</v>
      </c>
      <c r="BC33" s="137">
        <f t="shared" si="35"/>
        <v>183788</v>
      </c>
      <c r="BD33" s="137">
        <f t="shared" si="35"/>
        <v>144115</v>
      </c>
      <c r="BE33" s="137">
        <f t="shared" si="35"/>
        <v>151410</v>
      </c>
      <c r="BF33" s="137">
        <f t="shared" ref="BF33:BQ33" si="36">SUM(BF23:BF32)</f>
        <v>150776</v>
      </c>
      <c r="BG33" s="136">
        <f t="shared" si="36"/>
        <v>150776</v>
      </c>
      <c r="BH33" s="137">
        <f t="shared" si="36"/>
        <v>157282</v>
      </c>
      <c r="BI33" s="137">
        <f t="shared" si="36"/>
        <v>158251</v>
      </c>
      <c r="BJ33" s="137">
        <f t="shared" si="36"/>
        <v>161976</v>
      </c>
      <c r="BK33" s="137">
        <f t="shared" si="36"/>
        <v>167215</v>
      </c>
      <c r="BL33" s="136">
        <f t="shared" si="36"/>
        <v>167215</v>
      </c>
      <c r="BM33" s="137">
        <f t="shared" si="36"/>
        <v>183546</v>
      </c>
      <c r="BN33" s="137">
        <f t="shared" si="36"/>
        <v>614703</v>
      </c>
      <c r="BO33" s="137">
        <f t="shared" si="36"/>
        <v>650241</v>
      </c>
      <c r="BP33" s="137">
        <f t="shared" si="36"/>
        <v>641691</v>
      </c>
      <c r="BQ33" s="136">
        <f t="shared" si="36"/>
        <v>208201</v>
      </c>
      <c r="BR33" s="137">
        <f t="shared" ref="BR33:CA33" si="37">SUM(BR23:BR32)</f>
        <v>638892</v>
      </c>
      <c r="BS33" s="137">
        <f t="shared" si="37"/>
        <v>201589</v>
      </c>
      <c r="BT33" s="137">
        <f t="shared" si="37"/>
        <v>205748</v>
      </c>
      <c r="BU33" s="137">
        <f t="shared" si="37"/>
        <v>213010</v>
      </c>
      <c r="BV33" s="136">
        <f t="shared" si="37"/>
        <v>213010</v>
      </c>
      <c r="BW33" s="137">
        <f t="shared" si="37"/>
        <v>253304.01697499998</v>
      </c>
      <c r="BX33" s="137">
        <f t="shared" si="37"/>
        <v>246552.41600100001</v>
      </c>
      <c r="BY33" s="137">
        <f t="shared" si="37"/>
        <v>251992.96435200004</v>
      </c>
      <c r="BZ33" s="137">
        <f t="shared" si="37"/>
        <v>262640.751468</v>
      </c>
      <c r="CA33" s="136">
        <f t="shared" si="37"/>
        <v>262640.751468</v>
      </c>
    </row>
    <row r="34" spans="2:79" s="146" customFormat="1" ht="13.15">
      <c r="B34" s="138"/>
      <c r="C34" s="278" t="s">
        <v>198</v>
      </c>
      <c r="D34" s="277">
        <v>0</v>
      </c>
      <c r="E34" s="96">
        <v>0</v>
      </c>
      <c r="F34" s="96">
        <v>0</v>
      </c>
      <c r="G34" s="96">
        <v>0</v>
      </c>
      <c r="H34" s="96">
        <v>0</v>
      </c>
      <c r="I34" s="95"/>
      <c r="J34" s="96">
        <v>0</v>
      </c>
      <c r="K34" s="96">
        <v>0</v>
      </c>
      <c r="L34" s="96">
        <v>0</v>
      </c>
      <c r="M34" s="96">
        <v>0</v>
      </c>
      <c r="N34" s="95">
        <f>M34</f>
        <v>0</v>
      </c>
      <c r="O34" s="288">
        <v>0</v>
      </c>
      <c r="P34" s="288">
        <v>0</v>
      </c>
      <c r="Q34" s="288">
        <v>0</v>
      </c>
      <c r="R34" s="287">
        <v>12500</v>
      </c>
      <c r="S34" s="95">
        <f t="shared" ref="S34:S44" si="38">R34</f>
        <v>12500</v>
      </c>
      <c r="T34" s="96">
        <v>12500</v>
      </c>
      <c r="U34" s="96">
        <v>12500</v>
      </c>
      <c r="V34" s="96">
        <v>12500</v>
      </c>
      <c r="W34" s="96">
        <v>0</v>
      </c>
      <c r="X34" s="95">
        <f>W34</f>
        <v>0</v>
      </c>
      <c r="Y34" s="96">
        <v>0</v>
      </c>
      <c r="Z34" s="96">
        <v>0</v>
      </c>
      <c r="AA34" s="96">
        <v>32594</v>
      </c>
      <c r="AB34" s="96">
        <f>AA34</f>
        <v>32594</v>
      </c>
      <c r="AC34" s="95">
        <f t="shared" ref="AC34:AC44" si="39">AB34</f>
        <v>32594</v>
      </c>
      <c r="AD34" s="96">
        <v>32594</v>
      </c>
      <c r="AE34" s="96">
        <v>32594</v>
      </c>
      <c r="AF34" s="96">
        <v>32594</v>
      </c>
      <c r="AG34" s="96">
        <v>32594</v>
      </c>
      <c r="AH34" s="95">
        <f>AG34</f>
        <v>32594</v>
      </c>
      <c r="AI34" s="96">
        <v>32594</v>
      </c>
      <c r="AJ34" s="96"/>
      <c r="AK34" s="96">
        <f>AJ34</f>
        <v>0</v>
      </c>
      <c r="AL34" s="96">
        <v>0</v>
      </c>
      <c r="AM34" s="95">
        <f t="shared" ref="AM34:CA34" si="40">AL34</f>
        <v>0</v>
      </c>
      <c r="AN34" s="96">
        <f t="shared" si="40"/>
        <v>0</v>
      </c>
      <c r="AO34" s="96">
        <f t="shared" si="40"/>
        <v>0</v>
      </c>
      <c r="AP34" s="96">
        <f t="shared" si="40"/>
        <v>0</v>
      </c>
      <c r="AQ34" s="96">
        <f t="shared" si="40"/>
        <v>0</v>
      </c>
      <c r="AR34" s="95">
        <f t="shared" si="40"/>
        <v>0</v>
      </c>
      <c r="AS34" s="96">
        <f t="shared" si="40"/>
        <v>0</v>
      </c>
      <c r="AT34" s="96">
        <f t="shared" si="40"/>
        <v>0</v>
      </c>
      <c r="AU34" s="96">
        <f t="shared" si="40"/>
        <v>0</v>
      </c>
      <c r="AV34" s="96">
        <f t="shared" si="40"/>
        <v>0</v>
      </c>
      <c r="AW34" s="95">
        <f t="shared" si="40"/>
        <v>0</v>
      </c>
      <c r="AX34" s="96">
        <f t="shared" si="40"/>
        <v>0</v>
      </c>
      <c r="AY34" s="96">
        <f t="shared" si="40"/>
        <v>0</v>
      </c>
      <c r="AZ34" s="96">
        <f t="shared" si="40"/>
        <v>0</v>
      </c>
      <c r="BA34" s="96">
        <f t="shared" si="40"/>
        <v>0</v>
      </c>
      <c r="BB34" s="95">
        <f t="shared" si="40"/>
        <v>0</v>
      </c>
      <c r="BC34" s="96">
        <f t="shared" si="40"/>
        <v>0</v>
      </c>
      <c r="BD34" s="96">
        <f t="shared" si="40"/>
        <v>0</v>
      </c>
      <c r="BE34" s="96">
        <f t="shared" si="40"/>
        <v>0</v>
      </c>
      <c r="BF34" s="96">
        <f t="shared" si="40"/>
        <v>0</v>
      </c>
      <c r="BG34" s="95">
        <f t="shared" si="40"/>
        <v>0</v>
      </c>
      <c r="BH34" s="96">
        <f t="shared" si="40"/>
        <v>0</v>
      </c>
      <c r="BI34" s="96">
        <f t="shared" si="40"/>
        <v>0</v>
      </c>
      <c r="BJ34" s="96">
        <f t="shared" si="40"/>
        <v>0</v>
      </c>
      <c r="BK34" s="96">
        <f t="shared" si="40"/>
        <v>0</v>
      </c>
      <c r="BL34" s="95">
        <f t="shared" si="40"/>
        <v>0</v>
      </c>
      <c r="BM34" s="96">
        <f t="shared" si="40"/>
        <v>0</v>
      </c>
      <c r="BN34" s="96">
        <f t="shared" si="40"/>
        <v>0</v>
      </c>
      <c r="BO34" s="96">
        <f t="shared" si="40"/>
        <v>0</v>
      </c>
      <c r="BP34" s="96">
        <f t="shared" si="40"/>
        <v>0</v>
      </c>
      <c r="BQ34" s="95">
        <f t="shared" si="40"/>
        <v>0</v>
      </c>
      <c r="BR34" s="96">
        <f t="shared" si="40"/>
        <v>0</v>
      </c>
      <c r="BS34" s="96">
        <f t="shared" si="40"/>
        <v>0</v>
      </c>
      <c r="BT34" s="96">
        <f t="shared" si="40"/>
        <v>0</v>
      </c>
      <c r="BU34" s="96">
        <f t="shared" si="40"/>
        <v>0</v>
      </c>
      <c r="BV34" s="95">
        <f t="shared" si="40"/>
        <v>0</v>
      </c>
      <c r="BW34" s="96">
        <f t="shared" si="40"/>
        <v>0</v>
      </c>
      <c r="BX34" s="96">
        <f t="shared" si="40"/>
        <v>0</v>
      </c>
      <c r="BY34" s="96">
        <f t="shared" si="40"/>
        <v>0</v>
      </c>
      <c r="BZ34" s="96">
        <f t="shared" si="40"/>
        <v>0</v>
      </c>
      <c r="CA34" s="95">
        <f t="shared" si="40"/>
        <v>0</v>
      </c>
    </row>
    <row r="35" spans="2:79" s="146" customFormat="1" ht="13.15">
      <c r="B35" s="138"/>
      <c r="C35" s="278" t="s">
        <v>265</v>
      </c>
      <c r="D35" s="277"/>
      <c r="E35" s="96"/>
      <c r="F35" s="96"/>
      <c r="G35" s="96"/>
      <c r="H35" s="96"/>
      <c r="I35" s="95"/>
      <c r="J35" s="96"/>
      <c r="K35" s="96"/>
      <c r="L35" s="96"/>
      <c r="M35" s="96"/>
      <c r="N35" s="95"/>
      <c r="O35" s="288"/>
      <c r="P35" s="288"/>
      <c r="Q35" s="288"/>
      <c r="R35" s="287"/>
      <c r="S35" s="95"/>
      <c r="T35" s="96"/>
      <c r="U35" s="96"/>
      <c r="V35" s="96"/>
      <c r="W35" s="96"/>
      <c r="X35" s="95"/>
      <c r="Y35" s="96"/>
      <c r="Z35" s="96"/>
      <c r="AA35" s="96"/>
      <c r="AB35" s="96"/>
      <c r="AC35" s="95"/>
      <c r="AD35" s="96"/>
      <c r="AE35" s="96"/>
      <c r="AF35" s="96"/>
      <c r="AG35" s="96"/>
      <c r="AH35" s="95"/>
      <c r="AI35" s="96"/>
      <c r="AJ35" s="96">
        <v>190615</v>
      </c>
      <c r="AK35" s="96">
        <v>193664</v>
      </c>
      <c r="AL35" s="96">
        <v>196763</v>
      </c>
      <c r="AM35" s="95">
        <f>AL35</f>
        <v>196763</v>
      </c>
      <c r="AN35" s="96">
        <v>199842</v>
      </c>
      <c r="AO35" s="96">
        <v>203051</v>
      </c>
      <c r="AP35" s="96">
        <v>206301</v>
      </c>
      <c r="AQ35" s="96">
        <v>209604</v>
      </c>
      <c r="AR35" s="95">
        <f>AQ35</f>
        <v>209604</v>
      </c>
      <c r="AS35" s="96">
        <v>212924</v>
      </c>
      <c r="AT35" s="96">
        <v>642203</v>
      </c>
      <c r="AU35" s="96">
        <v>646592</v>
      </c>
      <c r="AV35" s="96">
        <v>643316</v>
      </c>
      <c r="AW35" s="95">
        <f>AV35</f>
        <v>643316</v>
      </c>
      <c r="AX35" s="96">
        <v>782241</v>
      </c>
      <c r="AY35" s="96">
        <v>773588</v>
      </c>
      <c r="AZ35" s="96">
        <v>773353</v>
      </c>
      <c r="BA35" s="96">
        <v>768599</v>
      </c>
      <c r="BB35" s="95">
        <f t="shared" ref="BB35:BB44" si="41">BA35</f>
        <v>768599</v>
      </c>
      <c r="BC35" s="96">
        <v>737865</v>
      </c>
      <c r="BD35" s="96">
        <v>736485</v>
      </c>
      <c r="BE35" s="96">
        <v>737429</v>
      </c>
      <c r="BF35" s="96">
        <v>738376</v>
      </c>
      <c r="BG35" s="95">
        <f t="shared" ref="BG35:BG44" si="42">BF35</f>
        <v>738376</v>
      </c>
      <c r="BH35" s="96">
        <v>739284</v>
      </c>
      <c r="BI35" s="96">
        <v>740215</v>
      </c>
      <c r="BJ35" s="96">
        <v>741169</v>
      </c>
      <c r="BK35" s="96">
        <v>742125</v>
      </c>
      <c r="BL35" s="95">
        <f t="shared" ref="BL35:BL44" si="43">BK35</f>
        <v>742125</v>
      </c>
      <c r="BM35" s="96">
        <v>1160972</v>
      </c>
      <c r="BN35" s="96">
        <v>730012</v>
      </c>
      <c r="BO35" s="96">
        <v>730932</v>
      </c>
      <c r="BP35" s="96">
        <v>731855</v>
      </c>
      <c r="BQ35" s="95">
        <f t="shared" ref="BQ35:BQ44" si="44">BP35</f>
        <v>731855</v>
      </c>
      <c r="BR35" s="96">
        <v>732721</v>
      </c>
      <c r="BS35" s="96">
        <v>733620</v>
      </c>
      <c r="BT35" s="96">
        <v>734553</v>
      </c>
      <c r="BU35" s="96">
        <v>735490</v>
      </c>
      <c r="BV35" s="95">
        <f t="shared" ref="BV35:BV44" si="45">BU35</f>
        <v>735490</v>
      </c>
      <c r="BW35" s="96">
        <v>212924</v>
      </c>
      <c r="BX35" s="96">
        <f>BW35</f>
        <v>212924</v>
      </c>
      <c r="BY35" s="96">
        <f>BX35</f>
        <v>212924</v>
      </c>
      <c r="BZ35" s="96">
        <f>BY35</f>
        <v>212924</v>
      </c>
      <c r="CA35" s="95">
        <f t="shared" ref="CA35:CA44" si="46">BZ35</f>
        <v>212924</v>
      </c>
    </row>
    <row r="36" spans="2:79" s="146" customFormat="1" ht="13.15">
      <c r="B36" s="138"/>
      <c r="C36" s="278" t="s">
        <v>203</v>
      </c>
      <c r="D36" s="277">
        <v>4859</v>
      </c>
      <c r="E36" s="275">
        <v>5799</v>
      </c>
      <c r="F36" s="275">
        <v>6532</v>
      </c>
      <c r="G36" s="275">
        <v>7411</v>
      </c>
      <c r="H36" s="275">
        <v>7703</v>
      </c>
      <c r="I36" s="95">
        <f>H36</f>
        <v>7703</v>
      </c>
      <c r="J36" s="96">
        <v>0</v>
      </c>
      <c r="K36" s="96">
        <v>0</v>
      </c>
      <c r="L36" s="96">
        <v>0</v>
      </c>
      <c r="M36" s="96">
        <v>0</v>
      </c>
      <c r="N36" s="95">
        <f t="shared" ref="N36:N44" si="47">M36</f>
        <v>0</v>
      </c>
      <c r="O36" s="287">
        <v>0</v>
      </c>
      <c r="P36" s="275">
        <v>0</v>
      </c>
      <c r="Q36" s="275">
        <v>0</v>
      </c>
      <c r="R36" s="287">
        <v>0</v>
      </c>
      <c r="S36" s="95">
        <f t="shared" si="38"/>
        <v>0</v>
      </c>
      <c r="T36" s="96"/>
      <c r="U36" s="96">
        <v>0</v>
      </c>
      <c r="V36" s="96">
        <v>0</v>
      </c>
      <c r="W36" s="96">
        <v>0</v>
      </c>
      <c r="X36" s="95">
        <f t="shared" ref="X36:X44" si="48">W36</f>
        <v>0</v>
      </c>
      <c r="Y36" s="96">
        <v>0</v>
      </c>
      <c r="Z36" s="96">
        <v>0</v>
      </c>
      <c r="AA36" s="96">
        <v>0</v>
      </c>
      <c r="AB36" s="96">
        <v>0</v>
      </c>
      <c r="AC36" s="95">
        <f t="shared" si="39"/>
        <v>0</v>
      </c>
      <c r="AD36" s="96"/>
      <c r="AE36" s="96"/>
      <c r="AF36" s="96"/>
      <c r="AG36" s="96"/>
      <c r="AH36" s="95">
        <f t="shared" ref="AH36:AH44" si="49">AG36</f>
        <v>0</v>
      </c>
      <c r="AI36" s="96"/>
      <c r="AJ36" s="96"/>
      <c r="AK36" s="96"/>
      <c r="AL36" s="96">
        <v>0</v>
      </c>
      <c r="AM36" s="95">
        <f t="shared" ref="AM36:AM44" si="50">AL36</f>
        <v>0</v>
      </c>
      <c r="AN36" s="96"/>
      <c r="AO36" s="96"/>
      <c r="AP36" s="96"/>
      <c r="AQ36" s="96"/>
      <c r="AR36" s="95">
        <f t="shared" ref="AR36:AR44" si="51">AQ36</f>
        <v>0</v>
      </c>
      <c r="AS36" s="96"/>
      <c r="AT36" s="96"/>
      <c r="AU36" s="96"/>
      <c r="AV36" s="96"/>
      <c r="AW36" s="95">
        <f>AV36</f>
        <v>0</v>
      </c>
      <c r="AX36" s="96"/>
      <c r="AY36" s="96"/>
      <c r="AZ36" s="96"/>
      <c r="BA36" s="96"/>
      <c r="BB36" s="95">
        <f t="shared" si="41"/>
        <v>0</v>
      </c>
      <c r="BC36" s="96"/>
      <c r="BD36" s="96"/>
      <c r="BE36" s="96"/>
      <c r="BF36" s="96"/>
      <c r="BG36" s="95">
        <f t="shared" si="42"/>
        <v>0</v>
      </c>
      <c r="BH36" s="96"/>
      <c r="BI36" s="96"/>
      <c r="BJ36" s="96"/>
      <c r="BK36" s="96"/>
      <c r="BL36" s="95">
        <f t="shared" si="43"/>
        <v>0</v>
      </c>
      <c r="BM36" s="96"/>
      <c r="BN36" s="96"/>
      <c r="BO36" s="96"/>
      <c r="BP36" s="96"/>
      <c r="BQ36" s="95">
        <f t="shared" si="44"/>
        <v>0</v>
      </c>
      <c r="BR36" s="96"/>
      <c r="BS36" s="96"/>
      <c r="BT36" s="96"/>
      <c r="BU36" s="96"/>
      <c r="BV36" s="95">
        <f t="shared" si="45"/>
        <v>0</v>
      </c>
      <c r="BW36" s="96"/>
      <c r="BX36" s="96"/>
      <c r="BY36" s="96"/>
      <c r="BZ36" s="96"/>
      <c r="CA36" s="95">
        <f t="shared" si="46"/>
        <v>0</v>
      </c>
    </row>
    <row r="37" spans="2:79" s="146" customFormat="1" ht="13.15">
      <c r="B37" s="138"/>
      <c r="C37" s="278" t="s">
        <v>199</v>
      </c>
      <c r="D37" s="277">
        <v>1588</v>
      </c>
      <c r="E37" s="275">
        <v>1949</v>
      </c>
      <c r="F37" s="275">
        <v>2316</v>
      </c>
      <c r="G37" s="275">
        <v>2714</v>
      </c>
      <c r="H37" s="275">
        <v>3195</v>
      </c>
      <c r="I37" s="95">
        <f t="shared" ref="I37:I44" si="52">H37</f>
        <v>3195</v>
      </c>
      <c r="J37" s="275">
        <v>3652</v>
      </c>
      <c r="K37" s="275">
        <v>4153</v>
      </c>
      <c r="L37" s="275">
        <v>4693</v>
      </c>
      <c r="M37" s="275">
        <v>5350</v>
      </c>
      <c r="N37" s="95">
        <f t="shared" si="47"/>
        <v>5350</v>
      </c>
      <c r="O37" s="287">
        <v>5735</v>
      </c>
      <c r="P37" s="275">
        <v>2358</v>
      </c>
      <c r="Q37" s="275">
        <v>2177</v>
      </c>
      <c r="R37" s="287">
        <v>2582</v>
      </c>
      <c r="S37" s="95">
        <f t="shared" si="38"/>
        <v>2582</v>
      </c>
      <c r="T37" s="96">
        <v>2303</v>
      </c>
      <c r="U37" s="96">
        <v>2063</v>
      </c>
      <c r="V37" s="96">
        <v>1949</v>
      </c>
      <c r="W37" s="96">
        <v>1915</v>
      </c>
      <c r="X37" s="95">
        <f t="shared" si="48"/>
        <v>1915</v>
      </c>
      <c r="Y37" s="96">
        <v>1902</v>
      </c>
      <c r="Z37" s="96">
        <v>1650</v>
      </c>
      <c r="AA37" s="96">
        <v>1591</v>
      </c>
      <c r="AB37" s="96">
        <v>1476</v>
      </c>
      <c r="AC37" s="95">
        <f t="shared" si="39"/>
        <v>1476</v>
      </c>
      <c r="AD37" s="96">
        <v>1399</v>
      </c>
      <c r="AE37" s="96">
        <v>1284</v>
      </c>
      <c r="AF37" s="96">
        <v>1207</v>
      </c>
      <c r="AG37" s="96">
        <v>1044</v>
      </c>
      <c r="AH37" s="95">
        <f t="shared" si="49"/>
        <v>1044</v>
      </c>
      <c r="AI37" s="96">
        <v>979</v>
      </c>
      <c r="AJ37" s="96">
        <v>928</v>
      </c>
      <c r="AK37" s="96">
        <v>884</v>
      </c>
      <c r="AL37" s="96">
        <v>841</v>
      </c>
      <c r="AM37" s="95">
        <f t="shared" si="50"/>
        <v>841</v>
      </c>
      <c r="AN37" s="96">
        <v>839</v>
      </c>
      <c r="AO37" s="96">
        <v>836</v>
      </c>
      <c r="AP37" s="96">
        <v>833</v>
      </c>
      <c r="AQ37" s="96">
        <v>838</v>
      </c>
      <c r="AR37" s="95">
        <f t="shared" si="51"/>
        <v>838</v>
      </c>
      <c r="AS37" s="96">
        <v>843</v>
      </c>
      <c r="AT37" s="96">
        <v>847</v>
      </c>
      <c r="AU37" s="96">
        <v>851</v>
      </c>
      <c r="AV37" s="96">
        <v>857</v>
      </c>
      <c r="AW37" s="95">
        <f>AV37</f>
        <v>857</v>
      </c>
      <c r="AX37" s="96">
        <v>862</v>
      </c>
      <c r="AY37" s="96">
        <v>867</v>
      </c>
      <c r="AZ37" s="96">
        <v>872</v>
      </c>
      <c r="BA37" s="96">
        <v>877</v>
      </c>
      <c r="BB37" s="95">
        <f t="shared" si="41"/>
        <v>877</v>
      </c>
      <c r="BC37" s="96">
        <v>883</v>
      </c>
      <c r="BD37" s="96">
        <v>888</v>
      </c>
      <c r="BE37" s="96">
        <v>894</v>
      </c>
      <c r="BF37" s="96">
        <v>899</v>
      </c>
      <c r="BG37" s="95">
        <f t="shared" si="42"/>
        <v>899</v>
      </c>
      <c r="BH37" s="96">
        <v>906</v>
      </c>
      <c r="BI37" s="96">
        <v>912</v>
      </c>
      <c r="BJ37" s="96">
        <v>919</v>
      </c>
      <c r="BK37" s="96"/>
      <c r="BL37" s="95">
        <f t="shared" si="43"/>
        <v>0</v>
      </c>
      <c r="BM37" s="96"/>
      <c r="BN37" s="96"/>
      <c r="BO37" s="96"/>
      <c r="BP37" s="96">
        <v>0</v>
      </c>
      <c r="BQ37" s="95">
        <f t="shared" si="44"/>
        <v>0</v>
      </c>
      <c r="BR37" s="96"/>
      <c r="BS37" s="96"/>
      <c r="BT37" s="96"/>
      <c r="BU37" s="96"/>
      <c r="BV37" s="95">
        <f t="shared" si="45"/>
        <v>0</v>
      </c>
      <c r="BW37" s="96">
        <f>BW72*'Income Statement'!BW28</f>
        <v>1496.1420450000001</v>
      </c>
      <c r="BX37" s="96">
        <f>BX72*'Income Statement'!BX28</f>
        <v>1531.6354830000002</v>
      </c>
      <c r="BY37" s="96">
        <f>BY72*'Income Statement'!BY28</f>
        <v>1568.6460159999999</v>
      </c>
      <c r="BZ37" s="96">
        <f>BZ72*'Income Statement'!BZ28</f>
        <v>1686.9842759999999</v>
      </c>
      <c r="CA37" s="95">
        <f t="shared" si="46"/>
        <v>1686.9842759999999</v>
      </c>
    </row>
    <row r="38" spans="2:79" s="146" customFormat="1" ht="13.15">
      <c r="B38" s="138"/>
      <c r="C38" s="278" t="s">
        <v>282</v>
      </c>
      <c r="D38" s="277"/>
      <c r="E38" s="275"/>
      <c r="F38" s="275"/>
      <c r="G38" s="275"/>
      <c r="H38" s="275"/>
      <c r="I38" s="95"/>
      <c r="J38" s="275"/>
      <c r="K38" s="275"/>
      <c r="L38" s="275"/>
      <c r="M38" s="275"/>
      <c r="N38" s="95"/>
      <c r="O38" s="287"/>
      <c r="P38" s="275"/>
      <c r="Q38" s="275"/>
      <c r="R38" s="287"/>
      <c r="S38" s="95"/>
      <c r="T38" s="96"/>
      <c r="U38" s="96"/>
      <c r="V38" s="96"/>
      <c r="W38" s="96"/>
      <c r="X38" s="95"/>
      <c r="Y38" s="96"/>
      <c r="Z38" s="96"/>
      <c r="AA38" s="96"/>
      <c r="AB38" s="96"/>
      <c r="AC38" s="95"/>
      <c r="AD38" s="96"/>
      <c r="AE38" s="96"/>
      <c r="AF38" s="96"/>
      <c r="AG38" s="96"/>
      <c r="AH38" s="95"/>
      <c r="AI38" s="96"/>
      <c r="AJ38" s="96"/>
      <c r="AK38" s="96"/>
      <c r="AL38" s="96"/>
      <c r="AM38" s="95"/>
      <c r="AN38" s="96">
        <v>3012</v>
      </c>
      <c r="AO38" s="96">
        <v>5707</v>
      </c>
      <c r="AP38" s="96">
        <v>4530</v>
      </c>
      <c r="AQ38" s="96">
        <v>4329</v>
      </c>
      <c r="AR38" s="95">
        <f t="shared" si="51"/>
        <v>4329</v>
      </c>
      <c r="AS38" s="96">
        <v>5438</v>
      </c>
      <c r="AT38" s="96">
        <v>5249</v>
      </c>
      <c r="AU38" s="96">
        <v>4679</v>
      </c>
      <c r="AV38" s="96">
        <v>5379</v>
      </c>
      <c r="AW38" s="95">
        <f>AV38</f>
        <v>5379</v>
      </c>
      <c r="AX38" s="96">
        <v>45135</v>
      </c>
      <c r="AY38" s="96">
        <v>46029</v>
      </c>
      <c r="AZ38" s="96">
        <v>45144</v>
      </c>
      <c r="BA38" s="96">
        <v>47088</v>
      </c>
      <c r="BB38" s="95">
        <f t="shared" si="41"/>
        <v>47088</v>
      </c>
      <c r="BC38" s="96">
        <v>44818</v>
      </c>
      <c r="BD38" s="96">
        <v>42186</v>
      </c>
      <c r="BE38" s="96">
        <v>42487</v>
      </c>
      <c r="BF38" s="96">
        <v>41389</v>
      </c>
      <c r="BG38" s="95">
        <f t="shared" si="42"/>
        <v>41389</v>
      </c>
      <c r="BH38" s="96">
        <v>41703</v>
      </c>
      <c r="BI38" s="96">
        <v>39973</v>
      </c>
      <c r="BJ38" s="96">
        <v>38336</v>
      </c>
      <c r="BK38" s="96">
        <v>36378</v>
      </c>
      <c r="BL38" s="95">
        <f t="shared" si="43"/>
        <v>36378</v>
      </c>
      <c r="BM38" s="96">
        <v>34207</v>
      </c>
      <c r="BN38" s="96">
        <v>32177</v>
      </c>
      <c r="BO38" s="96">
        <v>39976</v>
      </c>
      <c r="BP38" s="96">
        <v>37071</v>
      </c>
      <c r="BQ38" s="95">
        <f t="shared" si="44"/>
        <v>37071</v>
      </c>
      <c r="BR38" s="96">
        <v>34987</v>
      </c>
      <c r="BS38" s="96">
        <v>35225</v>
      </c>
      <c r="BT38" s="96">
        <v>35398</v>
      </c>
      <c r="BU38" s="96">
        <v>42116</v>
      </c>
      <c r="BV38" s="95">
        <f t="shared" si="45"/>
        <v>42116</v>
      </c>
      <c r="BW38" s="96">
        <f t="shared" ref="BW38:BZ39" si="53">BV38</f>
        <v>42116</v>
      </c>
      <c r="BX38" s="96">
        <f t="shared" si="53"/>
        <v>42116</v>
      </c>
      <c r="BY38" s="96">
        <f t="shared" si="53"/>
        <v>42116</v>
      </c>
      <c r="BZ38" s="96">
        <f t="shared" si="53"/>
        <v>42116</v>
      </c>
      <c r="CA38" s="95">
        <f t="shared" si="46"/>
        <v>42116</v>
      </c>
    </row>
    <row r="39" spans="2:79">
      <c r="B39" s="112"/>
      <c r="C39" s="278" t="s">
        <v>204</v>
      </c>
      <c r="D39" s="277"/>
      <c r="E39" s="275">
        <v>0</v>
      </c>
      <c r="F39" s="275">
        <v>0</v>
      </c>
      <c r="G39" s="275">
        <v>0</v>
      </c>
      <c r="H39" s="275">
        <v>0</v>
      </c>
      <c r="I39" s="95">
        <f t="shared" si="52"/>
        <v>0</v>
      </c>
      <c r="J39" s="275">
        <v>0</v>
      </c>
      <c r="K39" s="275">
        <v>0</v>
      </c>
      <c r="L39" s="275">
        <v>0</v>
      </c>
      <c r="M39" s="275">
        <v>0</v>
      </c>
      <c r="N39" s="95">
        <f t="shared" si="47"/>
        <v>0</v>
      </c>
      <c r="O39" s="287">
        <v>24962</v>
      </c>
      <c r="P39" s="275">
        <v>24247</v>
      </c>
      <c r="Q39" s="275">
        <v>23526</v>
      </c>
      <c r="R39" s="287">
        <v>22778</v>
      </c>
      <c r="S39" s="95">
        <f t="shared" si="38"/>
        <v>22778</v>
      </c>
      <c r="T39" s="96">
        <v>21698</v>
      </c>
      <c r="U39" s="96">
        <v>21117</v>
      </c>
      <c r="V39" s="96">
        <v>19232</v>
      </c>
      <c r="W39" s="96">
        <v>17327</v>
      </c>
      <c r="X39" s="95">
        <f t="shared" si="48"/>
        <v>17327</v>
      </c>
      <c r="Y39" s="96">
        <v>15644</v>
      </c>
      <c r="Z39" s="96">
        <v>14572</v>
      </c>
      <c r="AA39" s="96">
        <v>470</v>
      </c>
      <c r="AB39" s="96">
        <v>318</v>
      </c>
      <c r="AC39" s="95">
        <f t="shared" si="39"/>
        <v>318</v>
      </c>
      <c r="AD39" s="96">
        <v>162</v>
      </c>
      <c r="AE39" s="96"/>
      <c r="AF39" s="96">
        <f>AE39</f>
        <v>0</v>
      </c>
      <c r="AG39" s="96">
        <f>AF39</f>
        <v>0</v>
      </c>
      <c r="AH39" s="95">
        <f t="shared" si="49"/>
        <v>0</v>
      </c>
      <c r="AI39" s="96">
        <f>AH39</f>
        <v>0</v>
      </c>
      <c r="AJ39" s="96">
        <f>AI39</f>
        <v>0</v>
      </c>
      <c r="AK39" s="96">
        <f>AJ39</f>
        <v>0</v>
      </c>
      <c r="AL39" s="96">
        <v>0</v>
      </c>
      <c r="AM39" s="95">
        <f t="shared" si="50"/>
        <v>0</v>
      </c>
      <c r="AN39" s="96">
        <f>AM39</f>
        <v>0</v>
      </c>
      <c r="AO39" s="96">
        <f>AN39</f>
        <v>0</v>
      </c>
      <c r="AP39" s="96">
        <f>AO39</f>
        <v>0</v>
      </c>
      <c r="AQ39" s="96">
        <f>AP39</f>
        <v>0</v>
      </c>
      <c r="AR39" s="95">
        <f t="shared" si="51"/>
        <v>0</v>
      </c>
      <c r="AS39" s="96">
        <f>AR39</f>
        <v>0</v>
      </c>
      <c r="AT39" s="96">
        <f>AS39</f>
        <v>0</v>
      </c>
      <c r="AU39" s="96">
        <f>AT39</f>
        <v>0</v>
      </c>
      <c r="AV39" s="96">
        <f>AU39</f>
        <v>0</v>
      </c>
      <c r="AW39" s="95">
        <f t="shared" ref="AW39:AW44" si="54">AV39</f>
        <v>0</v>
      </c>
      <c r="AX39" s="96">
        <f>AW39</f>
        <v>0</v>
      </c>
      <c r="AY39" s="96">
        <f>AX39</f>
        <v>0</v>
      </c>
      <c r="AZ39" s="96">
        <f>AY39</f>
        <v>0</v>
      </c>
      <c r="BA39" s="96">
        <f>AZ39</f>
        <v>0</v>
      </c>
      <c r="BB39" s="95">
        <f t="shared" si="41"/>
        <v>0</v>
      </c>
      <c r="BC39" s="96">
        <f>BB39</f>
        <v>0</v>
      </c>
      <c r="BD39" s="96">
        <f>BC39</f>
        <v>0</v>
      </c>
      <c r="BE39" s="96">
        <f>BD39</f>
        <v>0</v>
      </c>
      <c r="BF39" s="96">
        <f>BE39</f>
        <v>0</v>
      </c>
      <c r="BG39" s="95">
        <f t="shared" si="42"/>
        <v>0</v>
      </c>
      <c r="BH39" s="96">
        <f>BG39</f>
        <v>0</v>
      </c>
      <c r="BI39" s="96">
        <f>BH39</f>
        <v>0</v>
      </c>
      <c r="BJ39" s="96">
        <f>BI39</f>
        <v>0</v>
      </c>
      <c r="BK39" s="96">
        <f>BJ39</f>
        <v>0</v>
      </c>
      <c r="BL39" s="95">
        <f t="shared" si="43"/>
        <v>0</v>
      </c>
      <c r="BM39" s="96">
        <f>BL39</f>
        <v>0</v>
      </c>
      <c r="BN39" s="96">
        <f>BM39</f>
        <v>0</v>
      </c>
      <c r="BO39" s="96">
        <f>BN39</f>
        <v>0</v>
      </c>
      <c r="BP39" s="96">
        <f>BO39</f>
        <v>0</v>
      </c>
      <c r="BQ39" s="95">
        <f t="shared" si="44"/>
        <v>0</v>
      </c>
      <c r="BR39" s="96">
        <f>BQ39</f>
        <v>0</v>
      </c>
      <c r="BS39" s="96">
        <f>BR39</f>
        <v>0</v>
      </c>
      <c r="BT39" s="96">
        <f>BS39</f>
        <v>0</v>
      </c>
      <c r="BU39" s="96">
        <f>BT39</f>
        <v>0</v>
      </c>
      <c r="BV39" s="95">
        <f t="shared" si="45"/>
        <v>0</v>
      </c>
      <c r="BW39" s="96">
        <f t="shared" si="53"/>
        <v>0</v>
      </c>
      <c r="BX39" s="96">
        <f t="shared" si="53"/>
        <v>0</v>
      </c>
      <c r="BY39" s="96">
        <f t="shared" si="53"/>
        <v>0</v>
      </c>
      <c r="BZ39" s="96">
        <f t="shared" si="53"/>
        <v>0</v>
      </c>
      <c r="CA39" s="95">
        <f t="shared" si="46"/>
        <v>0</v>
      </c>
    </row>
    <row r="40" spans="2:79">
      <c r="B40" s="112"/>
      <c r="C40" s="278" t="s">
        <v>205</v>
      </c>
      <c r="D40" s="277">
        <v>0</v>
      </c>
      <c r="E40" s="275">
        <v>0</v>
      </c>
      <c r="F40" s="275">
        <v>0</v>
      </c>
      <c r="G40" s="275">
        <v>0</v>
      </c>
      <c r="H40" s="275">
        <v>0</v>
      </c>
      <c r="I40" s="95">
        <f t="shared" si="52"/>
        <v>0</v>
      </c>
      <c r="J40" s="275">
        <v>4000</v>
      </c>
      <c r="K40" s="275">
        <v>0</v>
      </c>
      <c r="L40" s="275"/>
      <c r="M40" s="275">
        <v>12500</v>
      </c>
      <c r="N40" s="95">
        <f t="shared" si="47"/>
        <v>12500</v>
      </c>
      <c r="O40" s="287">
        <v>0</v>
      </c>
      <c r="P40" s="275">
        <f>O40</f>
        <v>0</v>
      </c>
      <c r="Q40" s="275">
        <f>P40</f>
        <v>0</v>
      </c>
      <c r="R40" s="287">
        <f>Q40</f>
        <v>0</v>
      </c>
      <c r="S40" s="95">
        <f t="shared" si="38"/>
        <v>0</v>
      </c>
      <c r="T40" s="96">
        <v>0</v>
      </c>
      <c r="U40" s="96">
        <v>0</v>
      </c>
      <c r="V40" s="96">
        <v>0</v>
      </c>
      <c r="W40" s="96">
        <v>0</v>
      </c>
      <c r="X40" s="95">
        <f t="shared" si="48"/>
        <v>0</v>
      </c>
      <c r="Y40" s="96">
        <v>0</v>
      </c>
      <c r="Z40" s="96"/>
      <c r="AA40" s="96"/>
      <c r="AB40" s="96"/>
      <c r="AC40" s="95">
        <f t="shared" si="39"/>
        <v>0</v>
      </c>
      <c r="AD40" s="96"/>
      <c r="AE40" s="96"/>
      <c r="AF40" s="96"/>
      <c r="AG40" s="96"/>
      <c r="AH40" s="95">
        <f t="shared" si="49"/>
        <v>0</v>
      </c>
      <c r="AI40" s="96"/>
      <c r="AJ40" s="96"/>
      <c r="AK40" s="96"/>
      <c r="AL40" s="96">
        <v>0</v>
      </c>
      <c r="AM40" s="95">
        <f t="shared" si="50"/>
        <v>0</v>
      </c>
      <c r="AN40" s="96"/>
      <c r="AO40" s="96"/>
      <c r="AP40" s="96"/>
      <c r="AQ40" s="96"/>
      <c r="AR40" s="95">
        <f t="shared" si="51"/>
        <v>0</v>
      </c>
      <c r="AS40" s="96"/>
      <c r="AT40" s="96"/>
      <c r="AU40" s="96"/>
      <c r="AV40" s="96"/>
      <c r="AW40" s="95">
        <f t="shared" si="54"/>
        <v>0</v>
      </c>
      <c r="AX40" s="96"/>
      <c r="AY40" s="96"/>
      <c r="AZ40" s="96"/>
      <c r="BA40" s="96"/>
      <c r="BB40" s="95">
        <f t="shared" si="41"/>
        <v>0</v>
      </c>
      <c r="BC40" s="96"/>
      <c r="BD40" s="96"/>
      <c r="BE40" s="96"/>
      <c r="BF40" s="96"/>
      <c r="BG40" s="95">
        <f t="shared" si="42"/>
        <v>0</v>
      </c>
      <c r="BH40" s="96"/>
      <c r="BI40" s="96"/>
      <c r="BJ40" s="96"/>
      <c r="BK40" s="96"/>
      <c r="BL40" s="95">
        <f t="shared" si="43"/>
        <v>0</v>
      </c>
      <c r="BM40" s="96"/>
      <c r="BN40" s="96"/>
      <c r="BO40" s="96"/>
      <c r="BP40" s="96"/>
      <c r="BQ40" s="95">
        <f t="shared" si="44"/>
        <v>0</v>
      </c>
      <c r="BR40" s="96"/>
      <c r="BS40" s="96"/>
      <c r="BT40" s="96"/>
      <c r="BU40" s="96"/>
      <c r="BV40" s="95">
        <f t="shared" si="45"/>
        <v>0</v>
      </c>
      <c r="BW40" s="96"/>
      <c r="BX40" s="96"/>
      <c r="BY40" s="96"/>
      <c r="BZ40" s="96"/>
      <c r="CA40" s="95">
        <f t="shared" si="46"/>
        <v>0</v>
      </c>
    </row>
    <row r="41" spans="2:79">
      <c r="B41" s="112"/>
      <c r="C41" s="278" t="s">
        <v>206</v>
      </c>
      <c r="D41" s="277">
        <v>431</v>
      </c>
      <c r="E41" s="275">
        <v>247</v>
      </c>
      <c r="F41" s="275">
        <v>109</v>
      </c>
      <c r="G41" s="275">
        <v>55</v>
      </c>
      <c r="H41" s="275">
        <v>16</v>
      </c>
      <c r="I41" s="95">
        <f t="shared" si="52"/>
        <v>16</v>
      </c>
      <c r="J41" s="275">
        <v>0</v>
      </c>
      <c r="K41" s="275">
        <v>0</v>
      </c>
      <c r="L41" s="275">
        <v>2773</v>
      </c>
      <c r="M41" s="275">
        <v>7095</v>
      </c>
      <c r="N41" s="95">
        <f t="shared" si="47"/>
        <v>7095</v>
      </c>
      <c r="O41" s="287">
        <v>0</v>
      </c>
      <c r="P41" s="275">
        <v>0</v>
      </c>
      <c r="Q41" s="275">
        <v>0</v>
      </c>
      <c r="R41" s="287">
        <v>0</v>
      </c>
      <c r="S41" s="95">
        <f t="shared" si="38"/>
        <v>0</v>
      </c>
      <c r="T41" s="96"/>
      <c r="U41" s="96">
        <v>0</v>
      </c>
      <c r="V41" s="96">
        <v>0</v>
      </c>
      <c r="W41" s="96">
        <v>0</v>
      </c>
      <c r="X41" s="95">
        <f t="shared" si="48"/>
        <v>0</v>
      </c>
      <c r="Y41" s="96">
        <v>0</v>
      </c>
      <c r="Z41" s="96"/>
      <c r="AA41" s="96"/>
      <c r="AB41" s="96"/>
      <c r="AC41" s="95">
        <f t="shared" si="39"/>
        <v>0</v>
      </c>
      <c r="AD41" s="96"/>
      <c r="AE41" s="96"/>
      <c r="AF41" s="96"/>
      <c r="AG41" s="96"/>
      <c r="AH41" s="95">
        <f t="shared" si="49"/>
        <v>0</v>
      </c>
      <c r="AI41" s="96"/>
      <c r="AJ41" s="96"/>
      <c r="AK41" s="96"/>
      <c r="AL41" s="96">
        <v>0</v>
      </c>
      <c r="AM41" s="95">
        <f t="shared" si="50"/>
        <v>0</v>
      </c>
      <c r="AN41" s="96"/>
      <c r="AO41" s="96"/>
      <c r="AP41" s="96"/>
      <c r="AQ41" s="96"/>
      <c r="AR41" s="95">
        <f t="shared" si="51"/>
        <v>0</v>
      </c>
      <c r="AS41" s="96"/>
      <c r="AT41" s="96"/>
      <c r="AU41" s="96"/>
      <c r="AV41" s="96"/>
      <c r="AW41" s="95">
        <f t="shared" si="54"/>
        <v>0</v>
      </c>
      <c r="AX41" s="96"/>
      <c r="AY41" s="96"/>
      <c r="AZ41" s="96"/>
      <c r="BA41" s="96"/>
      <c r="BB41" s="95">
        <f t="shared" si="41"/>
        <v>0</v>
      </c>
      <c r="BC41" s="96"/>
      <c r="BD41" s="96"/>
      <c r="BE41" s="96"/>
      <c r="BF41" s="96"/>
      <c r="BG41" s="95">
        <f t="shared" si="42"/>
        <v>0</v>
      </c>
      <c r="BH41" s="96"/>
      <c r="BI41" s="96"/>
      <c r="BJ41" s="96"/>
      <c r="BK41" s="96"/>
      <c r="BL41" s="95">
        <f t="shared" si="43"/>
        <v>0</v>
      </c>
      <c r="BM41" s="96"/>
      <c r="BN41" s="96"/>
      <c r="BO41" s="96"/>
      <c r="BP41" s="96"/>
      <c r="BQ41" s="95">
        <f t="shared" si="44"/>
        <v>0</v>
      </c>
      <c r="BR41" s="96"/>
      <c r="BS41" s="96"/>
      <c r="BT41" s="96"/>
      <c r="BU41" s="96"/>
      <c r="BV41" s="95">
        <f t="shared" si="45"/>
        <v>0</v>
      </c>
      <c r="BW41" s="96"/>
      <c r="BX41" s="96"/>
      <c r="BY41" s="96"/>
      <c r="BZ41" s="96"/>
      <c r="CA41" s="95">
        <f t="shared" si="46"/>
        <v>0</v>
      </c>
    </row>
    <row r="42" spans="2:79">
      <c r="B42" s="112"/>
      <c r="C42" s="278" t="s">
        <v>207</v>
      </c>
      <c r="D42" s="277">
        <v>1954</v>
      </c>
      <c r="E42" s="275">
        <v>1915</v>
      </c>
      <c r="F42" s="275">
        <v>3506</v>
      </c>
      <c r="G42" s="275">
        <v>3107</v>
      </c>
      <c r="H42" s="275">
        <v>4191</v>
      </c>
      <c r="I42" s="95">
        <f t="shared" si="52"/>
        <v>4191</v>
      </c>
      <c r="J42" s="275">
        <v>4432</v>
      </c>
      <c r="K42" s="275">
        <v>4663</v>
      </c>
      <c r="L42" s="275">
        <v>4704</v>
      </c>
      <c r="M42" s="275">
        <v>4358</v>
      </c>
      <c r="N42" s="95">
        <f t="shared" si="47"/>
        <v>4358</v>
      </c>
      <c r="O42" s="287">
        <v>3836</v>
      </c>
      <c r="P42" s="275">
        <v>3355</v>
      </c>
      <c r="Q42" s="275">
        <v>4499</v>
      </c>
      <c r="R42" s="287">
        <v>4423</v>
      </c>
      <c r="S42" s="95">
        <f t="shared" si="38"/>
        <v>4423</v>
      </c>
      <c r="T42" s="96">
        <v>4560</v>
      </c>
      <c r="U42" s="96">
        <v>4676</v>
      </c>
      <c r="V42" s="96">
        <v>4538</v>
      </c>
      <c r="W42" s="96">
        <v>4606</v>
      </c>
      <c r="X42" s="95">
        <f t="shared" si="48"/>
        <v>4606</v>
      </c>
      <c r="Y42" s="96">
        <v>4494</v>
      </c>
      <c r="Z42" s="96">
        <v>4617</v>
      </c>
      <c r="AA42" s="96">
        <v>4902</v>
      </c>
      <c r="AB42" s="96">
        <v>5915</v>
      </c>
      <c r="AC42" s="95">
        <f t="shared" si="39"/>
        <v>5915</v>
      </c>
      <c r="AD42" s="96">
        <v>6468</v>
      </c>
      <c r="AE42" s="96">
        <v>6384</v>
      </c>
      <c r="AF42" s="96">
        <v>6867</v>
      </c>
      <c r="AG42" s="96">
        <v>7161</v>
      </c>
      <c r="AH42" s="95">
        <f t="shared" si="49"/>
        <v>7161</v>
      </c>
      <c r="AI42" s="96">
        <v>7654</v>
      </c>
      <c r="AJ42" s="96">
        <v>7869</v>
      </c>
      <c r="AK42" s="96">
        <v>6250</v>
      </c>
      <c r="AL42" s="96">
        <v>4509</v>
      </c>
      <c r="AM42" s="95">
        <f t="shared" si="50"/>
        <v>4509</v>
      </c>
      <c r="AN42" s="96">
        <v>3316</v>
      </c>
      <c r="AO42" s="96">
        <v>2402</v>
      </c>
      <c r="AP42" s="96">
        <v>1516</v>
      </c>
      <c r="AQ42" s="96">
        <v>809</v>
      </c>
      <c r="AR42" s="95">
        <f t="shared" si="51"/>
        <v>809</v>
      </c>
      <c r="AS42" s="96">
        <v>286</v>
      </c>
      <c r="AT42" s="96">
        <v>100</v>
      </c>
      <c r="AU42" s="96">
        <v>0</v>
      </c>
      <c r="AV42" s="96">
        <f>+AU42</f>
        <v>0</v>
      </c>
      <c r="AW42" s="95">
        <f t="shared" si="54"/>
        <v>0</v>
      </c>
      <c r="AX42" s="96">
        <v>0</v>
      </c>
      <c r="AY42" s="96"/>
      <c r="AZ42" s="96">
        <f>AY42</f>
        <v>0</v>
      </c>
      <c r="BA42" s="96">
        <f>+AZ42</f>
        <v>0</v>
      </c>
      <c r="BB42" s="95">
        <f t="shared" si="41"/>
        <v>0</v>
      </c>
      <c r="BC42" s="96">
        <v>0</v>
      </c>
      <c r="BD42" s="96">
        <v>0</v>
      </c>
      <c r="BE42" s="96">
        <f>BD42</f>
        <v>0</v>
      </c>
      <c r="BF42" s="96">
        <f>+BE42</f>
        <v>0</v>
      </c>
      <c r="BG42" s="95">
        <f t="shared" si="42"/>
        <v>0</v>
      </c>
      <c r="BH42" s="96"/>
      <c r="BI42" s="96">
        <v>1463</v>
      </c>
      <c r="BJ42" s="96">
        <v>3048</v>
      </c>
      <c r="BK42" s="96">
        <v>2877</v>
      </c>
      <c r="BL42" s="95">
        <f t="shared" si="43"/>
        <v>2877</v>
      </c>
      <c r="BM42" s="96">
        <v>2414</v>
      </c>
      <c r="BN42" s="96">
        <v>1949</v>
      </c>
      <c r="BO42" s="96">
        <v>13716</v>
      </c>
      <c r="BP42" s="96">
        <v>11688</v>
      </c>
      <c r="BQ42" s="95">
        <f t="shared" si="44"/>
        <v>11688</v>
      </c>
      <c r="BR42" s="96">
        <v>12321</v>
      </c>
      <c r="BS42" s="96">
        <v>10012</v>
      </c>
      <c r="BT42" s="96">
        <v>8042</v>
      </c>
      <c r="BU42" s="96">
        <v>6090</v>
      </c>
      <c r="BV42" s="95">
        <f t="shared" si="45"/>
        <v>6090</v>
      </c>
      <c r="BW42" s="96">
        <v>1516</v>
      </c>
      <c r="BX42" s="96">
        <v>1516</v>
      </c>
      <c r="BY42" s="96">
        <f>BX42</f>
        <v>1516</v>
      </c>
      <c r="BZ42" s="96">
        <f>+BY42</f>
        <v>1516</v>
      </c>
      <c r="CA42" s="95">
        <f t="shared" si="46"/>
        <v>1516</v>
      </c>
    </row>
    <row r="43" spans="2:79">
      <c r="B43" s="112"/>
      <c r="C43" s="278" t="s">
        <v>208</v>
      </c>
      <c r="D43" s="277">
        <v>305</v>
      </c>
      <c r="E43" s="275">
        <v>425</v>
      </c>
      <c r="F43" s="275">
        <v>1132</v>
      </c>
      <c r="G43" s="275">
        <v>1862</v>
      </c>
      <c r="H43" s="275">
        <v>1979</v>
      </c>
      <c r="I43" s="95">
        <f t="shared" si="52"/>
        <v>1979</v>
      </c>
      <c r="J43" s="275">
        <v>1749</v>
      </c>
      <c r="K43" s="275">
        <v>2534</v>
      </c>
      <c r="L43" s="275">
        <v>3156</v>
      </c>
      <c r="M43" s="275">
        <v>3935</v>
      </c>
      <c r="N43" s="95">
        <f t="shared" si="47"/>
        <v>3935</v>
      </c>
      <c r="O43" s="287">
        <v>2647</v>
      </c>
      <c r="P43" s="275">
        <v>0</v>
      </c>
      <c r="Q43" s="275">
        <v>0</v>
      </c>
      <c r="R43" s="287">
        <v>0</v>
      </c>
      <c r="S43" s="95">
        <f t="shared" si="38"/>
        <v>0</v>
      </c>
      <c r="T43" s="96">
        <v>0</v>
      </c>
      <c r="U43" s="96">
        <v>0</v>
      </c>
      <c r="V43" s="96">
        <v>0</v>
      </c>
      <c r="W43" s="96">
        <v>0</v>
      </c>
      <c r="X43" s="95">
        <f t="shared" si="48"/>
        <v>0</v>
      </c>
      <c r="Y43" s="96">
        <v>0</v>
      </c>
      <c r="Z43" s="96"/>
      <c r="AA43" s="96"/>
      <c r="AB43" s="96"/>
      <c r="AC43" s="95">
        <f t="shared" si="39"/>
        <v>0</v>
      </c>
      <c r="AD43" s="96"/>
      <c r="AE43" s="96"/>
      <c r="AF43" s="96"/>
      <c r="AG43" s="96"/>
      <c r="AH43" s="95">
        <f t="shared" si="49"/>
        <v>0</v>
      </c>
      <c r="AI43" s="96"/>
      <c r="AJ43" s="96"/>
      <c r="AK43" s="96"/>
      <c r="AL43" s="96">
        <v>0</v>
      </c>
      <c r="AM43" s="95">
        <f t="shared" si="50"/>
        <v>0</v>
      </c>
      <c r="AN43" s="96"/>
      <c r="AO43" s="96"/>
      <c r="AP43" s="96"/>
      <c r="AQ43" s="96"/>
      <c r="AR43" s="95">
        <f t="shared" si="51"/>
        <v>0</v>
      </c>
      <c r="AS43" s="96"/>
      <c r="AT43" s="96"/>
      <c r="AU43" s="96"/>
      <c r="AV43" s="96"/>
      <c r="AW43" s="95">
        <f t="shared" si="54"/>
        <v>0</v>
      </c>
      <c r="AX43" s="96"/>
      <c r="AY43" s="96"/>
      <c r="AZ43" s="96"/>
      <c r="BA43" s="96"/>
      <c r="BB43" s="95">
        <f t="shared" si="41"/>
        <v>0</v>
      </c>
      <c r="BC43" s="96"/>
      <c r="BD43" s="96"/>
      <c r="BE43" s="96"/>
      <c r="BF43" s="96"/>
      <c r="BG43" s="95">
        <f t="shared" si="42"/>
        <v>0</v>
      </c>
      <c r="BH43" s="96"/>
      <c r="BI43" s="96"/>
      <c r="BJ43" s="96"/>
      <c r="BK43" s="96"/>
      <c r="BL43" s="95">
        <f t="shared" si="43"/>
        <v>0</v>
      </c>
      <c r="BM43" s="96"/>
      <c r="BN43" s="96"/>
      <c r="BO43" s="96"/>
      <c r="BP43" s="96"/>
      <c r="BQ43" s="95">
        <f t="shared" si="44"/>
        <v>0</v>
      </c>
      <c r="BR43" s="96"/>
      <c r="BS43" s="96"/>
      <c r="BT43" s="96"/>
      <c r="BU43" s="96"/>
      <c r="BV43" s="95">
        <f t="shared" si="45"/>
        <v>0</v>
      </c>
      <c r="BW43" s="96"/>
      <c r="BX43" s="96"/>
      <c r="BY43" s="96"/>
      <c r="BZ43" s="96"/>
      <c r="CA43" s="95">
        <f t="shared" si="46"/>
        <v>0</v>
      </c>
    </row>
    <row r="44" spans="2:79" ht="13.15" thickBot="1">
      <c r="B44" s="112"/>
      <c r="C44" s="278" t="s">
        <v>209</v>
      </c>
      <c r="D44" s="95">
        <v>169</v>
      </c>
      <c r="E44" s="275">
        <v>162</v>
      </c>
      <c r="F44" s="275">
        <v>325</v>
      </c>
      <c r="G44" s="275">
        <v>518</v>
      </c>
      <c r="H44" s="275">
        <v>709</v>
      </c>
      <c r="I44" s="95">
        <f t="shared" si="52"/>
        <v>709</v>
      </c>
      <c r="J44" s="275">
        <v>906</v>
      </c>
      <c r="K44" s="275">
        <v>843</v>
      </c>
      <c r="L44" s="275">
        <v>776</v>
      </c>
      <c r="M44" s="275">
        <v>715</v>
      </c>
      <c r="N44" s="95">
        <f t="shared" si="47"/>
        <v>715</v>
      </c>
      <c r="O44" s="287">
        <v>668</v>
      </c>
      <c r="P44" s="275">
        <v>613</v>
      </c>
      <c r="Q44" s="275">
        <v>607</v>
      </c>
      <c r="R44" s="287">
        <v>548</v>
      </c>
      <c r="S44" s="95">
        <f t="shared" si="38"/>
        <v>548</v>
      </c>
      <c r="T44" s="96">
        <v>748</v>
      </c>
      <c r="U44" s="96">
        <v>672</v>
      </c>
      <c r="V44" s="96">
        <v>640</v>
      </c>
      <c r="W44" s="96">
        <v>582</v>
      </c>
      <c r="X44" s="95">
        <f t="shared" si="48"/>
        <v>582</v>
      </c>
      <c r="Y44" s="96">
        <v>798</v>
      </c>
      <c r="Z44" s="96">
        <v>579</v>
      </c>
      <c r="AA44" s="96">
        <v>532</v>
      </c>
      <c r="AB44" s="96">
        <v>530</v>
      </c>
      <c r="AC44" s="95">
        <f t="shared" si="39"/>
        <v>530</v>
      </c>
      <c r="AD44" s="96">
        <v>590</v>
      </c>
      <c r="AE44" s="96">
        <v>1010</v>
      </c>
      <c r="AF44" s="96">
        <v>959</v>
      </c>
      <c r="AG44" s="96">
        <v>1041</v>
      </c>
      <c r="AH44" s="95">
        <f t="shared" si="49"/>
        <v>1041</v>
      </c>
      <c r="AI44" s="96">
        <v>1500</v>
      </c>
      <c r="AJ44" s="96">
        <v>1436</v>
      </c>
      <c r="AK44" s="96">
        <v>1360</v>
      </c>
      <c r="AL44" s="96">
        <v>1811</v>
      </c>
      <c r="AM44" s="392">
        <f t="shared" si="50"/>
        <v>1811</v>
      </c>
      <c r="AN44" s="96">
        <v>1358</v>
      </c>
      <c r="AO44" s="96">
        <v>1231</v>
      </c>
      <c r="AP44" s="96">
        <v>1234</v>
      </c>
      <c r="AQ44" s="96">
        <v>4350</v>
      </c>
      <c r="AR44" s="392">
        <f t="shared" si="51"/>
        <v>4350</v>
      </c>
      <c r="AS44" s="96">
        <v>6589</v>
      </c>
      <c r="AT44" s="96">
        <v>6814</v>
      </c>
      <c r="AU44" s="96">
        <v>6809</v>
      </c>
      <c r="AV44" s="96">
        <v>31465</v>
      </c>
      <c r="AW44" s="392">
        <f t="shared" si="54"/>
        <v>31465</v>
      </c>
      <c r="AX44" s="96">
        <v>32628</v>
      </c>
      <c r="AY44" s="96">
        <v>13113</v>
      </c>
      <c r="AZ44" s="96">
        <v>13415</v>
      </c>
      <c r="BA44" s="96">
        <v>7671</v>
      </c>
      <c r="BB44" s="392">
        <f t="shared" si="41"/>
        <v>7671</v>
      </c>
      <c r="BC44" s="96">
        <v>6682</v>
      </c>
      <c r="BD44" s="96">
        <v>6108</v>
      </c>
      <c r="BE44" s="96">
        <v>5147</v>
      </c>
      <c r="BF44" s="96">
        <v>3080</v>
      </c>
      <c r="BG44" s="392">
        <f t="shared" si="42"/>
        <v>3080</v>
      </c>
      <c r="BH44" s="96">
        <v>4913</v>
      </c>
      <c r="BI44" s="96">
        <v>3331</v>
      </c>
      <c r="BJ44" s="96">
        <v>7126</v>
      </c>
      <c r="BK44" s="96">
        <v>7888</v>
      </c>
      <c r="BL44" s="392">
        <f t="shared" si="43"/>
        <v>7888</v>
      </c>
      <c r="BM44" s="96">
        <v>6601</v>
      </c>
      <c r="BN44" s="96">
        <v>5661</v>
      </c>
      <c r="BO44" s="96">
        <v>7441</v>
      </c>
      <c r="BP44" s="96">
        <v>6717</v>
      </c>
      <c r="BQ44" s="392">
        <f t="shared" si="44"/>
        <v>6717</v>
      </c>
      <c r="BR44" s="96">
        <v>6717</v>
      </c>
      <c r="BS44" s="96">
        <v>7037</v>
      </c>
      <c r="BT44" s="96">
        <v>9378</v>
      </c>
      <c r="BU44" s="96">
        <v>7547</v>
      </c>
      <c r="BV44" s="392">
        <f t="shared" si="45"/>
        <v>7547</v>
      </c>
      <c r="BW44" s="96">
        <f>BW73*'Income Statement'!BW28</f>
        <v>10472.994315</v>
      </c>
      <c r="BX44" s="96">
        <f>BX73*'Income Statement'!BX28</f>
        <v>9189.812898000002</v>
      </c>
      <c r="BY44" s="96">
        <f>BY73*'Income Statement'!BY28</f>
        <v>9411.876096</v>
      </c>
      <c r="BZ44" s="96">
        <f>BZ73*'Income Statement'!BZ28</f>
        <v>13495.874207999999</v>
      </c>
      <c r="CA44" s="392">
        <f t="shared" si="46"/>
        <v>13495.874207999999</v>
      </c>
    </row>
    <row r="45" spans="2:79" s="146" customFormat="1" ht="13.5" thickBot="1">
      <c r="B45" s="138" t="s">
        <v>11</v>
      </c>
      <c r="C45" s="173"/>
      <c r="D45" s="279">
        <f>D33+SUM(D34:D44)</f>
        <v>19631</v>
      </c>
      <c r="E45" s="276">
        <f t="shared" ref="E45:AC45" si="55">E33+SUM(E34:E44)</f>
        <v>21598</v>
      </c>
      <c r="F45" s="276">
        <f t="shared" si="55"/>
        <v>27034</v>
      </c>
      <c r="G45" s="276">
        <f t="shared" si="55"/>
        <v>27792</v>
      </c>
      <c r="H45" s="276">
        <f t="shared" si="55"/>
        <v>34674</v>
      </c>
      <c r="I45" s="279">
        <f t="shared" si="55"/>
        <v>34674</v>
      </c>
      <c r="J45" s="276">
        <f t="shared" si="55"/>
        <v>41881</v>
      </c>
      <c r="K45" s="276">
        <f t="shared" si="55"/>
        <v>38665</v>
      </c>
      <c r="L45" s="276">
        <f t="shared" si="55"/>
        <v>38633</v>
      </c>
      <c r="M45" s="276">
        <f t="shared" si="55"/>
        <v>59246</v>
      </c>
      <c r="N45" s="279">
        <f t="shared" si="55"/>
        <v>59246</v>
      </c>
      <c r="O45" s="276">
        <f t="shared" si="55"/>
        <v>78233</v>
      </c>
      <c r="P45" s="276">
        <f t="shared" si="55"/>
        <v>71410</v>
      </c>
      <c r="Q45" s="276">
        <f t="shared" si="55"/>
        <v>73724</v>
      </c>
      <c r="R45" s="276">
        <f t="shared" si="55"/>
        <v>75181</v>
      </c>
      <c r="S45" s="279">
        <f t="shared" si="55"/>
        <v>75181</v>
      </c>
      <c r="T45" s="276">
        <f t="shared" si="55"/>
        <v>74845</v>
      </c>
      <c r="U45" s="276">
        <f t="shared" si="55"/>
        <v>74004</v>
      </c>
      <c r="V45" s="276">
        <f t="shared" si="55"/>
        <v>72328</v>
      </c>
      <c r="W45" s="276">
        <f t="shared" si="55"/>
        <v>72953</v>
      </c>
      <c r="X45" s="279">
        <f t="shared" si="55"/>
        <v>72953</v>
      </c>
      <c r="Y45" s="276">
        <f t="shared" si="55"/>
        <v>75905</v>
      </c>
      <c r="Z45" s="276">
        <f t="shared" si="55"/>
        <v>73043</v>
      </c>
      <c r="AA45" s="276">
        <f t="shared" si="55"/>
        <v>76920</v>
      </c>
      <c r="AB45" s="276">
        <f t="shared" si="55"/>
        <v>74911</v>
      </c>
      <c r="AC45" s="279">
        <f t="shared" si="55"/>
        <v>74911</v>
      </c>
      <c r="AD45" s="276">
        <f t="shared" ref="AD45:AM45" si="56">AD33+SUM(AD34:AD44)</f>
        <v>79363</v>
      </c>
      <c r="AE45" s="276">
        <f t="shared" si="56"/>
        <v>79308</v>
      </c>
      <c r="AF45" s="276">
        <f t="shared" si="56"/>
        <v>80943</v>
      </c>
      <c r="AG45" s="276">
        <f t="shared" si="56"/>
        <v>81358</v>
      </c>
      <c r="AH45" s="279">
        <f t="shared" si="56"/>
        <v>81358</v>
      </c>
      <c r="AI45" s="276">
        <f t="shared" si="56"/>
        <v>85459</v>
      </c>
      <c r="AJ45" s="276">
        <f t="shared" si="56"/>
        <v>245560</v>
      </c>
      <c r="AK45" s="276">
        <f t="shared" si="56"/>
        <v>248232</v>
      </c>
      <c r="AL45" s="276">
        <f t="shared" si="56"/>
        <v>251918</v>
      </c>
      <c r="AM45" s="279">
        <f t="shared" si="56"/>
        <v>251918</v>
      </c>
      <c r="AN45" s="276">
        <f t="shared" ref="AN45:CA45" si="57">AN33+SUM(AN34:AN44)</f>
        <v>264700</v>
      </c>
      <c r="AO45" s="276">
        <f t="shared" si="57"/>
        <v>269197</v>
      </c>
      <c r="AP45" s="276">
        <f t="shared" si="57"/>
        <v>276053</v>
      </c>
      <c r="AQ45" s="276">
        <f t="shared" si="57"/>
        <v>285922</v>
      </c>
      <c r="AR45" s="279">
        <f t="shared" si="57"/>
        <v>285922</v>
      </c>
      <c r="AS45" s="276">
        <f t="shared" si="57"/>
        <v>297193</v>
      </c>
      <c r="AT45" s="276">
        <f t="shared" si="57"/>
        <v>738895</v>
      </c>
      <c r="AU45" s="276">
        <f t="shared" si="57"/>
        <v>750898</v>
      </c>
      <c r="AV45" s="276">
        <f t="shared" si="57"/>
        <v>784578</v>
      </c>
      <c r="AW45" s="279">
        <f t="shared" si="57"/>
        <v>784578</v>
      </c>
      <c r="AX45" s="276">
        <f t="shared" si="57"/>
        <v>974543</v>
      </c>
      <c r="AY45" s="276">
        <f t="shared" si="57"/>
        <v>973010</v>
      </c>
      <c r="AZ45" s="276">
        <f t="shared" si="57"/>
        <v>979836</v>
      </c>
      <c r="BA45" s="276">
        <f t="shared" si="57"/>
        <v>979557</v>
      </c>
      <c r="BB45" s="279">
        <f t="shared" si="57"/>
        <v>979557</v>
      </c>
      <c r="BC45" s="276">
        <f t="shared" si="57"/>
        <v>974036</v>
      </c>
      <c r="BD45" s="276">
        <f t="shared" si="57"/>
        <v>929782</v>
      </c>
      <c r="BE45" s="276">
        <f t="shared" si="57"/>
        <v>937367</v>
      </c>
      <c r="BF45" s="276">
        <f t="shared" si="57"/>
        <v>934520</v>
      </c>
      <c r="BG45" s="279">
        <f t="shared" si="57"/>
        <v>934520</v>
      </c>
      <c r="BH45" s="276">
        <f t="shared" si="57"/>
        <v>944088</v>
      </c>
      <c r="BI45" s="276">
        <f t="shared" si="57"/>
        <v>944145</v>
      </c>
      <c r="BJ45" s="276">
        <f t="shared" si="57"/>
        <v>952574</v>
      </c>
      <c r="BK45" s="276">
        <f t="shared" si="57"/>
        <v>956483</v>
      </c>
      <c r="BL45" s="279">
        <f t="shared" si="57"/>
        <v>956483</v>
      </c>
      <c r="BM45" s="276">
        <f t="shared" si="57"/>
        <v>1387740</v>
      </c>
      <c r="BN45" s="276">
        <f t="shared" si="57"/>
        <v>1384502</v>
      </c>
      <c r="BO45" s="276">
        <f t="shared" si="57"/>
        <v>1442306</v>
      </c>
      <c r="BP45" s="276">
        <f t="shared" si="57"/>
        <v>1429022</v>
      </c>
      <c r="BQ45" s="279">
        <f t="shared" si="57"/>
        <v>995532</v>
      </c>
      <c r="BR45" s="276">
        <f t="shared" si="57"/>
        <v>1425638</v>
      </c>
      <c r="BS45" s="276">
        <f t="shared" si="57"/>
        <v>987483</v>
      </c>
      <c r="BT45" s="276">
        <f t="shared" si="57"/>
        <v>993119</v>
      </c>
      <c r="BU45" s="276">
        <f t="shared" si="57"/>
        <v>1004253</v>
      </c>
      <c r="BV45" s="279">
        <f t="shared" si="57"/>
        <v>1004253</v>
      </c>
      <c r="BW45" s="276">
        <f t="shared" si="57"/>
        <v>521829.15333499998</v>
      </c>
      <c r="BX45" s="276">
        <f t="shared" si="57"/>
        <v>513829.86438199994</v>
      </c>
      <c r="BY45" s="276">
        <f t="shared" si="57"/>
        <v>519529.48646400007</v>
      </c>
      <c r="BZ45" s="276">
        <f t="shared" si="57"/>
        <v>534379.60995199997</v>
      </c>
      <c r="CA45" s="279">
        <f t="shared" si="57"/>
        <v>534379.60995199997</v>
      </c>
    </row>
    <row r="46" spans="2:79">
      <c r="B46" s="112"/>
      <c r="C46" s="169"/>
      <c r="D46" s="95"/>
      <c r="E46" s="96"/>
      <c r="F46" s="96"/>
      <c r="G46" s="96"/>
      <c r="H46" s="96"/>
      <c r="I46" s="95"/>
      <c r="J46" s="96"/>
      <c r="K46" s="96"/>
      <c r="L46" s="96"/>
      <c r="M46" s="96"/>
      <c r="N46" s="95"/>
      <c r="O46" s="96"/>
      <c r="P46" s="96"/>
      <c r="Q46" s="96"/>
      <c r="R46" s="96"/>
      <c r="S46" s="95"/>
      <c r="T46" s="96"/>
      <c r="U46" s="96"/>
      <c r="V46" s="96"/>
      <c r="W46" s="96"/>
      <c r="X46" s="95"/>
      <c r="Y46" s="96"/>
      <c r="Z46" s="96"/>
      <c r="AA46" s="96"/>
      <c r="AB46" s="96"/>
      <c r="AC46" s="95"/>
      <c r="AD46" s="96"/>
      <c r="AE46" s="96"/>
      <c r="AF46" s="96"/>
      <c r="AG46" s="96"/>
      <c r="AH46" s="95"/>
      <c r="AI46" s="96"/>
      <c r="AJ46" s="96"/>
      <c r="AK46" s="96"/>
      <c r="AL46" s="96"/>
      <c r="AM46" s="95"/>
      <c r="AN46" s="96"/>
      <c r="AO46" s="96"/>
      <c r="AP46" s="96"/>
      <c r="AQ46" s="96"/>
      <c r="AR46" s="95"/>
      <c r="AS46" s="96"/>
      <c r="AT46" s="96"/>
      <c r="AU46" s="96"/>
      <c r="AV46" s="96"/>
      <c r="AW46" s="95"/>
      <c r="AX46" s="96"/>
      <c r="AY46" s="96"/>
      <c r="AZ46" s="96"/>
      <c r="BA46" s="96"/>
      <c r="BB46" s="95"/>
      <c r="BC46" s="96"/>
      <c r="BD46" s="96"/>
      <c r="BE46" s="96"/>
      <c r="BF46" s="96"/>
      <c r="BG46" s="95"/>
      <c r="BH46" s="96"/>
      <c r="BI46" s="96"/>
      <c r="BJ46" s="96"/>
      <c r="BK46" s="96"/>
      <c r="BL46" s="95"/>
      <c r="BM46" s="96"/>
      <c r="BN46" s="96"/>
      <c r="BO46" s="96"/>
      <c r="BP46" s="96"/>
      <c r="BQ46" s="95"/>
      <c r="BR46" s="96"/>
      <c r="BS46" s="96"/>
      <c r="BT46" s="96"/>
      <c r="BU46" s="96"/>
      <c r="BV46" s="95"/>
      <c r="BW46" s="96"/>
      <c r="BX46" s="96"/>
      <c r="BY46" s="96"/>
      <c r="BZ46" s="96"/>
      <c r="CA46" s="95"/>
    </row>
    <row r="47" spans="2:79" ht="13.15">
      <c r="B47" s="138" t="s">
        <v>136</v>
      </c>
      <c r="C47" s="169"/>
      <c r="D47" s="95"/>
      <c r="E47" s="96"/>
      <c r="F47" s="96"/>
      <c r="G47" s="96"/>
      <c r="H47" s="96"/>
      <c r="I47" s="95"/>
      <c r="J47" s="96"/>
      <c r="K47" s="96"/>
      <c r="L47" s="96"/>
      <c r="M47" s="96"/>
      <c r="N47" s="95"/>
      <c r="O47" s="96"/>
      <c r="P47" s="96"/>
      <c r="Q47" s="96"/>
      <c r="R47" s="96"/>
      <c r="S47" s="95"/>
      <c r="T47" s="96"/>
      <c r="U47" s="96"/>
      <c r="V47" s="96"/>
      <c r="W47" s="96"/>
      <c r="X47" s="95"/>
      <c r="Y47" s="96"/>
      <c r="Z47" s="96"/>
      <c r="AA47" s="96"/>
      <c r="AB47" s="96"/>
      <c r="AC47" s="95"/>
      <c r="AD47" s="96"/>
      <c r="AE47" s="96"/>
      <c r="AF47" s="96"/>
      <c r="AG47" s="96"/>
      <c r="AH47" s="95"/>
      <c r="AI47" s="96"/>
      <c r="AJ47" s="96"/>
      <c r="AK47" s="96"/>
      <c r="AL47" s="96"/>
      <c r="AM47" s="95"/>
      <c r="AN47" s="96"/>
      <c r="AO47" s="96"/>
      <c r="AP47" s="96"/>
      <c r="AQ47" s="96"/>
      <c r="AR47" s="95"/>
      <c r="AS47" s="96"/>
      <c r="AT47" s="96"/>
      <c r="AU47" s="96"/>
      <c r="AV47" s="96"/>
      <c r="AW47" s="95"/>
      <c r="AX47" s="96"/>
      <c r="AY47" s="96"/>
      <c r="AZ47" s="96"/>
      <c r="BA47" s="96"/>
      <c r="BB47" s="95"/>
      <c r="BC47" s="96"/>
      <c r="BD47" s="96"/>
      <c r="BE47" s="96"/>
      <c r="BF47" s="96"/>
      <c r="BG47" s="95"/>
      <c r="BH47" s="96"/>
      <c r="BI47" s="96"/>
      <c r="BJ47" s="96"/>
      <c r="BK47" s="96"/>
      <c r="BL47" s="95"/>
      <c r="BM47" s="96"/>
      <c r="BN47" s="96"/>
      <c r="BO47" s="96"/>
      <c r="BP47" s="96"/>
      <c r="BQ47" s="95"/>
      <c r="BR47" s="96"/>
      <c r="BS47" s="96"/>
      <c r="BT47" s="96"/>
      <c r="BU47" s="96"/>
      <c r="BV47" s="95"/>
      <c r="BW47" s="96"/>
      <c r="BX47" s="96"/>
      <c r="BY47" s="96"/>
      <c r="BZ47" s="96"/>
      <c r="CA47" s="95"/>
    </row>
    <row r="48" spans="2:79" ht="13.15">
      <c r="B48" s="112"/>
      <c r="C48" s="173" t="s">
        <v>137</v>
      </c>
      <c r="D48" s="95">
        <f t="shared" ref="D48:R48" si="58">D20-D45</f>
        <v>-1192</v>
      </c>
      <c r="E48" s="96">
        <f t="shared" si="58"/>
        <v>-4549</v>
      </c>
      <c r="F48" s="96">
        <f t="shared" si="58"/>
        <v>2778</v>
      </c>
      <c r="G48" s="96">
        <f t="shared" si="58"/>
        <v>-2485</v>
      </c>
      <c r="H48" s="96">
        <f t="shared" si="58"/>
        <v>-8067</v>
      </c>
      <c r="I48" s="95">
        <f t="shared" si="58"/>
        <v>-8067</v>
      </c>
      <c r="J48" s="96">
        <f t="shared" si="58"/>
        <v>-14373</v>
      </c>
      <c r="K48" s="96">
        <f t="shared" si="58"/>
        <v>-493</v>
      </c>
      <c r="L48" s="96">
        <f t="shared" si="58"/>
        <v>-7760</v>
      </c>
      <c r="M48" s="96">
        <f t="shared" si="58"/>
        <v>-2968</v>
      </c>
      <c r="N48" s="95">
        <f t="shared" si="58"/>
        <v>-2968</v>
      </c>
      <c r="O48" s="96">
        <f t="shared" si="58"/>
        <v>-8998</v>
      </c>
      <c r="P48" s="96">
        <f t="shared" si="58"/>
        <v>57517</v>
      </c>
      <c r="Q48" s="96">
        <f t="shared" si="58"/>
        <v>48150</v>
      </c>
      <c r="R48" s="96">
        <f t="shared" si="58"/>
        <v>41753</v>
      </c>
      <c r="S48" s="95">
        <f>R48</f>
        <v>41753</v>
      </c>
      <c r="T48" s="96">
        <f>T20-T45</f>
        <v>35201</v>
      </c>
      <c r="U48" s="96">
        <f>U20-U45</f>
        <v>30575</v>
      </c>
      <c r="V48" s="96">
        <f>V20-V45</f>
        <v>26542</v>
      </c>
      <c r="W48" s="96">
        <f>W20-W45</f>
        <v>26280</v>
      </c>
      <c r="X48" s="95">
        <f>W48</f>
        <v>26280</v>
      </c>
      <c r="Y48" s="96">
        <f>Y20-Y45</f>
        <v>25759</v>
      </c>
      <c r="Z48" s="96">
        <f>Z20-Z45</f>
        <v>26453</v>
      </c>
      <c r="AA48" s="96">
        <f>AA20-AA45</f>
        <v>25779</v>
      </c>
      <c r="AB48" s="96">
        <f>AB20-AB45</f>
        <v>30328</v>
      </c>
      <c r="AC48" s="95">
        <f>AB48</f>
        <v>30328</v>
      </c>
      <c r="AD48" s="96">
        <f>AD20-AD45</f>
        <v>28985</v>
      </c>
      <c r="AE48" s="96">
        <f>AE20-AE45</f>
        <v>32155</v>
      </c>
      <c r="AF48" s="96">
        <f>AF20-AF45</f>
        <v>37772</v>
      </c>
      <c r="AG48" s="96">
        <f>AG20-AG45</f>
        <v>46838</v>
      </c>
      <c r="AH48" s="95">
        <f>AG48</f>
        <v>46838</v>
      </c>
      <c r="AI48" s="96">
        <f>AI20-AI45</f>
        <v>80452</v>
      </c>
      <c r="AJ48" s="96">
        <f>AJ20-AJ45</f>
        <v>119506</v>
      </c>
      <c r="AK48" s="96">
        <f>AK20-AK45</f>
        <v>127884</v>
      </c>
      <c r="AL48" s="96">
        <f>AL20-AL45</f>
        <v>143748</v>
      </c>
      <c r="AM48" s="95">
        <f>AL48</f>
        <v>143748</v>
      </c>
      <c r="AN48" s="96">
        <f>AN20-AN45</f>
        <v>150666</v>
      </c>
      <c r="AO48" s="96">
        <f>AO20-AO45</f>
        <v>166570</v>
      </c>
      <c r="AP48" s="96">
        <f>AP20-AP45</f>
        <v>177971</v>
      </c>
      <c r="AQ48" s="96">
        <f>AQ20-AQ45</f>
        <v>196458</v>
      </c>
      <c r="AR48" s="95">
        <f>AQ48</f>
        <v>196458</v>
      </c>
      <c r="AS48" s="96">
        <f>AS20-AS45</f>
        <v>206466</v>
      </c>
      <c r="AT48" s="96">
        <f>AT20-AT45</f>
        <v>172344</v>
      </c>
      <c r="AU48" s="96">
        <f>AU20-AU45</f>
        <v>262389</v>
      </c>
      <c r="AV48" s="96">
        <f>AV20-AV45</f>
        <v>441963</v>
      </c>
      <c r="AW48" s="95">
        <f>AV48</f>
        <v>441963</v>
      </c>
      <c r="AX48" s="96">
        <f>AX20-AX45</f>
        <v>144206</v>
      </c>
      <c r="AY48" s="96">
        <f>AY20-AY45</f>
        <v>162706</v>
      </c>
      <c r="AZ48" s="96">
        <f>AZ20-AZ45</f>
        <v>171070</v>
      </c>
      <c r="BA48" s="96">
        <f>BA20-BA45</f>
        <v>213385</v>
      </c>
      <c r="BB48" s="95">
        <f>BA48</f>
        <v>213385</v>
      </c>
      <c r="BC48" s="96">
        <f>BC20-BC45</f>
        <v>214359</v>
      </c>
      <c r="BD48" s="96">
        <f>BD20-BD45</f>
        <v>247441</v>
      </c>
      <c r="BE48" s="96">
        <f>BE20-BE45</f>
        <v>269172</v>
      </c>
      <c r="BF48" s="96">
        <f>BF20-BF45</f>
        <v>309965</v>
      </c>
      <c r="BG48" s="95">
        <f>BF48</f>
        <v>309965</v>
      </c>
      <c r="BH48" s="96">
        <f>BH20-BH45</f>
        <v>345020</v>
      </c>
      <c r="BI48" s="96">
        <f>BI20-BI45</f>
        <v>458799</v>
      </c>
      <c r="BJ48" s="96">
        <f>BJ20-BJ45</f>
        <v>503870</v>
      </c>
      <c r="BK48" s="96">
        <f>BK20-BK45</f>
        <v>538085</v>
      </c>
      <c r="BL48" s="95">
        <f>BK48</f>
        <v>538085</v>
      </c>
      <c r="BM48" s="96">
        <f>BM20-BM45</f>
        <v>483598</v>
      </c>
      <c r="BN48" s="96">
        <f>BN20-BN45</f>
        <v>525878</v>
      </c>
      <c r="BO48" s="96">
        <f>BO20-BO45</f>
        <v>565586</v>
      </c>
      <c r="BP48" s="96">
        <f>BP20-BP45</f>
        <v>622192</v>
      </c>
      <c r="BQ48" s="95">
        <f>BP48</f>
        <v>622192</v>
      </c>
      <c r="BR48" s="96">
        <f>BR20-BR45</f>
        <v>664286</v>
      </c>
      <c r="BS48" s="96">
        <f>BS20-BS45</f>
        <v>717377</v>
      </c>
      <c r="BT48" s="96">
        <f>BT20-BT45</f>
        <v>775286</v>
      </c>
      <c r="BU48" s="96">
        <f>BU20-BU45</f>
        <v>785817</v>
      </c>
      <c r="BV48" s="95">
        <f>BU48</f>
        <v>785817</v>
      </c>
      <c r="BW48" s="96">
        <f>BW20-BW45</f>
        <v>1351603.8899870003</v>
      </c>
      <c r="BX48" s="96">
        <f>BX20-BX45</f>
        <v>1418218.2068717501</v>
      </c>
      <c r="BY48" s="96">
        <f>BY20-BY45</f>
        <v>1490556.9989759626</v>
      </c>
      <c r="BZ48" s="96">
        <f>BZ20-BZ45</f>
        <v>1573788.4727253555</v>
      </c>
      <c r="CA48" s="95">
        <f>BZ48</f>
        <v>1573788.4727253555</v>
      </c>
    </row>
    <row r="49" spans="2:79" s="146" customFormat="1" ht="13.5" thickBot="1">
      <c r="B49" s="186" t="s">
        <v>138</v>
      </c>
      <c r="C49" s="282"/>
      <c r="D49" s="187">
        <f t="shared" ref="D49:R49" si="59">D48+D45</f>
        <v>18439</v>
      </c>
      <c r="E49" s="188">
        <f t="shared" si="59"/>
        <v>17049</v>
      </c>
      <c r="F49" s="188">
        <f t="shared" si="59"/>
        <v>29812</v>
      </c>
      <c r="G49" s="188">
        <f t="shared" si="59"/>
        <v>25307</v>
      </c>
      <c r="H49" s="188">
        <f t="shared" si="59"/>
        <v>26607</v>
      </c>
      <c r="I49" s="187">
        <f t="shared" si="59"/>
        <v>26607</v>
      </c>
      <c r="J49" s="188">
        <f t="shared" si="59"/>
        <v>27508</v>
      </c>
      <c r="K49" s="188">
        <f t="shared" si="59"/>
        <v>38172</v>
      </c>
      <c r="L49" s="188">
        <f t="shared" si="59"/>
        <v>30873</v>
      </c>
      <c r="M49" s="281">
        <f t="shared" si="59"/>
        <v>56278</v>
      </c>
      <c r="N49" s="187">
        <f t="shared" si="59"/>
        <v>56278</v>
      </c>
      <c r="O49" s="188">
        <f t="shared" si="59"/>
        <v>69235</v>
      </c>
      <c r="P49" s="188">
        <f t="shared" si="59"/>
        <v>128927</v>
      </c>
      <c r="Q49" s="188">
        <f t="shared" si="59"/>
        <v>121874</v>
      </c>
      <c r="R49" s="188">
        <f t="shared" si="59"/>
        <v>116934</v>
      </c>
      <c r="S49" s="187">
        <f>R49</f>
        <v>116934</v>
      </c>
      <c r="T49" s="188">
        <f>T48+T45</f>
        <v>110046</v>
      </c>
      <c r="U49" s="188">
        <f>U48+U45</f>
        <v>104579</v>
      </c>
      <c r="V49" s="188">
        <f>V48+V45</f>
        <v>98870</v>
      </c>
      <c r="W49" s="188">
        <f>W48+W45</f>
        <v>99233</v>
      </c>
      <c r="X49" s="187">
        <f>W49</f>
        <v>99233</v>
      </c>
      <c r="Y49" s="188">
        <f>Y48+Y45</f>
        <v>101664</v>
      </c>
      <c r="Z49" s="188">
        <f>Z48+Z45</f>
        <v>99496</v>
      </c>
      <c r="AA49" s="188">
        <f>AA48+AA45</f>
        <v>102699</v>
      </c>
      <c r="AB49" s="188">
        <f>AB48+AB45</f>
        <v>105239</v>
      </c>
      <c r="AC49" s="187">
        <f>AB49</f>
        <v>105239</v>
      </c>
      <c r="AD49" s="188">
        <f>AD48+AD45</f>
        <v>108348</v>
      </c>
      <c r="AE49" s="188">
        <f>AE48+AE45</f>
        <v>111463</v>
      </c>
      <c r="AF49" s="188">
        <f>AF48+AF45</f>
        <v>118715</v>
      </c>
      <c r="AG49" s="188">
        <f>AG48+AG45</f>
        <v>128196</v>
      </c>
      <c r="AH49" s="187">
        <f>AG49</f>
        <v>128196</v>
      </c>
      <c r="AI49" s="188">
        <f>AI48+AI45</f>
        <v>165911</v>
      </c>
      <c r="AJ49" s="188">
        <f>AJ48+AJ45</f>
        <v>365066</v>
      </c>
      <c r="AK49" s="188">
        <f>AK48+AK45</f>
        <v>376116</v>
      </c>
      <c r="AL49" s="188">
        <f>AL48+AL45</f>
        <v>395666</v>
      </c>
      <c r="AM49" s="187">
        <f>AL49</f>
        <v>395666</v>
      </c>
      <c r="AN49" s="188">
        <f>AN48+AN45</f>
        <v>415366</v>
      </c>
      <c r="AO49" s="188">
        <f>AO48+AO45</f>
        <v>435767</v>
      </c>
      <c r="AP49" s="188">
        <f>AP48+AP45</f>
        <v>454024</v>
      </c>
      <c r="AQ49" s="188">
        <f>AQ48+AQ45</f>
        <v>482380</v>
      </c>
      <c r="AR49" s="187">
        <f>AQ49</f>
        <v>482380</v>
      </c>
      <c r="AS49" s="188">
        <f>AS48+AS45</f>
        <v>503659</v>
      </c>
      <c r="AT49" s="188">
        <f>AT48+AT45</f>
        <v>911239</v>
      </c>
      <c r="AU49" s="188">
        <f>AU48+AU45</f>
        <v>1013287</v>
      </c>
      <c r="AV49" s="188">
        <f>AV48+AV45</f>
        <v>1226541</v>
      </c>
      <c r="AW49" s="187">
        <f>AV49</f>
        <v>1226541</v>
      </c>
      <c r="AX49" s="188">
        <f>AX48+AX45</f>
        <v>1118749</v>
      </c>
      <c r="AY49" s="188">
        <f>AY48+AY45</f>
        <v>1135716</v>
      </c>
      <c r="AZ49" s="188">
        <f>AZ48+AZ45</f>
        <v>1150906</v>
      </c>
      <c r="BA49" s="188">
        <f>BA48+BA45</f>
        <v>1192942</v>
      </c>
      <c r="BB49" s="187">
        <f>BA49</f>
        <v>1192942</v>
      </c>
      <c r="BC49" s="188">
        <f>BC48+BC45</f>
        <v>1188395</v>
      </c>
      <c r="BD49" s="188">
        <f>BD48+BD45</f>
        <v>1177223</v>
      </c>
      <c r="BE49" s="188">
        <f>BE48+BE45</f>
        <v>1206539</v>
      </c>
      <c r="BF49" s="188">
        <f>BF48+BF45</f>
        <v>1244485</v>
      </c>
      <c r="BG49" s="187">
        <f>BF49</f>
        <v>1244485</v>
      </c>
      <c r="BH49" s="188">
        <f>BH48+BH45</f>
        <v>1289108</v>
      </c>
      <c r="BI49" s="188">
        <f>BI48+BI45</f>
        <v>1402944</v>
      </c>
      <c r="BJ49" s="188">
        <f>BJ48+BJ45</f>
        <v>1456444</v>
      </c>
      <c r="BK49" s="188">
        <f>BK48+BK45</f>
        <v>1494568</v>
      </c>
      <c r="BL49" s="187">
        <f>BK49</f>
        <v>1494568</v>
      </c>
      <c r="BM49" s="188">
        <f>BM48+BM45</f>
        <v>1871338</v>
      </c>
      <c r="BN49" s="188">
        <f>BN48+BN45</f>
        <v>1910380</v>
      </c>
      <c r="BO49" s="188">
        <f>BO48+BO45</f>
        <v>2007892</v>
      </c>
      <c r="BP49" s="188">
        <f>BP48+BP45</f>
        <v>2051214</v>
      </c>
      <c r="BQ49" s="187">
        <f>BP49</f>
        <v>2051214</v>
      </c>
      <c r="BR49" s="188">
        <f>BR48+BR45</f>
        <v>2089924</v>
      </c>
      <c r="BS49" s="188">
        <f>BS48+BS45</f>
        <v>1704860</v>
      </c>
      <c r="BT49" s="188">
        <f>BT48+BT45</f>
        <v>1768405</v>
      </c>
      <c r="BU49" s="188">
        <f>BU48+BU45</f>
        <v>1790070</v>
      </c>
      <c r="BV49" s="187">
        <f>BU49</f>
        <v>1790070</v>
      </c>
      <c r="BW49" s="188">
        <f>BW48+BW45</f>
        <v>1873433.0433220002</v>
      </c>
      <c r="BX49" s="188">
        <f>BX48+BX45</f>
        <v>1932048.07125375</v>
      </c>
      <c r="BY49" s="188">
        <f>BY48+BY45</f>
        <v>2010086.4854399627</v>
      </c>
      <c r="BZ49" s="188">
        <f>BZ48+BZ45</f>
        <v>2108168.0826773555</v>
      </c>
      <c r="CA49" s="187">
        <f>BZ49</f>
        <v>2108168.0826773555</v>
      </c>
    </row>
    <row r="50" spans="2:79" s="146" customFormat="1" ht="13.15">
      <c r="B50" s="85" t="s">
        <v>72</v>
      </c>
      <c r="C50" s="90"/>
      <c r="D50" s="90"/>
      <c r="E50" s="90"/>
      <c r="F50" s="90"/>
      <c r="G50" s="90"/>
      <c r="H50" s="90"/>
      <c r="I50" s="90"/>
      <c r="J50" s="90"/>
      <c r="K50" s="90"/>
      <c r="L50" s="90"/>
      <c r="M50" s="90"/>
      <c r="N50" s="137"/>
      <c r="O50" s="137"/>
      <c r="P50" s="137"/>
      <c r="Q50" s="137"/>
      <c r="R50" s="137"/>
      <c r="S50" s="137"/>
      <c r="T50" s="137"/>
      <c r="U50" s="137"/>
      <c r="V50" s="137"/>
      <c r="W50" s="137"/>
      <c r="X50" s="91"/>
      <c r="AC50" s="91"/>
      <c r="AH50" s="91"/>
      <c r="AM50" s="91"/>
      <c r="AR50" s="91"/>
      <c r="AW50" s="91"/>
      <c r="BB50" s="91" t="s">
        <v>71</v>
      </c>
      <c r="BG50" s="91" t="s">
        <v>71</v>
      </c>
      <c r="BL50" s="91" t="s">
        <v>71</v>
      </c>
      <c r="BQ50" s="91" t="s">
        <v>71</v>
      </c>
      <c r="BV50" s="91" t="s">
        <v>71</v>
      </c>
      <c r="CA50" s="91" t="s">
        <v>71</v>
      </c>
    </row>
    <row r="51" spans="2:79" s="146" customFormat="1" ht="13.15">
      <c r="B51" s="85" t="s">
        <v>70</v>
      </c>
      <c r="C51" s="90"/>
      <c r="D51" s="90"/>
      <c r="E51" s="90"/>
      <c r="F51" s="90"/>
      <c r="G51" s="90"/>
      <c r="H51" s="90"/>
      <c r="I51" s="90"/>
      <c r="J51" s="90"/>
      <c r="K51" s="90"/>
      <c r="L51" s="90"/>
      <c r="M51" s="90"/>
      <c r="N51" s="137"/>
      <c r="O51" s="137"/>
      <c r="P51" s="137"/>
      <c r="Q51" s="137"/>
      <c r="R51" s="137"/>
      <c r="S51" s="137"/>
      <c r="T51" s="137"/>
      <c r="U51" s="190"/>
      <c r="V51" s="137"/>
      <c r="W51" s="137"/>
      <c r="X51" s="89"/>
      <c r="AC51" s="89"/>
      <c r="AH51" s="89"/>
      <c r="AM51" s="89"/>
      <c r="AR51" s="89"/>
      <c r="AW51" s="89"/>
      <c r="BB51" s="89" t="s">
        <v>69</v>
      </c>
      <c r="BG51" s="89" t="s">
        <v>69</v>
      </c>
      <c r="BL51" s="89" t="s">
        <v>69</v>
      </c>
      <c r="BQ51" s="89" t="s">
        <v>69</v>
      </c>
      <c r="BV51" s="89" t="s">
        <v>69</v>
      </c>
      <c r="CA51" s="89" t="s">
        <v>69</v>
      </c>
    </row>
    <row r="52" spans="2:79">
      <c r="C52" s="105" t="s">
        <v>139</v>
      </c>
      <c r="D52" s="189">
        <f t="shared" ref="D52:AI52" si="60">D20-D49</f>
        <v>0</v>
      </c>
      <c r="E52" s="189">
        <f t="shared" si="60"/>
        <v>0</v>
      </c>
      <c r="F52" s="189">
        <f t="shared" si="60"/>
        <v>0</v>
      </c>
      <c r="G52" s="189">
        <f t="shared" si="60"/>
        <v>0</v>
      </c>
      <c r="H52" s="189">
        <f t="shared" si="60"/>
        <v>0</v>
      </c>
      <c r="I52" s="189">
        <f t="shared" si="60"/>
        <v>0</v>
      </c>
      <c r="J52" s="189">
        <f t="shared" si="60"/>
        <v>0</v>
      </c>
      <c r="K52" s="189">
        <f t="shared" si="60"/>
        <v>0</v>
      </c>
      <c r="L52" s="189">
        <f t="shared" si="60"/>
        <v>0</v>
      </c>
      <c r="M52" s="189">
        <f t="shared" si="60"/>
        <v>0</v>
      </c>
      <c r="N52" s="189">
        <f t="shared" si="60"/>
        <v>0</v>
      </c>
      <c r="O52" s="189">
        <f t="shared" si="60"/>
        <v>0</v>
      </c>
      <c r="P52" s="189">
        <f t="shared" si="60"/>
        <v>0</v>
      </c>
      <c r="Q52" s="189">
        <f t="shared" si="60"/>
        <v>0</v>
      </c>
      <c r="R52" s="189">
        <f t="shared" si="60"/>
        <v>0</v>
      </c>
      <c r="S52" s="189">
        <f t="shared" si="60"/>
        <v>0</v>
      </c>
      <c r="T52" s="189">
        <f t="shared" si="60"/>
        <v>0</v>
      </c>
      <c r="U52" s="189">
        <f t="shared" si="60"/>
        <v>0</v>
      </c>
      <c r="V52" s="189">
        <f t="shared" si="60"/>
        <v>0</v>
      </c>
      <c r="W52" s="189">
        <f t="shared" si="60"/>
        <v>0</v>
      </c>
      <c r="X52" s="189">
        <f t="shared" si="60"/>
        <v>0</v>
      </c>
      <c r="Y52" s="189">
        <f t="shared" si="60"/>
        <v>0</v>
      </c>
      <c r="Z52" s="189">
        <f t="shared" si="60"/>
        <v>0</v>
      </c>
      <c r="AA52" s="189">
        <f t="shared" si="60"/>
        <v>0</v>
      </c>
      <c r="AB52" s="189">
        <f t="shared" si="60"/>
        <v>0</v>
      </c>
      <c r="AC52" s="189">
        <f t="shared" si="60"/>
        <v>0</v>
      </c>
      <c r="AD52" s="189">
        <f t="shared" si="60"/>
        <v>0</v>
      </c>
      <c r="AE52" s="189">
        <f t="shared" si="60"/>
        <v>0</v>
      </c>
      <c r="AF52" s="189">
        <f t="shared" si="60"/>
        <v>0</v>
      </c>
      <c r="AG52" s="189">
        <f t="shared" si="60"/>
        <v>0</v>
      </c>
      <c r="AH52" s="189">
        <f t="shared" si="60"/>
        <v>0</v>
      </c>
      <c r="AI52" s="189">
        <f t="shared" si="60"/>
        <v>0</v>
      </c>
      <c r="AJ52" s="189">
        <f t="shared" ref="AJ52:BQ52" si="61">AJ20-AJ49</f>
        <v>0</v>
      </c>
      <c r="AK52" s="189">
        <f t="shared" si="61"/>
        <v>0</v>
      </c>
      <c r="AL52" s="189">
        <f t="shared" si="61"/>
        <v>0</v>
      </c>
      <c r="AM52" s="189">
        <f t="shared" si="61"/>
        <v>0</v>
      </c>
      <c r="AN52" s="189">
        <f t="shared" si="61"/>
        <v>0</v>
      </c>
      <c r="AO52" s="189">
        <f t="shared" si="61"/>
        <v>0</v>
      </c>
      <c r="AP52" s="189">
        <f t="shared" si="61"/>
        <v>0</v>
      </c>
      <c r="AQ52" s="189">
        <f t="shared" si="61"/>
        <v>0</v>
      </c>
      <c r="AR52" s="189">
        <f t="shared" si="61"/>
        <v>0</v>
      </c>
      <c r="AS52" s="189">
        <f t="shared" si="61"/>
        <v>0</v>
      </c>
      <c r="AT52" s="189">
        <f t="shared" si="61"/>
        <v>0</v>
      </c>
      <c r="AU52" s="189">
        <f t="shared" si="61"/>
        <v>0</v>
      </c>
      <c r="AV52" s="189">
        <f t="shared" si="61"/>
        <v>0</v>
      </c>
      <c r="AW52" s="189">
        <f t="shared" si="61"/>
        <v>0</v>
      </c>
      <c r="AX52" s="189">
        <f t="shared" si="61"/>
        <v>0</v>
      </c>
      <c r="AY52" s="189">
        <f t="shared" si="61"/>
        <v>0</v>
      </c>
      <c r="AZ52" s="189">
        <f t="shared" si="61"/>
        <v>0</v>
      </c>
      <c r="BA52" s="189">
        <f t="shared" si="61"/>
        <v>0</v>
      </c>
      <c r="BB52" s="189">
        <f t="shared" si="61"/>
        <v>0</v>
      </c>
      <c r="BC52" s="189">
        <f t="shared" si="61"/>
        <v>0</v>
      </c>
      <c r="BD52" s="189">
        <f t="shared" si="61"/>
        <v>0</v>
      </c>
      <c r="BE52" s="189">
        <f t="shared" si="61"/>
        <v>0</v>
      </c>
      <c r="BF52" s="189">
        <f t="shared" si="61"/>
        <v>0</v>
      </c>
      <c r="BG52" s="189">
        <f t="shared" si="61"/>
        <v>0</v>
      </c>
      <c r="BH52" s="189">
        <f t="shared" si="61"/>
        <v>0</v>
      </c>
      <c r="BI52" s="189">
        <f t="shared" si="61"/>
        <v>0</v>
      </c>
      <c r="BJ52" s="189">
        <f t="shared" si="61"/>
        <v>0</v>
      </c>
      <c r="BK52" s="189">
        <f t="shared" si="61"/>
        <v>0</v>
      </c>
      <c r="BL52" s="189">
        <f t="shared" si="61"/>
        <v>0</v>
      </c>
      <c r="BM52" s="189">
        <f t="shared" si="61"/>
        <v>0</v>
      </c>
      <c r="BN52" s="189">
        <f t="shared" si="61"/>
        <v>0</v>
      </c>
      <c r="BO52" s="189">
        <f t="shared" si="61"/>
        <v>0</v>
      </c>
      <c r="BP52" s="189">
        <f t="shared" si="61"/>
        <v>0</v>
      </c>
      <c r="BQ52" s="189">
        <f t="shared" si="61"/>
        <v>0</v>
      </c>
      <c r="BR52" s="189">
        <f t="shared" ref="BR52:CA52" si="62">BR20-BR49</f>
        <v>0</v>
      </c>
      <c r="BS52" s="189">
        <f t="shared" si="62"/>
        <v>0</v>
      </c>
      <c r="BT52" s="189">
        <f t="shared" si="62"/>
        <v>0</v>
      </c>
      <c r="BU52" s="189">
        <f t="shared" si="62"/>
        <v>0</v>
      </c>
      <c r="BV52" s="189">
        <f t="shared" si="62"/>
        <v>0</v>
      </c>
      <c r="BW52" s="189">
        <f t="shared" si="62"/>
        <v>0</v>
      </c>
      <c r="BX52" s="189">
        <f t="shared" si="62"/>
        <v>0</v>
      </c>
      <c r="BY52" s="189">
        <f t="shared" si="62"/>
        <v>0</v>
      </c>
      <c r="BZ52" s="189">
        <f t="shared" si="62"/>
        <v>0</v>
      </c>
      <c r="CA52" s="189">
        <f t="shared" si="62"/>
        <v>0</v>
      </c>
    </row>
    <row r="53" spans="2:79">
      <c r="N53" s="189"/>
      <c r="O53" s="189"/>
      <c r="P53" s="189"/>
      <c r="Q53" s="189"/>
      <c r="R53" s="189"/>
      <c r="S53" s="189"/>
      <c r="T53" s="189"/>
      <c r="U53" s="189"/>
      <c r="V53" s="189"/>
      <c r="W53" s="189"/>
      <c r="X53" s="189"/>
    </row>
    <row r="54" spans="2:79">
      <c r="C54" s="105" t="s">
        <v>140</v>
      </c>
      <c r="D54" s="190"/>
      <c r="E54" s="190">
        <f>((E8+D8)/2)/'Income Statement'!E28*91</f>
        <v>24.12711069693961</v>
      </c>
      <c r="F54" s="190">
        <f>((F8+E8)/2)/'Income Statement'!F28*91</f>
        <v>24.800170312241121</v>
      </c>
      <c r="G54" s="190">
        <f>((G8+F8)/2)/'Income Statement'!G28*91</f>
        <v>23.109400505435151</v>
      </c>
      <c r="H54" s="190">
        <f>((H8+G8)/2)/'Income Statement'!H28*91</f>
        <v>23.76423293284115</v>
      </c>
      <c r="I54" s="190"/>
      <c r="J54" s="190">
        <f>((J8+I8)/2)/'Income Statement'!J28*91</f>
        <v>26.109664767775584</v>
      </c>
      <c r="K54" s="190">
        <f>((K8+J8)/2)/'Income Statement'!K28*91</f>
        <v>25.019177224499238</v>
      </c>
      <c r="L54" s="190">
        <f>((L8+K8)/2)/'Income Statement'!L28*91</f>
        <v>23.188772169758106</v>
      </c>
      <c r="M54" s="190">
        <f>((M8+L8)/2)/'Income Statement'!M28*91</f>
        <v>23.274657614852529</v>
      </c>
      <c r="N54" s="190"/>
      <c r="O54" s="190">
        <f>((O8+N8)/2)/'Income Statement'!O28*91</f>
        <v>25.529784955095987</v>
      </c>
      <c r="P54" s="190">
        <f>((P8+O8)/2)/'Income Statement'!P28*91</f>
        <v>25.340652217946122</v>
      </c>
      <c r="Q54" s="190">
        <f>((Q8+P8)/2)/'Income Statement'!Q28*91</f>
        <v>26.071610808303372</v>
      </c>
      <c r="R54" s="190">
        <f>((R8+Q8)/2)/'Income Statement'!R28*91</f>
        <v>25.844592204852514</v>
      </c>
      <c r="S54" s="190"/>
      <c r="T54" s="190">
        <f>((T8+S8)/2)/'Income Statement'!T28*91</f>
        <v>25.631135627931556</v>
      </c>
      <c r="U54" s="190">
        <f>((U8+T8)/2)/'Income Statement'!U28*91</f>
        <v>25.503385743542314</v>
      </c>
      <c r="V54" s="190">
        <f>((V8+U8)/2)/'Income Statement'!V28*91</f>
        <v>24.744773438225913</v>
      </c>
      <c r="W54" s="190">
        <f>((W8+V8)/2)/'Income Statement'!W28*91</f>
        <v>25.098049010629143</v>
      </c>
      <c r="X54" s="190"/>
      <c r="Y54" s="190">
        <f>((Y8+X8)/2)/'Income Statement'!Y28*91</f>
        <v>27.642312245166384</v>
      </c>
      <c r="Z54" s="190">
        <f>((Z8+Y8)/2)/'Income Statement'!Z28*91</f>
        <v>27.254834644859333</v>
      </c>
      <c r="AA54" s="190">
        <f>((AA8+Z8)/2)/'Income Statement'!AA28*91</f>
        <v>26.2728026938656</v>
      </c>
      <c r="AB54" s="190">
        <f>((AB8+AA8)/2)/'Income Statement'!AB28*91</f>
        <v>27.563281833193841</v>
      </c>
      <c r="AC54" s="190"/>
      <c r="AD54" s="190">
        <f>((AD8+AC8)/2)/'Income Statement'!AD28*91</f>
        <v>28.389352107882758</v>
      </c>
      <c r="AE54" s="190">
        <f>((AE8+AD8)/2)/'Income Statement'!AE28*91</f>
        <v>30.25325287573072</v>
      </c>
      <c r="AF54" s="190">
        <f>((AF8+AE8)/2)/'Income Statement'!AF28*91</f>
        <v>30.446596513647894</v>
      </c>
      <c r="AG54" s="190">
        <f>((AG8+AF8)/2)/'Income Statement'!AG28*91</f>
        <v>29.79431619226396</v>
      </c>
      <c r="AI54" s="190">
        <f>((AI8+AH8)/2)/'Income Statement'!AI28*91</f>
        <v>29.029471182412358</v>
      </c>
      <c r="AJ54" s="190">
        <f>((AJ8+AI8)/2)/'Income Statement'!AJ28*91</f>
        <v>28.810463023560207</v>
      </c>
      <c r="AK54" s="190">
        <f>((AK8+AJ8)/2)/'Income Statement'!AK28*91</f>
        <v>30.705393237780228</v>
      </c>
      <c r="AL54" s="190">
        <f>((AL8+AK8)/2)/'Income Statement'!AL28*91</f>
        <v>30.633165134443907</v>
      </c>
      <c r="AN54" s="190">
        <f>((AN8+AM8)/2)/'Income Statement'!AN28*91</f>
        <v>30.910186750382355</v>
      </c>
      <c r="AO54" s="190">
        <f>((AO8+AN8)/2)/'Income Statement'!AO28*91</f>
        <v>31.725315098920397</v>
      </c>
      <c r="AP54" s="190">
        <f>((AP8+AO8)/2)/'Income Statement'!AP28*91</f>
        <v>32.350630901646191</v>
      </c>
      <c r="AQ54" s="190">
        <f>((AQ8+AP8)/2)/'Income Statement'!AQ28*91</f>
        <v>34.058300727268787</v>
      </c>
      <c r="AS54" s="190">
        <f>((AS8+AR8)/2)/'Income Statement'!AS28*91</f>
        <v>37.144839517078914</v>
      </c>
      <c r="AT54" s="190">
        <f>((AT8+AS8)/2)/'Income Statement'!AT28*91</f>
        <v>36.28391554433221</v>
      </c>
      <c r="AU54" s="190">
        <f>((AU8+AT8)/2)/'Income Statement'!AU28*91</f>
        <v>33.330475375190602</v>
      </c>
      <c r="AV54" s="190">
        <f>((AV8+AU8)/2)/'Income Statement'!AV28*91</f>
        <v>32.473874965789577</v>
      </c>
      <c r="AX54" s="190">
        <f>((AX8+AW8)/2)/'Income Statement'!AX28*91</f>
        <v>33.236165706908807</v>
      </c>
      <c r="AY54" s="190">
        <f>((AY8+AX8)/2)/'Income Statement'!AY28*91</f>
        <v>33.479914036527518</v>
      </c>
      <c r="AZ54" s="190">
        <f>((AZ8+AY8)/2)/'Income Statement'!AZ28*91</f>
        <v>33.667429112021154</v>
      </c>
      <c r="BA54" s="190">
        <f>((BA8+AZ8)/2)/'Income Statement'!BA28*91</f>
        <v>37.77203209695908</v>
      </c>
      <c r="BC54" s="190">
        <f>((BC8+BB8)/2)/'Income Statement'!BC28*91</f>
        <v>40.238960591321664</v>
      </c>
      <c r="BD54" s="190">
        <f>((BD8+BC8)/2)/'Income Statement'!BD28*91</f>
        <v>38.632306660611889</v>
      </c>
      <c r="BE54" s="190">
        <f>((BE8+BD8)/2)/'Income Statement'!BE28*91</f>
        <v>39.252931804660641</v>
      </c>
      <c r="BF54" s="190">
        <f>((BF8+BE8)/2)/'Income Statement'!BF28*91</f>
        <v>38.374880606686027</v>
      </c>
      <c r="BH54" s="190">
        <f>((BH8+BG8)/2)/'Income Statement'!BH28*91</f>
        <v>36.572427542700709</v>
      </c>
      <c r="BI54" s="190">
        <f>((BI8+BH8)/2)/'Income Statement'!BI28*91</f>
        <v>36.040788399242651</v>
      </c>
      <c r="BJ54" s="190">
        <f>((BJ8+BI8)/2)/'Income Statement'!BJ28*91</f>
        <v>36.165287586101996</v>
      </c>
      <c r="BK54" s="190">
        <f>((BK8+BJ8)/2)/'Income Statement'!BK28*91</f>
        <v>36.516175720106084</v>
      </c>
      <c r="BM54" s="190">
        <f>((BM8+BL8)/2)/'Income Statement'!BM28*91</f>
        <v>36.947635723250073</v>
      </c>
      <c r="BN54" s="190">
        <f>((BN8+BM8)/2)/'Income Statement'!BN28*91</f>
        <v>37.459535634664363</v>
      </c>
      <c r="BO54" s="190">
        <f>((BO8+BN8)/2)/'Income Statement'!BO28*91</f>
        <v>38.030395712046996</v>
      </c>
      <c r="BP54" s="190">
        <f>((BP8+BO8)/2)/'Income Statement'!BP28*91</f>
        <v>37.816303021603389</v>
      </c>
      <c r="BR54" s="190">
        <f>((BR8+BQ8)/2)/'Income Statement'!BR28*91</f>
        <v>38.030292629734895</v>
      </c>
      <c r="BS54" s="190">
        <f>((BS8+BR8)/2)/'Income Statement'!BS28*91</f>
        <v>39.58579830479156</v>
      </c>
      <c r="BT54" s="190">
        <f>((BT8+BS8)/2)/'Income Statement'!BT28*91</f>
        <v>42.394152859022086</v>
      </c>
      <c r="BU54" s="190">
        <f>((BU8+BT8)/2)/'Income Statement'!BU28*91</f>
        <v>40.831235305479517</v>
      </c>
      <c r="BW54" s="190">
        <f>((BW8+BV8)/2)/'Income Statement'!BW28*91</f>
        <v>39.937132935061655</v>
      </c>
      <c r="BX54" s="190">
        <f>((BX8+BW8)/2)/'Income Statement'!BX28*91</f>
        <v>38.666065443346731</v>
      </c>
      <c r="BY54" s="190">
        <f>((BY8+BX8)/2)/'Income Statement'!BY28*91</f>
        <v>38.679119891667135</v>
      </c>
      <c r="BZ54" s="190">
        <f>((BZ8+BY8)/2)/'Income Statement'!BZ28*91</f>
        <v>39.09064075438959</v>
      </c>
    </row>
    <row r="55" spans="2:79">
      <c r="J55" s="175"/>
      <c r="K55" s="175"/>
      <c r="L55" s="175"/>
      <c r="M55" s="175"/>
      <c r="O55" s="175"/>
      <c r="P55" s="175"/>
      <c r="Q55" s="175"/>
      <c r="R55" s="175"/>
      <c r="T55" s="175"/>
      <c r="U55" s="175"/>
      <c r="V55" s="175"/>
      <c r="W55" s="175"/>
      <c r="Y55" s="175"/>
      <c r="Z55" s="175"/>
      <c r="AA55" s="175"/>
      <c r="AB55" s="175"/>
      <c r="AD55" s="175"/>
      <c r="AE55" s="175"/>
      <c r="AF55" s="175"/>
      <c r="AG55" s="175"/>
      <c r="AI55" s="175"/>
      <c r="AJ55" s="175"/>
      <c r="AK55" s="175"/>
      <c r="AL55" s="175"/>
      <c r="AN55" s="175"/>
      <c r="AO55" s="175"/>
      <c r="AP55" s="175"/>
      <c r="AQ55" s="175"/>
      <c r="AS55" s="175"/>
      <c r="AT55" s="175"/>
      <c r="AU55" s="175"/>
      <c r="AV55" s="175"/>
      <c r="AX55" s="175"/>
      <c r="AY55" s="175"/>
      <c r="AZ55" s="175"/>
      <c r="BA55" s="175"/>
      <c r="BC55" s="175"/>
      <c r="BD55" s="175"/>
      <c r="BE55" s="175"/>
      <c r="BF55" s="175"/>
      <c r="BH55" s="175"/>
      <c r="BI55" s="175"/>
      <c r="BJ55" s="175"/>
      <c r="BK55" s="175"/>
      <c r="BM55" s="175"/>
      <c r="BN55" s="175"/>
      <c r="BO55" s="175"/>
      <c r="BP55" s="175"/>
      <c r="BR55" s="175"/>
      <c r="BS55" s="175"/>
      <c r="BT55" s="175"/>
      <c r="BU55" s="175"/>
      <c r="BW55" s="175"/>
      <c r="BX55" s="175"/>
      <c r="BY55" s="175"/>
      <c r="BZ55" s="175"/>
    </row>
    <row r="56" spans="2:79">
      <c r="C56" s="105" t="s">
        <v>141</v>
      </c>
      <c r="E56" s="175">
        <f>E31</f>
        <v>3249</v>
      </c>
      <c r="F56" s="175">
        <f t="shared" ref="F56:AG56" si="63">F31</f>
        <v>3327</v>
      </c>
      <c r="G56" s="175">
        <f t="shared" si="63"/>
        <v>3441</v>
      </c>
      <c r="H56" s="175">
        <f t="shared" si="63"/>
        <v>4269</v>
      </c>
      <c r="I56" s="175"/>
      <c r="J56" s="175">
        <f t="shared" si="63"/>
        <v>4150</v>
      </c>
      <c r="K56" s="175">
        <f t="shared" si="63"/>
        <v>4482</v>
      </c>
      <c r="L56" s="175">
        <f t="shared" si="63"/>
        <v>4594</v>
      </c>
      <c r="M56" s="175">
        <f t="shared" si="63"/>
        <v>4375</v>
      </c>
      <c r="N56" s="175"/>
      <c r="O56" s="175">
        <f t="shared" si="63"/>
        <v>4957</v>
      </c>
      <c r="P56" s="175">
        <f t="shared" si="63"/>
        <v>5009</v>
      </c>
      <c r="Q56" s="175">
        <f t="shared" si="63"/>
        <v>4991</v>
      </c>
      <c r="R56" s="175">
        <f t="shared" si="63"/>
        <v>5346</v>
      </c>
      <c r="S56" s="175"/>
      <c r="T56" s="175">
        <f t="shared" si="63"/>
        <v>5641</v>
      </c>
      <c r="U56" s="175">
        <f t="shared" si="63"/>
        <v>5525</v>
      </c>
      <c r="V56" s="175">
        <f t="shared" si="63"/>
        <v>5562</v>
      </c>
      <c r="W56" s="175">
        <f t="shared" si="63"/>
        <v>6413</v>
      </c>
      <c r="X56" s="175"/>
      <c r="Y56" s="175">
        <f t="shared" si="63"/>
        <v>7832</v>
      </c>
      <c r="Z56" s="175">
        <f t="shared" si="63"/>
        <v>7898</v>
      </c>
      <c r="AA56" s="175">
        <f t="shared" si="63"/>
        <v>8838</v>
      </c>
      <c r="AB56" s="175">
        <f t="shared" si="63"/>
        <v>10047</v>
      </c>
      <c r="AC56" s="175"/>
      <c r="AD56" s="175">
        <f t="shared" si="63"/>
        <v>10920</v>
      </c>
      <c r="AE56" s="175">
        <f t="shared" si="63"/>
        <v>11903</v>
      </c>
      <c r="AF56" s="175">
        <f t="shared" si="63"/>
        <v>13699</v>
      </c>
      <c r="AG56" s="175">
        <f t="shared" si="63"/>
        <v>13975</v>
      </c>
      <c r="AI56" s="175">
        <f>AI31</f>
        <v>13700</v>
      </c>
      <c r="AJ56" s="175">
        <f>AJ31</f>
        <v>14750</v>
      </c>
      <c r="AK56" s="175">
        <f>AK31</f>
        <v>17490</v>
      </c>
      <c r="AL56" s="175">
        <f>AL31</f>
        <v>17391</v>
      </c>
      <c r="AN56" s="175">
        <f>AN31</f>
        <v>17853</v>
      </c>
      <c r="AO56" s="175">
        <f>AO31</f>
        <v>19991</v>
      </c>
      <c r="AP56" s="175">
        <f>AP31</f>
        <v>21858</v>
      </c>
      <c r="AQ56" s="175">
        <f>AQ31</f>
        <v>24681</v>
      </c>
      <c r="AS56" s="175">
        <f>AS31</f>
        <v>25632</v>
      </c>
      <c r="AT56" s="175">
        <f>AT31</f>
        <v>26306</v>
      </c>
      <c r="AU56" s="175">
        <f>AU31</f>
        <v>28527</v>
      </c>
      <c r="AV56" s="175">
        <f>AV31</f>
        <v>31983</v>
      </c>
      <c r="AX56" s="175">
        <f>AX31</f>
        <v>32835</v>
      </c>
      <c r="AY56" s="175">
        <f>AY31</f>
        <v>33237</v>
      </c>
      <c r="AZ56" s="175">
        <f>AZ31</f>
        <v>36887</v>
      </c>
      <c r="BA56" s="175">
        <f>BA31</f>
        <v>43720</v>
      </c>
      <c r="BC56" s="175">
        <f>BC31</f>
        <v>46564</v>
      </c>
      <c r="BD56" s="175">
        <f>BD31</f>
        <v>51553</v>
      </c>
      <c r="BE56" s="175">
        <f>BE31</f>
        <v>53834</v>
      </c>
      <c r="BF56" s="175">
        <f>BF31</f>
        <v>57816</v>
      </c>
      <c r="BH56" s="175">
        <f>BH31</f>
        <v>58082</v>
      </c>
      <c r="BI56" s="175">
        <f>BI31</f>
        <v>57539</v>
      </c>
      <c r="BJ56" s="175">
        <f>BJ31</f>
        <v>64565</v>
      </c>
      <c r="BK56" s="175">
        <f>BK31</f>
        <v>68187</v>
      </c>
      <c r="BM56" s="175">
        <f>BM31</f>
        <v>67019</v>
      </c>
      <c r="BN56" s="175">
        <f>BN31</f>
        <v>65286</v>
      </c>
      <c r="BO56" s="175">
        <f>BO31</f>
        <v>80000</v>
      </c>
      <c r="BP56" s="175">
        <f>BP31</f>
        <v>79173</v>
      </c>
      <c r="BR56" s="175">
        <f>BR31</f>
        <v>74809</v>
      </c>
      <c r="BS56" s="175">
        <f>BS31</f>
        <v>68009</v>
      </c>
      <c r="BT56" s="175">
        <f>BT31</f>
        <v>74737</v>
      </c>
      <c r="BU56" s="175">
        <f>BU31</f>
        <v>77515</v>
      </c>
      <c r="BW56" s="175">
        <f>BW31</f>
        <v>92760.806789999988</v>
      </c>
      <c r="BX56" s="175">
        <f>BX31</f>
        <v>91898.128980000009</v>
      </c>
      <c r="BY56" s="175">
        <f>BY31</f>
        <v>94118.76096</v>
      </c>
      <c r="BZ56" s="175">
        <f>BZ31</f>
        <v>107966.99366399999</v>
      </c>
    </row>
    <row r="57" spans="2:79">
      <c r="C57" s="191" t="s">
        <v>142</v>
      </c>
      <c r="D57" s="191"/>
      <c r="E57" s="191"/>
      <c r="F57" s="191"/>
      <c r="G57" s="191"/>
      <c r="H57" s="191"/>
      <c r="I57" s="191"/>
      <c r="J57" s="324">
        <f>J56/E56-1</f>
        <v>0.27731609726069562</v>
      </c>
      <c r="K57" s="324">
        <f t="shared" ref="K57:W57" si="64">K56/F56-1</f>
        <v>0.34715960324616768</v>
      </c>
      <c r="L57" s="324">
        <f t="shared" si="64"/>
        <v>0.33507701249636734</v>
      </c>
      <c r="M57" s="324">
        <f t="shared" si="64"/>
        <v>2.4830171000234325E-2</v>
      </c>
      <c r="N57" s="324"/>
      <c r="O57" s="324">
        <f t="shared" si="64"/>
        <v>0.19445783132530114</v>
      </c>
      <c r="P57" s="324">
        <f t="shared" si="64"/>
        <v>0.11758143685854527</v>
      </c>
      <c r="Q57" s="324">
        <f t="shared" si="64"/>
        <v>8.6417065737919074E-2</v>
      </c>
      <c r="R57" s="324">
        <f t="shared" si="64"/>
        <v>0.22194285714285722</v>
      </c>
      <c r="S57" s="324"/>
      <c r="T57" s="324">
        <f t="shared" si="64"/>
        <v>0.13798668549525916</v>
      </c>
      <c r="U57" s="324">
        <f t="shared" si="64"/>
        <v>0.10301457376721901</v>
      </c>
      <c r="V57" s="324">
        <f t="shared" si="64"/>
        <v>0.11440593067521543</v>
      </c>
      <c r="W57" s="324">
        <f t="shared" si="64"/>
        <v>0.19958847736625507</v>
      </c>
      <c r="X57" s="192"/>
      <c r="Y57" s="192">
        <f>Y56/T56-1</f>
        <v>0.38840631093777689</v>
      </c>
      <c r="Z57" s="192">
        <f>Z56/U56-1</f>
        <v>0.42950226244343881</v>
      </c>
      <c r="AA57" s="192">
        <f t="shared" ref="AA57:AG57" si="65">AA56/V56-1</f>
        <v>0.58899676375404542</v>
      </c>
      <c r="AB57" s="192">
        <f t="shared" si="65"/>
        <v>0.56666146889131452</v>
      </c>
      <c r="AC57" s="192"/>
      <c r="AD57" s="192">
        <f t="shared" si="65"/>
        <v>0.39427987742594484</v>
      </c>
      <c r="AE57" s="192">
        <f t="shared" si="65"/>
        <v>0.50709040263357807</v>
      </c>
      <c r="AF57" s="192">
        <f t="shared" si="65"/>
        <v>0.55001131477709886</v>
      </c>
      <c r="AG57" s="192">
        <f t="shared" si="65"/>
        <v>0.39096247636110282</v>
      </c>
      <c r="AI57" s="192">
        <f>AI56/AD56-1</f>
        <v>0.25457875457875456</v>
      </c>
      <c r="AJ57" s="192">
        <f>AJ56/AE56-1</f>
        <v>0.23918339914307318</v>
      </c>
      <c r="AK57" s="192">
        <f>AK56/AF56-1</f>
        <v>0.27673552814074021</v>
      </c>
      <c r="AL57" s="192">
        <f>AL56/AG56-1</f>
        <v>0.24443649373881926</v>
      </c>
      <c r="AN57" s="192">
        <f>AN56/AI56-1</f>
        <v>0.30313868613138695</v>
      </c>
      <c r="AO57" s="192">
        <f>AO56/AJ56-1</f>
        <v>0.35532203389830519</v>
      </c>
      <c r="AP57" s="192">
        <f>AP56/AK56-1</f>
        <v>0.24974271012006866</v>
      </c>
      <c r="AQ57" s="192">
        <f>AQ56/AL56-1</f>
        <v>0.4191823356908746</v>
      </c>
      <c r="AS57" s="192">
        <f>AS56/AN56-1</f>
        <v>0.43572508822046707</v>
      </c>
      <c r="AT57" s="192">
        <f>AT56/AO56-1</f>
        <v>0.31589215146816074</v>
      </c>
      <c r="AU57" s="192">
        <f>AU56/AP56-1</f>
        <v>0.30510568213011258</v>
      </c>
      <c r="AV57" s="192">
        <f>AV56/AQ56-1</f>
        <v>0.29585511121915653</v>
      </c>
      <c r="AX57" s="192">
        <f>AX56/AS56-1</f>
        <v>0.28101591760299627</v>
      </c>
      <c r="AY57" s="192">
        <f>AY56/AT56-1</f>
        <v>0.26347601307686452</v>
      </c>
      <c r="AZ57" s="192">
        <f>AZ56/AU56-1</f>
        <v>0.29305570161601291</v>
      </c>
      <c r="BA57" s="192">
        <f>BA56/AV56-1</f>
        <v>0.36697620610949566</v>
      </c>
      <c r="BC57" s="192">
        <f>BC56/AX56-1</f>
        <v>0.4181209075681438</v>
      </c>
      <c r="BD57" s="192">
        <f>BD56/AY56-1</f>
        <v>0.55107259981346091</v>
      </c>
      <c r="BE57" s="192">
        <f>BE56/AZ56-1</f>
        <v>0.45943015154390432</v>
      </c>
      <c r="BF57" s="192">
        <f>BF56/BA56-1</f>
        <v>0.32241537053979874</v>
      </c>
      <c r="BH57" s="192">
        <f>BH56/BC56-1</f>
        <v>0.24735847435787295</v>
      </c>
      <c r="BI57" s="192">
        <f>BI56/BD56-1</f>
        <v>0.1161135142474734</v>
      </c>
      <c r="BJ57" s="192">
        <f>BJ56/BE56-1</f>
        <v>0.1993349927555077</v>
      </c>
      <c r="BK57" s="192">
        <f>BK56/BF56-1</f>
        <v>0.17937941054379403</v>
      </c>
      <c r="BM57" s="192">
        <f>BM56/BH56-1</f>
        <v>0.15386866843428249</v>
      </c>
      <c r="BN57" s="192">
        <f>BN56/BI56-1</f>
        <v>0.13463911433983911</v>
      </c>
      <c r="BO57" s="192">
        <f>BO56/BJ56-1</f>
        <v>0.23906141098118172</v>
      </c>
      <c r="BP57" s="192">
        <f>BP56/BK56-1</f>
        <v>0.16111575520260457</v>
      </c>
      <c r="BR57" s="192">
        <f>BR56/BM56-1</f>
        <v>0.11623569435533199</v>
      </c>
      <c r="BS57" s="192">
        <f>BS56/BN56-1</f>
        <v>4.1708789020616921E-2</v>
      </c>
      <c r="BT57" s="192">
        <f>BT56/BO56-1</f>
        <v>-6.5787499999999999E-2</v>
      </c>
      <c r="BU57" s="192">
        <f>BU56/BP56-1</f>
        <v>-2.094148257613071E-2</v>
      </c>
      <c r="BW57" s="192">
        <f>BW56/BR56-1</f>
        <v>0.23996854375810384</v>
      </c>
      <c r="BX57" s="192">
        <f>BX56/BS56-1</f>
        <v>0.35126422944022129</v>
      </c>
      <c r="BY57" s="192">
        <f>BY56/BT56-1</f>
        <v>0.25933287340942246</v>
      </c>
      <c r="BZ57" s="192">
        <f>BZ56/BU56-1</f>
        <v>0.3928529144552666</v>
      </c>
    </row>
    <row r="58" spans="2:79">
      <c r="C58" s="191" t="s">
        <v>143</v>
      </c>
      <c r="D58" s="191"/>
      <c r="E58" s="191"/>
      <c r="F58" s="323">
        <f>F56/E56-1</f>
        <v>2.4007386888273308E-2</v>
      </c>
      <c r="G58" s="323">
        <f t="shared" ref="G58:R58" si="66">G56/F56-1</f>
        <v>3.4265103697024291E-2</v>
      </c>
      <c r="H58" s="323">
        <f t="shared" si="66"/>
        <v>0.2406277244986923</v>
      </c>
      <c r="I58" s="323"/>
      <c r="J58" s="323">
        <f>J56/H56-1</f>
        <v>-2.7875380651206316E-2</v>
      </c>
      <c r="K58" s="323">
        <f t="shared" si="66"/>
        <v>8.0000000000000071E-2</v>
      </c>
      <c r="L58" s="323">
        <f t="shared" si="66"/>
        <v>2.4988844265952714E-2</v>
      </c>
      <c r="M58" s="323">
        <f t="shared" si="66"/>
        <v>-4.7670875054418804E-2</v>
      </c>
      <c r="N58" s="323"/>
      <c r="O58" s="323">
        <f>O56/M56-1</f>
        <v>0.1330285714285715</v>
      </c>
      <c r="P58" s="323">
        <f t="shared" si="66"/>
        <v>1.0490215856364671E-2</v>
      </c>
      <c r="Q58" s="323">
        <f t="shared" si="66"/>
        <v>-3.5935316430425468E-3</v>
      </c>
      <c r="R58" s="323">
        <f t="shared" si="66"/>
        <v>7.1128030454818747E-2</v>
      </c>
      <c r="S58" s="192"/>
      <c r="T58" s="192">
        <f>T56/R56-1</f>
        <v>5.5181444070332875E-2</v>
      </c>
      <c r="U58" s="192">
        <f>U56/T56-1</f>
        <v>-2.0563729835135658E-2</v>
      </c>
      <c r="V58" s="192">
        <f>V56/U56-1</f>
        <v>6.6968325791856298E-3</v>
      </c>
      <c r="W58" s="192">
        <f>W56/V56-1</f>
        <v>0.15300251708018697</v>
      </c>
      <c r="X58" s="192"/>
      <c r="Y58" s="192">
        <f>Y56/W56-1</f>
        <v>0.22126929674099483</v>
      </c>
      <c r="Z58" s="192">
        <f>Z56/Y56-1</f>
        <v>8.4269662921347965E-3</v>
      </c>
      <c r="AA58" s="192">
        <f>AA56/Z56-1</f>
        <v>0.11901747277791852</v>
      </c>
      <c r="AB58" s="192">
        <f>AB56/AA56-1</f>
        <v>0.136795655125594</v>
      </c>
      <c r="AC58" s="192"/>
      <c r="AD58" s="192">
        <f>AD56/AB56-1</f>
        <v>8.6891609435652439E-2</v>
      </c>
      <c r="AE58" s="192">
        <f>AE56/AD56-1</f>
        <v>9.0018315018314921E-2</v>
      </c>
      <c r="AF58" s="192">
        <f>AF56/AE56-1</f>
        <v>0.15088633117701411</v>
      </c>
      <c r="AG58" s="192">
        <f>AG56/AF56-1</f>
        <v>2.0147456018687393E-2</v>
      </c>
      <c r="AI58" s="192">
        <f>AI56/AG56-1</f>
        <v>-1.9677996422182487E-2</v>
      </c>
      <c r="AJ58" s="192">
        <f>AJ56/AI56-1</f>
        <v>7.6642335766423431E-2</v>
      </c>
      <c r="AK58" s="192">
        <f>AK56/AJ56-1</f>
        <v>0.18576271186440674</v>
      </c>
      <c r="AL58" s="192">
        <f>AL56/AK56-1</f>
        <v>-5.6603773584905648E-3</v>
      </c>
      <c r="AN58" s="192">
        <f>AN56/AL56-1</f>
        <v>2.6565464895635715E-2</v>
      </c>
      <c r="AO58" s="192">
        <f>AO56/AN56-1</f>
        <v>0.11975578334173531</v>
      </c>
      <c r="AP58" s="192">
        <f>AP56/AO56-1</f>
        <v>9.3392026411885265E-2</v>
      </c>
      <c r="AQ58" s="192">
        <f>AQ56/AP56-1</f>
        <v>0.12915179796870713</v>
      </c>
      <c r="AS58" s="192">
        <f>AS56/AQ56-1</f>
        <v>3.8531664033061963E-2</v>
      </c>
      <c r="AT58" s="192">
        <f>AT56/AS56-1</f>
        <v>2.6295255930087302E-2</v>
      </c>
      <c r="AU58" s="192">
        <f>AU56/AT56-1</f>
        <v>8.4429407739679219E-2</v>
      </c>
      <c r="AV58" s="192">
        <f>AV56/AU56-1</f>
        <v>0.12114838573982545</v>
      </c>
      <c r="AX58" s="192">
        <f>AX56/AV56-1</f>
        <v>2.6639152049526382E-2</v>
      </c>
      <c r="AY58" s="192">
        <f>AY56/AX56-1</f>
        <v>1.2243033348561028E-2</v>
      </c>
      <c r="AZ58" s="192">
        <f>AZ56/AY56-1</f>
        <v>0.10981737220567434</v>
      </c>
      <c r="BA58" s="192">
        <f>BA56/AZ56-1</f>
        <v>0.18524141296391683</v>
      </c>
      <c r="BC58" s="192">
        <f>BC56/BA56-1</f>
        <v>6.5050320219579127E-2</v>
      </c>
      <c r="BD58" s="192">
        <f>BD56/BC56-1</f>
        <v>0.10714285714285721</v>
      </c>
      <c r="BE58" s="192">
        <f>BE56/BD56-1</f>
        <v>4.424572769770907E-2</v>
      </c>
      <c r="BF58" s="192">
        <f>BF56/BE56-1</f>
        <v>7.3968124233755539E-2</v>
      </c>
      <c r="BH58" s="192">
        <f>BH56/BF56-1</f>
        <v>4.6008025460080315E-3</v>
      </c>
      <c r="BI58" s="192">
        <f>BI56/BH56-1</f>
        <v>-9.3488516235666896E-3</v>
      </c>
      <c r="BJ58" s="192">
        <f>BJ56/BI56-1</f>
        <v>0.12210848294200449</v>
      </c>
      <c r="BK58" s="192">
        <f>BK56/BJ56-1</f>
        <v>5.6098505382172981E-2</v>
      </c>
      <c r="BM58" s="192">
        <f>BM56/BK56-1</f>
        <v>-1.7129364834939209E-2</v>
      </c>
      <c r="BN58" s="192">
        <f>BN56/BM56-1</f>
        <v>-2.585833868007581E-2</v>
      </c>
      <c r="BO58" s="192">
        <f>BO56/BN56-1</f>
        <v>0.22537756946359089</v>
      </c>
      <c r="BP58" s="192">
        <f>BP56/BO56-1</f>
        <v>-1.0337499999999999E-2</v>
      </c>
      <c r="BR58" s="192">
        <f>BR56/BP56-1</f>
        <v>-5.5119800942240449E-2</v>
      </c>
      <c r="BS58" s="192">
        <f>BS56/BR56-1</f>
        <v>-9.0898153965431994E-2</v>
      </c>
      <c r="BT58" s="192">
        <f>BT56/BS56-1</f>
        <v>9.892808304783185E-2</v>
      </c>
      <c r="BU58" s="192">
        <f>BU56/BT56-1</f>
        <v>3.7170344006315581E-2</v>
      </c>
      <c r="BW58" s="192">
        <f>BW56/BU56-1</f>
        <v>0.19668202012513691</v>
      </c>
      <c r="BX58" s="192">
        <f>BX56/BW56-1</f>
        <v>-9.3000248688326348E-3</v>
      </c>
      <c r="BY58" s="192">
        <f>BY56/BX56-1</f>
        <v>2.4164060842667201E-2</v>
      </c>
      <c r="BZ58" s="192">
        <f>BZ56/BY56-1</f>
        <v>0.1471357310991952</v>
      </c>
    </row>
    <row r="60" spans="2:79">
      <c r="B60" s="105" t="s">
        <v>144</v>
      </c>
    </row>
    <row r="61" spans="2:79">
      <c r="C61" s="105" t="s">
        <v>130</v>
      </c>
      <c r="E61" s="197">
        <f>E8/'Income Statement'!E28</f>
        <v>0.28377689116150856</v>
      </c>
      <c r="F61" s="197">
        <f>F8/'Income Statement'!F28</f>
        <v>0.27462546772353763</v>
      </c>
      <c r="G61" s="197">
        <f>G8/'Income Statement'!G28</f>
        <v>0.25317794845966884</v>
      </c>
      <c r="H61" s="197">
        <f>H8/'Income Statement'!H28</f>
        <v>0.29778732328417168</v>
      </c>
      <c r="I61" s="197"/>
      <c r="J61" s="197">
        <f>J8/'Income Statement'!J28</f>
        <v>0.28919507790939986</v>
      </c>
      <c r="K61" s="197">
        <f>K8/'Income Statement'!K28</f>
        <v>0.27732719011749307</v>
      </c>
      <c r="L61" s="197">
        <f>L8/'Income Statement'!L28</f>
        <v>0.24294469221842363</v>
      </c>
      <c r="M61" s="197">
        <f>M8/'Income Statement'!M28</f>
        <v>0.29480491384434043</v>
      </c>
      <c r="N61" s="197"/>
      <c r="O61" s="197">
        <f>O8/'Income Statement'!O28</f>
        <v>0.27395567273626104</v>
      </c>
      <c r="P61" s="197">
        <f>P8/'Income Statement'!P28</f>
        <v>0.28754304233340083</v>
      </c>
      <c r="Q61" s="197">
        <f>Q8/'Income Statement'!Q28</f>
        <v>0.2986199698480807</v>
      </c>
      <c r="R61" s="197">
        <f>R8/'Income Statement'!R28</f>
        <v>0.29479380349437645</v>
      </c>
      <c r="S61" s="197"/>
      <c r="T61" s="197">
        <f>T8/'Income Statement'!T28</f>
        <v>0.28800290678469975</v>
      </c>
      <c r="U61" s="197">
        <f>U8/'Income Statement'!U28</f>
        <v>0.27251106560084559</v>
      </c>
      <c r="V61" s="197">
        <f>V8/'Income Statement'!V28</f>
        <v>0.28832037662216992</v>
      </c>
      <c r="W61" s="197">
        <f>W8/'Income Statement'!W28</f>
        <v>0.2932589570671329</v>
      </c>
      <c r="X61" s="197"/>
      <c r="Y61" s="197">
        <f>Y8/'Income Statement'!Y28</f>
        <v>0.32955412337235301</v>
      </c>
      <c r="Z61" s="197">
        <f>Z8/'Income Statement'!Z28</f>
        <v>0.27683485058890089</v>
      </c>
      <c r="AA61" s="197">
        <f>AA8/'Income Statement'!AA28</f>
        <v>0.31474793811917429</v>
      </c>
      <c r="AB61" s="197">
        <f>AB8/'Income Statement'!AB28</f>
        <v>0.31400004524170383</v>
      </c>
      <c r="AC61" s="197"/>
      <c r="AD61" s="197">
        <f>AD8/'Income Statement'!AD28</f>
        <v>0.32868932658357086</v>
      </c>
      <c r="AE61" s="197">
        <f>AE8/'Income Statement'!AE28</f>
        <v>0.34112766358664909</v>
      </c>
      <c r="AF61" s="197">
        <f>AF8/'Income Statement'!AF28</f>
        <v>0.34406261855793613</v>
      </c>
      <c r="AG61" s="197">
        <f>AG8/'Income Statement'!AG28</f>
        <v>0.34380809703445664</v>
      </c>
      <c r="AH61" s="197"/>
      <c r="AI61" s="197">
        <f>AI8/'Income Statement'!AI28</f>
        <v>0.31464222052457347</v>
      </c>
      <c r="AJ61" s="197">
        <f>AJ8/'Income Statement'!AJ28</f>
        <v>0.32995746073298432</v>
      </c>
      <c r="AK61" s="197">
        <f>AK8/'Income Statement'!AK28</f>
        <v>0.36602658336395932</v>
      </c>
      <c r="AL61" s="197">
        <f>AL8/'Income Statement'!AL28</f>
        <v>0.34280776940623486</v>
      </c>
      <c r="AN61" s="197">
        <f>AN8/'Income Statement'!AN28</f>
        <v>0.3466688132227857</v>
      </c>
      <c r="AO61" s="197">
        <f>AO8/'Income Statement'!AO28</f>
        <v>0.36356475024536389</v>
      </c>
      <c r="AP61" s="197">
        <f>AP8/'Income Statement'!AP28</f>
        <v>0.37492389786197761</v>
      </c>
      <c r="AQ61" s="197">
        <f>AQ8/'Income Statement'!AQ28</f>
        <v>0.40812676804352777</v>
      </c>
      <c r="AS61" s="197">
        <f>AS8/'Income Statement'!AS28</f>
        <v>0.42036850075719334</v>
      </c>
      <c r="AT61" s="197">
        <f>AT8/'Income Statement'!AT28</f>
        <v>0.39689554272887606</v>
      </c>
      <c r="AU61" s="197">
        <f>AU8/'Income Statement'!AU28</f>
        <v>0.37935493075804999</v>
      </c>
      <c r="AV61" s="197">
        <f>AV8/'Income Statement'!AV28</f>
        <v>0.38105329006529304</v>
      </c>
      <c r="AX61" s="197">
        <f>AX8/'Income Statement'!AX28</f>
        <v>0.37703978764450763</v>
      </c>
      <c r="AY61" s="197">
        <f>AY8/'Income Statement'!AY28</f>
        <v>0.37425407909195868</v>
      </c>
      <c r="AZ61" s="197">
        <f>AZ8/'Income Statement'!AZ28</f>
        <v>0.39126406096106991</v>
      </c>
      <c r="BA61" s="197">
        <f>BA8/'Income Statement'!BA28</f>
        <v>0.48232420693667588</v>
      </c>
      <c r="BC61" s="197">
        <f>BC8/'Income Statement'!BC28</f>
        <v>0.4262680753048797</v>
      </c>
      <c r="BD61" s="197">
        <f>BD8/'Income Statement'!BD28</f>
        <v>0.43766039011099261</v>
      </c>
      <c r="BE61" s="197">
        <f>BE8/'Income Statement'!BE28</f>
        <v>0.44481249558842806</v>
      </c>
      <c r="BF61" s="197">
        <f>BF8/'Income Statement'!BF28</f>
        <v>0.41994768292975593</v>
      </c>
      <c r="BG61" s="872"/>
      <c r="BH61" s="197">
        <f>BH8/'Income Statement'!BH28</f>
        <v>0.40324758857163784</v>
      </c>
      <c r="BI61" s="197">
        <f>BI8/'Income Statement'!BI28</f>
        <v>0.39689611543327857</v>
      </c>
      <c r="BJ61" s="197">
        <f>BJ8/'Income Statement'!BJ28</f>
        <v>0.41040394602464092</v>
      </c>
      <c r="BK61" s="197">
        <f>BK8/'Income Statement'!BK28</f>
        <v>0.40752608110030036</v>
      </c>
      <c r="BM61" s="197">
        <f>BM8/'Income Statement'!BM28</f>
        <v>0.41762276830897532</v>
      </c>
      <c r="BN61" s="197">
        <f>BN8/'Income Statement'!BN28</f>
        <v>0.41407297509580065</v>
      </c>
      <c r="BO61" s="197">
        <f>BO8/'Income Statement'!BO28</f>
        <v>0.44071889833523858</v>
      </c>
      <c r="BP61" s="197">
        <f>BP8/'Income Statement'!BP28</f>
        <v>0.41330653843393383</v>
      </c>
      <c r="BR61" s="871">
        <v>0.44</v>
      </c>
      <c r="BS61" s="871">
        <v>0.42</v>
      </c>
      <c r="BT61" s="871">
        <v>0.44</v>
      </c>
      <c r="BU61" s="871">
        <v>0.45</v>
      </c>
      <c r="BW61" s="871">
        <v>0.44</v>
      </c>
      <c r="BX61" s="871">
        <v>0.42</v>
      </c>
      <c r="BY61" s="871">
        <v>0.44</v>
      </c>
      <c r="BZ61" s="871">
        <v>0.45</v>
      </c>
    </row>
    <row r="62" spans="2:79">
      <c r="C62" s="105" t="s">
        <v>131</v>
      </c>
      <c r="E62" s="197">
        <f>E9/'Income Statement'!E28</f>
        <v>6.7103738288929557E-2</v>
      </c>
      <c r="F62" s="197">
        <f>F9/'Income Statement'!F28</f>
        <v>6.3216427026256544E-2</v>
      </c>
      <c r="G62" s="197">
        <f>G9/'Income Statement'!G28</f>
        <v>7.4064733825354126E-2</v>
      </c>
      <c r="H62" s="197">
        <f>H9/'Income Statement'!H28</f>
        <v>5.1555901219204135E-2</v>
      </c>
      <c r="I62" s="197"/>
      <c r="J62" s="197">
        <f>J9/'Income Statement'!J28</f>
        <v>0.11477822013987396</v>
      </c>
      <c r="K62" s="197">
        <f>K9/'Income Statement'!K28</f>
        <v>7.4200430422547037E-2</v>
      </c>
      <c r="L62" s="197">
        <f>L9/'Income Statement'!L28</f>
        <v>7.5481645201352546E-2</v>
      </c>
      <c r="M62" s="197">
        <f>M9/'Income Statement'!M28</f>
        <v>6.9831120912052513E-2</v>
      </c>
      <c r="N62" s="197"/>
      <c r="O62" s="197">
        <f>O9/'Income Statement'!O28</f>
        <v>0.10904671665156133</v>
      </c>
      <c r="P62" s="197">
        <f>P9/'Income Statement'!P28</f>
        <v>0.11257848896090743</v>
      </c>
      <c r="Q62" s="197">
        <f>Q9/'Income Statement'!Q28</f>
        <v>0.10537709227260428</v>
      </c>
      <c r="R62" s="197">
        <f>R9/'Income Statement'!R28</f>
        <v>6.9321638254226492E-2</v>
      </c>
      <c r="S62" s="197"/>
      <c r="T62" s="197">
        <f>T9/'Income Statement'!T28</f>
        <v>0.10471031247935522</v>
      </c>
      <c r="U62" s="197">
        <f>U9/'Income Statement'!U28</f>
        <v>0.13965779216489396</v>
      </c>
      <c r="V62" s="197">
        <f>V9/'Income Statement'!V28</f>
        <v>9.0345959674172263E-2</v>
      </c>
      <c r="W62" s="197">
        <f>W9/'Income Statement'!W28</f>
        <v>6.0611106485721419E-2</v>
      </c>
      <c r="X62" s="197"/>
      <c r="Y62" s="197">
        <f>Y9/'Income Statement'!Y28</f>
        <v>0.10256477706168618</v>
      </c>
      <c r="Z62" s="197">
        <f>Z9/'Income Statement'!Z28</f>
        <v>8.7177904644345008E-2</v>
      </c>
      <c r="AA62" s="197">
        <f>AA9/'Income Statement'!AA28</f>
        <v>9.9970718852179008E-2</v>
      </c>
      <c r="AB62" s="197">
        <f>AB9/'Income Statement'!AB28</f>
        <v>6.8043522519058069E-2</v>
      </c>
      <c r="AC62" s="197"/>
      <c r="AD62" s="197">
        <f>AD9/'Income Statement'!AD28</f>
        <v>0.10883992002382269</v>
      </c>
      <c r="AE62" s="197">
        <f>AE9/'Income Statement'!AE28</f>
        <v>0.14821798981708467</v>
      </c>
      <c r="AF62" s="197">
        <f>AF9/'Income Statement'!AF28</f>
        <v>9.60244404065414E-2</v>
      </c>
      <c r="AG62" s="197">
        <f>AG9/'Income Statement'!AG28</f>
        <v>8.735989025865025E-2</v>
      </c>
      <c r="AH62" s="197"/>
      <c r="AI62" s="197">
        <f>AI9/'Income Statement'!AI28</f>
        <v>0.12138188608776844</v>
      </c>
      <c r="AJ62" s="197">
        <f>AJ9/'Income Statement'!AJ28</f>
        <v>0.13803992146596858</v>
      </c>
      <c r="AK62" s="197">
        <f>AK9/'Income Statement'!AK28</f>
        <v>0.12192208746784271</v>
      </c>
      <c r="AL62" s="197">
        <f>AL9/'Income Statement'!AL28</f>
        <v>0.12461464021566324</v>
      </c>
      <c r="AN62" s="197">
        <f>AN9/'Income Statement'!AN28</f>
        <v>0.1303898682551182</v>
      </c>
      <c r="AO62" s="197">
        <f>AO9/'Income Statement'!AO28</f>
        <v>0.15543158220982489</v>
      </c>
      <c r="AP62" s="197">
        <f>AP9/'Income Statement'!AP28</f>
        <v>0.13298475569721496</v>
      </c>
      <c r="AQ62" s="197">
        <f>AQ9/'Income Statement'!AQ28</f>
        <v>0.11549591927424861</v>
      </c>
      <c r="AS62" s="197">
        <f>AS9/'Income Statement'!AS28</f>
        <v>0.14088002692242976</v>
      </c>
      <c r="AT62" s="197">
        <f>AT9/'Income Statement'!AT28</f>
        <v>0.17565536315536315</v>
      </c>
      <c r="AU62" s="197">
        <f>AU9/'Income Statement'!AU28</f>
        <v>0.14185459636357151</v>
      </c>
      <c r="AV62" s="197">
        <f>AV9/'Income Statement'!AV28</f>
        <v>0.12627751495484224</v>
      </c>
      <c r="AX62" s="197">
        <f>AX9/'Income Statement'!AX28</f>
        <v>0.14267997273030561</v>
      </c>
      <c r="AY62" s="197">
        <f>AY9/'Income Statement'!AY28</f>
        <v>0.15377446411929171</v>
      </c>
      <c r="AZ62" s="197">
        <f>AZ9/'Income Statement'!AZ28</f>
        <v>0.19318594163081229</v>
      </c>
      <c r="BA62" s="197">
        <f>BA9/'Income Statement'!BA28</f>
        <v>0.17478211280018893</v>
      </c>
      <c r="BC62" s="197">
        <f>BC9/'Income Statement'!BC28</f>
        <v>0.17799832582874212</v>
      </c>
      <c r="BD62" s="197">
        <f>BD9/'Income Statement'!BD28</f>
        <v>0.20310272359569548</v>
      </c>
      <c r="BE62" s="197">
        <f>BE9/'Income Statement'!BE28</f>
        <v>0.16436256566939933</v>
      </c>
      <c r="BF62" s="197">
        <f>BF9/'Income Statement'!BF28</f>
        <v>0.14260481413040871</v>
      </c>
      <c r="BG62" s="872"/>
      <c r="BH62" s="197">
        <f>BH9/'Income Statement'!BH28</f>
        <v>0.14657638974725209</v>
      </c>
      <c r="BI62" s="197">
        <f>BI9/'Income Statement'!BI28</f>
        <v>0.17262946312398489</v>
      </c>
      <c r="BJ62" s="197">
        <f>BJ9/'Income Statement'!BJ28</f>
        <v>0.16352100128202343</v>
      </c>
      <c r="BK62" s="197">
        <f>BK9/'Income Statement'!BK28</f>
        <v>0.14482435518819387</v>
      </c>
      <c r="BM62" s="197">
        <f>BM9/'Income Statement'!BM28</f>
        <v>0.14423302700295534</v>
      </c>
      <c r="BN62" s="197">
        <f>BN9/'Income Statement'!BN28</f>
        <v>0.16565775171965122</v>
      </c>
      <c r="BO62" s="197">
        <f>BO9/'Income Statement'!BO28</f>
        <v>0.18411549613524009</v>
      </c>
      <c r="BP62" s="197">
        <f>BP9/'Income Statement'!BP28</f>
        <v>0.1824445560898586</v>
      </c>
      <c r="BR62" s="871">
        <v>0.19</v>
      </c>
      <c r="BS62" s="871">
        <v>0.2</v>
      </c>
      <c r="BT62" s="871">
        <v>0.2</v>
      </c>
      <c r="BU62" s="871">
        <v>0.2</v>
      </c>
      <c r="BW62" s="871">
        <v>0.19</v>
      </c>
      <c r="BX62" s="871">
        <v>0.2</v>
      </c>
      <c r="BY62" s="871">
        <v>0.2</v>
      </c>
      <c r="BZ62" s="871">
        <v>0.2</v>
      </c>
    </row>
    <row r="63" spans="2:79">
      <c r="C63" s="105" t="s">
        <v>132</v>
      </c>
      <c r="E63" s="197">
        <f>E18/'Income Statement'!E28</f>
        <v>6.4310658651513128E-2</v>
      </c>
      <c r="F63" s="197">
        <f>F18/'Income Statement'!F28</f>
        <v>6.0554682730414165E-2</v>
      </c>
      <c r="G63" s="197">
        <f>G18/'Income Statement'!G28</f>
        <v>5.6597800764874778E-2</v>
      </c>
      <c r="H63" s="197">
        <f>H18/'Income Statement'!H28</f>
        <v>4.9202500208136435E-2</v>
      </c>
      <c r="I63" s="197"/>
      <c r="J63" s="197">
        <f>J18/'Income Statement'!J28</f>
        <v>6.1992794378190809E-2</v>
      </c>
      <c r="K63" s="197">
        <f>K18/'Income Statement'!K28</f>
        <v>8.0264651646449553E-2</v>
      </c>
      <c r="L63" s="197">
        <f>L18/'Income Statement'!L28</f>
        <v>9.9188192061073821E-2</v>
      </c>
      <c r="M63" s="197">
        <f>M18/'Income Statement'!M28</f>
        <v>0.14545682908331231</v>
      </c>
      <c r="N63" s="197"/>
      <c r="O63" s="197">
        <f>O18/'Income Statement'!O28</f>
        <v>0.19716569168657824</v>
      </c>
      <c r="P63" s="197">
        <f>P18/'Income Statement'!P28</f>
        <v>5.4689082438727971E-2</v>
      </c>
      <c r="Q63" s="197">
        <f>Q18/'Income Statement'!Q28</f>
        <v>5.1760794773667324E-2</v>
      </c>
      <c r="R63" s="197">
        <f>R18/'Income Statement'!R28</f>
        <v>5.0505765013793592E-2</v>
      </c>
      <c r="S63" s="197"/>
      <c r="T63" s="197">
        <f>T18/'Income Statement'!T28</f>
        <v>2.8506309044064215E-2</v>
      </c>
      <c r="U63" s="197">
        <f>U18/'Income Statement'!U28</f>
        <v>2.3419435819515097E-2</v>
      </c>
      <c r="V63" s="197">
        <f>V18/'Income Statement'!V28</f>
        <v>2.4777774336420231E-2</v>
      </c>
      <c r="W63" s="197">
        <f>W18/'Income Statement'!W28</f>
        <v>2.5920683817611635E-2</v>
      </c>
      <c r="X63" s="197"/>
      <c r="Y63" s="197">
        <f>Y18/'Income Statement'!Y28</f>
        <v>2.5358411153492043E-2</v>
      </c>
      <c r="Z63" s="197">
        <f>Z18/'Income Statement'!Z28</f>
        <v>2.3967494728179807E-2</v>
      </c>
      <c r="AA63" s="197">
        <f>AA18/'Income Statement'!AA28</f>
        <v>2.9891171733931972E-2</v>
      </c>
      <c r="AB63" s="197">
        <f>AB18/'Income Statement'!AB28</f>
        <v>4.9833736738525571E-2</v>
      </c>
      <c r="AC63" s="197"/>
      <c r="AD63" s="197">
        <f>AD18/'Income Statement'!AD28</f>
        <v>4.8411111583783556E-2</v>
      </c>
      <c r="AE63" s="197">
        <f>AE18/'Income Statement'!AE28</f>
        <v>4.6074548997422846E-2</v>
      </c>
      <c r="AF63" s="197">
        <f>AF18/'Income Statement'!AF28</f>
        <v>4.7223497933347978E-2</v>
      </c>
      <c r="AG63" s="197">
        <f>AG18/'Income Statement'!AG28</f>
        <v>4.6964965796076022E-2</v>
      </c>
      <c r="AH63" s="197"/>
      <c r="AI63" s="197">
        <f>AI18/'Income Statement'!AI28</f>
        <v>1.9013666072489603E-2</v>
      </c>
      <c r="AJ63" s="197">
        <f>AJ18/'Income Statement'!AJ28</f>
        <v>1.6786649214659687E-2</v>
      </c>
      <c r="AK63" s="197">
        <f>AK18/'Income Statement'!AK28</f>
        <v>1.4731103760872229E-2</v>
      </c>
      <c r="AL63" s="197">
        <f>AL18/'Income Statement'!AL28</f>
        <v>1.1557337388539434E-2</v>
      </c>
      <c r="AN63" s="197">
        <f>AN18/'Income Statement'!AN28</f>
        <v>1.2557353296305241E-2</v>
      </c>
      <c r="AO63" s="197">
        <f>AO18/'Income Statement'!AO28</f>
        <v>1.2913890180277906E-2</v>
      </c>
      <c r="AP63" s="197">
        <f>AP18/'Income Statement'!AP28</f>
        <v>1.3131349305829125E-2</v>
      </c>
      <c r="AQ63" s="197">
        <f>AQ18/'Income Statement'!AQ28</f>
        <v>1.2832879919360957E-2</v>
      </c>
      <c r="AS63" s="197">
        <f>AS18/'Income Statement'!AS28</f>
        <v>3.4872959784620565E-2</v>
      </c>
      <c r="AT63" s="197">
        <f>AT18/'Income Statement'!AT28</f>
        <v>2.7948132114798782E-2</v>
      </c>
      <c r="AU63" s="197">
        <f>AU18/'Income Statement'!AU28</f>
        <v>2.9052192290200902E-2</v>
      </c>
      <c r="AV63" s="197">
        <f>AV18/'Income Statement'!AV28</f>
        <v>2.5303984048168277E-2</v>
      </c>
      <c r="AX63" s="197">
        <f>AX18/'Income Statement'!AX28</f>
        <v>2.2736832944111631E-2</v>
      </c>
      <c r="AY63" s="197">
        <f>AY18/'Income Statement'!AY28</f>
        <v>2.1483913146290914E-2</v>
      </c>
      <c r="AZ63" s="197">
        <f>AZ18/'Income Statement'!AZ28</f>
        <v>3.5197760613757713E-2</v>
      </c>
      <c r="BA63" s="197">
        <f>BA18/'Income Statement'!BA28</f>
        <v>6.8381730309506394E-2</v>
      </c>
      <c r="BC63" s="197">
        <f>BC18/'Income Statement'!BC28</f>
        <v>6.4275045547306286E-2</v>
      </c>
      <c r="BD63" s="197">
        <f>BD18/'Income Statement'!BD28</f>
        <v>6.2762036518782149E-2</v>
      </c>
      <c r="BE63" s="197">
        <f>BE18/'Income Statement'!BE28</f>
        <v>6.0315011444878039E-2</v>
      </c>
      <c r="BF63" s="197">
        <f>BF18/'Income Statement'!BF28</f>
        <v>5.3070628044829489E-2</v>
      </c>
      <c r="BG63" s="872"/>
      <c r="BH63" s="197">
        <f>BH18/'Income Statement'!BH28</f>
        <v>6.9767761251424878E-2</v>
      </c>
      <c r="BI63" s="197">
        <f>BI18/'Income Statement'!BI28</f>
        <v>7.7749661255731739E-2</v>
      </c>
      <c r="BJ63" s="197">
        <f>BJ18/'Income Statement'!BJ28</f>
        <v>7.2154016644575297E-2</v>
      </c>
      <c r="BK63" s="197">
        <f>BK18/'Income Statement'!BK28</f>
        <v>6.7760664597468434E-2</v>
      </c>
      <c r="BM63" s="197">
        <f>BM18/'Income Statement'!BM28</f>
        <v>6.7479049431197119E-2</v>
      </c>
      <c r="BN63" s="197">
        <f>BN18/'Income Statement'!BN28</f>
        <v>7.0432312782145776E-2</v>
      </c>
      <c r="BO63" s="197">
        <f>BO18/'Income Statement'!BO28</f>
        <v>6.7245308158769335E-2</v>
      </c>
      <c r="BP63" s="197">
        <f>BP18/'Income Statement'!BP28</f>
        <v>4.8029857173616596E-2</v>
      </c>
      <c r="BR63" s="871">
        <v>6.5000000000000002E-2</v>
      </c>
      <c r="BS63" s="871">
        <v>7.0000000000000007E-2</v>
      </c>
      <c r="BT63" s="871">
        <v>7.0000000000000007E-2</v>
      </c>
      <c r="BU63" s="871">
        <v>6.5000000000000002E-2</v>
      </c>
      <c r="BW63" s="871">
        <v>6.5000000000000002E-2</v>
      </c>
      <c r="BX63" s="871">
        <v>7.0000000000000007E-2</v>
      </c>
      <c r="BY63" s="871">
        <v>7.0000000000000007E-2</v>
      </c>
      <c r="BZ63" s="871">
        <v>6.5000000000000002E-2</v>
      </c>
    </row>
    <row r="64" spans="2:79">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N64" s="197"/>
      <c r="AO64" s="197"/>
      <c r="AP64" s="197"/>
      <c r="AQ64" s="197"/>
      <c r="AS64" s="197"/>
      <c r="AT64" s="197"/>
      <c r="AU64" s="197"/>
      <c r="AV64" s="197"/>
      <c r="AX64" s="197"/>
      <c r="AY64" s="197"/>
      <c r="AZ64" s="197"/>
      <c r="BA64" s="197"/>
      <c r="BC64" s="197"/>
      <c r="BD64" s="197"/>
      <c r="BE64" s="197"/>
      <c r="BF64" s="197"/>
      <c r="BG64" s="872"/>
      <c r="BH64" s="197"/>
      <c r="BI64" s="197"/>
      <c r="BJ64" s="197"/>
      <c r="BK64" s="197"/>
      <c r="BM64" s="197"/>
      <c r="BN64" s="197"/>
      <c r="BO64" s="197"/>
      <c r="BP64" s="197"/>
      <c r="BR64" s="872"/>
      <c r="BS64" s="872"/>
      <c r="BT64" s="872"/>
      <c r="BU64" s="872"/>
      <c r="BW64" s="872"/>
      <c r="BX64" s="872"/>
      <c r="BY64" s="872"/>
      <c r="BZ64" s="872"/>
    </row>
    <row r="65" spans="2:78">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N65" s="197"/>
      <c r="AO65" s="197"/>
      <c r="AP65" s="197"/>
      <c r="AQ65" s="197"/>
      <c r="AS65" s="197"/>
      <c r="AT65" s="197"/>
      <c r="AU65" s="197"/>
      <c r="AV65" s="197"/>
      <c r="AX65" s="197"/>
      <c r="AY65" s="197"/>
      <c r="AZ65" s="197"/>
      <c r="BA65" s="197"/>
      <c r="BC65" s="197"/>
      <c r="BD65" s="197"/>
      <c r="BE65" s="197"/>
      <c r="BF65" s="197"/>
      <c r="BG65" s="872"/>
      <c r="BH65" s="197"/>
      <c r="BI65" s="197"/>
      <c r="BJ65" s="197"/>
      <c r="BK65" s="197"/>
      <c r="BM65" s="197"/>
      <c r="BN65" s="197"/>
      <c r="BO65" s="197"/>
      <c r="BP65" s="197"/>
      <c r="BR65" s="872"/>
      <c r="BS65" s="872"/>
      <c r="BT65" s="872"/>
      <c r="BU65" s="872"/>
      <c r="BW65" s="872"/>
      <c r="BX65" s="872"/>
      <c r="BY65" s="872"/>
      <c r="BZ65" s="872"/>
    </row>
    <row r="66" spans="2:78">
      <c r="B66" s="105" t="s">
        <v>145</v>
      </c>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N66" s="197"/>
      <c r="AO66" s="197"/>
      <c r="AP66" s="197"/>
      <c r="AQ66" s="197"/>
      <c r="AS66" s="197"/>
      <c r="AT66" s="197"/>
      <c r="AU66" s="197"/>
      <c r="AV66" s="197"/>
      <c r="AX66" s="197"/>
      <c r="AY66" s="197"/>
      <c r="AZ66" s="197"/>
      <c r="BA66" s="197"/>
      <c r="BC66" s="197"/>
      <c r="BD66" s="197"/>
      <c r="BE66" s="197"/>
      <c r="BF66" s="197"/>
      <c r="BG66" s="872"/>
      <c r="BH66" s="197"/>
      <c r="BI66" s="197"/>
      <c r="BJ66" s="197"/>
      <c r="BK66" s="197"/>
      <c r="BM66" s="197"/>
      <c r="BN66" s="197"/>
      <c r="BO66" s="197"/>
      <c r="BP66" s="197"/>
      <c r="BR66" s="872"/>
      <c r="BS66" s="872"/>
      <c r="BT66" s="872"/>
      <c r="BU66" s="872"/>
      <c r="BW66" s="872"/>
      <c r="BX66" s="872"/>
      <c r="BY66" s="872"/>
      <c r="BZ66" s="872"/>
    </row>
    <row r="67" spans="2:78">
      <c r="C67" s="105" t="s">
        <v>181</v>
      </c>
      <c r="E67" s="197">
        <f>E23/'Income Statement'!E28</f>
        <v>0.15096595440235766</v>
      </c>
      <c r="F67" s="197">
        <f>F23/'Income Statement'!F28</f>
        <v>0.19796723200327707</v>
      </c>
      <c r="G67" s="197">
        <f>G23/'Income Statement'!G28</f>
        <v>0.114368293148651</v>
      </c>
      <c r="H67" s="197">
        <f>H23/'Income Statement'!H28</f>
        <v>0.25444096047566883</v>
      </c>
      <c r="I67" s="197"/>
      <c r="J67" s="197">
        <f>J23/'Income Statement'!J28</f>
        <v>0.24943598615629856</v>
      </c>
      <c r="K67" s="197">
        <f>K23/'Income Statement'!K28</f>
        <v>0.20559189027376817</v>
      </c>
      <c r="L67" s="197">
        <f>L23/'Income Statement'!L28</f>
        <v>0.14977796305971902</v>
      </c>
      <c r="M67" s="197">
        <f>M23/'Income Statement'!M28</f>
        <v>0.18212768422004733</v>
      </c>
      <c r="N67" s="197"/>
      <c r="O67" s="197">
        <f>O23/'Income Statement'!O28</f>
        <v>0.15460987064348686</v>
      </c>
      <c r="P67" s="197">
        <f>P23/'Income Statement'!P28</f>
        <v>0.13664168523394774</v>
      </c>
      <c r="Q67" s="197">
        <f>Q23/'Income Statement'!Q28</f>
        <v>0.11040241215354285</v>
      </c>
      <c r="R67" s="197">
        <f>R23/'Income Statement'!R28</f>
        <v>0.14780363584919007</v>
      </c>
      <c r="S67" s="197"/>
      <c r="T67" s="197">
        <f>T23/'Income Statement'!T28</f>
        <v>8.3933408205060442E-2</v>
      </c>
      <c r="U67" s="197">
        <f>U23/'Income Statement'!U28</f>
        <v>9.1365528175992597E-2</v>
      </c>
      <c r="V67" s="197">
        <f>V23/'Income Statement'!V28</f>
        <v>8.8735404342304952E-2</v>
      </c>
      <c r="W67" s="197">
        <f>W23/'Income Statement'!W28</f>
        <v>7.1295756667499238E-2</v>
      </c>
      <c r="X67" s="197"/>
      <c r="Y67" s="197">
        <f>Y23/'Income Statement'!Y28</f>
        <v>8.8807049848743921E-2</v>
      </c>
      <c r="Z67" s="197">
        <f>Z23/'Income Statement'!Z28</f>
        <v>7.7251452965077405E-2</v>
      </c>
      <c r="AA67" s="197">
        <f>AA23/'Income Statement'!AA28</f>
        <v>8.806305207164121E-2</v>
      </c>
      <c r="AB67" s="197">
        <f>AB23/'Income Statement'!AB28</f>
        <v>7.6141787499717242E-2</v>
      </c>
      <c r="AC67" s="197"/>
      <c r="AD67" s="197">
        <f>AD23/'Income Statement'!AD28</f>
        <v>7.2191262177223811E-2</v>
      </c>
      <c r="AE67" s="197">
        <f>AE23/'Income Statement'!AE28</f>
        <v>9.6088168122865469E-2</v>
      </c>
      <c r="AF67" s="197">
        <f>AF23/'Income Statement'!AF28</f>
        <v>9.5585152053673045E-2</v>
      </c>
      <c r="AG67" s="197">
        <f>AG23/'Income Statement'!AG28</f>
        <v>7.746872913019151E-2</v>
      </c>
      <c r="AH67" s="197"/>
      <c r="AI67" s="197">
        <f>AI23/'Income Statement'!AI28</f>
        <v>9.3065104829810716E-2</v>
      </c>
      <c r="AJ67" s="197">
        <f>AJ23/'Income Statement'!AJ28</f>
        <v>9.8740183246073296E-2</v>
      </c>
      <c r="AK67" s="197">
        <f>AK23/'Income Statement'!AK28</f>
        <v>6.9337253460737477E-2</v>
      </c>
      <c r="AL67" s="197">
        <f>AL23/'Income Statement'!AL28</f>
        <v>9.6910209442178749E-2</v>
      </c>
      <c r="AN67" s="197">
        <f>AN23/'Income Statement'!AN28</f>
        <v>9.7037752555743373E-2</v>
      </c>
      <c r="AO67" s="197">
        <f>AO23/'Income Statement'!AO28</f>
        <v>9.7293248618213757E-2</v>
      </c>
      <c r="AP67" s="197">
        <f>AP23/'Income Statement'!AP28</f>
        <v>8.0662297508624914E-2</v>
      </c>
      <c r="AQ67" s="197">
        <f>AQ23/'Income Statement'!AQ28</f>
        <v>0.11007662876776173</v>
      </c>
      <c r="AS67" s="197">
        <f>AS23/'Income Statement'!AS28</f>
        <v>8.7992175668854117E-2</v>
      </c>
      <c r="AT67" s="197">
        <f>AT23/'Income Statement'!AT28</f>
        <v>0.1207010582010582</v>
      </c>
      <c r="AU67" s="197">
        <f>AU23/'Income Statement'!AU28</f>
        <v>0.11439858038397403</v>
      </c>
      <c r="AV67" s="197">
        <f>AV23/'Income Statement'!AV28</f>
        <v>0.13406576220823396</v>
      </c>
      <c r="AX67" s="197">
        <f>AX23/'Income Statement'!AX28</f>
        <v>0.11644739704965115</v>
      </c>
      <c r="AY67" s="197">
        <f>AY23/'Income Statement'!AY28</f>
        <v>0.12263009277934651</v>
      </c>
      <c r="AZ67" s="197">
        <f>AZ23/'Income Statement'!AZ28</f>
        <v>0.13821211964128349</v>
      </c>
      <c r="BA67" s="197">
        <f>BA23/'Income Statement'!BA28</f>
        <v>0.11814584185392774</v>
      </c>
      <c r="BC67" s="197">
        <f>BC23/'Income Statement'!BC28</f>
        <v>0.17497278103918984</v>
      </c>
      <c r="BD67" s="197">
        <f>BD23/'Income Statement'!BD28</f>
        <v>0.13692431170861011</v>
      </c>
      <c r="BE67" s="197">
        <f>BE23/'Income Statement'!BE28</f>
        <v>0.10664912121487129</v>
      </c>
      <c r="BF67" s="197">
        <f>BF23/'Income Statement'!BF28</f>
        <v>0.1134128488804627</v>
      </c>
      <c r="BG67" s="872"/>
      <c r="BH67" s="197">
        <f>BH23/'Income Statement'!BH28</f>
        <v>0.1028250449782319</v>
      </c>
      <c r="BI67" s="197">
        <f>BI23/'Income Statement'!BI28</f>
        <v>0.10447680835599106</v>
      </c>
      <c r="BJ67" s="197">
        <f>BJ23/'Income Statement'!BJ28</f>
        <v>0.1239781838725799</v>
      </c>
      <c r="BK67" s="197">
        <f>BK23/'Income Statement'!BK28</f>
        <v>0.10206138993231881</v>
      </c>
      <c r="BM67" s="197">
        <f>BM23/'Income Statement'!BM28</f>
        <v>0.1039269665195741</v>
      </c>
      <c r="BN67" s="197">
        <f>BN23/'Income Statement'!BN28</f>
        <v>0.11664669993573622</v>
      </c>
      <c r="BO67" s="197">
        <f>BO23/'Income Statement'!BO28</f>
        <v>0.12822978098432142</v>
      </c>
      <c r="BP67" s="197">
        <f>BP23/'Income Statement'!BP28</f>
        <v>9.4315653484533121E-2</v>
      </c>
      <c r="BR67" s="871">
        <v>0.12</v>
      </c>
      <c r="BS67" s="871">
        <v>0.13</v>
      </c>
      <c r="BT67" s="871">
        <v>0.14000000000000001</v>
      </c>
      <c r="BU67" s="871">
        <v>0.12</v>
      </c>
      <c r="BW67" s="871">
        <v>0.12</v>
      </c>
      <c r="BX67" s="871">
        <v>0.13</v>
      </c>
      <c r="BY67" s="871">
        <v>0.14000000000000001</v>
      </c>
      <c r="BZ67" s="871">
        <v>0.12</v>
      </c>
    </row>
    <row r="68" spans="2:78">
      <c r="C68" s="105" t="s">
        <v>177</v>
      </c>
      <c r="E68" s="197">
        <f>E24/'Income Statement'!E28</f>
        <v>0.20703702812349234</v>
      </c>
      <c r="F68" s="197">
        <f>F24/'Income Statement'!F28</f>
        <v>0.18845149614564055</v>
      </c>
      <c r="G68" s="197">
        <f>G24/'Income Statement'!G28</f>
        <v>0.2087391081644564</v>
      </c>
      <c r="H68" s="197">
        <f>H24/'Income Statement'!H28</f>
        <v>0.18991398856755665</v>
      </c>
      <c r="I68" s="197"/>
      <c r="J68" s="197">
        <f>J24/'Income Statement'!J28</f>
        <v>0.24519850400892856</v>
      </c>
      <c r="K68" s="197">
        <f>K24/'Income Statement'!K28</f>
        <v>0.23394089193022302</v>
      </c>
      <c r="L68" s="197">
        <f>L24/'Income Statement'!L28</f>
        <v>0.2173890347036441</v>
      </c>
      <c r="M68" s="197">
        <f>M24/'Income Statement'!M28</f>
        <v>0.2507745099258385</v>
      </c>
      <c r="N68" s="197"/>
      <c r="O68" s="197">
        <f>O24/'Income Statement'!O28</f>
        <v>0.32083710966466178</v>
      </c>
      <c r="P68" s="197">
        <f>P24/'Income Statement'!P28</f>
        <v>0.33024103706704477</v>
      </c>
      <c r="Q68" s="197">
        <f>Q24/'Income Statement'!Q28</f>
        <v>0.30066875410723259</v>
      </c>
      <c r="R68" s="197">
        <f>R24/'Income Statement'!R28</f>
        <v>0.25882436160430078</v>
      </c>
      <c r="S68" s="197"/>
      <c r="T68" s="197">
        <f>T24/'Income Statement'!T28</f>
        <v>0.2677875404637643</v>
      </c>
      <c r="U68" s="197">
        <f>U24/'Income Statement'!U28</f>
        <v>0.28796987514038447</v>
      </c>
      <c r="V68" s="197">
        <f>V24/'Income Statement'!V28</f>
        <v>0.24941927091399016</v>
      </c>
      <c r="W68" s="197">
        <f>W24/'Income Statement'!W28</f>
        <v>0.21954874698193322</v>
      </c>
      <c r="X68" s="197"/>
      <c r="Y68" s="197">
        <f>Y24/'Income Statement'!Y28</f>
        <v>0.25639878995133503</v>
      </c>
      <c r="Z68" s="197">
        <f>Z24/'Income Statement'!Z28</f>
        <v>0.23538034253973153</v>
      </c>
      <c r="AA68" s="197">
        <f>AA24/'Income Statement'!AA28</f>
        <v>0.25621004343370263</v>
      </c>
      <c r="AB68" s="197">
        <f>AB24/'Income Statement'!AB28</f>
        <v>0.2172506616599181</v>
      </c>
      <c r="AC68" s="197"/>
      <c r="AD68" s="197">
        <f>AD24/'Income Statement'!AD28</f>
        <v>0.27710894627132343</v>
      </c>
      <c r="AE68" s="197">
        <f>AE24/'Income Statement'!AE28</f>
        <v>0.21532884949818762</v>
      </c>
      <c r="AF68" s="197">
        <f>AF24/'Income Statement'!AF28</f>
        <v>0.23895289630798108</v>
      </c>
      <c r="AG68" s="197">
        <f>AG24/'Income Statement'!AG28</f>
        <v>0.21275021208237821</v>
      </c>
      <c r="AH68" s="197"/>
      <c r="AI68" s="197">
        <f>AI24/'Income Statement'!AI28</f>
        <v>0.23991172226466345</v>
      </c>
      <c r="AJ68" s="197">
        <f>AJ24/'Income Statement'!AJ28</f>
        <v>0.22275850785340315</v>
      </c>
      <c r="AK68" s="197">
        <f>AK24/'Income Statement'!AK28</f>
        <v>0.21658703907877006</v>
      </c>
      <c r="AL68" s="197">
        <f>AL24/'Income Statement'!AL28</f>
        <v>0.19037810188705329</v>
      </c>
      <c r="AN68" s="197">
        <f>AN24/'Income Statement'!AN28</f>
        <v>0.24101800423944833</v>
      </c>
      <c r="AO68" s="197">
        <f>AO24/'Income Statement'!AO28</f>
        <v>0.19273981094064777</v>
      </c>
      <c r="AP68" s="197">
        <f>AP24/'Income Statement'!AP28</f>
        <v>0.24043500578973129</v>
      </c>
      <c r="AQ68" s="197">
        <f>AQ24/'Income Statement'!AQ28</f>
        <v>0.19926731192352298</v>
      </c>
      <c r="AS68" s="197">
        <f>AS24/'Income Statement'!AS28</f>
        <v>0.26015901060070673</v>
      </c>
      <c r="AT68" s="197">
        <f>AT24/'Income Statement'!AT28</f>
        <v>0.34889570306236972</v>
      </c>
      <c r="AU68" s="197">
        <f>AU24/'Income Statement'!AU28</f>
        <v>0.36394603318976665</v>
      </c>
      <c r="AV68" s="197">
        <f>AV24/'Income Statement'!AV28</f>
        <v>0.34757790202134731</v>
      </c>
      <c r="AX68" s="197">
        <f>AX24/'Income Statement'!AX28</f>
        <v>0.38409654632221757</v>
      </c>
      <c r="AY68" s="197">
        <f>AY24/'Income Statement'!AY28</f>
        <v>0.51483495847880822</v>
      </c>
      <c r="AZ68" s="197">
        <f>AZ24/'Income Statement'!AZ28</f>
        <v>0.50480146182157482</v>
      </c>
      <c r="BA68" s="197">
        <f>BA24/'Income Statement'!BA28</f>
        <v>0.45263509582428468</v>
      </c>
      <c r="BC68" s="197">
        <f>BC24/'Income Statement'!BC28</f>
        <v>0.50012310082778466</v>
      </c>
      <c r="BD68" s="197">
        <f>BD24/'Income Statement'!BD28</f>
        <v>0.30041925843005141</v>
      </c>
      <c r="BE68" s="197">
        <f>BE24/'Income Statement'!BE28</f>
        <v>0.31824827822649765</v>
      </c>
      <c r="BF68" s="197">
        <f>BF24/'Income Statement'!BF28</f>
        <v>0.25482732966953853</v>
      </c>
      <c r="BG68" s="872"/>
      <c r="BH68" s="197">
        <f>BH24/'Income Statement'!BH28</f>
        <v>0.28472937524892533</v>
      </c>
      <c r="BI68" s="197">
        <f>BI24/'Income Statement'!BI28</f>
        <v>0.2640859288771637</v>
      </c>
      <c r="BJ68" s="197">
        <f>BJ24/'Income Statement'!BJ28</f>
        <v>0.21516698898329023</v>
      </c>
      <c r="BK68" s="197">
        <f>BK24/'Income Statement'!BK28</f>
        <v>0.25989492265604741</v>
      </c>
      <c r="BM68" s="197">
        <f>BM24/'Income Statement'!BM28</f>
        <v>0.32057406582729442</v>
      </c>
      <c r="BN68" s="197">
        <f>BN24/'Income Statement'!BN28</f>
        <v>0.30275382210832813</v>
      </c>
      <c r="BO68" s="197">
        <f>BO24/'Income Statement'!BO28</f>
        <v>0.31908684164704637</v>
      </c>
      <c r="BP68" s="197">
        <f>BP24/'Income Statement'!BP28</f>
        <v>0.30043780951697407</v>
      </c>
      <c r="BR68" s="871">
        <v>0.32</v>
      </c>
      <c r="BS68" s="871">
        <v>0.28000000000000003</v>
      </c>
      <c r="BT68" s="871">
        <v>0.27</v>
      </c>
      <c r="BU68" s="871">
        <v>0.25</v>
      </c>
      <c r="BW68" s="871">
        <v>0.32</v>
      </c>
      <c r="BX68" s="871">
        <v>0.28000000000000003</v>
      </c>
      <c r="BY68" s="871">
        <v>0.27</v>
      </c>
      <c r="BZ68" s="871">
        <v>0.25</v>
      </c>
    </row>
    <row r="69" spans="2:78">
      <c r="C69" s="105" t="s">
        <v>243</v>
      </c>
      <c r="E69" s="197">
        <f>E26/'Income Statement'!E28</f>
        <v>0</v>
      </c>
      <c r="F69" s="197">
        <f>F26/'Income Statement'!F28</f>
        <v>0</v>
      </c>
      <c r="G69" s="197">
        <f>G26/'Income Statement'!G28</f>
        <v>0</v>
      </c>
      <c r="H69" s="197">
        <f>H26/'Income Statement'!H28</f>
        <v>2.194683268460813E-2</v>
      </c>
      <c r="I69" s="197"/>
      <c r="J69" s="197">
        <f>J26/'Income Statement'!J28</f>
        <v>0.46873876593129932</v>
      </c>
      <c r="K69" s="197">
        <f>K26/'Income Statement'!K28</f>
        <v>0.41330379284532343</v>
      </c>
      <c r="L69" s="197">
        <f>L26/'Income Statement'!L28</f>
        <v>0.20240649708830025</v>
      </c>
      <c r="M69" s="197">
        <f>M26/'Income Statement'!M28</f>
        <v>0.17789805848339971</v>
      </c>
      <c r="N69" s="197"/>
      <c r="O69" s="197">
        <f>O26/'Income Statement'!O28</f>
        <v>0.17932767570239763</v>
      </c>
      <c r="P69" s="197">
        <f>P26/'Income Statement'!P28</f>
        <v>0.1766659914928094</v>
      </c>
      <c r="Q69" s="197">
        <f>Q26/'Income Statement'!Q28</f>
        <v>0.24856005257257721</v>
      </c>
      <c r="R69" s="197">
        <f>R26/'Income Statement'!R28</f>
        <v>0.25518143877767563</v>
      </c>
      <c r="S69" s="197"/>
      <c r="T69" s="197">
        <f>T26/'Income Statement'!T28</f>
        <v>0.24876131333817797</v>
      </c>
      <c r="U69" s="197">
        <f>U26/'Income Statement'!U28</f>
        <v>0.18689304353570721</v>
      </c>
      <c r="V69" s="197">
        <f>V26/'Income Statement'!V28</f>
        <v>0.17328955926533898</v>
      </c>
      <c r="W69" s="197">
        <f>W26/'Income Statement'!W28</f>
        <v>0.15774428995642883</v>
      </c>
      <c r="X69" s="197"/>
      <c r="Y69" s="197">
        <f>Y26/'Income Statement'!Y28</f>
        <v>0.15480731290280153</v>
      </c>
      <c r="Z69" s="197">
        <f>Z26/'Income Statement'!Z28</f>
        <v>0.15450290593015481</v>
      </c>
      <c r="AA69" s="197">
        <f>AA26/'Income Statement'!AA28</f>
        <v>0.14330681762725098</v>
      </c>
      <c r="AB69" s="197">
        <f>AB26/'Income Statement'!AB28</f>
        <v>6.2026375913316896E-2</v>
      </c>
      <c r="AC69" s="197"/>
      <c r="AD69" s="197">
        <f>AD26/'Income Statement'!AD28</f>
        <v>6.419364444633513E-2</v>
      </c>
      <c r="AE69" s="197">
        <f>AE26/'Income Statement'!AE28</f>
        <v>6.8326104720598399E-2</v>
      </c>
      <c r="AF69" s="197">
        <f>AF26/'Income Statement'!AF28</f>
        <v>2.2882929653960583E-2</v>
      </c>
      <c r="AG69" s="197">
        <f>AG26/'Income Statement'!AG28</f>
        <v>2.0775048282583974E-2</v>
      </c>
      <c r="AH69" s="197"/>
      <c r="AI69" s="197">
        <f>AI26/'Income Statement'!AI28</f>
        <v>2.2595704948646125E-2</v>
      </c>
      <c r="AJ69" s="197">
        <f>AJ26/'Income Statement'!AJ28</f>
        <v>2.679973821989529E-2</v>
      </c>
      <c r="AK69" s="197">
        <f>AK26/'Income Statement'!AK28</f>
        <v>2.5741149087345337E-2</v>
      </c>
      <c r="AL69" s="197">
        <f>AL26/'Income Statement'!AL28</f>
        <v>1.9824428008571232E-2</v>
      </c>
      <c r="AN69" s="197">
        <f>AN26/'Income Statement'!AN28</f>
        <v>1.8084735302798572E-2</v>
      </c>
      <c r="AO69" s="197">
        <f>AO26/'Income Statement'!AO28</f>
        <v>2.0365204814298259E-2</v>
      </c>
      <c r="AP69" s="197">
        <f>AP26/'Income Statement'!AP28</f>
        <v>2.3648366340770451E-2</v>
      </c>
      <c r="AQ69" s="197">
        <f>AQ26/'Income Statement'!AQ28</f>
        <v>2.496125207287862E-2</v>
      </c>
      <c r="AS69" s="197">
        <f>AS26/'Income Statement'!AS28</f>
        <v>1.8446071007908463E-2</v>
      </c>
      <c r="AT69" s="197">
        <f>AT26/'Income Statement'!AT28</f>
        <v>1.6734808401475069E-2</v>
      </c>
      <c r="AU69" s="197">
        <f>AU26/'Income Statement'!AU28</f>
        <v>2.284583076964233E-2</v>
      </c>
      <c r="AV69" s="197">
        <f>AV26/'Income Statement'!AV28</f>
        <v>2.9284122453767058E-2</v>
      </c>
      <c r="AX69" s="197">
        <f>AX26/'Income Statement'!AX28</f>
        <v>3.6436953336911271E-2</v>
      </c>
      <c r="AY69" s="197">
        <f>AY26/'Income Statement'!AY28</f>
        <v>3.5734653850968828E-2</v>
      </c>
      <c r="AZ69" s="197">
        <f>AZ26/'Income Statement'!AZ28</f>
        <v>1.5680887460473795E-3</v>
      </c>
      <c r="BA69" s="197">
        <f>BA26/'Income Statement'!BA28</f>
        <v>1.3145237011733939E-2</v>
      </c>
      <c r="BC69" s="197">
        <f>BC26/'Income Statement'!BC28</f>
        <v>9.0273940375430167E-3</v>
      </c>
      <c r="BD69" s="197">
        <f>BD26/'Income Statement'!BD28</f>
        <v>0</v>
      </c>
      <c r="BE69" s="197">
        <f>BE26/'Income Statement'!BE28</f>
        <v>2.2133486603946716E-3</v>
      </c>
      <c r="BF69" s="197">
        <f>BF26/'Income Statement'!BF28</f>
        <v>1.1860135832393386E-2</v>
      </c>
      <c r="BG69" s="872"/>
      <c r="BH69" s="197">
        <f>BH26/'Income Statement'!BH28</f>
        <v>1.5381868622361392E-2</v>
      </c>
      <c r="BI69" s="197">
        <f>BI26/'Income Statement'!BI28</f>
        <v>1.5182921904864458E-2</v>
      </c>
      <c r="BJ69" s="197">
        <f>BJ26/'Income Statement'!BJ28</f>
        <v>1.4497729297494622E-2</v>
      </c>
      <c r="BK69" s="197">
        <f>BK26/'Income Statement'!BK28</f>
        <v>0</v>
      </c>
      <c r="BM69" s="197">
        <f>BM26/'Income Statement'!BM28</f>
        <v>0</v>
      </c>
      <c r="BN69" s="197">
        <f>BN26/'Income Statement'!BN28</f>
        <v>0</v>
      </c>
      <c r="BO69" s="197">
        <f>BO26/'Income Statement'!BO28</f>
        <v>0</v>
      </c>
      <c r="BP69" s="197">
        <f>BP26/'Income Statement'!BP28</f>
        <v>0</v>
      </c>
      <c r="BR69" s="871">
        <v>0.02</v>
      </c>
      <c r="BS69" s="871">
        <v>0.02</v>
      </c>
      <c r="BT69" s="871">
        <v>0.02</v>
      </c>
      <c r="BU69" s="871">
        <v>0.02</v>
      </c>
      <c r="BW69" s="871">
        <v>0.02</v>
      </c>
      <c r="BX69" s="871">
        <v>0.02</v>
      </c>
      <c r="BY69" s="871">
        <v>0.02</v>
      </c>
      <c r="BZ69" s="871">
        <v>0.02</v>
      </c>
    </row>
    <row r="70" spans="2:78">
      <c r="C70" s="327" t="s">
        <v>199</v>
      </c>
      <c r="E70" s="197">
        <f>E28/'Income Statement'!E28</f>
        <v>4.9158201618529039E-2</v>
      </c>
      <c r="F70" s="197">
        <f>F28/'Income Statement'!F28</f>
        <v>5.2902167879867318E-2</v>
      </c>
      <c r="G70" s="197">
        <f>G28/'Income Statement'!G28</f>
        <v>1.9565433852197715E-2</v>
      </c>
      <c r="H70" s="197">
        <f>H28/'Income Statement'!H28</f>
        <v>5.7466768874909072E-3</v>
      </c>
      <c r="I70" s="197"/>
      <c r="J70" s="197">
        <f>J28/'Income Statement'!J28</f>
        <v>3.9235945808981524E-3</v>
      </c>
      <c r="K70" s="197">
        <f>K28/'Income Statement'!K28</f>
        <v>3.8456037029625705E-3</v>
      </c>
      <c r="L70" s="197">
        <f>L28/'Income Statement'!L28</f>
        <v>3.6508082163970762E-3</v>
      </c>
      <c r="M70" s="197">
        <f>M28/'Income Statement'!M28</f>
        <v>4.1450332219146865E-3</v>
      </c>
      <c r="N70" s="197"/>
      <c r="O70" s="197">
        <f>O28/'Income Statement'!O28</f>
        <v>3.7076707588366152E-3</v>
      </c>
      <c r="P70" s="197">
        <f>P28/'Income Statement'!P28</f>
        <v>5.1448247923840387E-3</v>
      </c>
      <c r="Q70" s="197">
        <f>Q28/'Income Statement'!Q28</f>
        <v>1.005063976187715E-2</v>
      </c>
      <c r="R70" s="197">
        <f>R28/'Income Statement'!R28</f>
        <v>1.050435028648228E-2</v>
      </c>
      <c r="S70" s="197"/>
      <c r="T70" s="197">
        <f>T28/'Income Statement'!T28</f>
        <v>4.0331637708925151E-2</v>
      </c>
      <c r="U70" s="197">
        <f>U28/'Income Statement'!U28</f>
        <v>2.8506309044064215E-2</v>
      </c>
      <c r="V70" s="197">
        <f>V28/'Income Statement'!V28</f>
        <v>3.20872177656642E-2</v>
      </c>
      <c r="W70" s="197">
        <f>W28/'Income Statement'!W28</f>
        <v>3.5023450725723645E-2</v>
      </c>
      <c r="X70" s="197"/>
      <c r="Y70" s="197">
        <f>Y28/'Income Statement'!Y28</f>
        <v>3.0698408522951467E-2</v>
      </c>
      <c r="Z70" s="197">
        <f>Z28/'Income Statement'!Z28</f>
        <v>3.1245178213238699E-2</v>
      </c>
      <c r="AA70" s="197">
        <f>AA28/'Income Statement'!AA28</f>
        <v>3.1892050168366597E-2</v>
      </c>
      <c r="AB70" s="197">
        <f>AB28/'Income Statement'!AB28</f>
        <v>3.0470287511027667E-2</v>
      </c>
      <c r="AC70" s="197"/>
      <c r="AD70" s="197">
        <f>AD28/'Income Statement'!AD28</f>
        <v>2.4205555791891778E-2</v>
      </c>
      <c r="AE70" s="197">
        <f>AE28/'Income Statement'!AE28</f>
        <v>2.495442831101892E-2</v>
      </c>
      <c r="AF70" s="197">
        <f>AF28/'Income Statement'!AF28</f>
        <v>2.3442023921247578E-2</v>
      </c>
      <c r="AG70" s="197">
        <f>AG28/'Income Statement'!AG28</f>
        <v>2.3933722000613684E-2</v>
      </c>
      <c r="AH70" s="197"/>
      <c r="AI70" s="197">
        <f>AI28/'Income Statement'!AI28</f>
        <v>1.8623206858500975E-2</v>
      </c>
      <c r="AJ70" s="197">
        <f>AJ28/'Income Statement'!AJ28</f>
        <v>1.9649869109947645E-2</v>
      </c>
      <c r="AK70" s="197">
        <f>AK28/'Income Statement'!AK28</f>
        <v>2.0243782922944997E-2</v>
      </c>
      <c r="AL70" s="197">
        <f>AL28/'Income Statement'!AL28</f>
        <v>2.4068569848620998E-2</v>
      </c>
      <c r="AN70" s="197">
        <f>AN28/'Income Statement'!AN28</f>
        <v>1.883602994445786E-2</v>
      </c>
      <c r="AO70" s="197">
        <f>AO28/'Income Statement'!AO28</f>
        <v>1.6348984968231828E-2</v>
      </c>
      <c r="AP70" s="197">
        <f>AP28/'Income Statement'!AP28</f>
        <v>1.7130442048967996E-2</v>
      </c>
      <c r="AQ70" s="197">
        <f>AQ28/'Income Statement'!AQ28</f>
        <v>2.0430725209455578E-2</v>
      </c>
      <c r="AS70" s="197">
        <f>AS28/'Income Statement'!AS28</f>
        <v>1.8120057210163219E-2</v>
      </c>
      <c r="AT70" s="197">
        <f>AT28/'Income Statement'!AT28</f>
        <v>1.5682619849286514E-2</v>
      </c>
      <c r="AU70" s="197">
        <f>AU28/'Income Statement'!AU28</f>
        <v>1.4526096145100451E-2</v>
      </c>
      <c r="AV70" s="197">
        <f>AV28/'Income Statement'!AV28</f>
        <v>1.340266645814599E-2</v>
      </c>
      <c r="AX70" s="197">
        <f>AX28/'Income Statement'!AX28</f>
        <v>8.4710114445685439E-3</v>
      </c>
      <c r="AY70" s="197">
        <f>AY28/'Income Statement'!AY28</f>
        <v>1.1044497920462923E-2</v>
      </c>
      <c r="AZ70" s="197">
        <f>AZ28/'Income Statement'!AZ28</f>
        <v>1.1916178528847649E-2</v>
      </c>
      <c r="BA70" s="197">
        <f>BA28/'Income Statement'!BA28</f>
        <v>1.5322668909383119E-2</v>
      </c>
      <c r="BC70" s="197">
        <f>BC28/'Income Statement'!BC28</f>
        <v>1.1199439754454883E-2</v>
      </c>
      <c r="BD70" s="197">
        <f>BD28/'Income Statement'!BD28</f>
        <v>1.1896589961031143E-2</v>
      </c>
      <c r="BE70" s="197">
        <f>BE28/'Income Statement'!BE28</f>
        <v>1.2528864284922003E-2</v>
      </c>
      <c r="BF70" s="197">
        <f>BF28/'Income Statement'!BF28</f>
        <v>1.4269600902349468E-2</v>
      </c>
      <c r="BG70" s="872"/>
      <c r="BH70" s="197">
        <f>BH28/'Income Statement'!BH28</f>
        <v>1.0112663031784618E-2</v>
      </c>
      <c r="BI70" s="197">
        <f>BI28/'Income Statement'!BI28</f>
        <v>1.142757154009745E-2</v>
      </c>
      <c r="BJ70" s="197">
        <f>BJ28/'Income Statement'!BJ28</f>
        <v>1.2885421872623367E-2</v>
      </c>
      <c r="BK70" s="197">
        <f>BK28/'Income Statement'!BK28</f>
        <v>0</v>
      </c>
      <c r="BM70" s="197">
        <f>BM28/'Income Statement'!BM28</f>
        <v>0</v>
      </c>
      <c r="BN70" s="197">
        <f>BN28/'Income Statement'!BN28</f>
        <v>0</v>
      </c>
      <c r="BO70" s="197">
        <f>BO28/'Income Statement'!BO28</f>
        <v>0</v>
      </c>
      <c r="BP70" s="197">
        <f>BP28/'Income Statement'!BP28</f>
        <v>0</v>
      </c>
      <c r="BR70" s="871">
        <v>5.0000000000000001E-3</v>
      </c>
      <c r="BS70" s="871">
        <v>5.0000000000000001E-3</v>
      </c>
      <c r="BT70" s="871">
        <v>5.0000000000000001E-3</v>
      </c>
      <c r="BU70" s="871">
        <v>5.0000000000000001E-3</v>
      </c>
      <c r="BW70" s="871">
        <v>5.0000000000000001E-3</v>
      </c>
      <c r="BX70" s="871">
        <v>5.0000000000000001E-3</v>
      </c>
      <c r="BY70" s="871">
        <v>5.0000000000000001E-3</v>
      </c>
      <c r="BZ70" s="871">
        <v>5.0000000000000001E-3</v>
      </c>
    </row>
    <row r="71" spans="2:78">
      <c r="C71" s="105" t="s">
        <v>134</v>
      </c>
      <c r="E71" s="197">
        <f>E31/'Income Statement'!E28</f>
        <v>0.22686789354914894</v>
      </c>
      <c r="F71" s="197">
        <f>F31/'Income Statement'!F28</f>
        <v>0.22139058180669002</v>
      </c>
      <c r="G71" s="197">
        <f>G31/'Income Statement'!G28</f>
        <v>0.21238062424420298</v>
      </c>
      <c r="H71" s="197">
        <f>H31/'Income Statement'!H28</f>
        <v>0.23364346316855888</v>
      </c>
      <c r="I71" s="197"/>
      <c r="J71" s="197">
        <f>J31/'Income Statement'!J28</f>
        <v>0.21710556680969778</v>
      </c>
      <c r="K71" s="197">
        <f>K31/'Income Statement'!K28</f>
        <v>0.22097430508561847</v>
      </c>
      <c r="L71" s="197">
        <f>L31/'Income Statement'!L28</f>
        <v>0.21781575254711907</v>
      </c>
      <c r="M71" s="197">
        <f>M31/'Income Statement'!M28</f>
        <v>0.1850461259783342</v>
      </c>
      <c r="N71" s="197"/>
      <c r="O71" s="197">
        <f>O31/'Income Statement'!O28</f>
        <v>0.20421026612836779</v>
      </c>
      <c r="P71" s="197">
        <f>P31/'Income Statement'!P28</f>
        <v>0.20291675106339882</v>
      </c>
      <c r="Q71" s="197">
        <f>Q31/'Income Statement'!Q28</f>
        <v>0.19293362712126483</v>
      </c>
      <c r="R71" s="197">
        <f>R31/'Income Statement'!R28</f>
        <v>0.18907830515668106</v>
      </c>
      <c r="S71" s="197"/>
      <c r="T71" s="197">
        <f>T31/'Income Statement'!T28</f>
        <v>0.1863315055823479</v>
      </c>
      <c r="U71" s="197">
        <f>U31/'Income Statement'!U28</f>
        <v>0.18249983484177842</v>
      </c>
      <c r="V71" s="197">
        <f>V31/'Income Statement'!V28</f>
        <v>0.17226747607396165</v>
      </c>
      <c r="W71" s="197">
        <f>W31/'Income Statement'!W28</f>
        <v>0.17797574445647046</v>
      </c>
      <c r="X71" s="197"/>
      <c r="Y71" s="197">
        <f>Y31/'Income Statement'!Y28</f>
        <v>0.20602393791924239</v>
      </c>
      <c r="Z71" s="197">
        <f>Z31/'Income Statement'!Z28</f>
        <v>0.20310651648408168</v>
      </c>
      <c r="AA71" s="197">
        <f>AA31/'Income Statement'!AA28</f>
        <v>0.21565565370162509</v>
      </c>
      <c r="AB71" s="197">
        <f>AB31/'Income Statement'!AB28</f>
        <v>0.2272716990521863</v>
      </c>
      <c r="AC71" s="197"/>
      <c r="AD71" s="197">
        <f>AD31/'Income Statement'!AD28</f>
        <v>0.2322712383545327</v>
      </c>
      <c r="AE71" s="197">
        <f>AE31/'Income Statement'!AE28</f>
        <v>0.24939761560542251</v>
      </c>
      <c r="AF71" s="197">
        <f>AF31/'Income Statement'!AF28</f>
        <v>0.27353687027016232</v>
      </c>
      <c r="AG71" s="197">
        <f>AG31/'Income Statement'!AG28</f>
        <v>0.25224265833980108</v>
      </c>
      <c r="AH71" s="197"/>
      <c r="AI71" s="197">
        <f>AI31/'Income Statement'!AI28</f>
        <v>0.23257787963670318</v>
      </c>
      <c r="AJ71" s="197">
        <f>AJ31/'Income Statement'!AJ28</f>
        <v>0.24132853403141361</v>
      </c>
      <c r="AK71" s="197">
        <f>AK31/'Income Statement'!AK28</f>
        <v>0.26782432929070193</v>
      </c>
      <c r="AL71" s="197">
        <f>AL31/'Income Statement'!AL28</f>
        <v>0.24042303172737955</v>
      </c>
      <c r="AN71" s="197">
        <f>AN31/'Income Statement'!AN28</f>
        <v>0.23951541495612977</v>
      </c>
      <c r="AO71" s="197">
        <f>AO31/'Income Statement'!AO28</f>
        <v>0.25816157859393563</v>
      </c>
      <c r="AP71" s="197">
        <f>AP31/'Income Statement'!AP28</f>
        <v>0.26093184829710275</v>
      </c>
      <c r="AQ71" s="197">
        <f>AQ31/'Income Statement'!AQ28</f>
        <v>0.26750701798120591</v>
      </c>
      <c r="AS71" s="197">
        <f>AS31/'Income Statement'!AS28</f>
        <v>0.2695608278647148</v>
      </c>
      <c r="AT71" s="197">
        <f>AT31/'Income Statement'!AT28</f>
        <v>0.26360830527497192</v>
      </c>
      <c r="AU71" s="197">
        <f>AU31/'Income Statement'!AU28</f>
        <v>0.25438056766806666</v>
      </c>
      <c r="AV71" s="197">
        <f>AV31/'Income Statement'!AV28</f>
        <v>0.25009187942291905</v>
      </c>
      <c r="AX71" s="197">
        <f>AX31/'Income Statement'!AX28</f>
        <v>0.23813840820411655</v>
      </c>
      <c r="AY71" s="197">
        <f>AY31/'Income Statement'!AY28</f>
        <v>0.23116245427104923</v>
      </c>
      <c r="AZ71" s="197">
        <f>AZ31/'Income Statement'!AZ28</f>
        <v>0.23901689907210616</v>
      </c>
      <c r="BA71" s="197">
        <f>BA31/'Income Statement'!BA28</f>
        <v>0.25184476869106387</v>
      </c>
      <c r="BC71" s="197">
        <f>BC31/'Income Statement'!BC28</f>
        <v>0.2547585308873655</v>
      </c>
      <c r="BD71" s="197">
        <f>BD31/'Income Statement'!BD28</f>
        <v>0.27221700055971526</v>
      </c>
      <c r="BE71" s="197">
        <f>BE31/'Income Statement'!BE28</f>
        <v>0.27142007240019767</v>
      </c>
      <c r="BF71" s="197">
        <f>BF31/'Income Statement'!BF28</f>
        <v>0.27750125992944397</v>
      </c>
      <c r="BG71" s="872"/>
      <c r="BH71" s="197">
        <f>BH31/'Income Statement'!BH28</f>
        <v>0.26589574206071259</v>
      </c>
      <c r="BI71" s="197">
        <f>BI31/'Income Statement'!BI28</f>
        <v>0.25815902585224471</v>
      </c>
      <c r="BJ71" s="197">
        <f>BJ31/'Income Statement'!BJ28</f>
        <v>0.28058929619086936</v>
      </c>
      <c r="BK71" s="197">
        <f>BK31/'Income Statement'!BK28</f>
        <v>0.2852272632204198</v>
      </c>
      <c r="BM71" s="197">
        <f>BM31/'Income Statement'!BM28</f>
        <v>0.27132099914983199</v>
      </c>
      <c r="BN71" s="197">
        <f>BN31/'Income Statement'!BN28</f>
        <v>0.2589830454686099</v>
      </c>
      <c r="BO71" s="197">
        <f>BO31/'Income Statement'!BO28</f>
        <v>0.30282153969611858</v>
      </c>
      <c r="BP71" s="197">
        <f>BP31/'Income Statement'!BP28</f>
        <v>0.28412043350319388</v>
      </c>
      <c r="BR71" s="871">
        <v>0.31</v>
      </c>
      <c r="BS71" s="871">
        <v>0.3</v>
      </c>
      <c r="BT71" s="871">
        <v>0.3</v>
      </c>
      <c r="BU71" s="871">
        <v>0.32</v>
      </c>
      <c r="BW71" s="871">
        <v>0.31</v>
      </c>
      <c r="BX71" s="871">
        <v>0.3</v>
      </c>
      <c r="BY71" s="871">
        <v>0.3</v>
      </c>
      <c r="BZ71" s="871">
        <v>0.32</v>
      </c>
    </row>
    <row r="72" spans="2:78">
      <c r="C72" s="327" t="s">
        <v>244</v>
      </c>
      <c r="E72" s="197">
        <f>E37/'Income Statement'!E28</f>
        <v>0.13609280533311519</v>
      </c>
      <c r="F72" s="197">
        <f>F37/'Income Statement'!F28</f>
        <v>0.15411499472927384</v>
      </c>
      <c r="G72" s="197">
        <f>G37/'Income Statement'!G28</f>
        <v>0.16750973966834259</v>
      </c>
      <c r="H72" s="197">
        <f>H37/'Income Statement'!H28</f>
        <v>0.17486316814793759</v>
      </c>
      <c r="I72" s="197"/>
      <c r="J72" s="197">
        <f>J37/'Income Statement'!J28</f>
        <v>0.19105289879253404</v>
      </c>
      <c r="K72" s="197">
        <f>K37/'Income Statement'!K28</f>
        <v>0.20475374587696865</v>
      </c>
      <c r="L72" s="197">
        <f>L37/'Income Statement'!L28</f>
        <v>0.22250964882534388</v>
      </c>
      <c r="M72" s="197">
        <f>M37/'Income Statement'!M28</f>
        <v>0.22628497691064869</v>
      </c>
      <c r="N72" s="197"/>
      <c r="O72" s="197">
        <f>O37/'Income Statement'!O28</f>
        <v>0.2362610200214221</v>
      </c>
      <c r="P72" s="197">
        <f>P37/'Income Statement'!P28</f>
        <v>9.5523597326311521E-2</v>
      </c>
      <c r="Q72" s="197">
        <f>Q37/'Income Statement'!Q28</f>
        <v>8.4154779852332912E-2</v>
      </c>
      <c r="R72" s="197">
        <f>R37/'Income Statement'!R28</f>
        <v>9.132064794510858E-2</v>
      </c>
      <c r="S72" s="197"/>
      <c r="T72" s="197">
        <f>T37/'Income Statement'!T28</f>
        <v>7.6071876858029991E-2</v>
      </c>
      <c r="U72" s="197">
        <f>U37/'Income Statement'!U28</f>
        <v>6.8144282222369026E-2</v>
      </c>
      <c r="V72" s="197">
        <f>V37/'Income Statement'!V28</f>
        <v>6.036485272710379E-2</v>
      </c>
      <c r="W72" s="197">
        <f>W37/'Income Statement'!W28</f>
        <v>5.3145727527544193E-2</v>
      </c>
      <c r="X72" s="197"/>
      <c r="Y72" s="197">
        <f>Y37/'Income Statement'!Y28</f>
        <v>5.0032881757201102E-2</v>
      </c>
      <c r="Z72" s="197">
        <f>Z37/'Income Statement'!Z28</f>
        <v>4.2431723499459957E-2</v>
      </c>
      <c r="AA72" s="197">
        <f>AA37/'Income Statement'!AA28</f>
        <v>3.8821921819335317E-2</v>
      </c>
      <c r="AB72" s="197">
        <f>AB37/'Income Statement'!AB28</f>
        <v>3.3388377406293121E-2</v>
      </c>
      <c r="AC72" s="197"/>
      <c r="AD72" s="197">
        <f>AD37/'Income Statement'!AD28</f>
        <v>2.9757093631684179E-2</v>
      </c>
      <c r="AE72" s="197">
        <f>AE37/'Income Statement'!AE28</f>
        <v>2.6903010874347853E-2</v>
      </c>
      <c r="AF72" s="197">
        <f>AF37/'Income Statement'!AF28</f>
        <v>2.4100956450550107E-2</v>
      </c>
      <c r="AG72" s="197">
        <f>AG37/'Income Statement'!AG28</f>
        <v>1.8843744923560096E-2</v>
      </c>
      <c r="AH72" s="197"/>
      <c r="AI72" s="197">
        <f>AI37/'Income Statement'!AI28</f>
        <v>1.6619981325863679E-2</v>
      </c>
      <c r="AJ72" s="197">
        <f>AJ37/'Income Statement'!AJ28</f>
        <v>1.5183246073298429E-2</v>
      </c>
      <c r="AK72" s="197">
        <f>AK37/'Income Statement'!AK28</f>
        <v>1.3536689942423128E-2</v>
      </c>
      <c r="AL72" s="197">
        <f>AL37/'Income Statement'!AL28</f>
        <v>1.1626460219810604E-2</v>
      </c>
      <c r="AN72" s="197">
        <f>AN37/'Income Statement'!AN28</f>
        <v>1.1256003649145403E-2</v>
      </c>
      <c r="AO72" s="197">
        <f>AO37/'Income Statement'!AO28</f>
        <v>1.079601219071233E-2</v>
      </c>
      <c r="AP72" s="197">
        <f>AP37/'Income Statement'!AP28</f>
        <v>9.9440127015960559E-3</v>
      </c>
      <c r="AQ72" s="197">
        <f>AQ37/'Income Statement'!AQ28</f>
        <v>9.0827308888720287E-3</v>
      </c>
      <c r="AS72" s="197">
        <f>AS37/'Income Statement'!AS28</f>
        <v>8.8654719838465422E-3</v>
      </c>
      <c r="AT72" s="197">
        <f>AT37/'Income Statement'!AT28</f>
        <v>8.4876543209876538E-3</v>
      </c>
      <c r="AU72" s="197">
        <f>AU37/'Income Statement'!AU28</f>
        <v>7.5885253649358407E-3</v>
      </c>
      <c r="AV72" s="197">
        <f>AV37/'Income Statement'!AV28</f>
        <v>6.7013332290729952E-3</v>
      </c>
      <c r="AX72" s="197">
        <f>AX37/'Income Statement'!AX28</f>
        <v>6.2517224873442512E-3</v>
      </c>
      <c r="AY72" s="197">
        <f>AY37/'Income Statement'!AY28</f>
        <v>6.0299620258446813E-3</v>
      </c>
      <c r="AZ72" s="197">
        <f>AZ37/'Income Statement'!AZ28</f>
        <v>5.6503032502203104E-3</v>
      </c>
      <c r="BA72" s="197">
        <f>BA37/'Income Statement'!BA28</f>
        <v>5.0518724186199232E-3</v>
      </c>
      <c r="BC72" s="197">
        <f>BC37/'Income Statement'!BC28</f>
        <v>4.8310235970608992E-3</v>
      </c>
      <c r="BD72" s="197">
        <f>BD37/'Income Statement'!BD28</f>
        <v>4.6889355904996249E-3</v>
      </c>
      <c r="BE72" s="197">
        <f>BE37/'Income Statement'!BE28</f>
        <v>4.5073660646761651E-3</v>
      </c>
      <c r="BF72" s="197">
        <f>BF37/'Income Statement'!BF28</f>
        <v>4.3149583623317096E-3</v>
      </c>
      <c r="BG72" s="872"/>
      <c r="BH72" s="197">
        <f>BH37/'Income Statement'!BH28</f>
        <v>4.1476110035295896E-3</v>
      </c>
      <c r="BI72" s="197">
        <f>BI37/'Income Statement'!BI28</f>
        <v>4.0918512935095705E-3</v>
      </c>
      <c r="BJ72" s="197">
        <f>BJ37/'Income Statement'!BJ28</f>
        <v>3.9938289041959105E-3</v>
      </c>
      <c r="BK72" s="197">
        <f>BK37/'Income Statement'!BK28</f>
        <v>0</v>
      </c>
      <c r="BM72" s="197">
        <f>BM37/'Income Statement'!BM28</f>
        <v>0</v>
      </c>
      <c r="BN72" s="197">
        <f>BN37/'Income Statement'!BN28</f>
        <v>0</v>
      </c>
      <c r="BO72" s="197">
        <f>BO37/'Income Statement'!BO28</f>
        <v>0</v>
      </c>
      <c r="BP72" s="197">
        <f>BP37/'Income Statement'!BP28</f>
        <v>0</v>
      </c>
      <c r="BR72" s="871">
        <v>5.0000000000000001E-3</v>
      </c>
      <c r="BS72" s="871">
        <v>5.0000000000000001E-3</v>
      </c>
      <c r="BT72" s="871">
        <v>5.0000000000000001E-3</v>
      </c>
      <c r="BU72" s="871">
        <v>5.0000000000000001E-3</v>
      </c>
      <c r="BW72" s="871">
        <v>5.0000000000000001E-3</v>
      </c>
      <c r="BX72" s="871">
        <v>5.0000000000000001E-3</v>
      </c>
      <c r="BY72" s="871">
        <v>5.0000000000000001E-3</v>
      </c>
      <c r="BZ72" s="871">
        <v>5.0000000000000001E-3</v>
      </c>
    </row>
    <row r="73" spans="2:78">
      <c r="C73" s="105" t="s">
        <v>135</v>
      </c>
      <c r="E73" s="197">
        <f>E44/'Income Statement'!E28</f>
        <v>1.1311972531536513E-2</v>
      </c>
      <c r="F73" s="197">
        <f>F44/'Income Statement'!F28</f>
        <v>2.1626672403719346E-2</v>
      </c>
      <c r="G73" s="197">
        <f>G44/'Income Statement'!G28</f>
        <v>3.1971276767944534E-2</v>
      </c>
      <c r="H73" s="197">
        <f>H44/'Income Statement'!H28</f>
        <v>3.8803751554581455E-2</v>
      </c>
      <c r="I73" s="197"/>
      <c r="J73" s="197">
        <f>J44/'Income Statement'!J28</f>
        <v>4.7397022537249686E-2</v>
      </c>
      <c r="K73" s="197">
        <f>K44/'Income Statement'!K28</f>
        <v>4.1562101558941626E-2</v>
      </c>
      <c r="L73" s="197">
        <f>L44/'Income Statement'!L28</f>
        <v>3.6792560726287421E-2</v>
      </c>
      <c r="M73" s="197">
        <f>M44/'Income Statement'!M28</f>
        <v>3.0241824017030617E-2</v>
      </c>
      <c r="N73" s="197"/>
      <c r="O73" s="197">
        <f>O44/'Income Statement'!O28</f>
        <v>2.7519156298920655E-2</v>
      </c>
      <c r="P73" s="197">
        <f>P44/'Income Statement'!P28</f>
        <v>2.4832894470326109E-2</v>
      </c>
      <c r="Q73" s="197">
        <f>Q44/'Income Statement'!Q28</f>
        <v>2.3464378213305499E-2</v>
      </c>
      <c r="R73" s="197">
        <f>R44/'Income Statement'!R28</f>
        <v>1.9381764164957203E-2</v>
      </c>
      <c r="S73" s="197"/>
      <c r="T73" s="197">
        <f>T44/'Income Statement'!T28</f>
        <v>2.4707669947810002E-2</v>
      </c>
      <c r="U73" s="197">
        <f>U44/'Income Statement'!U28</f>
        <v>2.2197264979850698E-2</v>
      </c>
      <c r="V73" s="197">
        <f>V44/'Income Statement'!V28</f>
        <v>1.9822219469136183E-2</v>
      </c>
      <c r="W73" s="197">
        <f>W44/'Income Statement'!W28</f>
        <v>1.6151860794271916E-2</v>
      </c>
      <c r="X73" s="197"/>
      <c r="Y73" s="197">
        <f>Y44/'Income Statement'!Y28</f>
        <v>2.099171379718532E-2</v>
      </c>
      <c r="Z73" s="197">
        <f>Z44/'Income Statement'!Z28</f>
        <v>1.4889677518901405E-2</v>
      </c>
      <c r="AA73" s="197">
        <f>AA44/'Income Statement'!AA28</f>
        <v>1.2981308867307598E-2</v>
      </c>
      <c r="AB73" s="197">
        <f>AB44/'Income Statement'!AB28</f>
        <v>1.1989051507679779E-2</v>
      </c>
      <c r="AC73" s="197"/>
      <c r="AD73" s="197">
        <f>AD44/'Income Statement'!AD28</f>
        <v>1.254945335431999E-2</v>
      </c>
      <c r="AE73" s="197">
        <f>AE44/'Income Statement'!AE28</f>
        <v>2.1162025687765835E-2</v>
      </c>
      <c r="AF73" s="197">
        <f>AF44/'Income Statement'!AF28</f>
        <v>1.9148978654579582E-2</v>
      </c>
      <c r="AG73" s="197">
        <f>AG44/'Income Statement'!AG28</f>
        <v>1.8789596231251017E-2</v>
      </c>
      <c r="AH73" s="197"/>
      <c r="AI73" s="197">
        <f>AI44/'Income Statement'!AI28</f>
        <v>2.5464731347084289E-2</v>
      </c>
      <c r="AJ73" s="197">
        <f>AJ44/'Income Statement'!AJ28</f>
        <v>2.3494764397905758E-2</v>
      </c>
      <c r="AK73" s="197">
        <f>AK44/'Income Statement'!AK28</f>
        <v>2.0825676834497122E-2</v>
      </c>
      <c r="AL73" s="197">
        <f>AL44/'Income Statement'!AL28</f>
        <v>2.5036289486417364E-2</v>
      </c>
      <c r="AN73" s="197">
        <f>AN44/'Income Statement'!AN28</f>
        <v>1.821889506023773E-2</v>
      </c>
      <c r="AO73" s="197">
        <f>AO44/'Income Statement'!AO28</f>
        <v>1.5896998811922105E-2</v>
      </c>
      <c r="AP73" s="197">
        <f>AP44/'Income Statement'!AP28</f>
        <v>1.4730986403084673E-2</v>
      </c>
      <c r="AQ73" s="197">
        <f>AQ44/'Income Statement'!AQ28</f>
        <v>4.7147827406435951E-2</v>
      </c>
      <c r="AS73" s="197">
        <f>AS44/'Income Statement'!AS28</f>
        <v>6.9293706882046099E-2</v>
      </c>
      <c r="AT73" s="197">
        <f>AT44/'Income Statement'!AT28</f>
        <v>6.8282026615359953E-2</v>
      </c>
      <c r="AU73" s="197">
        <f>AU44/'Income Statement'!AU28</f>
        <v>6.0717120105579482E-2</v>
      </c>
      <c r="AV73" s="197">
        <f>AV44/'Income Statement'!AV28</f>
        <v>0.24604136528912696</v>
      </c>
      <c r="AX73" s="197">
        <f>AX44/'Income Statement'!AX28</f>
        <v>0.23663712449775895</v>
      </c>
      <c r="AY73" s="197">
        <f>AY44/'Income Statement'!AY28</f>
        <v>9.1200567525837731E-2</v>
      </c>
      <c r="AZ73" s="197">
        <f>AZ44/'Income Statement'!AZ28</f>
        <v>8.6925250116634697E-2</v>
      </c>
      <c r="BA73" s="197">
        <f>BA44/'Income Statement'!BA28</f>
        <v>4.4188042557848833E-2</v>
      </c>
      <c r="BC73" s="197">
        <f>BC44/'Income Statement'!BC28</f>
        <v>3.6558210278098448E-2</v>
      </c>
      <c r="BD73" s="197">
        <f>BD44/'Income Statement'!BD28</f>
        <v>3.2252273183301476E-2</v>
      </c>
      <c r="BE73" s="197">
        <f>BE44/'Income Statement'!BE28</f>
        <v>2.5950126549091974E-2</v>
      </c>
      <c r="BF73" s="197">
        <f>BF44/'Income Statement'!BF28</f>
        <v>1.4783172142360027E-2</v>
      </c>
      <c r="BG73" s="872"/>
      <c r="BH73" s="197">
        <f>BH44/'Income Statement'!BH28</f>
        <v>2.2491404923113547E-2</v>
      </c>
      <c r="BI73" s="197">
        <f>BI44/'Income Statement'!BI28</f>
        <v>1.4945127915219713E-2</v>
      </c>
      <c r="BJ73" s="197">
        <f>BJ44/'Income Statement'!BJ28</f>
        <v>3.0968470915451643E-2</v>
      </c>
      <c r="BK73" s="197">
        <f>BK44/'Income Statement'!BK28</f>
        <v>3.2995624566012162E-2</v>
      </c>
      <c r="BM73" s="197">
        <f>BM44/'Income Statement'!BM28</f>
        <v>2.6723614428565644E-2</v>
      </c>
      <c r="BN73" s="197">
        <f>BN44/'Income Statement'!BN28</f>
        <v>2.2456621946478583E-2</v>
      </c>
      <c r="BO73" s="197">
        <f>BO44/'Income Statement'!BO28</f>
        <v>2.8166188460985231E-2</v>
      </c>
      <c r="BP73" s="197">
        <f>BP44/'Income Statement'!BP28</f>
        <v>2.4104643651762004E-2</v>
      </c>
      <c r="BR73" s="871">
        <v>3.5000000000000003E-2</v>
      </c>
      <c r="BS73" s="871">
        <v>0.03</v>
      </c>
      <c r="BT73" s="871">
        <v>0.03</v>
      </c>
      <c r="BU73" s="871">
        <v>0.04</v>
      </c>
      <c r="BW73" s="871">
        <v>3.5000000000000003E-2</v>
      </c>
      <c r="BX73" s="871">
        <v>0.03</v>
      </c>
      <c r="BY73" s="871">
        <v>0.03</v>
      </c>
      <c r="BZ73" s="871">
        <v>0.04</v>
      </c>
    </row>
    <row r="74" spans="2:78">
      <c r="E74" s="193"/>
      <c r="F74" s="193"/>
      <c r="G74" s="193"/>
      <c r="H74" s="193"/>
      <c r="I74" s="193"/>
      <c r="J74" s="193"/>
      <c r="K74" s="193"/>
      <c r="L74" s="193"/>
      <c r="M74" s="193"/>
      <c r="N74" s="193"/>
      <c r="O74" s="193"/>
      <c r="P74" s="193"/>
      <c r="Q74" s="193"/>
      <c r="R74" s="193"/>
      <c r="S74" s="193"/>
      <c r="T74" s="193"/>
      <c r="U74" s="193"/>
      <c r="V74" s="193"/>
      <c r="W74" s="193"/>
      <c r="X74" s="193"/>
      <c r="Y74" s="193"/>
    </row>
    <row r="77" spans="2:78">
      <c r="U77" s="86"/>
      <c r="X77" s="86"/>
    </row>
    <row r="81" spans="21:24">
      <c r="U81" s="86"/>
      <c r="X81" s="86"/>
    </row>
    <row r="83" spans="21:24">
      <c r="U83" s="122"/>
      <c r="X83" s="122"/>
    </row>
    <row r="84" spans="21:24">
      <c r="U84" s="122"/>
      <c r="X84" s="122"/>
    </row>
  </sheetData>
  <pageMargins left="0.17" right="0.17" top="0.75" bottom="0.75" header="0.3" footer="0.3"/>
  <pageSetup scale="31" orientation="landscape" r:id="rId1"/>
  <ignoredErrors>
    <ignoredError sqref="X11 X48:X49 AH28 AC33 BB11:BL11 BA42 BB20:BL22 BB12:BC12 BG12 BB13:BC13 BG13 BB15:BC15 BG15 BB16:BC16 BG16 BB17:BC17 BG17 BB18:BC18 BG18 BB19:BC19 BG19 BB27:BL27 BB23:BC23 BG23 BB24:BC24 BG24 BB25:BC25 BG25 BB26:BC26 BG26 BB30:BD30 BB28:BC28 BG28 BB34:BL34 BB31:BC31 BG31 BB29:BC29 BG29:BL29 BB36:BL36 BB35:BC35 BG35 BB39:BL41 BB37:BC37 BG37 BB38:BC38 BG38 BB43:BL43 BB42:BC42 BE42:BG42 BB45:BL55 BB44:BC44 BG44 BG30:BH30 BB61:BC61 BG61 BB33:BE33 BB56:BE60 BG56:BL60 BL12 BL13 BL15 BK16:BL16 BL18 BK17:BL17 BL19 BL23 BL24 BL25 BL26 BL28 BL31 BL35 BL37 BL38 BL42 BL44 BL30 BL6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CC105"/>
  <sheetViews>
    <sheetView showGridLines="0" zoomScaleNormal="100" workbookViewId="0">
      <pane xSplit="3" ySplit="4" topLeftCell="AW5" activePane="bottomRight" state="frozen"/>
      <selection pane="topRight" activeCell="D1" sqref="D1"/>
      <selection pane="bottomLeft" activeCell="A5" sqref="A5"/>
      <selection pane="bottomRight" activeCell="BV89" sqref="BV89"/>
    </sheetView>
  </sheetViews>
  <sheetFormatPr defaultColWidth="9" defaultRowHeight="12.75" outlineLevelCol="1"/>
  <cols>
    <col min="1" max="2" width="1.625" style="53" customWidth="1"/>
    <col min="3" max="3" width="41.375" style="53" customWidth="1"/>
    <col min="4" max="4" width="7.375" style="53" hidden="1" customWidth="1"/>
    <col min="5" max="8" width="7.375" style="53" hidden="1" customWidth="1" outlineLevel="1"/>
    <col min="9" max="9" width="7.875" style="53" hidden="1" customWidth="1" collapsed="1"/>
    <col min="10" max="12" width="7.375" style="53" hidden="1" customWidth="1" outlineLevel="1"/>
    <col min="13" max="13" width="6.625" style="53" hidden="1" customWidth="1" outlineLevel="1"/>
    <col min="14" max="14" width="7.875" style="53" hidden="1" customWidth="1" collapsed="1"/>
    <col min="15" max="15" width="6.625" style="53" hidden="1" customWidth="1" outlineLevel="1"/>
    <col min="16" max="18" width="7.125" style="53" hidden="1" customWidth="1" outlineLevel="1"/>
    <col min="19" max="19" width="7.125" style="53" hidden="1" customWidth="1" collapsed="1"/>
    <col min="20" max="20" width="7.625" style="53" hidden="1" customWidth="1" outlineLevel="1"/>
    <col min="21" max="23" width="7.125" style="53" hidden="1" customWidth="1" outlineLevel="1"/>
    <col min="24" max="24" width="7.625" style="53" hidden="1" customWidth="1" collapsed="1"/>
    <col min="25" max="26" width="7.125" style="53" hidden="1" customWidth="1" outlineLevel="1"/>
    <col min="27" max="27" width="7.625" style="53" hidden="1" customWidth="1" outlineLevel="1"/>
    <col min="28" max="28" width="7.125" style="53" hidden="1" customWidth="1" outlineLevel="1"/>
    <col min="29" max="29" width="7.625" style="53" hidden="1" customWidth="1" collapsed="1"/>
    <col min="30" max="33" width="7.125" style="53" hidden="1" customWidth="1" outlineLevel="1"/>
    <col min="34" max="34" width="7" style="53" hidden="1" customWidth="1" collapsed="1"/>
    <col min="35" max="35" width="7.125" style="53" hidden="1" customWidth="1" outlineLevel="1"/>
    <col min="36" max="36" width="8.5" style="53" hidden="1" customWidth="1" outlineLevel="1"/>
    <col min="37" max="38" width="8" style="53" hidden="1" customWidth="1" outlineLevel="1"/>
    <col min="39" max="39" width="8.625" style="53" customWidth="1" collapsed="1"/>
    <col min="40" max="43" width="8.625" style="53" hidden="1" customWidth="1" outlineLevel="1"/>
    <col min="44" max="44" width="8.625" style="53" customWidth="1" collapsed="1"/>
    <col min="45" max="48" width="8.625" style="53" hidden="1" customWidth="1" outlineLevel="1"/>
    <col min="49" max="49" width="8.625" style="53" customWidth="1" collapsed="1"/>
    <col min="50" max="53" width="8.625" style="53" hidden="1" customWidth="1" outlineLevel="1"/>
    <col min="54" max="54" width="8.625" style="53" customWidth="1" collapsed="1"/>
    <col min="55" max="58" width="8.625" style="53" hidden="1" customWidth="1" outlineLevel="1"/>
    <col min="59" max="59" width="8.625" style="53" customWidth="1" collapsed="1"/>
    <col min="60" max="63" width="8.625" style="53" hidden="1" customWidth="1" outlineLevel="1"/>
    <col min="64" max="64" width="8.625" style="53" customWidth="1" collapsed="1"/>
    <col min="65" max="68" width="8.625" style="53" customWidth="1" outlineLevel="1"/>
    <col min="69" max="69" width="10" style="53" customWidth="1"/>
    <col min="70" max="73" width="8.625" style="53" customWidth="1" outlineLevel="1"/>
    <col min="74" max="74" width="8.625" style="53" customWidth="1"/>
    <col min="75" max="78" width="8.625" style="53" customWidth="1" outlineLevel="1"/>
    <col min="79" max="79" width="8.625" style="53" customWidth="1"/>
    <col min="80" max="16384" width="9" style="53"/>
  </cols>
  <sheetData>
    <row r="1" spans="1:79" ht="10.15" customHeight="1">
      <c r="A1" s="105"/>
      <c r="B1" s="105"/>
      <c r="C1" s="105"/>
      <c r="D1" s="105"/>
      <c r="E1" s="105"/>
      <c r="F1" s="105"/>
      <c r="G1" s="105"/>
      <c r="H1" s="105"/>
      <c r="I1" s="105"/>
      <c r="J1" s="105"/>
      <c r="K1" s="105"/>
      <c r="L1" s="105"/>
      <c r="M1" s="105"/>
      <c r="N1" s="105"/>
      <c r="O1" s="105"/>
      <c r="P1" s="105"/>
      <c r="Q1" s="105"/>
      <c r="R1" s="105"/>
      <c r="S1" s="105"/>
      <c r="BC1" s="758"/>
      <c r="BD1" s="902"/>
      <c r="BE1" s="902"/>
      <c r="BF1" s="902"/>
      <c r="BG1" s="902"/>
      <c r="BH1" s="758"/>
      <c r="BI1" s="902"/>
      <c r="BJ1" s="902"/>
      <c r="BK1" s="902"/>
      <c r="BL1" s="902"/>
      <c r="BM1" s="758"/>
      <c r="BN1" s="902"/>
      <c r="BO1" s="902"/>
      <c r="BP1" s="902"/>
      <c r="BQ1" s="902"/>
      <c r="BR1" s="758"/>
      <c r="BS1" s="902"/>
      <c r="BT1" s="902"/>
      <c r="BU1" s="902"/>
      <c r="BV1" s="902"/>
      <c r="BW1" s="758"/>
      <c r="BX1" s="902"/>
      <c r="BY1" s="902"/>
      <c r="BZ1" s="902"/>
      <c r="CA1" s="902"/>
    </row>
    <row r="2" spans="1:79" ht="15">
      <c r="A2" s="105"/>
      <c r="B2" s="159" t="str">
        <f>'Income Statement'!B2</f>
        <v>Five9, Inc (Nasdaq: FIVN)</v>
      </c>
      <c r="C2" s="159"/>
      <c r="D2" s="159"/>
      <c r="E2" s="159"/>
      <c r="F2" s="159"/>
      <c r="G2" s="159"/>
      <c r="H2" s="159"/>
      <c r="I2" s="159"/>
      <c r="J2" s="159"/>
      <c r="K2" s="159"/>
      <c r="L2" s="159"/>
      <c r="M2" s="105"/>
      <c r="N2" s="121"/>
      <c r="O2" s="105"/>
      <c r="P2" s="105"/>
      <c r="Q2" s="105"/>
      <c r="R2" s="105"/>
      <c r="S2" s="105"/>
      <c r="AV2" s="153">
        <f>AV42-AQ42</f>
        <v>3746</v>
      </c>
      <c r="BE2" s="153">
        <f>BE42-AZ42</f>
        <v>35312</v>
      </c>
      <c r="BS2" s="53">
        <f>143476-142641</f>
        <v>835</v>
      </c>
    </row>
    <row r="3" spans="1:79" ht="5.45" customHeight="1" thickBot="1">
      <c r="A3" s="105"/>
      <c r="B3" s="105"/>
      <c r="C3" s="159"/>
      <c r="D3" s="159"/>
      <c r="E3" s="159"/>
      <c r="F3" s="159"/>
      <c r="G3" s="159"/>
      <c r="H3" s="159"/>
      <c r="I3" s="159"/>
      <c r="J3" s="159"/>
      <c r="K3" s="159"/>
      <c r="L3" s="159"/>
      <c r="M3" s="105"/>
      <c r="N3" s="121"/>
      <c r="O3" s="105"/>
      <c r="P3" s="105"/>
      <c r="Q3" s="105"/>
      <c r="R3" s="105"/>
      <c r="S3" s="105"/>
    </row>
    <row r="4" spans="1:79" ht="13.5" thickBot="1">
      <c r="A4" s="105"/>
      <c r="B4" s="837" t="s">
        <v>128</v>
      </c>
      <c r="C4" s="838"/>
      <c r="D4" s="839">
        <v>2011</v>
      </c>
      <c r="E4" s="840" t="s">
        <v>187</v>
      </c>
      <c r="F4" s="840" t="s">
        <v>186</v>
      </c>
      <c r="G4" s="840" t="s">
        <v>185</v>
      </c>
      <c r="H4" s="840" t="s">
        <v>184</v>
      </c>
      <c r="I4" s="839">
        <v>2012</v>
      </c>
      <c r="J4" s="840" t="s">
        <v>110</v>
      </c>
      <c r="K4" s="840" t="s">
        <v>109</v>
      </c>
      <c r="L4" s="840" t="s">
        <v>108</v>
      </c>
      <c r="M4" s="840" t="s">
        <v>107</v>
      </c>
      <c r="N4" s="839">
        <v>2013</v>
      </c>
      <c r="O4" s="840" t="s">
        <v>68</v>
      </c>
      <c r="P4" s="840" t="s">
        <v>67</v>
      </c>
      <c r="Q4" s="840" t="s">
        <v>66</v>
      </c>
      <c r="R4" s="840" t="s">
        <v>65</v>
      </c>
      <c r="S4" s="839">
        <v>2014</v>
      </c>
      <c r="T4" s="840" t="s">
        <v>64</v>
      </c>
      <c r="U4" s="840" t="s">
        <v>63</v>
      </c>
      <c r="V4" s="840" t="s">
        <v>62</v>
      </c>
      <c r="W4" s="840" t="s">
        <v>156</v>
      </c>
      <c r="X4" s="839">
        <v>2015</v>
      </c>
      <c r="Y4" s="840" t="s">
        <v>179</v>
      </c>
      <c r="Z4" s="840" t="s">
        <v>180</v>
      </c>
      <c r="AA4" s="840" t="s">
        <v>249</v>
      </c>
      <c r="AB4" s="840" t="s">
        <v>253</v>
      </c>
      <c r="AC4" s="839">
        <v>2016</v>
      </c>
      <c r="AD4" s="840" t="s">
        <v>257</v>
      </c>
      <c r="AE4" s="840" t="s">
        <v>258</v>
      </c>
      <c r="AF4" s="840" t="s">
        <v>259</v>
      </c>
      <c r="AG4" s="840" t="s">
        <v>260</v>
      </c>
      <c r="AH4" s="839">
        <v>2017</v>
      </c>
      <c r="AI4" s="840" t="s">
        <v>261</v>
      </c>
      <c r="AJ4" s="840" t="s">
        <v>264</v>
      </c>
      <c r="AK4" s="840" t="s">
        <v>255</v>
      </c>
      <c r="AL4" s="840" t="s">
        <v>275</v>
      </c>
      <c r="AM4" s="839">
        <v>2018</v>
      </c>
      <c r="AN4" s="840" t="s">
        <v>279</v>
      </c>
      <c r="AO4" s="840" t="s">
        <v>284</v>
      </c>
      <c r="AP4" s="840" t="s">
        <v>286</v>
      </c>
      <c r="AQ4" s="840" t="s">
        <v>289</v>
      </c>
      <c r="AR4" s="839">
        <v>2019</v>
      </c>
      <c r="AS4" s="840" t="s">
        <v>291</v>
      </c>
      <c r="AT4" s="840" t="s">
        <v>292</v>
      </c>
      <c r="AU4" s="840" t="s">
        <v>293</v>
      </c>
      <c r="AV4" s="840" t="s">
        <v>294</v>
      </c>
      <c r="AW4" s="839">
        <v>2020</v>
      </c>
      <c r="AX4" s="840" t="s">
        <v>347</v>
      </c>
      <c r="AY4" s="840" t="s">
        <v>358</v>
      </c>
      <c r="AZ4" s="840" t="s">
        <v>366</v>
      </c>
      <c r="BA4" s="840" t="s">
        <v>444</v>
      </c>
      <c r="BB4" s="839">
        <v>2021</v>
      </c>
      <c r="BC4" s="840" t="s">
        <v>464</v>
      </c>
      <c r="BD4" s="840" t="s">
        <v>472</v>
      </c>
      <c r="BE4" s="840" t="s">
        <v>476</v>
      </c>
      <c r="BF4" s="840" t="s">
        <v>479</v>
      </c>
      <c r="BG4" s="839">
        <v>2022</v>
      </c>
      <c r="BH4" s="840" t="s">
        <v>486</v>
      </c>
      <c r="BI4" s="840" t="s">
        <v>489</v>
      </c>
      <c r="BJ4" s="840" t="s">
        <v>492</v>
      </c>
      <c r="BK4" s="840" t="s">
        <v>495</v>
      </c>
      <c r="BL4" s="839">
        <v>2023</v>
      </c>
      <c r="BM4" s="840" t="s">
        <v>498</v>
      </c>
      <c r="BN4" s="840" t="s">
        <v>503</v>
      </c>
      <c r="BO4" s="840" t="s">
        <v>505</v>
      </c>
      <c r="BP4" s="840" t="s">
        <v>509</v>
      </c>
      <c r="BQ4" s="839" t="s">
        <v>485</v>
      </c>
      <c r="BR4" s="840" t="s">
        <v>519</v>
      </c>
      <c r="BS4" s="840" t="s">
        <v>524</v>
      </c>
      <c r="BT4" s="840" t="str">
        <f>'Income Statement'!BT4</f>
        <v>3Q25</v>
      </c>
      <c r="BU4" s="840" t="s">
        <v>531</v>
      </c>
      <c r="BV4" s="839">
        <v>2025</v>
      </c>
      <c r="BW4" s="840" t="s">
        <v>514</v>
      </c>
      <c r="BX4" s="840" t="s">
        <v>515</v>
      </c>
      <c r="BY4" s="840" t="s">
        <v>516</v>
      </c>
      <c r="BZ4" s="840" t="s">
        <v>517</v>
      </c>
      <c r="CA4" s="839" t="s">
        <v>518</v>
      </c>
    </row>
    <row r="5" spans="1:79" ht="13.15">
      <c r="B5" s="184" t="s">
        <v>127</v>
      </c>
      <c r="C5" s="102"/>
      <c r="D5" s="291"/>
      <c r="E5" s="244"/>
      <c r="F5" s="244"/>
      <c r="G5" s="244"/>
      <c r="H5" s="244"/>
      <c r="I5" s="291"/>
      <c r="J5" s="244"/>
      <c r="K5" s="244"/>
      <c r="L5" s="244"/>
      <c r="M5" s="244"/>
      <c r="N5" s="291"/>
      <c r="O5" s="244"/>
      <c r="P5" s="244"/>
      <c r="Q5" s="244"/>
      <c r="R5" s="244"/>
      <c r="S5" s="248"/>
      <c r="T5" s="246"/>
      <c r="U5" s="246"/>
      <c r="V5" s="246"/>
      <c r="W5" s="244"/>
      <c r="X5" s="248"/>
      <c r="Y5" s="244"/>
      <c r="Z5" s="244"/>
      <c r="AA5" s="244"/>
      <c r="AB5" s="244"/>
      <c r="AC5" s="248"/>
      <c r="AD5" s="244"/>
      <c r="AE5" s="244"/>
      <c r="AF5" s="244"/>
      <c r="AG5" s="244"/>
      <c r="AH5" s="248"/>
      <c r="AI5" s="244"/>
      <c r="AJ5" s="244"/>
      <c r="AK5" s="244"/>
      <c r="AL5" s="244"/>
      <c r="AM5" s="248"/>
      <c r="AN5" s="244"/>
      <c r="AO5" s="244"/>
      <c r="AP5" s="244"/>
      <c r="AQ5" s="244"/>
      <c r="AR5" s="248"/>
      <c r="AS5" s="244"/>
      <c r="AT5" s="244"/>
      <c r="AU5" s="244"/>
      <c r="AV5" s="244"/>
      <c r="AW5" s="248"/>
      <c r="AX5" s="244"/>
      <c r="AY5" s="244"/>
      <c r="AZ5" s="244"/>
      <c r="BA5" s="244"/>
      <c r="BB5" s="248"/>
      <c r="BC5" s="244"/>
      <c r="BD5" s="244"/>
      <c r="BE5" s="244"/>
      <c r="BF5" s="244"/>
      <c r="BG5" s="248"/>
      <c r="BH5" s="244"/>
      <c r="BI5" s="244"/>
      <c r="BJ5" s="244"/>
      <c r="BK5" s="244"/>
      <c r="BL5" s="248"/>
      <c r="BM5" s="244"/>
      <c r="BN5" s="244"/>
      <c r="BO5" s="244"/>
      <c r="BP5" s="244"/>
      <c r="BQ5" s="248"/>
      <c r="BR5" s="244"/>
      <c r="BS5" s="244"/>
      <c r="BT5" s="244"/>
      <c r="BU5" s="244"/>
      <c r="BV5" s="248"/>
      <c r="BW5" s="244"/>
      <c r="BX5" s="244"/>
      <c r="BY5" s="244"/>
      <c r="BZ5" s="244"/>
      <c r="CA5" s="248"/>
    </row>
    <row r="6" spans="1:79">
      <c r="B6" s="112" t="s">
        <v>40</v>
      </c>
      <c r="C6" s="169"/>
      <c r="D6" s="95">
        <f>'Income Statement'!D95</f>
        <v>-7872</v>
      </c>
      <c r="E6" s="96">
        <f>'Income Statement'!E95</f>
        <v>-3507.1655900000001</v>
      </c>
      <c r="F6" s="96">
        <f>'Income Statement'!F95</f>
        <v>-4640.4094800000012</v>
      </c>
      <c r="G6" s="96">
        <f>'Income Statement'!G95</f>
        <v>-5404.233760000001</v>
      </c>
      <c r="H6" s="96">
        <f>'Income Statement'!H95</f>
        <v>-5780.141120000002</v>
      </c>
      <c r="I6" s="95">
        <f>'Income Statement'!I95</f>
        <v>-19331.949950000006</v>
      </c>
      <c r="J6" s="96">
        <f>'Income Statement'!J95</f>
        <v>-6656.7410699999982</v>
      </c>
      <c r="K6" s="96">
        <f>'Income Statement'!K95</f>
        <v>-8290.2699300000004</v>
      </c>
      <c r="L6" s="96">
        <f>'Income Statement'!L95</f>
        <v>-7734.0454899999968</v>
      </c>
      <c r="M6" s="96">
        <f>'Income Statement'!M95</f>
        <v>-8632.1076400000056</v>
      </c>
      <c r="N6" s="95">
        <f>'Income Statement'!N95</f>
        <v>-31313.164130000001</v>
      </c>
      <c r="O6" s="96">
        <f>'Income Statement'!O95</f>
        <v>-8320</v>
      </c>
      <c r="P6" s="96">
        <f>'Income Statement'!P95</f>
        <v>-8659</v>
      </c>
      <c r="Q6" s="96">
        <f>'Income Statement'!Q95</f>
        <v>-11435</v>
      </c>
      <c r="R6" s="96">
        <f>'Income Statement'!R95</f>
        <v>-9372</v>
      </c>
      <c r="S6" s="95">
        <f>'Income Statement'!S95</f>
        <v>-37786</v>
      </c>
      <c r="T6" s="96">
        <f>'Income Statement'!T95</f>
        <v>-8903</v>
      </c>
      <c r="U6" s="96">
        <f>'Income Statement'!U95</f>
        <v>-7369</v>
      </c>
      <c r="V6" s="96">
        <f>'Income Statement'!V95</f>
        <v>-6048</v>
      </c>
      <c r="W6" s="96">
        <f>'Income Statement'!W95</f>
        <v>-3518</v>
      </c>
      <c r="X6" s="95">
        <f>'Income Statement'!X95</f>
        <v>-25838</v>
      </c>
      <c r="Y6" s="96">
        <f>'Income Statement'!Y95</f>
        <v>-4911</v>
      </c>
      <c r="Z6" s="96">
        <f>'Income Statement'!Z95</f>
        <v>-3468</v>
      </c>
      <c r="AA6" s="96">
        <f>'Income Statement'!AA95</f>
        <v>-3890</v>
      </c>
      <c r="AB6" s="96">
        <f>-11860-AA6-Z6-Y6</f>
        <v>409</v>
      </c>
      <c r="AC6" s="95">
        <f>SUM(Y6:AB6)</f>
        <v>-11860</v>
      </c>
      <c r="AD6" s="96">
        <f>'Income Statement'!AD95</f>
        <v>-5255</v>
      </c>
      <c r="AE6" s="96">
        <f>'Income Statement'!AE95</f>
        <v>-4007</v>
      </c>
      <c r="AF6" s="96">
        <f>'Income Statement'!AF95</f>
        <v>924</v>
      </c>
      <c r="AG6" s="96">
        <f>'Income Statement'!AG95</f>
        <v>-631</v>
      </c>
      <c r="AH6" s="95">
        <f>'Income Statement'!AH95</f>
        <v>-8969</v>
      </c>
      <c r="AI6" s="96">
        <f>'Income Statement'!AI95</f>
        <v>-607</v>
      </c>
      <c r="AJ6" s="96">
        <f>'Income Statement'!AJ95</f>
        <v>-2042</v>
      </c>
      <c r="AK6" s="96">
        <f>'Income Statement'!AK95</f>
        <v>-1305</v>
      </c>
      <c r="AL6" s="96">
        <f>AM6-AK6-AJ6-AI6</f>
        <v>3733</v>
      </c>
      <c r="AM6" s="95">
        <v>-221</v>
      </c>
      <c r="AN6" s="96">
        <f>'Income Statement'!AN95</f>
        <v>-1924</v>
      </c>
      <c r="AO6" s="96">
        <f>'Income Statement'!AO95</f>
        <v>-1860</v>
      </c>
      <c r="AP6" s="96">
        <f>'Income Statement'!AP95</f>
        <v>-1604</v>
      </c>
      <c r="AQ6" s="96">
        <f>AR6-AP6-AO6-AN6</f>
        <v>836</v>
      </c>
      <c r="AR6" s="95">
        <v>-4552</v>
      </c>
      <c r="AS6" s="96">
        <v>-7437</v>
      </c>
      <c r="AT6" s="96">
        <f>-23489-AS6</f>
        <v>-16052</v>
      </c>
      <c r="AU6" s="96">
        <f>-34920-AT6-AS6</f>
        <v>-11431</v>
      </c>
      <c r="AV6" s="96">
        <f>AW6-AU6-AT6-AS6</f>
        <v>-7210</v>
      </c>
      <c r="AW6" s="95">
        <v>-42130</v>
      </c>
      <c r="AX6" s="96">
        <v>-12332</v>
      </c>
      <c r="AY6" s="96">
        <f>'Income Statement'!AY95</f>
        <v>-16530</v>
      </c>
      <c r="AZ6" s="96">
        <f>'Income Statement'!AZ95</f>
        <v>-20537</v>
      </c>
      <c r="BA6" s="673">
        <f>'Income Statement'!BA95</f>
        <v>-3601</v>
      </c>
      <c r="BB6" s="95">
        <f>'Income Statement'!BB95</f>
        <v>-53000</v>
      </c>
      <c r="BC6" s="673">
        <f>'Income Statement'!BC95</f>
        <v>-34120</v>
      </c>
      <c r="BD6" s="96">
        <f>+-57790-BC6</f>
        <v>-23670</v>
      </c>
      <c r="BE6" s="96">
        <f>+-80997-BD6-BC6</f>
        <v>-23207</v>
      </c>
      <c r="BF6" s="96">
        <f>-94650-BE6-BD6-BC6</f>
        <v>-13653</v>
      </c>
      <c r="BG6" s="95">
        <f>'Income Statement'!BG95</f>
        <v>-94650</v>
      </c>
      <c r="BH6" s="96">
        <f>'Income Statement'!BH95</f>
        <v>-27247</v>
      </c>
      <c r="BI6" s="96">
        <f>+-48987-BH6</f>
        <v>-21740</v>
      </c>
      <c r="BJ6" s="96">
        <f>'Income Statement'!BJ95</f>
        <v>-20419</v>
      </c>
      <c r="BK6" s="96">
        <f>+-81764-BJ6-BI6-BH6</f>
        <v>-12358</v>
      </c>
      <c r="BL6" s="95">
        <f>'Income Statement'!BL95</f>
        <v>-81763</v>
      </c>
      <c r="BM6" s="96">
        <v>-7077</v>
      </c>
      <c r="BN6" s="96">
        <f>+-19893-BM6</f>
        <v>-12816</v>
      </c>
      <c r="BO6" s="96">
        <f>+-24372-BN6-BM6</f>
        <v>-4479</v>
      </c>
      <c r="BP6" s="96">
        <f>-12795-BO6-BN6-BM6</f>
        <v>11577</v>
      </c>
      <c r="BQ6" s="95">
        <f>SUM(BM6:BP6)</f>
        <v>-12795</v>
      </c>
      <c r="BR6" s="96">
        <f>'Income Statement'!BR95</f>
        <v>576</v>
      </c>
      <c r="BS6" s="96">
        <f>1730-BR6</f>
        <v>1154</v>
      </c>
      <c r="BT6" s="96">
        <f>19703-BS6-BR6</f>
        <v>17973</v>
      </c>
      <c r="BU6" s="96">
        <f>39416-BT6-BS6-BR6</f>
        <v>19713</v>
      </c>
      <c r="BV6" s="95">
        <f>'Income Statement'!BV95</f>
        <v>39416</v>
      </c>
      <c r="BW6" s="96">
        <f>'Income Statement'!BW95</f>
        <v>11070.372711999982</v>
      </c>
      <c r="BX6" s="96">
        <f>'Income Statement'!BX95</f>
        <v>16770.512871000014</v>
      </c>
      <c r="BY6" s="96">
        <f>'Income Statement'!BY95</f>
        <v>17645.84063999998</v>
      </c>
      <c r="BZ6" s="96">
        <f>'Income Statement'!BZ95</f>
        <v>26252.514433600008</v>
      </c>
      <c r="CA6" s="95">
        <f>'Income Statement'!CA95</f>
        <v>71739.240656599926</v>
      </c>
    </row>
    <row r="7" spans="1:79">
      <c r="B7" s="112"/>
      <c r="C7" s="169" t="s">
        <v>126</v>
      </c>
      <c r="D7" s="123"/>
      <c r="E7" s="235"/>
      <c r="F7" s="235"/>
      <c r="G7" s="235"/>
      <c r="H7" s="235"/>
      <c r="I7" s="123"/>
      <c r="J7" s="105"/>
      <c r="K7" s="105"/>
      <c r="L7" s="105"/>
      <c r="M7" s="162"/>
      <c r="N7" s="123"/>
      <c r="O7" s="105"/>
      <c r="P7" s="105"/>
      <c r="Q7" s="105"/>
      <c r="R7" s="162"/>
      <c r="S7" s="158"/>
      <c r="T7" s="124"/>
      <c r="U7" s="124"/>
      <c r="V7" s="124"/>
      <c r="W7" s="105"/>
      <c r="X7" s="158"/>
      <c r="Y7" s="105"/>
      <c r="Z7" s="105"/>
      <c r="AA7" s="105"/>
      <c r="AB7" s="105"/>
      <c r="AC7" s="158"/>
      <c r="AD7" s="105"/>
      <c r="AE7" s="105"/>
      <c r="AF7" s="105"/>
      <c r="AG7" s="105"/>
      <c r="AH7" s="158"/>
      <c r="AI7" s="105"/>
      <c r="AJ7" s="105"/>
      <c r="AK7" s="105"/>
      <c r="AL7" s="96"/>
      <c r="AM7" s="158"/>
      <c r="AN7" s="105"/>
      <c r="AO7" s="105"/>
      <c r="AP7" s="105"/>
      <c r="AQ7" s="96"/>
      <c r="AR7" s="158"/>
      <c r="AS7" s="105"/>
      <c r="AT7" s="105"/>
      <c r="AU7" s="105"/>
      <c r="AV7" s="96"/>
      <c r="AW7" s="158"/>
      <c r="AX7" s="105"/>
      <c r="AY7" s="105"/>
      <c r="AZ7" s="124"/>
      <c r="BA7" s="817"/>
      <c r="BB7" s="158"/>
      <c r="BC7" s="817"/>
      <c r="BD7" s="105"/>
      <c r="BE7" s="105"/>
      <c r="BF7" s="105"/>
      <c r="BG7" s="158"/>
      <c r="BH7" s="105"/>
      <c r="BI7" s="105"/>
      <c r="BJ7" s="105"/>
      <c r="BK7" s="105"/>
      <c r="BL7" s="158"/>
      <c r="BM7" s="105"/>
      <c r="BN7" s="105"/>
      <c r="BO7" s="105"/>
      <c r="BP7" s="105"/>
      <c r="BQ7" s="158"/>
      <c r="BR7" s="105"/>
      <c r="BS7" s="105"/>
      <c r="BT7" s="105"/>
      <c r="BU7" s="105"/>
      <c r="BV7" s="158"/>
      <c r="BW7" s="105"/>
      <c r="BX7" s="105"/>
      <c r="BY7" s="105"/>
      <c r="BZ7" s="105"/>
      <c r="CA7" s="158"/>
    </row>
    <row r="8" spans="1:79">
      <c r="B8" s="112"/>
      <c r="C8" s="169" t="s">
        <v>125</v>
      </c>
      <c r="D8" s="95">
        <v>1096</v>
      </c>
      <c r="E8" s="235">
        <v>509</v>
      </c>
      <c r="F8" s="235">
        <v>548</v>
      </c>
      <c r="G8" s="235">
        <v>668</v>
      </c>
      <c r="H8" s="235">
        <v>899</v>
      </c>
      <c r="I8" s="95">
        <f>SUM(E8:H8)</f>
        <v>2624</v>
      </c>
      <c r="J8" s="96">
        <v>957</v>
      </c>
      <c r="K8" s="96">
        <v>882</v>
      </c>
      <c r="L8" s="96">
        <v>1061</v>
      </c>
      <c r="M8" s="202">
        <v>1515</v>
      </c>
      <c r="N8" s="95">
        <f>SUM(J8:M8)</f>
        <v>4415</v>
      </c>
      <c r="O8" s="96">
        <v>1592</v>
      </c>
      <c r="P8" s="96">
        <v>1699</v>
      </c>
      <c r="Q8" s="96">
        <v>1567</v>
      </c>
      <c r="R8" s="202">
        <v>1605</v>
      </c>
      <c r="S8" s="95">
        <f>SUM(O8:R8)</f>
        <v>6463</v>
      </c>
      <c r="T8" s="96">
        <v>1775</v>
      </c>
      <c r="U8" s="96">
        <v>1910</v>
      </c>
      <c r="V8" s="202">
        <v>1840</v>
      </c>
      <c r="W8" s="202">
        <v>1863</v>
      </c>
      <c r="X8" s="95">
        <f>SUM(T8:W8)</f>
        <v>7388</v>
      </c>
      <c r="Y8" s="96">
        <v>2103</v>
      </c>
      <c r="Z8" s="96">
        <f>4163-Y8</f>
        <v>2060</v>
      </c>
      <c r="AA8" s="96">
        <f>6302-Z8-Y8</f>
        <v>2139</v>
      </c>
      <c r="AB8" s="96">
        <f>8390-AA8-Z8-Y8</f>
        <v>2088</v>
      </c>
      <c r="AC8" s="95">
        <f>SUM(Y8:AB8)</f>
        <v>8390</v>
      </c>
      <c r="AD8" s="96">
        <v>2095</v>
      </c>
      <c r="AE8" s="96">
        <f>4365-AD8</f>
        <v>2270</v>
      </c>
      <c r="AF8" s="202">
        <f>6246-AE8-AD8</f>
        <v>1881</v>
      </c>
      <c r="AG8" s="96">
        <f>8314-AF8-AE8-AD8</f>
        <v>2068</v>
      </c>
      <c r="AH8" s="95">
        <f>SUM(AD8:AG8)</f>
        <v>8314</v>
      </c>
      <c r="AI8" s="96">
        <v>2320</v>
      </c>
      <c r="AJ8" s="96">
        <f>4769-AI8</f>
        <v>2449</v>
      </c>
      <c r="AK8" s="96">
        <f>7436-AJ8-AI8</f>
        <v>2667</v>
      </c>
      <c r="AL8" s="96">
        <f t="shared" ref="AL8:AL41" si="0">AM8-AK8-AJ8-AI8</f>
        <v>2838</v>
      </c>
      <c r="AM8" s="95">
        <v>10274</v>
      </c>
      <c r="AN8" s="96">
        <v>3192</v>
      </c>
      <c r="AO8" s="96">
        <f>6553-AN8</f>
        <v>3361</v>
      </c>
      <c r="AP8" s="96">
        <f>10050-AO8-AN8</f>
        <v>3497</v>
      </c>
      <c r="AQ8" s="96">
        <f>AR8-AP8-AO8-AN8</f>
        <v>4324</v>
      </c>
      <c r="AR8" s="95">
        <v>14374</v>
      </c>
      <c r="AS8" s="96">
        <v>4970</v>
      </c>
      <c r="AT8" s="96">
        <f>11213-AS8</f>
        <v>6243</v>
      </c>
      <c r="AU8" s="96">
        <f>17750-AT8-AS8</f>
        <v>6537</v>
      </c>
      <c r="AV8" s="96">
        <f>AW8-AU8-AT8-AS8</f>
        <v>7337</v>
      </c>
      <c r="AW8" s="95">
        <v>25087</v>
      </c>
      <c r="AX8" s="96">
        <v>8763</v>
      </c>
      <c r="AY8" s="96">
        <f>18414-AX8</f>
        <v>9651</v>
      </c>
      <c r="AZ8" s="96">
        <f>28194-AY8-AX8</f>
        <v>9780</v>
      </c>
      <c r="BA8" s="673">
        <f>38732-AZ8-AY8-AX8</f>
        <v>10538</v>
      </c>
      <c r="BB8" s="95">
        <f>SUM(AX8:BA8)</f>
        <v>38732</v>
      </c>
      <c r="BC8" s="673">
        <v>10795</v>
      </c>
      <c r="BD8" s="96">
        <f>22435-BC8</f>
        <v>11640</v>
      </c>
      <c r="BE8" s="96">
        <f>33650-BD8-BC8</f>
        <v>11215</v>
      </c>
      <c r="BF8" s="96">
        <f>44671-BE8-BD8-BC8</f>
        <v>11021</v>
      </c>
      <c r="BG8" s="95">
        <f>SUM(BC8:BF8)</f>
        <v>44671</v>
      </c>
      <c r="BH8" s="96">
        <v>11347</v>
      </c>
      <c r="BI8" s="96">
        <f>23071-BH8</f>
        <v>11724</v>
      </c>
      <c r="BJ8" s="96">
        <f>35553-BI8-BH8</f>
        <v>12482</v>
      </c>
      <c r="BK8" s="96">
        <f>48515-BJ8-BI8-BH8</f>
        <v>12962</v>
      </c>
      <c r="BL8" s="95">
        <f>SUM(BH8:BK8)</f>
        <v>48515</v>
      </c>
      <c r="BM8" s="96">
        <v>12183</v>
      </c>
      <c r="BN8" s="96">
        <f>25121-BM8</f>
        <v>12938</v>
      </c>
      <c r="BO8" s="96">
        <f>38265-BN8-BM8</f>
        <v>13144</v>
      </c>
      <c r="BP8" s="96">
        <f>52905-BO8-BN8-BM8</f>
        <v>14640</v>
      </c>
      <c r="BQ8" s="95">
        <f>SUM(BM8:BP8)</f>
        <v>52905</v>
      </c>
      <c r="BR8" s="96">
        <v>14490</v>
      </c>
      <c r="BS8" s="96">
        <f>29139-BR8</f>
        <v>14649</v>
      </c>
      <c r="BT8" s="96">
        <f>44911-BS8-BR8</f>
        <v>15772</v>
      </c>
      <c r="BU8" s="96">
        <f>61764-BT8-BS8-BR8</f>
        <v>16853</v>
      </c>
      <c r="BV8" s="95">
        <f>SUM(BR8:BU8)</f>
        <v>61764</v>
      </c>
      <c r="BW8" s="96">
        <f>BW9+BW10</f>
        <v>15024.45</v>
      </c>
      <c r="BX8" s="96">
        <f>BX9+BX10</f>
        <v>15811.864425000002</v>
      </c>
      <c r="BY8" s="96">
        <f>BY9+BY10</f>
        <v>15661.056978118751</v>
      </c>
      <c r="BZ8" s="96">
        <f>BZ9+BZ10</f>
        <v>16390.158542939866</v>
      </c>
      <c r="CA8" s="95">
        <f>SUM(BW8:BZ8)</f>
        <v>62887.529946058625</v>
      </c>
    </row>
    <row r="9" spans="1:79">
      <c r="B9" s="112"/>
      <c r="C9" s="169" t="s">
        <v>124</v>
      </c>
      <c r="D9" s="95"/>
      <c r="E9" s="235"/>
      <c r="F9" s="235"/>
      <c r="G9" s="235"/>
      <c r="H9" s="235"/>
      <c r="I9" s="95">
        <f>SUM(E9:H9)</f>
        <v>0</v>
      </c>
      <c r="J9" s="96"/>
      <c r="K9" s="96"/>
      <c r="L9" s="96"/>
      <c r="M9" s="96"/>
      <c r="N9" s="95">
        <f>SUM(J9:M9)</f>
        <v>0</v>
      </c>
      <c r="O9" s="96"/>
      <c r="P9" s="96"/>
      <c r="Q9" s="96"/>
      <c r="R9" s="96"/>
      <c r="S9" s="95"/>
      <c r="T9" s="96"/>
      <c r="U9" s="96"/>
      <c r="V9" s="202"/>
      <c r="W9" s="202"/>
      <c r="X9" s="95"/>
      <c r="Y9" s="96"/>
      <c r="Z9" s="96"/>
      <c r="AA9" s="96"/>
      <c r="AB9" s="96"/>
      <c r="AC9" s="95"/>
      <c r="AD9" s="96"/>
      <c r="AE9" s="96"/>
      <c r="AF9" s="202"/>
      <c r="AG9" s="96"/>
      <c r="AH9" s="95">
        <f t="shared" ref="AH9:AH31" si="1">SUM(AD9:AG9)</f>
        <v>0</v>
      </c>
      <c r="AI9" s="96">
        <f>+AI8-AI10</f>
        <v>2204</v>
      </c>
      <c r="AJ9" s="96">
        <f>+AJ8-AJ10</f>
        <v>2333</v>
      </c>
      <c r="AK9" s="96">
        <f>+AK8-AK10</f>
        <v>2550</v>
      </c>
      <c r="AL9" s="96">
        <f>+AL8-AL10</f>
        <v>2745</v>
      </c>
      <c r="AM9" s="95">
        <v>0</v>
      </c>
      <c r="AN9" s="96">
        <f t="shared" ref="AN9:AU9" si="2">+AN8-AN10</f>
        <v>3104</v>
      </c>
      <c r="AO9" s="96">
        <f t="shared" si="2"/>
        <v>3273</v>
      </c>
      <c r="AP9" s="96">
        <f t="shared" si="2"/>
        <v>3409</v>
      </c>
      <c r="AQ9" s="96">
        <f t="shared" si="2"/>
        <v>3706</v>
      </c>
      <c r="AR9" s="95">
        <f t="shared" si="2"/>
        <v>13492</v>
      </c>
      <c r="AS9" s="96">
        <f t="shared" si="2"/>
        <v>3880</v>
      </c>
      <c r="AT9" s="96">
        <f t="shared" si="2"/>
        <v>4505</v>
      </c>
      <c r="AU9" s="96">
        <f t="shared" si="2"/>
        <v>4799</v>
      </c>
      <c r="AV9" s="96">
        <f t="shared" ref="AV9:BA9" si="3">+AV8-AV10</f>
        <v>5054</v>
      </c>
      <c r="AW9" s="95">
        <f t="shared" si="3"/>
        <v>18238</v>
      </c>
      <c r="AX9" s="107">
        <f t="shared" si="3"/>
        <v>5816</v>
      </c>
      <c r="AY9" s="107">
        <f t="shared" si="3"/>
        <v>6704</v>
      </c>
      <c r="AZ9" s="107">
        <f t="shared" si="3"/>
        <v>6833</v>
      </c>
      <c r="BA9" s="816">
        <f t="shared" si="3"/>
        <v>7591</v>
      </c>
      <c r="BB9" s="150">
        <f t="shared" ref="BB9:BB31" si="4">SUM(AX9:BA9)</f>
        <v>26944</v>
      </c>
      <c r="BC9" s="816">
        <f t="shared" ref="BC9:BH9" si="5">+BC8-BC10</f>
        <v>7848</v>
      </c>
      <c r="BD9" s="107">
        <f t="shared" si="5"/>
        <v>8705</v>
      </c>
      <c r="BE9" s="96">
        <f t="shared" si="5"/>
        <v>8281</v>
      </c>
      <c r="BF9" s="96">
        <f t="shared" si="5"/>
        <v>8131</v>
      </c>
      <c r="BG9" s="95">
        <f t="shared" ref="BG9:BG31" si="6">SUM(BC9:BF9)</f>
        <v>32965</v>
      </c>
      <c r="BH9" s="96">
        <f t="shared" si="5"/>
        <v>8501</v>
      </c>
      <c r="BI9" s="96">
        <f>+BI8-BI10</f>
        <v>8879</v>
      </c>
      <c r="BJ9" s="96">
        <f>+BJ8-BJ10</f>
        <v>9300</v>
      </c>
      <c r="BK9" s="96">
        <f>+BK8-BK10</f>
        <v>9816</v>
      </c>
      <c r="BL9" s="95">
        <f t="shared" ref="BL9:BL31" si="7">SUM(BH9:BK9)</f>
        <v>36496</v>
      </c>
      <c r="BM9" s="96">
        <f>+BM8-BM10</f>
        <v>9535</v>
      </c>
      <c r="BN9" s="96">
        <f>+BN8-BN10</f>
        <v>10290</v>
      </c>
      <c r="BO9" s="96">
        <f>+BO8-BO10</f>
        <v>9948</v>
      </c>
      <c r="BP9" s="96">
        <f>+BP8-BP10</f>
        <v>10541</v>
      </c>
      <c r="BQ9" s="95">
        <f t="shared" ref="BQ9:BQ29" si="8">SUM(BM9:BP9)</f>
        <v>40314</v>
      </c>
      <c r="BR9" s="96">
        <f>+BR8-BR10</f>
        <v>10390</v>
      </c>
      <c r="BS9" s="96">
        <f>+BS8-BS10</f>
        <v>11185</v>
      </c>
      <c r="BT9" s="96">
        <f>+BT8-BT10</f>
        <v>12308</v>
      </c>
      <c r="BU9" s="96">
        <f>+BU8-BU10</f>
        <v>13415</v>
      </c>
      <c r="BV9" s="95">
        <f t="shared" ref="BV9:BV29" si="9">SUM(BR9:BU9)</f>
        <v>47298</v>
      </c>
      <c r="BW9" s="96">
        <f>BW100*('Balance Sheet '!BV12)</f>
        <v>11524.45</v>
      </c>
      <c r="BX9" s="96">
        <f>BX100*('Balance Sheet '!BW12)</f>
        <v>12311.864425000002</v>
      </c>
      <c r="BY9" s="96">
        <f>BY100*('Balance Sheet '!BX12)</f>
        <v>12161.056978118751</v>
      </c>
      <c r="BZ9" s="96">
        <f>BZ100*('Balance Sheet '!BY12)</f>
        <v>12890.158542939866</v>
      </c>
      <c r="CA9" s="95">
        <f t="shared" ref="CA9:CA21" si="10">SUM(BW9:BZ9)</f>
        <v>48887.529946058625</v>
      </c>
    </row>
    <row r="10" spans="1:79">
      <c r="B10" s="112"/>
      <c r="C10" s="169" t="s">
        <v>123</v>
      </c>
      <c r="D10" s="95"/>
      <c r="E10" s="235"/>
      <c r="F10" s="235"/>
      <c r="G10" s="235"/>
      <c r="H10" s="235"/>
      <c r="I10" s="95">
        <f>SUM(E10:H10)</f>
        <v>0</v>
      </c>
      <c r="J10" s="96"/>
      <c r="K10" s="96"/>
      <c r="L10" s="96"/>
      <c r="M10" s="202"/>
      <c r="N10" s="95">
        <f>SUM(J10:M10)</f>
        <v>0</v>
      </c>
      <c r="O10" s="96"/>
      <c r="P10" s="96"/>
      <c r="Q10" s="96"/>
      <c r="R10" s="202"/>
      <c r="S10" s="95"/>
      <c r="T10" s="202"/>
      <c r="U10" s="96"/>
      <c r="V10" s="202"/>
      <c r="W10" s="202"/>
      <c r="X10" s="95"/>
      <c r="Y10" s="202"/>
      <c r="Z10" s="202"/>
      <c r="AA10" s="202"/>
      <c r="AB10" s="202"/>
      <c r="AC10" s="95"/>
      <c r="AD10" s="202"/>
      <c r="AE10" s="202"/>
      <c r="AF10" s="202"/>
      <c r="AG10" s="202"/>
      <c r="AH10" s="95">
        <f t="shared" si="1"/>
        <v>0</v>
      </c>
      <c r="AI10" s="202">
        <f>'Income Statement'!AI53</f>
        <v>116</v>
      </c>
      <c r="AJ10" s="202">
        <f>'Income Statement'!AJ53</f>
        <v>116</v>
      </c>
      <c r="AK10" s="202">
        <f>'Income Statement'!AK53</f>
        <v>117</v>
      </c>
      <c r="AL10" s="202">
        <f>'Income Statement'!AL53</f>
        <v>93</v>
      </c>
      <c r="AM10" s="95">
        <v>0</v>
      </c>
      <c r="AN10" s="202">
        <f>'Income Statement'!AN53</f>
        <v>88</v>
      </c>
      <c r="AO10" s="202">
        <f>'Income Statement'!AO53</f>
        <v>88</v>
      </c>
      <c r="AP10" s="202">
        <v>88</v>
      </c>
      <c r="AQ10" s="202">
        <f>'Income Statement'!AQ53</f>
        <v>618</v>
      </c>
      <c r="AR10" s="95">
        <f>SUM(AN10:AQ10)</f>
        <v>882</v>
      </c>
      <c r="AS10" s="202">
        <f>'Income Statement'!AS53</f>
        <v>1090</v>
      </c>
      <c r="AT10" s="202">
        <f>'Income Statement'!AT53</f>
        <v>1738</v>
      </c>
      <c r="AU10" s="202">
        <f>'Income Statement'!AU53</f>
        <v>1738</v>
      </c>
      <c r="AV10" s="202">
        <f>'Income Statement'!AV53</f>
        <v>2283</v>
      </c>
      <c r="AW10" s="95">
        <f>'Income Statement'!AW53</f>
        <v>6849</v>
      </c>
      <c r="AX10" s="286">
        <f>'Income Statement'!AX53</f>
        <v>2947</v>
      </c>
      <c r="AY10" s="286">
        <f>'Income Statement'!AY53</f>
        <v>2947</v>
      </c>
      <c r="AZ10" s="286">
        <f>'Income Statement'!AZ53</f>
        <v>2947</v>
      </c>
      <c r="BA10" s="816">
        <f>'Income Statement'!BA53</f>
        <v>2947</v>
      </c>
      <c r="BB10" s="150">
        <f t="shared" si="4"/>
        <v>11788</v>
      </c>
      <c r="BC10" s="816">
        <f>'Income Statement'!BC53</f>
        <v>2947</v>
      </c>
      <c r="BD10" s="286">
        <f>'Income Statement'!BD53</f>
        <v>2935</v>
      </c>
      <c r="BE10" s="202">
        <f>'Income Statement'!BE53</f>
        <v>2934</v>
      </c>
      <c r="BF10" s="202">
        <f>'Income Statement'!BF53</f>
        <v>2890</v>
      </c>
      <c r="BG10" s="95">
        <f t="shared" si="6"/>
        <v>11706</v>
      </c>
      <c r="BH10" s="202">
        <f>'Income Statement'!BH53</f>
        <v>2846</v>
      </c>
      <c r="BI10" s="202">
        <f>'Income Statement'!BI53</f>
        <v>2845</v>
      </c>
      <c r="BJ10" s="202">
        <f>'Income Statement'!BJ53</f>
        <v>3182</v>
      </c>
      <c r="BK10" s="202">
        <f>'Income Statement'!BK53</f>
        <v>3146</v>
      </c>
      <c r="BL10" s="95">
        <f t="shared" si="7"/>
        <v>12019</v>
      </c>
      <c r="BM10" s="202">
        <f>'Income Statement'!BM53</f>
        <v>2648</v>
      </c>
      <c r="BN10" s="202">
        <f>'Income Statement'!BN53</f>
        <v>2648</v>
      </c>
      <c r="BO10" s="202">
        <f>'Income Statement'!BO53</f>
        <v>3196</v>
      </c>
      <c r="BP10" s="202">
        <f>'Income Statement'!BP53</f>
        <v>4099</v>
      </c>
      <c r="BQ10" s="95">
        <f t="shared" si="8"/>
        <v>12591</v>
      </c>
      <c r="BR10" s="202">
        <f>'Income Statement'!BR53</f>
        <v>4100</v>
      </c>
      <c r="BS10" s="202">
        <f>'Income Statement'!BS53</f>
        <v>3464</v>
      </c>
      <c r="BT10" s="202">
        <f>'Income Statement'!BT53</f>
        <v>3464</v>
      </c>
      <c r="BU10" s="202">
        <f>'Income Statement'!BU53</f>
        <v>3438</v>
      </c>
      <c r="BV10" s="95">
        <f t="shared" si="9"/>
        <v>14466</v>
      </c>
      <c r="BW10" s="202">
        <f>'Income Statement'!BW53</f>
        <v>3500</v>
      </c>
      <c r="BX10" s="202">
        <f>'Income Statement'!BX53</f>
        <v>3500</v>
      </c>
      <c r="BY10" s="202">
        <f>'Income Statement'!BY53</f>
        <v>3500</v>
      </c>
      <c r="BZ10" s="202">
        <f>'Income Statement'!BZ53</f>
        <v>3500</v>
      </c>
      <c r="CA10" s="95">
        <f t="shared" si="10"/>
        <v>14000</v>
      </c>
    </row>
    <row r="11" spans="1:79">
      <c r="B11" s="112"/>
      <c r="C11" s="169" t="s">
        <v>283</v>
      </c>
      <c r="D11" s="95"/>
      <c r="E11" s="235"/>
      <c r="F11" s="235"/>
      <c r="G11" s="235"/>
      <c r="H11" s="235"/>
      <c r="I11" s="95"/>
      <c r="J11" s="96"/>
      <c r="K11" s="96"/>
      <c r="L11" s="96"/>
      <c r="M11" s="202"/>
      <c r="N11" s="95"/>
      <c r="O11" s="96"/>
      <c r="P11" s="96"/>
      <c r="Q11" s="96"/>
      <c r="R11" s="202"/>
      <c r="S11" s="95"/>
      <c r="T11" s="202"/>
      <c r="U11" s="96"/>
      <c r="V11" s="202"/>
      <c r="W11" s="202"/>
      <c r="X11" s="95"/>
      <c r="Y11" s="202"/>
      <c r="Z11" s="202"/>
      <c r="AA11" s="202"/>
      <c r="AB11" s="202"/>
      <c r="AC11" s="95"/>
      <c r="AD11" s="202"/>
      <c r="AE11" s="202"/>
      <c r="AF11" s="202"/>
      <c r="AG11" s="202"/>
      <c r="AH11" s="95"/>
      <c r="AI11" s="202"/>
      <c r="AJ11" s="202"/>
      <c r="AK11" s="202"/>
      <c r="AL11" s="202"/>
      <c r="AM11" s="95"/>
      <c r="AN11" s="202">
        <v>1010</v>
      </c>
      <c r="AO11" s="202">
        <f>2147-AN11</f>
        <v>1137</v>
      </c>
      <c r="AP11" s="202">
        <f>3420-AO11-AN11</f>
        <v>1273</v>
      </c>
      <c r="AQ11" s="96">
        <f>AR11-AP11-AO11-AN11</f>
        <v>1315</v>
      </c>
      <c r="AR11" s="95">
        <v>4735</v>
      </c>
      <c r="AS11" s="202">
        <v>1394</v>
      </c>
      <c r="AT11" s="202">
        <f>2786-AS11</f>
        <v>1392</v>
      </c>
      <c r="AU11" s="202">
        <f>4227-AT11-AS11</f>
        <v>1441</v>
      </c>
      <c r="AV11" s="96">
        <f>AW11-AU11-AT11-AS11</f>
        <v>1460</v>
      </c>
      <c r="AW11" s="95">
        <v>5687</v>
      </c>
      <c r="AX11" s="286">
        <v>2389</v>
      </c>
      <c r="AY11" s="286">
        <f>4473-AX11</f>
        <v>2084</v>
      </c>
      <c r="AZ11" s="286">
        <f>6445-AY11-AX11</f>
        <v>1972</v>
      </c>
      <c r="BA11" s="816">
        <f>8698-AZ11-AY11-AX11</f>
        <v>2253</v>
      </c>
      <c r="BB11" s="150">
        <f t="shared" si="4"/>
        <v>8698</v>
      </c>
      <c r="BC11" s="816">
        <v>2403</v>
      </c>
      <c r="BD11" s="286">
        <f>4942-BC11</f>
        <v>2539</v>
      </c>
      <c r="BE11" s="202">
        <f>7491-BD11-BC11</f>
        <v>2549</v>
      </c>
      <c r="BF11" s="202">
        <f>10377-BE11-BD11-BC11</f>
        <v>2886</v>
      </c>
      <c r="BG11" s="95">
        <f t="shared" si="6"/>
        <v>10377</v>
      </c>
      <c r="BH11" s="202">
        <v>2934</v>
      </c>
      <c r="BI11" s="202">
        <f>5838-BH11</f>
        <v>2904</v>
      </c>
      <c r="BJ11" s="202">
        <f>9234-BI11-BH11</f>
        <v>3396</v>
      </c>
      <c r="BK11" s="202">
        <f>12642-BJ11-BI11-BH11</f>
        <v>3408</v>
      </c>
      <c r="BL11" s="95">
        <f t="shared" si="7"/>
        <v>12642</v>
      </c>
      <c r="BM11" s="202">
        <v>3323</v>
      </c>
      <c r="BN11" s="202">
        <f>6312-BM11</f>
        <v>2989</v>
      </c>
      <c r="BO11" s="202">
        <f>10631-BN11-BM11</f>
        <v>4319</v>
      </c>
      <c r="BP11" s="202">
        <f>15358-BO11-BN11-BM11</f>
        <v>4727</v>
      </c>
      <c r="BQ11" s="95">
        <f t="shared" si="8"/>
        <v>15358</v>
      </c>
      <c r="BR11" s="202">
        <v>5084</v>
      </c>
      <c r="BS11" s="202">
        <f>10080-BR11</f>
        <v>4996</v>
      </c>
      <c r="BT11" s="202">
        <f>15174-BS11-BR11</f>
        <v>5094</v>
      </c>
      <c r="BU11" s="202">
        <f>20277-BT11-BS11-BR11</f>
        <v>5103</v>
      </c>
      <c r="BV11" s="95">
        <f t="shared" si="9"/>
        <v>20277</v>
      </c>
      <c r="BW11" s="202">
        <v>0</v>
      </c>
      <c r="BX11" s="202">
        <v>0</v>
      </c>
      <c r="BY11" s="202">
        <v>0</v>
      </c>
      <c r="BZ11" s="202">
        <v>0</v>
      </c>
      <c r="CA11" s="95">
        <f t="shared" si="10"/>
        <v>0</v>
      </c>
    </row>
    <row r="12" spans="1:79">
      <c r="B12" s="112"/>
      <c r="C12" s="169" t="s">
        <v>266</v>
      </c>
      <c r="D12" s="95"/>
      <c r="E12" s="235"/>
      <c r="F12" s="235"/>
      <c r="G12" s="235"/>
      <c r="H12" s="235"/>
      <c r="I12" s="95"/>
      <c r="J12" s="96"/>
      <c r="K12" s="96"/>
      <c r="L12" s="96"/>
      <c r="M12" s="202"/>
      <c r="N12" s="95"/>
      <c r="O12" s="96"/>
      <c r="P12" s="96"/>
      <c r="Q12" s="96"/>
      <c r="R12" s="202"/>
      <c r="S12" s="95"/>
      <c r="T12" s="202"/>
      <c r="U12" s="96"/>
      <c r="V12" s="202"/>
      <c r="W12" s="202"/>
      <c r="X12" s="95"/>
      <c r="Y12" s="202"/>
      <c r="Z12" s="202"/>
      <c r="AA12" s="202"/>
      <c r="AB12" s="202"/>
      <c r="AC12" s="95"/>
      <c r="AD12" s="202"/>
      <c r="AE12" s="202"/>
      <c r="AF12" s="202"/>
      <c r="AG12" s="202"/>
      <c r="AH12" s="95"/>
      <c r="AI12" s="202"/>
      <c r="AJ12" s="202">
        <v>-43</v>
      </c>
      <c r="AK12" s="202">
        <f>-317-AJ12</f>
        <v>-274</v>
      </c>
      <c r="AL12" s="96">
        <f t="shared" si="0"/>
        <v>-353</v>
      </c>
      <c r="AM12" s="95">
        <v>-670</v>
      </c>
      <c r="AN12" s="202">
        <v>-421</v>
      </c>
      <c r="AO12" s="202">
        <f>-883-AN12</f>
        <v>-462</v>
      </c>
      <c r="AP12" s="202">
        <f>-1036-AO12-AN12</f>
        <v>-153</v>
      </c>
      <c r="AQ12" s="96">
        <f t="shared" ref="AQ12:AQ41" si="11">AR12-AP12-AO12-AN12</f>
        <v>-72</v>
      </c>
      <c r="AR12" s="95">
        <v>-1108</v>
      </c>
      <c r="AS12" s="202">
        <v>177</v>
      </c>
      <c r="AT12" s="202">
        <f>630-AS12</f>
        <v>453</v>
      </c>
      <c r="AU12" s="202">
        <f>1819-AT12-AS12</f>
        <v>1189</v>
      </c>
      <c r="AV12" s="96">
        <f t="shared" ref="AV12:AV41" si="12">AW12-AU12-AT12-AS12</f>
        <v>1271</v>
      </c>
      <c r="AW12" s="95">
        <v>3090</v>
      </c>
      <c r="AX12" s="286">
        <v>1682</v>
      </c>
      <c r="AY12" s="286">
        <f>3521-AX12</f>
        <v>1839</v>
      </c>
      <c r="AZ12" s="286">
        <f>5114-AY12-AX12</f>
        <v>1593</v>
      </c>
      <c r="BA12" s="816">
        <f>6385-AZ12-AY12-AX12</f>
        <v>1271</v>
      </c>
      <c r="BB12" s="150">
        <f t="shared" si="4"/>
        <v>6385</v>
      </c>
      <c r="BC12" s="816">
        <v>700</v>
      </c>
      <c r="BD12" s="286">
        <f>1114-BC12</f>
        <v>414</v>
      </c>
      <c r="BE12" s="202">
        <f>1006-BD12-BC12</f>
        <v>-108</v>
      </c>
      <c r="BF12" s="202">
        <f>-90-BE12-BD12-BC12</f>
        <v>-1096</v>
      </c>
      <c r="BG12" s="95">
        <f t="shared" si="6"/>
        <v>-90</v>
      </c>
      <c r="BH12" s="202">
        <v>-1863</v>
      </c>
      <c r="BI12" s="202">
        <f>+-4315-BH12</f>
        <v>-2452</v>
      </c>
      <c r="BJ12" s="202">
        <f>-7684-BI12-BH12</f>
        <v>-3369</v>
      </c>
      <c r="BK12" s="202">
        <f>-11351-BJ12-BI12-BH12</f>
        <v>-3667</v>
      </c>
      <c r="BL12" s="95">
        <f t="shared" si="7"/>
        <v>-11351</v>
      </c>
      <c r="BM12" s="202">
        <v>-4935</v>
      </c>
      <c r="BN12" s="202">
        <f>+-11217-BM12</f>
        <v>-6282</v>
      </c>
      <c r="BO12" s="202">
        <f>+-16833-BN12-BM12</f>
        <v>-5616</v>
      </c>
      <c r="BP12" s="202">
        <f>-20818-BO12-BN12-BM12</f>
        <v>-3985</v>
      </c>
      <c r="BQ12" s="95">
        <f t="shared" si="8"/>
        <v>-20818</v>
      </c>
      <c r="BR12" s="202">
        <v>-3313</v>
      </c>
      <c r="BS12" s="202">
        <f>-5325-BR12</f>
        <v>-2012</v>
      </c>
      <c r="BT12" s="202">
        <f>-6658-BS12-BR12</f>
        <v>-1333</v>
      </c>
      <c r="BU12" s="202">
        <f>-7892-BT12-BS12-BR12</f>
        <v>-1234</v>
      </c>
      <c r="BV12" s="95">
        <f t="shared" si="9"/>
        <v>-7892</v>
      </c>
      <c r="BW12" s="202"/>
      <c r="BX12" s="202"/>
      <c r="BY12" s="202"/>
      <c r="BZ12" s="202"/>
      <c r="CA12" s="95">
        <f t="shared" si="10"/>
        <v>0</v>
      </c>
    </row>
    <row r="13" spans="1:79">
      <c r="B13" s="112"/>
      <c r="C13" s="169" t="s">
        <v>350</v>
      </c>
      <c r="D13" s="95"/>
      <c r="E13" s="235"/>
      <c r="F13" s="235"/>
      <c r="G13" s="235"/>
      <c r="H13" s="235"/>
      <c r="I13" s="95"/>
      <c r="J13" s="96"/>
      <c r="K13" s="96"/>
      <c r="L13" s="96"/>
      <c r="M13" s="202"/>
      <c r="N13" s="95"/>
      <c r="O13" s="96"/>
      <c r="P13" s="96"/>
      <c r="Q13" s="96"/>
      <c r="R13" s="202"/>
      <c r="S13" s="95"/>
      <c r="T13" s="202"/>
      <c r="U13" s="96"/>
      <c r="V13" s="202"/>
      <c r="W13" s="202"/>
      <c r="X13" s="95"/>
      <c r="Y13" s="202"/>
      <c r="Z13" s="202"/>
      <c r="AA13" s="202"/>
      <c r="AB13" s="202"/>
      <c r="AC13" s="95"/>
      <c r="AD13" s="202"/>
      <c r="AE13" s="202"/>
      <c r="AF13" s="202"/>
      <c r="AG13" s="202"/>
      <c r="AH13" s="95"/>
      <c r="AI13" s="202"/>
      <c r="AJ13" s="202"/>
      <c r="AK13" s="202"/>
      <c r="AL13" s="96"/>
      <c r="AM13" s="95"/>
      <c r="AN13" s="202"/>
      <c r="AO13" s="202"/>
      <c r="AP13" s="202"/>
      <c r="AQ13" s="96"/>
      <c r="AR13" s="95"/>
      <c r="AS13" s="202"/>
      <c r="AT13" s="202"/>
      <c r="AU13" s="202"/>
      <c r="AV13" s="96"/>
      <c r="AW13" s="95"/>
      <c r="AX13" s="286">
        <v>5540</v>
      </c>
      <c r="AY13" s="286">
        <f>11468-AX13</f>
        <v>5928</v>
      </c>
      <c r="AZ13" s="286">
        <f>18358-AY13-AX13</f>
        <v>6890</v>
      </c>
      <c r="BA13" s="816">
        <f>26050-AZ13-AY13-AX13</f>
        <v>7692</v>
      </c>
      <c r="BB13" s="150">
        <f t="shared" si="4"/>
        <v>26050</v>
      </c>
      <c r="BC13" s="816">
        <v>8678</v>
      </c>
      <c r="BD13" s="286">
        <f>18653-BC13</f>
        <v>9975</v>
      </c>
      <c r="BE13" s="202">
        <f>29245-BD13-BC13</f>
        <v>10592</v>
      </c>
      <c r="BF13" s="202">
        <f>41034-BE13-BD13-BC13</f>
        <v>11789</v>
      </c>
      <c r="BG13" s="95">
        <f t="shared" si="6"/>
        <v>41034</v>
      </c>
      <c r="BH13" s="202">
        <v>12423</v>
      </c>
      <c r="BI13" s="202">
        <f>25710-BH13</f>
        <v>13287</v>
      </c>
      <c r="BJ13" s="202">
        <f>40088-BI13-BH13</f>
        <v>14378</v>
      </c>
      <c r="BK13" s="202">
        <f>55384-BJ13-BI13-BH13</f>
        <v>15296</v>
      </c>
      <c r="BL13" s="95">
        <f t="shared" si="7"/>
        <v>55384</v>
      </c>
      <c r="BM13" s="202">
        <v>16269</v>
      </c>
      <c r="BN13" s="202">
        <f>33825-BM13</f>
        <v>17556</v>
      </c>
      <c r="BO13" s="202">
        <f>52152-BN13-BM13</f>
        <v>18327</v>
      </c>
      <c r="BP13" s="202">
        <f>71483-BO13-BN13-BM13</f>
        <v>19331</v>
      </c>
      <c r="BQ13" s="95">
        <f t="shared" si="8"/>
        <v>71483</v>
      </c>
      <c r="BR13" s="202">
        <v>20362</v>
      </c>
      <c r="BS13" s="202">
        <f>41528-BR13</f>
        <v>21166</v>
      </c>
      <c r="BT13" s="202">
        <f>63568-BS13-BR13</f>
        <v>22040</v>
      </c>
      <c r="BU13" s="202">
        <f>86006-BT13-BS13-BR13</f>
        <v>22438</v>
      </c>
      <c r="BV13" s="95">
        <f t="shared" si="9"/>
        <v>86006</v>
      </c>
      <c r="BW13" s="202"/>
      <c r="BX13" s="202"/>
      <c r="BY13" s="202"/>
      <c r="BZ13" s="202"/>
      <c r="CA13" s="95">
        <f t="shared" si="10"/>
        <v>0</v>
      </c>
    </row>
    <row r="14" spans="1:79">
      <c r="B14" s="112"/>
      <c r="C14" s="169" t="s">
        <v>210</v>
      </c>
      <c r="D14" s="95">
        <v>51</v>
      </c>
      <c r="E14" s="235">
        <v>27</v>
      </c>
      <c r="F14" s="235">
        <v>23</v>
      </c>
      <c r="G14" s="235">
        <v>9</v>
      </c>
      <c r="H14" s="235">
        <v>155</v>
      </c>
      <c r="I14" s="95">
        <f>SUM(E14:H14)</f>
        <v>214</v>
      </c>
      <c r="J14" s="96">
        <v>7</v>
      </c>
      <c r="K14" s="202">
        <v>12</v>
      </c>
      <c r="L14" s="202">
        <v>10</v>
      </c>
      <c r="M14" s="202">
        <v>59</v>
      </c>
      <c r="N14" s="95">
        <f>SUM(J14:M14)</f>
        <v>88</v>
      </c>
      <c r="O14" s="96">
        <v>20</v>
      </c>
      <c r="P14" s="202">
        <v>19</v>
      </c>
      <c r="Q14" s="202">
        <v>4</v>
      </c>
      <c r="R14" s="202">
        <v>33</v>
      </c>
      <c r="S14" s="95">
        <f>SUM(O14:R14)</f>
        <v>76</v>
      </c>
      <c r="T14" s="124">
        <v>113</v>
      </c>
      <c r="U14" s="124">
        <v>21</v>
      </c>
      <c r="V14" s="202">
        <v>23</v>
      </c>
      <c r="W14" s="203">
        <v>14</v>
      </c>
      <c r="X14" s="95">
        <f>SUM(T14:W14)</f>
        <v>171</v>
      </c>
      <c r="Y14" s="96">
        <v>25</v>
      </c>
      <c r="Z14" s="96">
        <f>41-Y14</f>
        <v>16</v>
      </c>
      <c r="AA14" s="96">
        <f>58-Z14-Y14</f>
        <v>17</v>
      </c>
      <c r="AB14" s="96">
        <f>75-AA14-Z14-Y14</f>
        <v>17</v>
      </c>
      <c r="AC14" s="95">
        <f>SUM(Y14:AB14)</f>
        <v>75</v>
      </c>
      <c r="AD14" s="202">
        <v>24</v>
      </c>
      <c r="AE14" s="96">
        <f>45-AD14</f>
        <v>21</v>
      </c>
      <c r="AF14" s="202">
        <f>66-AE14-AD14</f>
        <v>21</v>
      </c>
      <c r="AG14" s="96">
        <f>95-AF14-AE14-AD14</f>
        <v>29</v>
      </c>
      <c r="AH14" s="95">
        <f t="shared" si="1"/>
        <v>95</v>
      </c>
      <c r="AI14" s="96">
        <v>48</v>
      </c>
      <c r="AJ14" s="96">
        <f>66-AI14</f>
        <v>18</v>
      </c>
      <c r="AK14" s="96">
        <f>81-AJ14-AI14</f>
        <v>15</v>
      </c>
      <c r="AL14" s="96">
        <f t="shared" si="0"/>
        <v>9</v>
      </c>
      <c r="AM14" s="95">
        <v>90</v>
      </c>
      <c r="AN14" s="96">
        <v>14</v>
      </c>
      <c r="AO14" s="96">
        <f>30-AN14</f>
        <v>16</v>
      </c>
      <c r="AP14" s="96">
        <f>78-AO14-AN14</f>
        <v>48</v>
      </c>
      <c r="AQ14" s="96">
        <f t="shared" si="11"/>
        <v>12</v>
      </c>
      <c r="AR14" s="95">
        <v>90</v>
      </c>
      <c r="AS14" s="96">
        <v>255</v>
      </c>
      <c r="AT14" s="96">
        <f>353-AS14</f>
        <v>98</v>
      </c>
      <c r="AU14" s="96">
        <f>578-AT14-AS14</f>
        <v>225</v>
      </c>
      <c r="AV14" s="96">
        <f t="shared" si="12"/>
        <v>176</v>
      </c>
      <c r="AW14" s="95">
        <v>754</v>
      </c>
      <c r="AX14" s="107">
        <v>160</v>
      </c>
      <c r="AY14" s="107">
        <f>337-AX14</f>
        <v>177</v>
      </c>
      <c r="AZ14" s="107">
        <f>502-AY14-AX14</f>
        <v>165</v>
      </c>
      <c r="BA14" s="816">
        <f>808-AZ14-AY14-AX14</f>
        <v>306</v>
      </c>
      <c r="BB14" s="150">
        <f t="shared" si="4"/>
        <v>808</v>
      </c>
      <c r="BC14" s="816">
        <v>222</v>
      </c>
      <c r="BD14" s="107">
        <f>505-BC14</f>
        <v>283</v>
      </c>
      <c r="BE14" s="96">
        <f>812-BD14-BC14</f>
        <v>307</v>
      </c>
      <c r="BF14" s="96">
        <f>1105-BE14-BD14-BC14</f>
        <v>293</v>
      </c>
      <c r="BG14" s="95">
        <f t="shared" si="6"/>
        <v>1105</v>
      </c>
      <c r="BH14" s="96">
        <v>317</v>
      </c>
      <c r="BI14" s="96">
        <f>528-BH14</f>
        <v>211</v>
      </c>
      <c r="BJ14" s="96">
        <f>795-BI14-BH14</f>
        <v>267</v>
      </c>
      <c r="BK14" s="202">
        <f>989-BJ14-BI14-BH14</f>
        <v>194</v>
      </c>
      <c r="BL14" s="95">
        <f t="shared" si="7"/>
        <v>989</v>
      </c>
      <c r="BM14" s="96">
        <v>352</v>
      </c>
      <c r="BN14" s="96">
        <f>677-BM14</f>
        <v>325</v>
      </c>
      <c r="BO14" s="96">
        <f>806-BN14-BM14</f>
        <v>129</v>
      </c>
      <c r="BP14" s="96">
        <f>1150-BO14-BN14-BM14</f>
        <v>344</v>
      </c>
      <c r="BQ14" s="95">
        <f t="shared" si="8"/>
        <v>1150</v>
      </c>
      <c r="BR14" s="96">
        <v>423</v>
      </c>
      <c r="BS14" s="96">
        <f>945-BR14</f>
        <v>522</v>
      </c>
      <c r="BT14" s="96">
        <f>1254-BS14-BR14</f>
        <v>309</v>
      </c>
      <c r="BU14" s="96">
        <f>1617-BT14-BS14-BR14</f>
        <v>363</v>
      </c>
      <c r="BV14" s="95">
        <f t="shared" si="9"/>
        <v>1617</v>
      </c>
      <c r="BW14" s="96"/>
      <c r="BX14" s="96"/>
      <c r="BY14" s="96"/>
      <c r="BZ14" s="96"/>
      <c r="CA14" s="95">
        <f t="shared" si="10"/>
        <v>0</v>
      </c>
    </row>
    <row r="15" spans="1:79">
      <c r="B15" s="112"/>
      <c r="C15" s="169" t="s">
        <v>211</v>
      </c>
      <c r="D15" s="95">
        <v>357</v>
      </c>
      <c r="E15" s="235">
        <v>78</v>
      </c>
      <c r="F15" s="235">
        <v>71</v>
      </c>
      <c r="G15" s="235">
        <v>119</v>
      </c>
      <c r="H15" s="235">
        <v>196</v>
      </c>
      <c r="I15" s="95">
        <f>SUM(E15:H15)</f>
        <v>464</v>
      </c>
      <c r="J15" s="96">
        <v>264</v>
      </c>
      <c r="K15" s="202">
        <v>304</v>
      </c>
      <c r="L15" s="202">
        <v>457</v>
      </c>
      <c r="M15" s="202">
        <v>924</v>
      </c>
      <c r="N15" s="95">
        <f>SUM(J15:M15)</f>
        <v>1949</v>
      </c>
      <c r="O15" s="96">
        <v>1196</v>
      </c>
      <c r="P15" s="202">
        <v>1723</v>
      </c>
      <c r="Q15" s="202">
        <v>1877</v>
      </c>
      <c r="R15" s="202">
        <v>1957</v>
      </c>
      <c r="S15" s="95">
        <f>SUM(O15:R15)</f>
        <v>6753</v>
      </c>
      <c r="T15" s="96">
        <v>2235</v>
      </c>
      <c r="U15" s="96">
        <v>1830</v>
      </c>
      <c r="V15" s="202">
        <v>1945</v>
      </c>
      <c r="W15" s="202">
        <v>1720</v>
      </c>
      <c r="X15" s="95">
        <f>SUM(T15:W15)</f>
        <v>7730</v>
      </c>
      <c r="Y15" s="107">
        <v>1994</v>
      </c>
      <c r="Z15" s="107">
        <f>4408-Y15</f>
        <v>2414</v>
      </c>
      <c r="AA15" s="107">
        <f>6927-Z15-Y15</f>
        <v>2519</v>
      </c>
      <c r="AB15" s="107">
        <f>9643-AA15-Z15-Y15</f>
        <v>2716</v>
      </c>
      <c r="AC15" s="95">
        <f>SUM(Y15:AB15)</f>
        <v>9643</v>
      </c>
      <c r="AD15" s="286">
        <v>3129</v>
      </c>
      <c r="AE15" s="107">
        <f>'Income Statement'!AE63</f>
        <v>3854</v>
      </c>
      <c r="AF15" s="286">
        <f>10703-AE15-AD15</f>
        <v>3720</v>
      </c>
      <c r="AG15" s="107">
        <f>15343-AF15-AE15-AD15</f>
        <v>4640</v>
      </c>
      <c r="AH15" s="95">
        <f t="shared" si="1"/>
        <v>15343</v>
      </c>
      <c r="AI15" s="286">
        <v>5325</v>
      </c>
      <c r="AJ15" s="107">
        <f>12122-AI15</f>
        <v>6797</v>
      </c>
      <c r="AK15" s="107">
        <f>'Income Statement'!AK63</f>
        <v>8869</v>
      </c>
      <c r="AL15" s="96">
        <f t="shared" si="0"/>
        <v>7493</v>
      </c>
      <c r="AM15" s="95">
        <v>28484</v>
      </c>
      <c r="AN15" s="107">
        <v>8686</v>
      </c>
      <c r="AO15" s="107">
        <f>19122-AN15</f>
        <v>10436</v>
      </c>
      <c r="AP15" s="107">
        <f>30197-AO15-AN15</f>
        <v>11075</v>
      </c>
      <c r="AQ15" s="96">
        <f t="shared" si="11"/>
        <v>11868</v>
      </c>
      <c r="AR15" s="95">
        <v>42065</v>
      </c>
      <c r="AS15" s="107">
        <v>13794</v>
      </c>
      <c r="AT15" s="107">
        <f>30585-AS15</f>
        <v>16791</v>
      </c>
      <c r="AU15" s="107">
        <f>47871-AT15-AS15</f>
        <v>17286</v>
      </c>
      <c r="AV15" s="96">
        <f t="shared" si="12"/>
        <v>16876</v>
      </c>
      <c r="AW15" s="95">
        <v>64747</v>
      </c>
      <c r="AX15" s="107">
        <v>20908</v>
      </c>
      <c r="AY15" s="107">
        <f>'Income Statement'!AY63</f>
        <v>24901</v>
      </c>
      <c r="AZ15" s="107">
        <f>'Income Statement'!AZ63</f>
        <v>27395</v>
      </c>
      <c r="BA15" s="816">
        <f>'Income Statement'!BA63</f>
        <v>35601</v>
      </c>
      <c r="BB15" s="150">
        <f t="shared" si="4"/>
        <v>108805</v>
      </c>
      <c r="BC15" s="816">
        <f>'Income Statement'!BC63</f>
        <v>39394</v>
      </c>
      <c r="BD15" s="107">
        <f>84179-BC15</f>
        <v>44785</v>
      </c>
      <c r="BE15" s="107">
        <f>128682-BD15-BC15</f>
        <v>44503</v>
      </c>
      <c r="BF15" s="107">
        <f>172507-BE15-BD15-BC15</f>
        <v>43825</v>
      </c>
      <c r="BG15" s="95">
        <f t="shared" si="6"/>
        <v>172507</v>
      </c>
      <c r="BH15" s="107">
        <v>50743</v>
      </c>
      <c r="BI15" s="107">
        <f>104110-BH15</f>
        <v>53367</v>
      </c>
      <c r="BJ15" s="107">
        <f>156721-BI15-BH15</f>
        <v>52611</v>
      </c>
      <c r="BK15" s="202">
        <f>206292-BJ15-BI15-BH15</f>
        <v>49571</v>
      </c>
      <c r="BL15" s="95">
        <f t="shared" si="7"/>
        <v>206292</v>
      </c>
      <c r="BM15" s="107">
        <v>44684</v>
      </c>
      <c r="BN15" s="107">
        <f>88316-BM15</f>
        <v>43632</v>
      </c>
      <c r="BO15" s="107">
        <f>127872-BN15-BM15</f>
        <v>39556</v>
      </c>
      <c r="BP15" s="107">
        <f>166315-BO15-BN15-BM15</f>
        <v>38443</v>
      </c>
      <c r="BQ15" s="95">
        <f t="shared" si="8"/>
        <v>166315</v>
      </c>
      <c r="BR15" s="107">
        <v>39245</v>
      </c>
      <c r="BS15" s="107">
        <f>81104-BR15</f>
        <v>41859</v>
      </c>
      <c r="BT15" s="107">
        <f>114443-BS15-BR15</f>
        <v>33339</v>
      </c>
      <c r="BU15" s="107">
        <f>148068-BT15-BS15-BR15</f>
        <v>33625</v>
      </c>
      <c r="BV15" s="95">
        <f t="shared" si="9"/>
        <v>148068</v>
      </c>
      <c r="BW15" s="107">
        <f>'Income Statement'!BW63</f>
        <v>35000</v>
      </c>
      <c r="BX15" s="107">
        <f>'Income Statement'!BX63</f>
        <v>35000</v>
      </c>
      <c r="BY15" s="107">
        <f>'Income Statement'!BY63</f>
        <v>40000</v>
      </c>
      <c r="BZ15" s="107">
        <f>'Income Statement'!BZ63</f>
        <v>42000</v>
      </c>
      <c r="CA15" s="95">
        <f t="shared" si="10"/>
        <v>152000</v>
      </c>
    </row>
    <row r="16" spans="1:79">
      <c r="B16" s="112"/>
      <c r="C16" s="169" t="s">
        <v>267</v>
      </c>
      <c r="D16" s="95"/>
      <c r="E16" s="235"/>
      <c r="F16" s="235"/>
      <c r="G16" s="235"/>
      <c r="H16" s="235"/>
      <c r="I16" s="95"/>
      <c r="J16" s="96"/>
      <c r="K16" s="202"/>
      <c r="L16" s="202"/>
      <c r="M16" s="202"/>
      <c r="N16" s="95"/>
      <c r="O16" s="96"/>
      <c r="P16" s="202"/>
      <c r="Q16" s="202"/>
      <c r="R16" s="202"/>
      <c r="S16" s="95"/>
      <c r="T16" s="96"/>
      <c r="U16" s="96"/>
      <c r="V16" s="202"/>
      <c r="W16" s="202"/>
      <c r="X16" s="95"/>
      <c r="Y16" s="107"/>
      <c r="Z16" s="107"/>
      <c r="AA16" s="107"/>
      <c r="AB16" s="107"/>
      <c r="AC16" s="95"/>
      <c r="AD16" s="286"/>
      <c r="AE16" s="107"/>
      <c r="AF16" s="286"/>
      <c r="AG16" s="107"/>
      <c r="AH16" s="95"/>
      <c r="AI16" s="286"/>
      <c r="AJ16" s="107">
        <v>-312</v>
      </c>
      <c r="AK16" s="107"/>
      <c r="AL16" s="96">
        <f t="shared" si="0"/>
        <v>0</v>
      </c>
      <c r="AM16" s="95">
        <v>-312</v>
      </c>
      <c r="AN16" s="107">
        <v>-217</v>
      </c>
      <c r="AO16" s="107">
        <f>-217-AN16</f>
        <v>0</v>
      </c>
      <c r="AP16" s="107">
        <f>-217-AN16</f>
        <v>0</v>
      </c>
      <c r="AQ16" s="96">
        <f t="shared" si="11"/>
        <v>0</v>
      </c>
      <c r="AR16" s="95">
        <v>-217</v>
      </c>
      <c r="AS16" s="107"/>
      <c r="AT16" s="107"/>
      <c r="AU16" s="107"/>
      <c r="AV16" s="96">
        <f t="shared" si="12"/>
        <v>0</v>
      </c>
      <c r="AW16" s="95"/>
      <c r="AX16" s="107"/>
      <c r="AY16" s="107"/>
      <c r="AZ16" s="107"/>
      <c r="BA16" s="816"/>
      <c r="BB16" s="150">
        <f t="shared" si="4"/>
        <v>0</v>
      </c>
      <c r="BC16" s="816"/>
      <c r="BD16" s="107"/>
      <c r="BE16" s="107"/>
      <c r="BF16" s="107"/>
      <c r="BG16" s="95">
        <f t="shared" si="6"/>
        <v>0</v>
      </c>
      <c r="BH16" s="107"/>
      <c r="BI16" s="107"/>
      <c r="BJ16" s="107"/>
      <c r="BK16" s="107"/>
      <c r="BL16" s="95">
        <f t="shared" si="7"/>
        <v>0</v>
      </c>
      <c r="BM16" s="107"/>
      <c r="BN16" s="107"/>
      <c r="BO16" s="107"/>
      <c r="BP16" s="107"/>
      <c r="BQ16" s="95">
        <f t="shared" si="8"/>
        <v>0</v>
      </c>
      <c r="BR16" s="107"/>
      <c r="BS16" s="107"/>
      <c r="BT16" s="107"/>
      <c r="BU16" s="107"/>
      <c r="BV16" s="95">
        <f t="shared" si="9"/>
        <v>0</v>
      </c>
      <c r="BW16" s="107"/>
      <c r="BX16" s="107"/>
      <c r="BY16" s="107"/>
      <c r="BZ16" s="107"/>
      <c r="CA16" s="95">
        <f t="shared" si="10"/>
        <v>0</v>
      </c>
    </row>
    <row r="17" spans="2:79">
      <c r="B17" s="112"/>
      <c r="C17" s="169" t="s">
        <v>351</v>
      </c>
      <c r="D17" s="95"/>
      <c r="E17" s="235"/>
      <c r="F17" s="235"/>
      <c r="G17" s="235"/>
      <c r="H17" s="235"/>
      <c r="I17" s="95"/>
      <c r="J17" s="96"/>
      <c r="K17" s="202"/>
      <c r="L17" s="202"/>
      <c r="M17" s="202"/>
      <c r="N17" s="95"/>
      <c r="O17" s="96"/>
      <c r="P17" s="202"/>
      <c r="Q17" s="202"/>
      <c r="R17" s="202"/>
      <c r="S17" s="95"/>
      <c r="T17" s="96"/>
      <c r="U17" s="96"/>
      <c r="V17" s="202"/>
      <c r="W17" s="202"/>
      <c r="X17" s="95"/>
      <c r="Y17" s="107"/>
      <c r="Z17" s="107"/>
      <c r="AA17" s="107"/>
      <c r="AB17" s="107"/>
      <c r="AC17" s="95"/>
      <c r="AD17" s="286"/>
      <c r="AE17" s="107"/>
      <c r="AF17" s="286"/>
      <c r="AG17" s="107"/>
      <c r="AH17" s="95"/>
      <c r="AI17" s="286"/>
      <c r="AJ17" s="107"/>
      <c r="AK17" s="107"/>
      <c r="AL17" s="96"/>
      <c r="AM17" s="95"/>
      <c r="AN17" s="107"/>
      <c r="AO17" s="107"/>
      <c r="AP17" s="107"/>
      <c r="AQ17" s="96"/>
      <c r="AR17" s="95"/>
      <c r="AS17" s="107"/>
      <c r="AT17" s="107"/>
      <c r="AU17" s="107"/>
      <c r="AV17" s="96"/>
      <c r="AW17" s="95"/>
      <c r="AX17" s="107">
        <v>2500</v>
      </c>
      <c r="AY17" s="107">
        <f>5200-AX17</f>
        <v>2700</v>
      </c>
      <c r="AZ17" s="107">
        <f>5260-AY17-AX17</f>
        <v>60</v>
      </c>
      <c r="BA17" s="816">
        <f>5640-AZ17-AY17-AX17</f>
        <v>380</v>
      </c>
      <c r="BB17" s="150">
        <f t="shared" si="4"/>
        <v>5640</v>
      </c>
      <c r="BC17" s="816">
        <v>260</v>
      </c>
      <c r="BD17" s="107">
        <f>260-BC17</f>
        <v>0</v>
      </c>
      <c r="BE17" s="107">
        <f>260-BD17-BC17</f>
        <v>0</v>
      </c>
      <c r="BF17" s="107">
        <f>260-BE17-BD17-BC17</f>
        <v>0</v>
      </c>
      <c r="BG17" s="95">
        <f t="shared" si="6"/>
        <v>260</v>
      </c>
      <c r="BH17" s="107"/>
      <c r="BI17" s="107"/>
      <c r="BJ17" s="107"/>
      <c r="BK17" s="107"/>
      <c r="BL17" s="95">
        <f t="shared" si="7"/>
        <v>0</v>
      </c>
      <c r="BM17" s="107"/>
      <c r="BN17" s="107"/>
      <c r="BO17" s="107"/>
      <c r="BP17" s="107"/>
      <c r="BQ17" s="95">
        <f t="shared" si="8"/>
        <v>0</v>
      </c>
      <c r="BR17" s="107"/>
      <c r="BS17" s="107"/>
      <c r="BT17" s="107"/>
      <c r="BU17" s="107"/>
      <c r="BV17" s="95">
        <f t="shared" si="9"/>
        <v>0</v>
      </c>
      <c r="BW17" s="107"/>
      <c r="BX17" s="107"/>
      <c r="BY17" s="107"/>
      <c r="BZ17" s="107"/>
      <c r="CA17" s="95">
        <f t="shared" si="10"/>
        <v>0</v>
      </c>
    </row>
    <row r="18" spans="2:79">
      <c r="B18" s="112"/>
      <c r="C18" s="169" t="s">
        <v>178</v>
      </c>
      <c r="D18" s="95"/>
      <c r="E18" s="235"/>
      <c r="F18" s="235"/>
      <c r="G18" s="235"/>
      <c r="H18" s="235"/>
      <c r="I18" s="95"/>
      <c r="J18" s="96"/>
      <c r="K18" s="202"/>
      <c r="L18" s="202"/>
      <c r="M18" s="202"/>
      <c r="N18" s="95"/>
      <c r="O18" s="96"/>
      <c r="P18" s="202"/>
      <c r="Q18" s="202"/>
      <c r="R18" s="202"/>
      <c r="S18" s="95"/>
      <c r="T18" s="96"/>
      <c r="U18" s="96"/>
      <c r="V18" s="202"/>
      <c r="W18" s="202"/>
      <c r="X18" s="95"/>
      <c r="Y18" s="107"/>
      <c r="Z18" s="107"/>
      <c r="AA18" s="107"/>
      <c r="AB18" s="107"/>
      <c r="AC18" s="95"/>
      <c r="AD18" s="286"/>
      <c r="AE18" s="107"/>
      <c r="AF18" s="286">
        <f>-2133-50</f>
        <v>-2183</v>
      </c>
      <c r="AG18" s="286">
        <f>-2133-48-AF18-AE18-AD18</f>
        <v>2</v>
      </c>
      <c r="AH18" s="95">
        <f t="shared" si="1"/>
        <v>-2181</v>
      </c>
      <c r="AI18" s="286">
        <f>-312-10</f>
        <v>-322</v>
      </c>
      <c r="AJ18" s="107">
        <f>-19-AI18</f>
        <v>303</v>
      </c>
      <c r="AK18" s="107">
        <f>-59-AJ18-AI18</f>
        <v>-40</v>
      </c>
      <c r="AL18" s="96">
        <f t="shared" si="0"/>
        <v>86</v>
      </c>
      <c r="AM18" s="95">
        <v>27</v>
      </c>
      <c r="AN18" s="107">
        <v>-17</v>
      </c>
      <c r="AO18" s="107">
        <f>-23-AN18</f>
        <v>-6</v>
      </c>
      <c r="AP18" s="107">
        <f>2-AO18-AN18</f>
        <v>25</v>
      </c>
      <c r="AQ18" s="96">
        <f t="shared" si="11"/>
        <v>446</v>
      </c>
      <c r="AR18" s="95">
        <v>448</v>
      </c>
      <c r="AS18" s="107">
        <v>147</v>
      </c>
      <c r="AT18" s="107">
        <f>82-AS18</f>
        <v>-65</v>
      </c>
      <c r="AU18" s="107">
        <f>73-AT18-AS18</f>
        <v>-9</v>
      </c>
      <c r="AV18" s="96">
        <f t="shared" si="12"/>
        <v>-220</v>
      </c>
      <c r="AW18" s="95">
        <v>-147</v>
      </c>
      <c r="AX18" s="107">
        <v>186</v>
      </c>
      <c r="AY18" s="107">
        <f>226-AX18</f>
        <v>40</v>
      </c>
      <c r="AZ18" s="107">
        <f>211-AY18-AX18</f>
        <v>-15</v>
      </c>
      <c r="BA18" s="816">
        <f>396-AZ18-AY18-AX18</f>
        <v>185</v>
      </c>
      <c r="BB18" s="150">
        <f t="shared" si="4"/>
        <v>396</v>
      </c>
      <c r="BC18" s="816">
        <v>210</v>
      </c>
      <c r="BD18" s="107">
        <f>172-BC18</f>
        <v>-38</v>
      </c>
      <c r="BE18" s="107">
        <f>503-BD18-BC18</f>
        <v>331</v>
      </c>
      <c r="BF18" s="107">
        <f>188-BE18-BD18-BC18</f>
        <v>-315</v>
      </c>
      <c r="BG18" s="95">
        <f t="shared" si="6"/>
        <v>188</v>
      </c>
      <c r="BH18" s="107">
        <v>439</v>
      </c>
      <c r="BI18" s="107">
        <f>622-BH18</f>
        <v>183</v>
      </c>
      <c r="BJ18" s="107">
        <f>669-BI18-BH18</f>
        <v>47</v>
      </c>
      <c r="BK18" s="107">
        <f>807-BI18-BJ18-BH18</f>
        <v>138</v>
      </c>
      <c r="BL18" s="95">
        <f t="shared" si="7"/>
        <v>807</v>
      </c>
      <c r="BM18" s="107">
        <v>-286</v>
      </c>
      <c r="BN18" s="107">
        <f>+-64-BM18</f>
        <v>222</v>
      </c>
      <c r="BO18" s="107">
        <f>+-145-BN18-BM18</f>
        <v>-81</v>
      </c>
      <c r="BP18" s="107">
        <f>-1051-BO18-BN18-BM18</f>
        <v>-906</v>
      </c>
      <c r="BQ18" s="95">
        <f t="shared" si="8"/>
        <v>-1051</v>
      </c>
      <c r="BR18" s="107">
        <v>-163</v>
      </c>
      <c r="BS18" s="107">
        <f>-201-BR18</f>
        <v>-38</v>
      </c>
      <c r="BT18" s="107">
        <f>159-BS18-BR18</f>
        <v>360</v>
      </c>
      <c r="BU18" s="107">
        <f>45-BT18-BS18-BR18</f>
        <v>-114</v>
      </c>
      <c r="BV18" s="95">
        <f t="shared" si="9"/>
        <v>45</v>
      </c>
      <c r="BW18" s="107"/>
      <c r="BX18" s="107"/>
      <c r="BY18" s="107"/>
      <c r="BZ18" s="107"/>
      <c r="CA18" s="95">
        <f t="shared" si="10"/>
        <v>0</v>
      </c>
    </row>
    <row r="19" spans="2:79">
      <c r="B19" s="112"/>
      <c r="C19" s="169" t="s">
        <v>212</v>
      </c>
      <c r="D19" s="95">
        <v>48</v>
      </c>
      <c r="E19" s="235">
        <v>0</v>
      </c>
      <c r="F19" s="235">
        <v>-1</v>
      </c>
      <c r="G19" s="235">
        <v>0</v>
      </c>
      <c r="H19" s="235">
        <v>8</v>
      </c>
      <c r="I19" s="95">
        <f>SUM(E19:H19)</f>
        <v>7</v>
      </c>
      <c r="J19" s="96">
        <v>4</v>
      </c>
      <c r="K19" s="202">
        <v>0</v>
      </c>
      <c r="L19" s="202">
        <v>1</v>
      </c>
      <c r="M19" s="202">
        <v>-10</v>
      </c>
      <c r="N19" s="95">
        <f>SUM(J19:M19)</f>
        <v>-5</v>
      </c>
      <c r="O19" s="96">
        <v>0</v>
      </c>
      <c r="P19" s="202">
        <v>0</v>
      </c>
      <c r="Q19" s="202">
        <v>1</v>
      </c>
      <c r="R19" s="202">
        <v>0</v>
      </c>
      <c r="S19" s="95">
        <f>SUM(O19:R19)</f>
        <v>1</v>
      </c>
      <c r="T19" s="96">
        <v>10</v>
      </c>
      <c r="U19" s="96">
        <v>-1</v>
      </c>
      <c r="V19" s="202">
        <v>1</v>
      </c>
      <c r="W19" s="202">
        <v>0</v>
      </c>
      <c r="X19" s="95">
        <f>SUM(T19:W19)</f>
        <v>10</v>
      </c>
      <c r="Y19" s="96">
        <v>1</v>
      </c>
      <c r="Z19" s="96">
        <f>2-Y19</f>
        <v>1</v>
      </c>
      <c r="AA19" s="96">
        <f>1-Z19-Y19</f>
        <v>-1</v>
      </c>
      <c r="AB19" s="96"/>
      <c r="AC19" s="95">
        <f>SUM(Y19:AB19)</f>
        <v>1</v>
      </c>
      <c r="AD19" s="202">
        <v>3</v>
      </c>
      <c r="AE19" s="96">
        <f>-13-AD19</f>
        <v>-16</v>
      </c>
      <c r="AF19" s="202">
        <f>0-AE19-AD19</f>
        <v>13</v>
      </c>
      <c r="AG19" s="202"/>
      <c r="AH19" s="95">
        <f t="shared" si="1"/>
        <v>0</v>
      </c>
      <c r="AI19" s="202"/>
      <c r="AJ19" s="96"/>
      <c r="AK19" s="96"/>
      <c r="AL19" s="96">
        <f t="shared" si="0"/>
        <v>0</v>
      </c>
      <c r="AM19" s="95">
        <v>0</v>
      </c>
      <c r="AN19" s="96"/>
      <c r="AO19" s="96"/>
      <c r="AP19" s="96"/>
      <c r="AQ19" s="96">
        <f t="shared" si="11"/>
        <v>0</v>
      </c>
      <c r="AR19" s="95"/>
      <c r="AS19" s="96"/>
      <c r="AT19" s="96"/>
      <c r="AU19" s="96"/>
      <c r="AV19" s="96">
        <f t="shared" si="12"/>
        <v>0</v>
      </c>
      <c r="AW19" s="95"/>
      <c r="AX19" s="107"/>
      <c r="AY19" s="107"/>
      <c r="AZ19" s="107"/>
      <c r="BA19" s="816"/>
      <c r="BB19" s="150">
        <f t="shared" si="4"/>
        <v>0</v>
      </c>
      <c r="BC19" s="816"/>
      <c r="BD19" s="107"/>
      <c r="BE19" s="96"/>
      <c r="BF19" s="96"/>
      <c r="BG19" s="95">
        <f t="shared" si="6"/>
        <v>0</v>
      </c>
      <c r="BH19" s="96"/>
      <c r="BI19" s="96"/>
      <c r="BJ19" s="96"/>
      <c r="BK19" s="96"/>
      <c r="BL19" s="95">
        <f t="shared" si="7"/>
        <v>0</v>
      </c>
      <c r="BM19" s="96"/>
      <c r="BN19" s="96"/>
      <c r="BO19" s="96"/>
      <c r="BP19" s="96"/>
      <c r="BQ19" s="95">
        <f t="shared" si="8"/>
        <v>0</v>
      </c>
      <c r="BR19" s="96">
        <v>322</v>
      </c>
      <c r="BS19" s="96">
        <f>835-BR19</f>
        <v>513</v>
      </c>
      <c r="BT19" s="915">
        <v>0</v>
      </c>
      <c r="BU19" s="915">
        <v>0</v>
      </c>
      <c r="BV19" s="95">
        <f t="shared" si="9"/>
        <v>835</v>
      </c>
      <c r="BW19" s="96"/>
      <c r="BX19" s="96"/>
      <c r="BY19" s="96"/>
      <c r="BZ19" s="96"/>
      <c r="CA19" s="95">
        <f t="shared" si="10"/>
        <v>0</v>
      </c>
    </row>
    <row r="20" spans="2:79">
      <c r="B20" s="112"/>
      <c r="C20" s="169" t="s">
        <v>511</v>
      </c>
      <c r="D20" s="95"/>
      <c r="E20" s="235"/>
      <c r="F20" s="235"/>
      <c r="G20" s="235"/>
      <c r="H20" s="235"/>
      <c r="I20" s="95"/>
      <c r="J20" s="96"/>
      <c r="K20" s="202"/>
      <c r="L20" s="202"/>
      <c r="M20" s="202"/>
      <c r="N20" s="95"/>
      <c r="O20" s="96"/>
      <c r="P20" s="202"/>
      <c r="Q20" s="202"/>
      <c r="R20" s="202"/>
      <c r="S20" s="95"/>
      <c r="T20" s="96"/>
      <c r="U20" s="96"/>
      <c r="V20" s="202"/>
      <c r="W20" s="202"/>
      <c r="X20" s="95"/>
      <c r="Y20" s="96"/>
      <c r="Z20" s="96"/>
      <c r="AA20" s="96"/>
      <c r="AB20" s="96"/>
      <c r="AC20" s="95"/>
      <c r="AD20" s="202"/>
      <c r="AE20" s="96"/>
      <c r="AF20" s="202"/>
      <c r="AG20" s="202"/>
      <c r="AH20" s="95"/>
      <c r="AI20" s="202"/>
      <c r="AJ20" s="96"/>
      <c r="AK20" s="96"/>
      <c r="AL20" s="96"/>
      <c r="AM20" s="95"/>
      <c r="AN20" s="96"/>
      <c r="AO20" s="96"/>
      <c r="AP20" s="96"/>
      <c r="AQ20" s="96">
        <f t="shared" si="11"/>
        <v>0</v>
      </c>
      <c r="AR20" s="95"/>
      <c r="AS20" s="96"/>
      <c r="AT20" s="96">
        <v>-2910</v>
      </c>
      <c r="AU20" s="96">
        <f>-2910-AT20</f>
        <v>0</v>
      </c>
      <c r="AV20" s="96">
        <f t="shared" si="12"/>
        <v>0</v>
      </c>
      <c r="AW20" s="95">
        <f>-2910</f>
        <v>-2910</v>
      </c>
      <c r="AX20" s="107"/>
      <c r="AY20" s="107"/>
      <c r="AZ20" s="107"/>
      <c r="BA20" s="816"/>
      <c r="BB20" s="150">
        <f t="shared" si="4"/>
        <v>0</v>
      </c>
      <c r="BC20" s="816"/>
      <c r="BD20" s="107"/>
      <c r="BE20" s="96"/>
      <c r="BF20" s="96"/>
      <c r="BG20" s="95">
        <f t="shared" si="6"/>
        <v>0</v>
      </c>
      <c r="BH20" s="96"/>
      <c r="BI20" s="96"/>
      <c r="BJ20" s="96"/>
      <c r="BK20" s="96"/>
      <c r="BL20" s="95">
        <f t="shared" si="7"/>
        <v>0</v>
      </c>
      <c r="BM20" s="96"/>
      <c r="BN20" s="96"/>
      <c r="BO20" s="96">
        <f>+-4831</f>
        <v>-4831</v>
      </c>
      <c r="BP20" s="96">
        <f>-5482-BO20-BN20-BM20</f>
        <v>-651</v>
      </c>
      <c r="BQ20" s="95">
        <f t="shared" si="8"/>
        <v>-5482</v>
      </c>
      <c r="BR20" s="96"/>
      <c r="BS20" s="96"/>
      <c r="BT20" s="96"/>
      <c r="BU20" s="96"/>
      <c r="BV20" s="95">
        <f t="shared" si="9"/>
        <v>0</v>
      </c>
      <c r="BW20" s="96"/>
      <c r="BX20" s="96"/>
      <c r="BY20" s="96"/>
      <c r="BZ20" s="96"/>
      <c r="CA20" s="95">
        <f t="shared" si="10"/>
        <v>0</v>
      </c>
    </row>
    <row r="21" spans="2:79">
      <c r="B21" s="112"/>
      <c r="C21" s="169" t="s">
        <v>213</v>
      </c>
      <c r="D21" s="95">
        <v>41</v>
      </c>
      <c r="E21" s="235">
        <v>7</v>
      </c>
      <c r="F21" s="235">
        <v>6</v>
      </c>
      <c r="G21" s="235">
        <v>4</v>
      </c>
      <c r="H21" s="235">
        <v>5</v>
      </c>
      <c r="I21" s="95">
        <f>SUM(E21:H21)</f>
        <v>22</v>
      </c>
      <c r="J21" s="96">
        <v>0</v>
      </c>
      <c r="K21" s="202">
        <v>0</v>
      </c>
      <c r="L21" s="202">
        <v>0</v>
      </c>
      <c r="M21" s="202">
        <v>6</v>
      </c>
      <c r="N21" s="95">
        <f>SUM(J21:M21)</f>
        <v>6</v>
      </c>
      <c r="O21" s="96">
        <v>51</v>
      </c>
      <c r="P21" s="202">
        <v>78</v>
      </c>
      <c r="Q21" s="202">
        <v>81</v>
      </c>
      <c r="R21" s="202">
        <v>83</v>
      </c>
      <c r="S21" s="95">
        <f>SUM(O21:R21)</f>
        <v>293</v>
      </c>
      <c r="T21" s="96">
        <v>84</v>
      </c>
      <c r="U21" s="124">
        <v>87</v>
      </c>
      <c r="V21" s="124">
        <v>89</v>
      </c>
      <c r="W21" s="124">
        <v>90</v>
      </c>
      <c r="X21" s="95">
        <f>SUM(T21:W21)</f>
        <v>350</v>
      </c>
      <c r="Y21" s="107">
        <v>91</v>
      </c>
      <c r="Z21" s="107">
        <f>178-Y21</f>
        <v>87</v>
      </c>
      <c r="AA21" s="286">
        <f>221-Z21-Y21</f>
        <v>43</v>
      </c>
      <c r="AB21" s="107">
        <f>241-AA21-Z21-Y21</f>
        <v>20</v>
      </c>
      <c r="AC21" s="95">
        <f>SUM(Y21:AB21)</f>
        <v>241</v>
      </c>
      <c r="AD21" s="286">
        <v>-103</v>
      </c>
      <c r="AE21" s="107">
        <f>-161-AD21</f>
        <v>-58</v>
      </c>
      <c r="AF21" s="286">
        <f>-233-AE21-AD21</f>
        <v>-72</v>
      </c>
      <c r="AG21" s="286">
        <f>-366-AF21-AE21-AD21</f>
        <v>-133</v>
      </c>
      <c r="AH21" s="95">
        <f t="shared" si="1"/>
        <v>-366</v>
      </c>
      <c r="AI21" s="286">
        <v>-40</v>
      </c>
      <c r="AJ21" s="107">
        <v>0</v>
      </c>
      <c r="AK21" s="107"/>
      <c r="AL21" s="96">
        <f t="shared" si="0"/>
        <v>0</v>
      </c>
      <c r="AM21" s="95">
        <v>-40</v>
      </c>
      <c r="AN21" s="107"/>
      <c r="AO21" s="107"/>
      <c r="AP21" s="107"/>
      <c r="AQ21" s="96">
        <f t="shared" si="11"/>
        <v>0</v>
      </c>
      <c r="AR21" s="95"/>
      <c r="AS21" s="107"/>
      <c r="AT21" s="107"/>
      <c r="AU21" s="107"/>
      <c r="AV21" s="96">
        <f t="shared" si="12"/>
        <v>0</v>
      </c>
      <c r="AW21" s="95"/>
      <c r="AX21" s="107"/>
      <c r="AY21" s="107"/>
      <c r="AZ21" s="107"/>
      <c r="BA21" s="816"/>
      <c r="BB21" s="150">
        <f t="shared" si="4"/>
        <v>0</v>
      </c>
      <c r="BC21" s="816"/>
      <c r="BD21" s="107"/>
      <c r="BE21" s="107"/>
      <c r="BF21" s="107"/>
      <c r="BG21" s="95">
        <f t="shared" si="6"/>
        <v>0</v>
      </c>
      <c r="BH21" s="107"/>
      <c r="BI21" s="107"/>
      <c r="BJ21" s="107"/>
      <c r="BK21" s="107"/>
      <c r="BL21" s="95">
        <f t="shared" si="7"/>
        <v>0</v>
      </c>
      <c r="BM21" s="107"/>
      <c r="BN21" s="107"/>
      <c r="BO21" s="107">
        <v>258</v>
      </c>
      <c r="BP21" s="107">
        <f>0-BO21</f>
        <v>-258</v>
      </c>
      <c r="BQ21" s="95">
        <f t="shared" si="8"/>
        <v>0</v>
      </c>
      <c r="BR21" s="107"/>
      <c r="BS21" s="107"/>
      <c r="BT21" s="107"/>
      <c r="BU21" s="107"/>
      <c r="BV21" s="95">
        <f t="shared" si="9"/>
        <v>0</v>
      </c>
      <c r="BW21" s="107"/>
      <c r="BX21" s="107"/>
      <c r="BY21" s="107"/>
      <c r="BZ21" s="107"/>
      <c r="CA21" s="95">
        <f t="shared" si="10"/>
        <v>0</v>
      </c>
    </row>
    <row r="22" spans="2:79">
      <c r="B22" s="112"/>
      <c r="C22" s="169" t="s">
        <v>510</v>
      </c>
      <c r="D22" s="95"/>
      <c r="E22" s="235"/>
      <c r="F22" s="235"/>
      <c r="G22" s="235"/>
      <c r="H22" s="235"/>
      <c r="I22" s="95"/>
      <c r="J22" s="96"/>
      <c r="K22" s="202"/>
      <c r="L22" s="202"/>
      <c r="M22" s="202"/>
      <c r="N22" s="95"/>
      <c r="O22" s="96"/>
      <c r="P22" s="202"/>
      <c r="Q22" s="202"/>
      <c r="R22" s="202"/>
      <c r="S22" s="95"/>
      <c r="T22" s="96"/>
      <c r="U22" s="124"/>
      <c r="V22" s="124"/>
      <c r="W22" s="124"/>
      <c r="X22" s="95"/>
      <c r="Y22" s="107"/>
      <c r="Z22" s="107"/>
      <c r="AA22" s="286"/>
      <c r="AB22" s="107"/>
      <c r="AC22" s="95"/>
      <c r="AD22" s="286"/>
      <c r="AE22" s="107"/>
      <c r="AF22" s="286"/>
      <c r="AG22" s="286"/>
      <c r="AH22" s="95"/>
      <c r="AI22" s="286"/>
      <c r="AJ22" s="107"/>
      <c r="AK22" s="107"/>
      <c r="AL22" s="96"/>
      <c r="AM22" s="95"/>
      <c r="AN22" s="107"/>
      <c r="AO22" s="107"/>
      <c r="AP22" s="107"/>
      <c r="AQ22" s="96"/>
      <c r="AR22" s="95"/>
      <c r="AS22" s="107"/>
      <c r="AT22" s="107"/>
      <c r="AU22" s="107"/>
      <c r="AV22" s="96"/>
      <c r="AW22" s="95"/>
      <c r="AX22" s="107"/>
      <c r="AY22" s="107"/>
      <c r="AZ22" s="107"/>
      <c r="BA22" s="816"/>
      <c r="BB22" s="150"/>
      <c r="BC22" s="816"/>
      <c r="BD22" s="107"/>
      <c r="BE22" s="107"/>
      <c r="BF22" s="107"/>
      <c r="BG22" s="95"/>
      <c r="BH22" s="107"/>
      <c r="BI22" s="107"/>
      <c r="BJ22" s="107"/>
      <c r="BK22" s="107"/>
      <c r="BL22" s="95"/>
      <c r="BM22" s="107"/>
      <c r="BN22" s="107"/>
      <c r="BO22" s="107">
        <v>1250</v>
      </c>
      <c r="BP22" s="107"/>
      <c r="BQ22" s="95">
        <f t="shared" si="8"/>
        <v>1250</v>
      </c>
      <c r="BR22" s="107"/>
      <c r="BS22" s="107"/>
      <c r="BT22" s="107"/>
      <c r="BU22" s="107"/>
      <c r="BV22" s="95"/>
      <c r="BW22" s="107"/>
      <c r="BX22" s="107"/>
      <c r="BY22" s="107"/>
      <c r="BZ22" s="107"/>
      <c r="CA22" s="95"/>
    </row>
    <row r="23" spans="2:79">
      <c r="B23" s="112"/>
      <c r="C23" s="169" t="s">
        <v>530</v>
      </c>
      <c r="D23" s="95"/>
      <c r="E23" s="235"/>
      <c r="F23" s="235"/>
      <c r="G23" s="235"/>
      <c r="H23" s="235"/>
      <c r="I23" s="95"/>
      <c r="J23" s="96"/>
      <c r="K23" s="202"/>
      <c r="L23" s="202"/>
      <c r="M23" s="202"/>
      <c r="N23" s="95"/>
      <c r="O23" s="96"/>
      <c r="P23" s="202"/>
      <c r="Q23" s="202"/>
      <c r="R23" s="202"/>
      <c r="S23" s="95"/>
      <c r="T23" s="96"/>
      <c r="U23" s="124"/>
      <c r="V23" s="124"/>
      <c r="W23" s="124"/>
      <c r="X23" s="95"/>
      <c r="Y23" s="107"/>
      <c r="Z23" s="107"/>
      <c r="AA23" s="286"/>
      <c r="AB23" s="107"/>
      <c r="AC23" s="95"/>
      <c r="AD23" s="286"/>
      <c r="AE23" s="107"/>
      <c r="AF23" s="286"/>
      <c r="AG23" s="286"/>
      <c r="AH23" s="95"/>
      <c r="AI23" s="286"/>
      <c r="AJ23" s="107"/>
      <c r="AK23" s="107"/>
      <c r="AL23" s="96"/>
      <c r="AM23" s="95"/>
      <c r="AN23" s="107"/>
      <c r="AO23" s="107"/>
      <c r="AP23" s="107"/>
      <c r="AQ23" s="96"/>
      <c r="AR23" s="95"/>
      <c r="AS23" s="107"/>
      <c r="AT23" s="107"/>
      <c r="AU23" s="107"/>
      <c r="AV23" s="96"/>
      <c r="AW23" s="95"/>
      <c r="AX23" s="107"/>
      <c r="AY23" s="107"/>
      <c r="AZ23" s="107"/>
      <c r="BA23" s="816"/>
      <c r="BB23" s="150"/>
      <c r="BC23" s="816"/>
      <c r="BD23" s="107"/>
      <c r="BE23" s="107"/>
      <c r="BF23" s="107"/>
      <c r="BG23" s="95"/>
      <c r="BH23" s="107"/>
      <c r="BI23" s="107"/>
      <c r="BJ23" s="107"/>
      <c r="BK23" s="107"/>
      <c r="BL23" s="95"/>
      <c r="BM23" s="107"/>
      <c r="BN23" s="107"/>
      <c r="BO23" s="107"/>
      <c r="BP23" s="107">
        <v>2202</v>
      </c>
      <c r="BQ23" s="95">
        <f t="shared" si="8"/>
        <v>2202</v>
      </c>
      <c r="BR23" s="107"/>
      <c r="BS23" s="107"/>
      <c r="BT23" s="107">
        <v>0</v>
      </c>
      <c r="BU23" s="107">
        <v>0</v>
      </c>
      <c r="BV23" s="95"/>
      <c r="BW23" s="107"/>
      <c r="BX23" s="107"/>
      <c r="BY23" s="107"/>
      <c r="BZ23" s="107"/>
      <c r="CA23" s="95"/>
    </row>
    <row r="24" spans="2:79" ht="12.6" customHeight="1">
      <c r="B24" s="112"/>
      <c r="C24" s="169" t="s">
        <v>512</v>
      </c>
      <c r="D24" s="95"/>
      <c r="E24" s="235"/>
      <c r="F24" s="235"/>
      <c r="G24" s="235"/>
      <c r="H24" s="235"/>
      <c r="I24" s="95"/>
      <c r="J24" s="96"/>
      <c r="K24" s="202"/>
      <c r="L24" s="202"/>
      <c r="M24" s="202"/>
      <c r="N24" s="95"/>
      <c r="O24" s="96"/>
      <c r="P24" s="202"/>
      <c r="Q24" s="202"/>
      <c r="R24" s="202"/>
      <c r="S24" s="95"/>
      <c r="T24" s="96"/>
      <c r="U24" s="124"/>
      <c r="V24" s="124"/>
      <c r="W24" s="124"/>
      <c r="X24" s="95"/>
      <c r="Y24" s="107"/>
      <c r="Z24" s="107"/>
      <c r="AA24" s="286"/>
      <c r="AB24" s="107"/>
      <c r="AC24" s="95"/>
      <c r="AD24" s="286"/>
      <c r="AE24" s="107"/>
      <c r="AF24" s="286"/>
      <c r="AG24" s="286"/>
      <c r="AH24" s="95"/>
      <c r="AI24" s="286"/>
      <c r="AJ24" s="107"/>
      <c r="AK24" s="107"/>
      <c r="AL24" s="96"/>
      <c r="AM24" s="95"/>
      <c r="AN24" s="107"/>
      <c r="AO24" s="107"/>
      <c r="AP24" s="107"/>
      <c r="AQ24" s="96"/>
      <c r="AR24" s="95"/>
      <c r="AS24" s="107"/>
      <c r="AT24" s="107"/>
      <c r="AU24" s="107"/>
      <c r="AV24" s="96"/>
      <c r="AW24" s="95"/>
      <c r="AX24" s="107"/>
      <c r="AY24" s="107"/>
      <c r="AZ24" s="107"/>
      <c r="BA24" s="816"/>
      <c r="BB24" s="150"/>
      <c r="BC24" s="816"/>
      <c r="BD24" s="107"/>
      <c r="BE24" s="107"/>
      <c r="BF24" s="107"/>
      <c r="BG24" s="95"/>
      <c r="BH24" s="107"/>
      <c r="BI24" s="107"/>
      <c r="BJ24" s="107"/>
      <c r="BK24" s="107"/>
      <c r="BL24" s="95"/>
      <c r="BM24" s="107"/>
      <c r="BN24" s="107"/>
      <c r="BO24" s="107"/>
      <c r="BP24" s="912">
        <v>264</v>
      </c>
      <c r="BQ24" s="95">
        <f t="shared" si="8"/>
        <v>264</v>
      </c>
      <c r="BR24" s="107">
        <v>266</v>
      </c>
      <c r="BS24" s="107">
        <f>548-BR24</f>
        <v>282</v>
      </c>
      <c r="BT24" s="107">
        <f>743-BS24-BR24</f>
        <v>195</v>
      </c>
      <c r="BU24" s="107">
        <f>1033-BT24-BS24-BR24</f>
        <v>290</v>
      </c>
      <c r="BV24" s="95">
        <f>SUM(BR24:BU24)</f>
        <v>1033</v>
      </c>
      <c r="BW24" s="107"/>
      <c r="BX24" s="107"/>
      <c r="BY24" s="107"/>
      <c r="BZ24" s="107"/>
      <c r="CA24" s="95"/>
    </row>
    <row r="25" spans="2:79" ht="12.6" customHeight="1">
      <c r="B25" s="112"/>
      <c r="C25" s="169" t="s">
        <v>214</v>
      </c>
      <c r="D25" s="95">
        <v>55</v>
      </c>
      <c r="E25" s="235">
        <v>120</v>
      </c>
      <c r="F25" s="235">
        <v>707</v>
      </c>
      <c r="G25" s="235">
        <v>730</v>
      </c>
      <c r="H25" s="235">
        <v>117</v>
      </c>
      <c r="I25" s="95">
        <f>SUM(E25:H25)</f>
        <v>1674</v>
      </c>
      <c r="J25" s="96">
        <v>-230</v>
      </c>
      <c r="K25" s="202">
        <v>785</v>
      </c>
      <c r="L25" s="202">
        <v>622</v>
      </c>
      <c r="M25" s="202">
        <v>694</v>
      </c>
      <c r="N25" s="95">
        <f>SUM(J25:M25)</f>
        <v>1871</v>
      </c>
      <c r="O25" s="96">
        <v>-1745</v>
      </c>
      <c r="P25" s="202">
        <v>0</v>
      </c>
      <c r="Q25" s="202">
        <v>0</v>
      </c>
      <c r="R25" s="202">
        <v>0</v>
      </c>
      <c r="S25" s="95">
        <f>SUM(O25:R25)</f>
        <v>-1745</v>
      </c>
      <c r="T25" s="96">
        <v>0</v>
      </c>
      <c r="U25" s="124">
        <v>0</v>
      </c>
      <c r="V25" s="124">
        <v>0</v>
      </c>
      <c r="W25" s="124">
        <v>0</v>
      </c>
      <c r="X25" s="95">
        <f>SUM(T25:W25)</f>
        <v>0</v>
      </c>
      <c r="Y25" s="202">
        <v>0</v>
      </c>
      <c r="Z25" s="202"/>
      <c r="AA25" s="202"/>
      <c r="AB25" s="202"/>
      <c r="AC25" s="95">
        <f>SUM(Y25:AB25)</f>
        <v>0</v>
      </c>
      <c r="AD25" s="202"/>
      <c r="AE25" s="233"/>
      <c r="AF25" s="202"/>
      <c r="AG25" s="202"/>
      <c r="AH25" s="95">
        <f t="shared" si="1"/>
        <v>0</v>
      </c>
      <c r="AI25" s="202"/>
      <c r="AJ25" s="96"/>
      <c r="AK25" s="96"/>
      <c r="AL25" s="96">
        <f t="shared" si="0"/>
        <v>0</v>
      </c>
      <c r="AM25" s="95">
        <v>0</v>
      </c>
      <c r="AN25" s="233"/>
      <c r="AO25" s="233"/>
      <c r="AP25" s="233"/>
      <c r="AQ25" s="96">
        <f t="shared" si="11"/>
        <v>0</v>
      </c>
      <c r="AR25" s="95"/>
      <c r="AS25" s="233"/>
      <c r="AT25" s="233"/>
      <c r="AU25" s="202"/>
      <c r="AV25" s="96">
        <f t="shared" si="12"/>
        <v>0</v>
      </c>
      <c r="AW25" s="95"/>
      <c r="AX25" s="858"/>
      <c r="AY25" s="858"/>
      <c r="AZ25" s="858"/>
      <c r="BA25" s="816"/>
      <c r="BB25" s="150">
        <f t="shared" si="4"/>
        <v>0</v>
      </c>
      <c r="BC25" s="816"/>
      <c r="BD25" s="858"/>
      <c r="BE25" s="233"/>
      <c r="BF25" s="233"/>
      <c r="BG25" s="95">
        <f t="shared" si="6"/>
        <v>0</v>
      </c>
      <c r="BH25" s="233"/>
      <c r="BI25" s="233"/>
      <c r="BJ25" s="233"/>
      <c r="BK25" s="233"/>
      <c r="BL25" s="95">
        <f t="shared" si="7"/>
        <v>0</v>
      </c>
      <c r="BM25" s="233"/>
      <c r="BN25" s="233"/>
      <c r="BO25" s="233"/>
      <c r="BP25" s="912"/>
      <c r="BQ25" s="95">
        <f t="shared" si="8"/>
        <v>0</v>
      </c>
      <c r="BR25" s="233"/>
      <c r="BS25" s="233"/>
      <c r="BT25" s="233"/>
      <c r="BU25" s="233"/>
      <c r="BV25" s="95">
        <f t="shared" si="9"/>
        <v>0</v>
      </c>
      <c r="BW25" s="233"/>
      <c r="BX25" s="233"/>
      <c r="BY25" s="233"/>
      <c r="BZ25" s="233"/>
      <c r="CA25" s="95">
        <f>SUM(BW25:BZ25)</f>
        <v>0</v>
      </c>
    </row>
    <row r="26" spans="2:79" ht="12.6" customHeight="1">
      <c r="B26" s="112"/>
      <c r="C26" s="169" t="s">
        <v>250</v>
      </c>
      <c r="D26" s="95"/>
      <c r="E26" s="235"/>
      <c r="F26" s="235"/>
      <c r="G26" s="235"/>
      <c r="H26" s="235"/>
      <c r="I26" s="95"/>
      <c r="J26" s="96"/>
      <c r="K26" s="202"/>
      <c r="L26" s="202"/>
      <c r="M26" s="202"/>
      <c r="N26" s="95"/>
      <c r="O26" s="96"/>
      <c r="P26" s="202"/>
      <c r="Q26" s="202"/>
      <c r="R26" s="202"/>
      <c r="S26" s="95"/>
      <c r="T26" s="96"/>
      <c r="U26" s="124"/>
      <c r="V26" s="124"/>
      <c r="W26" s="124"/>
      <c r="X26" s="95"/>
      <c r="Y26" s="202"/>
      <c r="Z26" s="202"/>
      <c r="AA26" s="202">
        <v>1026</v>
      </c>
      <c r="AB26" s="202"/>
      <c r="AC26" s="95">
        <f>SUM(Y26:AB26)</f>
        <v>1026</v>
      </c>
      <c r="AD26" s="202"/>
      <c r="AE26" s="202"/>
      <c r="AF26" s="202"/>
      <c r="AG26" s="202"/>
      <c r="AH26" s="95">
        <f t="shared" si="1"/>
        <v>0</v>
      </c>
      <c r="AI26" s="202"/>
      <c r="AJ26" s="96"/>
      <c r="AK26" s="96"/>
      <c r="AL26" s="96">
        <f t="shared" si="0"/>
        <v>0</v>
      </c>
      <c r="AM26" s="95">
        <v>0</v>
      </c>
      <c r="AN26" s="233"/>
      <c r="AO26" s="233"/>
      <c r="AP26" s="233"/>
      <c r="AQ26" s="96">
        <f t="shared" si="11"/>
        <v>0</v>
      </c>
      <c r="AR26" s="95"/>
      <c r="AS26" s="233"/>
      <c r="AT26" s="202">
        <f>5794</f>
        <v>5794</v>
      </c>
      <c r="AU26" s="202">
        <f>6077-AT26</f>
        <v>283</v>
      </c>
      <c r="AV26" s="96">
        <f t="shared" si="12"/>
        <v>887</v>
      </c>
      <c r="AW26" s="95">
        <v>6964</v>
      </c>
      <c r="AX26" s="858"/>
      <c r="AY26" s="858"/>
      <c r="AZ26" s="858"/>
      <c r="BA26" s="816"/>
      <c r="BB26" s="150">
        <f t="shared" si="4"/>
        <v>0</v>
      </c>
      <c r="BC26" s="816"/>
      <c r="BD26" s="858"/>
      <c r="BE26" s="233"/>
      <c r="BF26" s="96"/>
      <c r="BG26" s="95">
        <f t="shared" si="6"/>
        <v>0</v>
      </c>
      <c r="BH26" s="233"/>
      <c r="BI26" s="233"/>
      <c r="BJ26" s="233"/>
      <c r="BK26" s="233"/>
      <c r="BL26" s="95">
        <f t="shared" si="7"/>
        <v>0</v>
      </c>
      <c r="BM26" s="673">
        <v>-6615</v>
      </c>
      <c r="BN26" s="673">
        <f>+-6615-BM26</f>
        <v>0</v>
      </c>
      <c r="BO26" s="673">
        <f>+-6615-BM26</f>
        <v>0</v>
      </c>
      <c r="BP26" s="912"/>
      <c r="BQ26" s="95">
        <f t="shared" si="8"/>
        <v>-6615</v>
      </c>
      <c r="BR26" s="673"/>
      <c r="BS26" s="233"/>
      <c r="BT26" s="233"/>
      <c r="BU26" s="233"/>
      <c r="BV26" s="95">
        <f t="shared" si="9"/>
        <v>0</v>
      </c>
      <c r="BW26" s="233"/>
      <c r="BX26" s="233"/>
      <c r="BY26" s="233"/>
      <c r="BZ26" s="233"/>
      <c r="CA26" s="95">
        <f>SUM(BW26:BZ26)</f>
        <v>0</v>
      </c>
    </row>
    <row r="27" spans="2:79" ht="12.6" customHeight="1">
      <c r="B27" s="112"/>
      <c r="C27" s="169" t="s">
        <v>318</v>
      </c>
      <c r="D27" s="95"/>
      <c r="E27" s="235"/>
      <c r="F27" s="235"/>
      <c r="G27" s="235"/>
      <c r="H27" s="235"/>
      <c r="I27" s="95"/>
      <c r="J27" s="96"/>
      <c r="K27" s="202"/>
      <c r="L27" s="202"/>
      <c r="M27" s="202"/>
      <c r="N27" s="95"/>
      <c r="O27" s="96"/>
      <c r="P27" s="202"/>
      <c r="Q27" s="202"/>
      <c r="R27" s="202"/>
      <c r="S27" s="95"/>
      <c r="T27" s="96"/>
      <c r="U27" s="124"/>
      <c r="V27" s="124"/>
      <c r="W27" s="124"/>
      <c r="X27" s="95"/>
      <c r="Y27" s="202"/>
      <c r="Z27" s="202"/>
      <c r="AA27" s="202"/>
      <c r="AB27" s="202"/>
      <c r="AC27" s="95"/>
      <c r="AD27" s="202"/>
      <c r="AE27" s="202"/>
      <c r="AF27" s="202"/>
      <c r="AG27" s="202"/>
      <c r="AH27" s="95"/>
      <c r="AI27" s="202"/>
      <c r="AJ27" s="96"/>
      <c r="AK27" s="96"/>
      <c r="AL27" s="96"/>
      <c r="AM27" s="95"/>
      <c r="AN27" s="233"/>
      <c r="AO27" s="233"/>
      <c r="AP27" s="233"/>
      <c r="AQ27" s="96"/>
      <c r="AR27" s="95"/>
      <c r="AS27" s="233"/>
      <c r="AT27" s="202"/>
      <c r="AU27" s="202"/>
      <c r="AV27" s="96">
        <f t="shared" si="12"/>
        <v>-178</v>
      </c>
      <c r="AW27" s="95">
        <v>-178</v>
      </c>
      <c r="AX27" s="858"/>
      <c r="AY27" s="858"/>
      <c r="AZ27" s="858"/>
      <c r="BA27" s="816">
        <f>-6907-AZ27-AY27-AX27</f>
        <v>-6907</v>
      </c>
      <c r="BB27" s="150">
        <f t="shared" si="4"/>
        <v>-6907</v>
      </c>
      <c r="BC27" s="816">
        <v>1889</v>
      </c>
      <c r="BD27" s="816">
        <f>2054-BC27</f>
        <v>165</v>
      </c>
      <c r="BE27" s="673">
        <f>2076-BD27-BC27</f>
        <v>22</v>
      </c>
      <c r="BF27" s="96">
        <f>3088-BE27-BD27-BC27</f>
        <v>1012</v>
      </c>
      <c r="BG27" s="95">
        <f t="shared" si="6"/>
        <v>3088</v>
      </c>
      <c r="BH27" s="673">
        <v>59</v>
      </c>
      <c r="BI27" s="673">
        <f>250-BH27</f>
        <v>191</v>
      </c>
      <c r="BJ27" s="673">
        <f>438-BI27-BH27</f>
        <v>188</v>
      </c>
      <c r="BK27" s="673">
        <f>53-BJ27-BI27-BH27</f>
        <v>-385</v>
      </c>
      <c r="BL27" s="95">
        <f t="shared" si="7"/>
        <v>53</v>
      </c>
      <c r="BM27" s="673">
        <v>248</v>
      </c>
      <c r="BN27" s="673">
        <f>356-BM27</f>
        <v>108</v>
      </c>
      <c r="BO27" s="673">
        <f>441-BN27-BM27</f>
        <v>85</v>
      </c>
      <c r="BP27" s="912">
        <f>647-BO27-BN27-BM27</f>
        <v>206</v>
      </c>
      <c r="BQ27" s="95">
        <f t="shared" si="8"/>
        <v>647</v>
      </c>
      <c r="BR27" s="673">
        <v>192</v>
      </c>
      <c r="BS27" s="233">
        <f>33-BR27</f>
        <v>-159</v>
      </c>
      <c r="BT27" s="233">
        <f>23+524-BS27-BR27</f>
        <v>514</v>
      </c>
      <c r="BU27" s="233">
        <f>446+524-BT27-BS27-BR27</f>
        <v>423</v>
      </c>
      <c r="BV27" s="95">
        <f t="shared" si="9"/>
        <v>970</v>
      </c>
      <c r="BW27" s="233"/>
      <c r="BX27" s="233"/>
      <c r="BY27" s="233"/>
      <c r="BZ27" s="233"/>
      <c r="CA27" s="95">
        <f>SUM(BW27:BZ27)</f>
        <v>0</v>
      </c>
    </row>
    <row r="28" spans="2:79" ht="12.6" customHeight="1">
      <c r="B28" s="112"/>
      <c r="C28" s="169" t="s">
        <v>523</v>
      </c>
      <c r="D28" s="95"/>
      <c r="E28" s="235"/>
      <c r="F28" s="235"/>
      <c r="G28" s="235"/>
      <c r="H28" s="235"/>
      <c r="I28" s="95"/>
      <c r="J28" s="96"/>
      <c r="K28" s="202"/>
      <c r="L28" s="202"/>
      <c r="M28" s="202"/>
      <c r="N28" s="95"/>
      <c r="O28" s="96"/>
      <c r="P28" s="202"/>
      <c r="Q28" s="202"/>
      <c r="R28" s="202"/>
      <c r="S28" s="95"/>
      <c r="T28" s="96"/>
      <c r="U28" s="124"/>
      <c r="V28" s="124"/>
      <c r="W28" s="124"/>
      <c r="X28" s="95"/>
      <c r="Y28" s="202"/>
      <c r="Z28" s="202"/>
      <c r="AA28" s="202"/>
      <c r="AB28" s="202">
        <f>-3114-11</f>
        <v>-3125</v>
      </c>
      <c r="AC28" s="95">
        <f>SUM(Y28:AB28)</f>
        <v>-3125</v>
      </c>
      <c r="AD28" s="202">
        <v>20</v>
      </c>
      <c r="AE28" s="202">
        <v>20</v>
      </c>
      <c r="AF28" s="202">
        <f>60-AE28-AD28</f>
        <v>20</v>
      </c>
      <c r="AG28" s="202">
        <f>80-AF28-AE28-AD28</f>
        <v>20</v>
      </c>
      <c r="AH28" s="95">
        <f t="shared" si="1"/>
        <v>80</v>
      </c>
      <c r="AI28" s="202">
        <v>20</v>
      </c>
      <c r="AJ28" s="96">
        <v>20</v>
      </c>
      <c r="AK28" s="96">
        <f>129-AJ28-AI28</f>
        <v>89</v>
      </c>
      <c r="AL28" s="96">
        <f t="shared" si="0"/>
        <v>0</v>
      </c>
      <c r="AM28" s="95">
        <v>129</v>
      </c>
      <c r="AN28" s="233"/>
      <c r="AO28" s="233"/>
      <c r="AP28" s="233"/>
      <c r="AQ28" s="96">
        <f t="shared" si="11"/>
        <v>0</v>
      </c>
      <c r="AR28" s="95"/>
      <c r="AS28" s="233"/>
      <c r="AT28" s="202"/>
      <c r="AU28" s="202"/>
      <c r="AV28" s="96">
        <f t="shared" si="12"/>
        <v>0</v>
      </c>
      <c r="AW28" s="95"/>
      <c r="AX28" s="858"/>
      <c r="AY28" s="858"/>
      <c r="AZ28" s="858"/>
      <c r="BA28" s="816"/>
      <c r="BB28" s="150">
        <f t="shared" si="4"/>
        <v>0</v>
      </c>
      <c r="BC28" s="816"/>
      <c r="BD28" s="858"/>
      <c r="BE28" s="233"/>
      <c r="BF28" s="96"/>
      <c r="BG28" s="95">
        <f t="shared" si="6"/>
        <v>0</v>
      </c>
      <c r="BH28" s="673"/>
      <c r="BI28" s="233"/>
      <c r="BJ28" s="673"/>
      <c r="BK28" s="233"/>
      <c r="BL28" s="95">
        <f t="shared" si="7"/>
        <v>0</v>
      </c>
      <c r="BM28" s="233"/>
      <c r="BN28" s="233"/>
      <c r="BO28" s="233"/>
      <c r="BP28" s="912"/>
      <c r="BQ28" s="95">
        <f t="shared" si="8"/>
        <v>0</v>
      </c>
      <c r="BR28" s="673"/>
      <c r="BS28" s="233"/>
      <c r="BT28" s="233"/>
      <c r="BU28" s="233"/>
      <c r="BV28" s="95">
        <f t="shared" si="9"/>
        <v>0</v>
      </c>
      <c r="BW28" s="233"/>
      <c r="BX28" s="233"/>
      <c r="BY28" s="233"/>
      <c r="BZ28" s="233"/>
      <c r="CA28" s="95">
        <f>SUM(BW28:BZ28)</f>
        <v>0</v>
      </c>
    </row>
    <row r="29" spans="2:79" ht="12.6" customHeight="1">
      <c r="B29" s="112"/>
      <c r="C29" s="169" t="s">
        <v>268</v>
      </c>
      <c r="D29" s="95"/>
      <c r="E29" s="235"/>
      <c r="F29" s="235"/>
      <c r="G29" s="235"/>
      <c r="H29" s="235"/>
      <c r="I29" s="95"/>
      <c r="J29" s="96"/>
      <c r="K29" s="202"/>
      <c r="L29" s="202"/>
      <c r="M29" s="202"/>
      <c r="N29" s="95"/>
      <c r="O29" s="96"/>
      <c r="P29" s="202"/>
      <c r="Q29" s="202"/>
      <c r="R29" s="202"/>
      <c r="S29" s="95"/>
      <c r="T29" s="96"/>
      <c r="U29" s="124"/>
      <c r="V29" s="124"/>
      <c r="W29" s="124"/>
      <c r="X29" s="95"/>
      <c r="Y29" s="202"/>
      <c r="Z29" s="202"/>
      <c r="AA29" s="202"/>
      <c r="AB29" s="202"/>
      <c r="AC29" s="95"/>
      <c r="AD29" s="202"/>
      <c r="AE29" s="202"/>
      <c r="AF29" s="202"/>
      <c r="AG29" s="202"/>
      <c r="AH29" s="95"/>
      <c r="AI29" s="202"/>
      <c r="AJ29" s="96">
        <v>1733</v>
      </c>
      <c r="AK29" s="96">
        <f>4782-AJ29</f>
        <v>3049</v>
      </c>
      <c r="AL29" s="96">
        <f t="shared" si="0"/>
        <v>3099</v>
      </c>
      <c r="AM29" s="95">
        <v>7881</v>
      </c>
      <c r="AN29" s="202">
        <v>3079</v>
      </c>
      <c r="AO29" s="202">
        <f>6234-AN29</f>
        <v>3155</v>
      </c>
      <c r="AP29" s="202">
        <f>9484-AO29-AN29</f>
        <v>3250</v>
      </c>
      <c r="AQ29" s="96">
        <f t="shared" si="11"/>
        <v>3304</v>
      </c>
      <c r="AR29" s="95">
        <v>12788</v>
      </c>
      <c r="AS29" s="202">
        <v>3320</v>
      </c>
      <c r="AT29" s="202">
        <f>8571-AS29</f>
        <v>5251</v>
      </c>
      <c r="AU29" s="202">
        <f>17204-AT29-AS29</f>
        <v>8633</v>
      </c>
      <c r="AV29" s="96">
        <f t="shared" si="12"/>
        <v>8534</v>
      </c>
      <c r="AW29" s="95">
        <v>25738</v>
      </c>
      <c r="AX29" s="816">
        <v>974</v>
      </c>
      <c r="AY29" s="816">
        <f>1959-AX29</f>
        <v>985</v>
      </c>
      <c r="AZ29" s="816">
        <f>2960-AY29-AX29</f>
        <v>1001</v>
      </c>
      <c r="BA29" s="816">
        <f>3957-AZ29-AY29-AX29</f>
        <v>997</v>
      </c>
      <c r="BB29" s="150">
        <f t="shared" si="4"/>
        <v>3957</v>
      </c>
      <c r="BC29" s="816">
        <v>930</v>
      </c>
      <c r="BD29" s="816">
        <f>1852-BC29</f>
        <v>922</v>
      </c>
      <c r="BE29" s="673">
        <f>2796-BD29-BC29</f>
        <v>944</v>
      </c>
      <c r="BF29" s="96">
        <f>3743-BE29-BD29-BC29</f>
        <v>947</v>
      </c>
      <c r="BG29" s="95">
        <f t="shared" si="6"/>
        <v>3743</v>
      </c>
      <c r="BH29" s="673">
        <v>908</v>
      </c>
      <c r="BI29" s="673">
        <f>1839-BH29</f>
        <v>931</v>
      </c>
      <c r="BJ29" s="673">
        <f>2793-BI29-BH29</f>
        <v>954</v>
      </c>
      <c r="BK29" s="673">
        <f>3749-BJ29-BI29-BH29</f>
        <v>956</v>
      </c>
      <c r="BL29" s="95">
        <f t="shared" si="7"/>
        <v>3749</v>
      </c>
      <c r="BM29" s="673">
        <v>1074</v>
      </c>
      <c r="BN29" s="673">
        <f>2509-BM29</f>
        <v>1435</v>
      </c>
      <c r="BO29" s="673">
        <f>3991-BN29-BM29</f>
        <v>1482</v>
      </c>
      <c r="BP29" s="912">
        <f>5478-BO29-BN29-BM29</f>
        <v>1487</v>
      </c>
      <c r="BQ29" s="95">
        <f t="shared" si="8"/>
        <v>5478</v>
      </c>
      <c r="BR29" s="673">
        <v>1407</v>
      </c>
      <c r="BS29" s="233">
        <f>2680-BR29</f>
        <v>1273</v>
      </c>
      <c r="BT29" s="233">
        <f>3614-BS29-BR29</f>
        <v>934</v>
      </c>
      <c r="BU29" s="233">
        <f>4550-BT29-BS29-BR29</f>
        <v>936</v>
      </c>
      <c r="BV29" s="95">
        <f t="shared" si="9"/>
        <v>4550</v>
      </c>
      <c r="BW29" s="233">
        <f>'Income Statement'!BW55</f>
        <v>0</v>
      </c>
      <c r="BX29" s="233">
        <f>'Income Statement'!BX55</f>
        <v>0</v>
      </c>
      <c r="BY29" s="233">
        <f>'Income Statement'!BY55</f>
        <v>0</v>
      </c>
      <c r="BZ29" s="233">
        <f>'Income Statement'!BZ55</f>
        <v>0</v>
      </c>
      <c r="CA29" s="95">
        <f>SUM(BW29:BZ29)</f>
        <v>0</v>
      </c>
    </row>
    <row r="30" spans="2:79" ht="12.6" customHeight="1">
      <c r="B30" s="112"/>
      <c r="C30" s="169" t="s">
        <v>475</v>
      </c>
      <c r="D30" s="95"/>
      <c r="E30" s="235"/>
      <c r="F30" s="235"/>
      <c r="G30" s="235"/>
      <c r="H30" s="235"/>
      <c r="I30" s="95"/>
      <c r="J30" s="96"/>
      <c r="K30" s="202"/>
      <c r="L30" s="202"/>
      <c r="M30" s="202"/>
      <c r="N30" s="95"/>
      <c r="O30" s="96"/>
      <c r="P30" s="202"/>
      <c r="Q30" s="202"/>
      <c r="R30" s="202"/>
      <c r="S30" s="95"/>
      <c r="T30" s="96"/>
      <c r="U30" s="124"/>
      <c r="V30" s="124"/>
      <c r="W30" s="124"/>
      <c r="X30" s="95"/>
      <c r="Y30" s="202"/>
      <c r="Z30" s="202"/>
      <c r="AA30" s="202"/>
      <c r="AB30" s="202"/>
      <c r="AC30" s="95"/>
      <c r="AD30" s="202"/>
      <c r="AE30" s="202"/>
      <c r="AF30" s="202"/>
      <c r="AG30" s="202"/>
      <c r="AH30" s="95"/>
      <c r="AI30" s="202"/>
      <c r="AJ30" s="96"/>
      <c r="AK30" s="96"/>
      <c r="AL30" s="96"/>
      <c r="AM30" s="95"/>
      <c r="AN30" s="202"/>
      <c r="AO30" s="202"/>
      <c r="AP30" s="202"/>
      <c r="AQ30" s="96"/>
      <c r="AR30" s="95"/>
      <c r="AS30" s="202"/>
      <c r="AT30" s="202"/>
      <c r="AU30" s="202"/>
      <c r="AV30" s="96"/>
      <c r="AW30" s="95"/>
      <c r="AX30" s="816"/>
      <c r="AY30" s="816"/>
      <c r="AZ30" s="816"/>
      <c r="BA30" s="816"/>
      <c r="BB30" s="150"/>
      <c r="BC30" s="816"/>
      <c r="BD30" s="816">
        <v>-5900</v>
      </c>
      <c r="BE30" s="445">
        <f>+-5900-BD30-BC30</f>
        <v>0</v>
      </c>
      <c r="BF30" s="96">
        <f>-5900-BE30-BD30-BC30</f>
        <v>0</v>
      </c>
      <c r="BG30" s="95">
        <f>SUM(BC30:BF30)</f>
        <v>-5900</v>
      </c>
      <c r="BH30" s="673"/>
      <c r="BI30" s="233"/>
      <c r="BJ30" s="673"/>
      <c r="BK30" s="233"/>
      <c r="BL30" s="95"/>
      <c r="BM30" s="233"/>
      <c r="BN30" s="233"/>
      <c r="BO30" s="233"/>
      <c r="BP30" s="912"/>
      <c r="BQ30" s="95"/>
      <c r="BR30" s="673"/>
      <c r="BS30" s="233"/>
      <c r="BT30" s="233"/>
      <c r="BU30" s="233"/>
      <c r="BV30" s="95"/>
      <c r="BW30" s="233"/>
      <c r="BX30" s="233"/>
      <c r="BY30" s="233"/>
      <c r="BZ30" s="233"/>
      <c r="CA30" s="95"/>
    </row>
    <row r="31" spans="2:79" ht="12.6" customHeight="1">
      <c r="B31" s="112"/>
      <c r="C31" s="169" t="s">
        <v>215</v>
      </c>
      <c r="D31" s="95">
        <v>0</v>
      </c>
      <c r="E31" s="96">
        <v>0</v>
      </c>
      <c r="F31" s="202">
        <v>0</v>
      </c>
      <c r="G31" s="202">
        <v>0</v>
      </c>
      <c r="H31" s="202">
        <v>0</v>
      </c>
      <c r="I31" s="95">
        <f>SUM(E31:H31)</f>
        <v>0</v>
      </c>
      <c r="J31" s="96"/>
      <c r="K31" s="202"/>
      <c r="L31" s="202"/>
      <c r="M31" s="202">
        <v>0</v>
      </c>
      <c r="N31" s="95">
        <f>SUM(J31:M31)</f>
        <v>0</v>
      </c>
      <c r="O31" s="96">
        <v>0</v>
      </c>
      <c r="P31" s="202">
        <v>-2</v>
      </c>
      <c r="Q31" s="202">
        <v>-3</v>
      </c>
      <c r="R31" s="202">
        <v>-2</v>
      </c>
      <c r="S31" s="95">
        <f>SUM(O31:R31)</f>
        <v>-7</v>
      </c>
      <c r="T31" s="96">
        <v>-1</v>
      </c>
      <c r="U31" s="124">
        <v>0</v>
      </c>
      <c r="V31" s="124">
        <v>41</v>
      </c>
      <c r="W31" s="124">
        <v>-4</v>
      </c>
      <c r="X31" s="95">
        <f>SUM(T31:W31)</f>
        <v>36</v>
      </c>
      <c r="Y31" s="202">
        <v>-4</v>
      </c>
      <c r="Z31" s="202">
        <f>-7-Y31</f>
        <v>-3</v>
      </c>
      <c r="AA31" s="202">
        <f>-10+11-Z31-Y31</f>
        <v>8</v>
      </c>
      <c r="AB31" s="202">
        <f>20-AA31-Z31-Y31</f>
        <v>19</v>
      </c>
      <c r="AC31" s="95">
        <f>SUM(Y31:AB31)</f>
        <v>20</v>
      </c>
      <c r="AD31" s="202">
        <v>5</v>
      </c>
      <c r="AE31" s="202">
        <v>4</v>
      </c>
      <c r="AF31" s="202">
        <f>16-AE31-AD31</f>
        <v>7</v>
      </c>
      <c r="AG31" s="202">
        <f>21-AF31-AE31-AD31</f>
        <v>5</v>
      </c>
      <c r="AH31" s="95">
        <f t="shared" si="1"/>
        <v>21</v>
      </c>
      <c r="AI31" s="202">
        <v>16</v>
      </c>
      <c r="AJ31" s="96">
        <f>44-AI31</f>
        <v>28</v>
      </c>
      <c r="AK31" s="96">
        <f>44-AJ31-AI31</f>
        <v>0</v>
      </c>
      <c r="AL31" s="96">
        <f t="shared" si="0"/>
        <v>0</v>
      </c>
      <c r="AM31" s="95">
        <v>44</v>
      </c>
      <c r="AN31" s="233"/>
      <c r="AO31" s="233"/>
      <c r="AP31" s="233"/>
      <c r="AQ31" s="96">
        <f t="shared" si="11"/>
        <v>0</v>
      </c>
      <c r="AR31" s="95"/>
      <c r="AS31" s="233"/>
      <c r="AT31" s="233"/>
      <c r="AU31" s="233"/>
      <c r="AV31" s="96">
        <f t="shared" si="12"/>
        <v>0</v>
      </c>
      <c r="AW31" s="95">
        <v>0</v>
      </c>
      <c r="AX31" s="858"/>
      <c r="AY31" s="858"/>
      <c r="AZ31" s="858"/>
      <c r="BA31" s="816"/>
      <c r="BB31" s="150">
        <f t="shared" si="4"/>
        <v>0</v>
      </c>
      <c r="BC31" s="816"/>
      <c r="BD31" s="858"/>
      <c r="BE31" s="233"/>
      <c r="BF31" s="233"/>
      <c r="BG31" s="95">
        <f t="shared" si="6"/>
        <v>0</v>
      </c>
      <c r="BH31" s="233"/>
      <c r="BI31" s="233"/>
      <c r="BJ31" s="673"/>
      <c r="BK31" s="233"/>
      <c r="BL31" s="95">
        <f t="shared" si="7"/>
        <v>0</v>
      </c>
      <c r="BM31" s="233"/>
      <c r="BN31" s="233"/>
      <c r="BO31" s="233"/>
      <c r="BP31" s="912"/>
      <c r="BQ31" s="95">
        <f>SUM(BM31:BP31)</f>
        <v>0</v>
      </c>
      <c r="BR31" s="673"/>
      <c r="BS31" s="233"/>
      <c r="BT31" s="233"/>
      <c r="BU31" s="233"/>
      <c r="BV31" s="95">
        <f>SUM(BR31:BU31)</f>
        <v>0</v>
      </c>
      <c r="BW31" s="233"/>
      <c r="BX31" s="233"/>
      <c r="BY31" s="233"/>
      <c r="BZ31" s="233"/>
      <c r="CA31" s="95">
        <f>SUM(BW31:BZ31)</f>
        <v>0</v>
      </c>
    </row>
    <row r="32" spans="2:79" ht="12.6" customHeight="1">
      <c r="B32" s="112" t="s">
        <v>183</v>
      </c>
      <c r="C32" s="169"/>
      <c r="D32" s="95"/>
      <c r="E32" s="96"/>
      <c r="F32" s="96"/>
      <c r="G32" s="202"/>
      <c r="H32" s="202"/>
      <c r="I32" s="95"/>
      <c r="J32" s="96"/>
      <c r="K32" s="96"/>
      <c r="L32" s="202"/>
      <c r="M32" s="202"/>
      <c r="N32" s="95"/>
      <c r="O32" s="96"/>
      <c r="P32" s="96"/>
      <c r="Q32" s="202"/>
      <c r="R32" s="202"/>
      <c r="S32" s="95"/>
      <c r="T32" s="96"/>
      <c r="U32" s="96"/>
      <c r="V32" s="96"/>
      <c r="W32" s="96"/>
      <c r="X32" s="95"/>
      <c r="Y32" s="96"/>
      <c r="Z32" s="96"/>
      <c r="AA32" s="202"/>
      <c r="AB32" s="96"/>
      <c r="AC32" s="95"/>
      <c r="AD32" s="202"/>
      <c r="AE32" s="202"/>
      <c r="AF32" s="202"/>
      <c r="AG32" s="202"/>
      <c r="AH32" s="95"/>
      <c r="AI32" s="202"/>
      <c r="AJ32" s="96"/>
      <c r="AK32" s="96"/>
      <c r="AL32" s="96"/>
      <c r="AM32" s="95"/>
      <c r="AN32" s="96"/>
      <c r="AO32" s="96"/>
      <c r="AP32" s="96"/>
      <c r="AQ32" s="96"/>
      <c r="AR32" s="95"/>
      <c r="AS32" s="96"/>
      <c r="AT32" s="96"/>
      <c r="AU32" s="96"/>
      <c r="AV32" s="96"/>
      <c r="AW32" s="95"/>
      <c r="AX32" s="107"/>
      <c r="AY32" s="107"/>
      <c r="AZ32" s="107"/>
      <c r="BA32" s="816"/>
      <c r="BB32" s="150"/>
      <c r="BC32" s="816"/>
      <c r="BD32" s="107"/>
      <c r="BE32" s="96"/>
      <c r="BF32" s="96"/>
      <c r="BG32" s="95"/>
      <c r="BH32" s="96"/>
      <c r="BI32" s="96"/>
      <c r="BJ32" s="673"/>
      <c r="BK32" s="96"/>
      <c r="BL32" s="95"/>
      <c r="BM32" s="96"/>
      <c r="BN32" s="96"/>
      <c r="BO32" s="96"/>
      <c r="BP32" s="912"/>
      <c r="BQ32" s="95"/>
      <c r="BR32" s="673"/>
      <c r="BS32" s="96"/>
      <c r="BT32" s="96"/>
      <c r="BU32" s="96"/>
      <c r="BV32" s="95"/>
      <c r="BW32" s="96"/>
      <c r="BX32" s="96"/>
      <c r="BY32" s="96"/>
      <c r="BZ32" s="96"/>
      <c r="CA32" s="95"/>
    </row>
    <row r="33" spans="2:81" ht="12.6" customHeight="1">
      <c r="B33" s="112"/>
      <c r="C33" s="169" t="s">
        <v>130</v>
      </c>
      <c r="D33" s="95">
        <v>-1898</v>
      </c>
      <c r="E33" s="235">
        <v>-581</v>
      </c>
      <c r="F33" s="235">
        <v>-86</v>
      </c>
      <c r="G33" s="235">
        <v>16</v>
      </c>
      <c r="H33" s="202">
        <v>-1474</v>
      </c>
      <c r="I33" s="95">
        <f>SUM(E33:H33)</f>
        <v>-2125</v>
      </c>
      <c r="J33" s="235">
        <v>-144</v>
      </c>
      <c r="K33" s="235">
        <v>-62</v>
      </c>
      <c r="L33" s="235">
        <v>394</v>
      </c>
      <c r="M33" s="202">
        <v>-1762</v>
      </c>
      <c r="N33" s="95">
        <f>SUM(J33:M33)</f>
        <v>-1574</v>
      </c>
      <c r="O33" s="235">
        <v>344</v>
      </c>
      <c r="P33" s="235">
        <v>-470</v>
      </c>
      <c r="Q33" s="235">
        <v>-618</v>
      </c>
      <c r="R33" s="202">
        <v>-646</v>
      </c>
      <c r="S33" s="95">
        <f>SUM(O33:R33)</f>
        <v>-1390</v>
      </c>
      <c r="T33" s="96">
        <v>-510</v>
      </c>
      <c r="U33" s="96">
        <v>453</v>
      </c>
      <c r="V33" s="96">
        <v>-1092</v>
      </c>
      <c r="W33" s="96">
        <v>-1261</v>
      </c>
      <c r="X33" s="95">
        <f t="shared" ref="X33:X41" si="13">SUM(T33:W33)</f>
        <v>-2410</v>
      </c>
      <c r="Y33" s="96">
        <v>-1990</v>
      </c>
      <c r="Z33" s="96">
        <f>-245-Y33</f>
        <v>1745</v>
      </c>
      <c r="AA33" s="202">
        <f>-2383-Z33-Y33</f>
        <v>-2138</v>
      </c>
      <c r="AB33" s="96">
        <f>-3389-AA33-Z33-Y33</f>
        <v>-1006</v>
      </c>
      <c r="AC33" s="95">
        <f t="shared" ref="AC33:AC41" si="14">SUM(Y33:AB33)</f>
        <v>-3389</v>
      </c>
      <c r="AD33" s="202">
        <v>-1595</v>
      </c>
      <c r="AE33" s="202">
        <f>-2426-AD33</f>
        <v>-831</v>
      </c>
      <c r="AF33" s="202">
        <f>-3406-AE33-AD33</f>
        <v>-980</v>
      </c>
      <c r="AG33" s="202">
        <f>-5163-AF33-AE33-AD33</f>
        <v>-1757</v>
      </c>
      <c r="AH33" s="95">
        <f t="shared" ref="AH33:AH41" si="15">SUM(AD33:AG33)</f>
        <v>-5163</v>
      </c>
      <c r="AI33" s="202">
        <v>519</v>
      </c>
      <c r="AJ33" s="96">
        <f>-1114-AI33</f>
        <v>-1633</v>
      </c>
      <c r="AK33" s="96">
        <f>-4931-AJ33-AI33</f>
        <v>-3817</v>
      </c>
      <c r="AL33" s="96">
        <f t="shared" si="0"/>
        <v>-898</v>
      </c>
      <c r="AM33" s="95">
        <v>-5829</v>
      </c>
      <c r="AN33" s="96">
        <v>-1046</v>
      </c>
      <c r="AO33" s="96">
        <f>-3378-AN33</f>
        <v>-2332</v>
      </c>
      <c r="AP33" s="96">
        <f>-6677-AO33-AN33</f>
        <v>-3299</v>
      </c>
      <c r="AQ33" s="96">
        <f t="shared" si="11"/>
        <v>-6258</v>
      </c>
      <c r="AR33" s="95">
        <v>-12935</v>
      </c>
      <c r="AS33" s="96">
        <v>-2620</v>
      </c>
      <c r="AT33" s="96">
        <f>-2119-AS33</f>
        <v>501</v>
      </c>
      <c r="AU33" s="96">
        <f>-5306-AT33-AS33</f>
        <v>-3187</v>
      </c>
      <c r="AV33" s="96">
        <f t="shared" si="12"/>
        <v>-4652</v>
      </c>
      <c r="AW33" s="95">
        <v>-9958</v>
      </c>
      <c r="AX33" s="107">
        <v>-3543</v>
      </c>
      <c r="AY33" s="107">
        <f>-5526-AX33</f>
        <v>-1983</v>
      </c>
      <c r="AZ33" s="107">
        <f>-12181-AY33-AX33</f>
        <v>-6655</v>
      </c>
      <c r="BA33" s="816">
        <f>-35986-AZ33-AY33-AX33</f>
        <v>-23805</v>
      </c>
      <c r="BB33" s="150">
        <f t="shared" ref="BB33:BB41" si="16">SUM(AX33:BA33)</f>
        <v>-35986</v>
      </c>
      <c r="BC33" s="816">
        <v>5566</v>
      </c>
      <c r="BD33" s="107">
        <f>310-BC33</f>
        <v>-5256</v>
      </c>
      <c r="BE33" s="96">
        <f>+-5337-BD33-BC33</f>
        <v>-5647</v>
      </c>
      <c r="BF33" s="96">
        <f>-4899-BE33-BD33-BC33</f>
        <v>438</v>
      </c>
      <c r="BG33" s="95">
        <f t="shared" ref="BG33:BG41" si="17">SUM(BC33:BF33)</f>
        <v>-4899</v>
      </c>
      <c r="BH33" s="96">
        <v>-908</v>
      </c>
      <c r="BI33" s="96">
        <f>+-1494-BH33</f>
        <v>-586</v>
      </c>
      <c r="BJ33" s="673">
        <f>-6661-BI33-BH33</f>
        <v>-5167</v>
      </c>
      <c r="BK33" s="96">
        <f>+-9844-BJ33-BI33-BH33</f>
        <v>-3183</v>
      </c>
      <c r="BL33" s="95">
        <f t="shared" ref="BL33:BL41" si="18">SUM(BH33:BK33)</f>
        <v>-9844</v>
      </c>
      <c r="BM33" s="96">
        <v>-6085</v>
      </c>
      <c r="BN33" s="96">
        <f>+-7635-BM33</f>
        <v>-1550</v>
      </c>
      <c r="BO33" s="96">
        <f>+-15559-BN33-BM33</f>
        <v>-7924</v>
      </c>
      <c r="BP33" s="912">
        <f>-14645-BO33-BN33-BM33</f>
        <v>914</v>
      </c>
      <c r="BQ33" s="95">
        <f t="shared" ref="BQ33:BQ39" si="19">SUM(BM33:BP33)</f>
        <v>-14645</v>
      </c>
      <c r="BR33" s="673">
        <v>-3866</v>
      </c>
      <c r="BS33" s="96">
        <f>-13608-BR33</f>
        <v>-9742</v>
      </c>
      <c r="BT33" s="96">
        <f>-24569-BS33-BR33</f>
        <v>-10961</v>
      </c>
      <c r="BU33" s="96">
        <f>-17430-BT33-BS33-BR33</f>
        <v>7139</v>
      </c>
      <c r="BV33" s="95">
        <f t="shared" ref="BV33:BV41" si="20">SUM(BR33:BU33)</f>
        <v>-17430</v>
      </c>
      <c r="BW33" s="96">
        <f>'Balance Sheet '!BV8-'Balance Sheet '!BW8</f>
        <v>-676.49995999998646</v>
      </c>
      <c r="BX33" s="96">
        <f>'Balance Sheet '!BW8-'Balance Sheet '!BX8</f>
        <v>3003.1193879999773</v>
      </c>
      <c r="BY33" s="96">
        <f>'Balance Sheet '!BX8-'Balance Sheet '!BY8</f>
        <v>-9383.468836</v>
      </c>
      <c r="BZ33" s="96">
        <f>'Balance Sheet '!BY8-'Balance Sheet '!BZ8</f>
        <v>-13787.735431999987</v>
      </c>
      <c r="CA33" s="95">
        <f t="shared" ref="CA33:CA41" si="21">SUM(BW33:BZ33)</f>
        <v>-20844.584839999996</v>
      </c>
    </row>
    <row r="34" spans="2:81" ht="12.6" customHeight="1">
      <c r="B34" s="112"/>
      <c r="C34" s="169" t="s">
        <v>216</v>
      </c>
      <c r="D34" s="95">
        <v>-243</v>
      </c>
      <c r="E34" s="235">
        <v>-349</v>
      </c>
      <c r="F34" s="235">
        <v>11</v>
      </c>
      <c r="G34" s="235">
        <v>-250</v>
      </c>
      <c r="H34" s="202">
        <v>238</v>
      </c>
      <c r="I34" s="95">
        <f t="shared" ref="I34:I41" si="22">SUM(E34:H34)</f>
        <v>-350</v>
      </c>
      <c r="J34" s="235">
        <v>-1194</v>
      </c>
      <c r="K34" s="235">
        <v>715</v>
      </c>
      <c r="L34" s="235">
        <v>-27</v>
      </c>
      <c r="M34" s="202">
        <v>184</v>
      </c>
      <c r="N34" s="95">
        <f t="shared" ref="N34:N41" si="23">SUM(J34:M34)</f>
        <v>-322</v>
      </c>
      <c r="O34" s="235">
        <v>-965</v>
      </c>
      <c r="P34" s="235">
        <v>-105</v>
      </c>
      <c r="Q34" s="235">
        <v>89</v>
      </c>
      <c r="R34" s="202">
        <v>765</v>
      </c>
      <c r="S34" s="95">
        <f t="shared" ref="S34:S40" si="24">SUM(O34:R34)</f>
        <v>-216</v>
      </c>
      <c r="T34" s="96">
        <v>-1211</v>
      </c>
      <c r="U34" s="96">
        <v>-1057</v>
      </c>
      <c r="V34" s="96">
        <v>1311</v>
      </c>
      <c r="W34" s="96">
        <v>733</v>
      </c>
      <c r="X34" s="95">
        <f t="shared" si="13"/>
        <v>-224</v>
      </c>
      <c r="Y34" s="96">
        <v>-1715</v>
      </c>
      <c r="Z34" s="96">
        <f>-1206-Y34</f>
        <v>509</v>
      </c>
      <c r="AA34" s="202">
        <f>-1927-Z34-Y34</f>
        <v>-721</v>
      </c>
      <c r="AB34" s="96">
        <f>-859-AA34-Z34-Y34</f>
        <v>1068</v>
      </c>
      <c r="AC34" s="95">
        <f t="shared" si="14"/>
        <v>-859</v>
      </c>
      <c r="AD34" s="202">
        <v>-2129</v>
      </c>
      <c r="AE34" s="202">
        <f>-4106-AD34</f>
        <v>-1977</v>
      </c>
      <c r="AF34" s="202">
        <f>-1861-AE34-AD34</f>
        <v>2245</v>
      </c>
      <c r="AG34" s="202">
        <f>-1912-AF34-AE34-AD34</f>
        <v>-51</v>
      </c>
      <c r="AH34" s="95">
        <f t="shared" si="15"/>
        <v>-1912</v>
      </c>
      <c r="AI34" s="202">
        <v>-1833</v>
      </c>
      <c r="AJ34" s="96">
        <f>-3140-AI34</f>
        <v>-1307</v>
      </c>
      <c r="AK34" s="96">
        <f>-2755-AJ34-AI34</f>
        <v>385</v>
      </c>
      <c r="AL34" s="96">
        <f t="shared" si="0"/>
        <v>-51</v>
      </c>
      <c r="AM34" s="95">
        <v>-2806</v>
      </c>
      <c r="AN34" s="96">
        <v>-1721</v>
      </c>
      <c r="AO34" s="96">
        <f>-4053-AN34</f>
        <v>-2332</v>
      </c>
      <c r="AP34" s="96">
        <f>-3172-AO34-AN34</f>
        <v>881</v>
      </c>
      <c r="AQ34" s="96">
        <f t="shared" si="11"/>
        <v>501</v>
      </c>
      <c r="AR34" s="95">
        <v>-2671</v>
      </c>
      <c r="AS34" s="96">
        <v>-2754</v>
      </c>
      <c r="AT34" s="96">
        <f>-7065-AS34</f>
        <v>-4311</v>
      </c>
      <c r="AU34" s="96">
        <f>-5445-AT34-AS34</f>
        <v>1620</v>
      </c>
      <c r="AV34" s="96">
        <f t="shared" si="12"/>
        <v>132</v>
      </c>
      <c r="AW34" s="95">
        <v>-5313</v>
      </c>
      <c r="AX34" s="107">
        <v>-3524</v>
      </c>
      <c r="AY34" s="107">
        <f>-5962-AX34</f>
        <v>-2438</v>
      </c>
      <c r="AZ34" s="107">
        <f>-13665-AY34-AX34</f>
        <v>-7703</v>
      </c>
      <c r="BA34" s="816">
        <f>-14193-AZ34-AY34-AX34</f>
        <v>-528</v>
      </c>
      <c r="BB34" s="150">
        <f t="shared" si="16"/>
        <v>-14193</v>
      </c>
      <c r="BC34" s="816">
        <v>-2162</v>
      </c>
      <c r="BD34" s="107">
        <f>+-8092-BC34</f>
        <v>-5930</v>
      </c>
      <c r="BE34" s="96">
        <f>+-2228-BD34-BC34</f>
        <v>5864</v>
      </c>
      <c r="BF34" s="96">
        <f>661-BE34-BD34-BC34</f>
        <v>2889</v>
      </c>
      <c r="BG34" s="95">
        <f t="shared" si="17"/>
        <v>661</v>
      </c>
      <c r="BH34" s="96">
        <v>-2307</v>
      </c>
      <c r="BI34" s="96">
        <f>+-8764-BH34</f>
        <v>-6457</v>
      </c>
      <c r="BJ34" s="673">
        <f>-6537-BI34-BH34</f>
        <v>2227</v>
      </c>
      <c r="BK34" s="96">
        <f>+-3532-BJ34-BI34-BH34</f>
        <v>3005</v>
      </c>
      <c r="BL34" s="95">
        <f t="shared" si="18"/>
        <v>-3532</v>
      </c>
      <c r="BM34" s="96">
        <v>-1003</v>
      </c>
      <c r="BN34" s="96">
        <f>+-7137-BM34</f>
        <v>-6134</v>
      </c>
      <c r="BO34" s="96">
        <f>+-9562-BN34-BM34</f>
        <v>-2425</v>
      </c>
      <c r="BP34" s="912">
        <f>-12148-BO34-BN34-BM34</f>
        <v>-2586</v>
      </c>
      <c r="BQ34" s="95">
        <f t="shared" si="19"/>
        <v>-12148</v>
      </c>
      <c r="BR34" s="673">
        <v>3008</v>
      </c>
      <c r="BS34" s="96">
        <f>2854-BR34</f>
        <v>-154</v>
      </c>
      <c r="BT34" s="96">
        <f>1291-BS34-BR34</f>
        <v>-1563</v>
      </c>
      <c r="BU34" s="96">
        <f>7774-BT34-BS34-BR34</f>
        <v>6483</v>
      </c>
      <c r="BV34" s="95">
        <f t="shared" si="20"/>
        <v>7774</v>
      </c>
      <c r="BW34" s="96">
        <f>'Balance Sheet '!BV9-'Balance Sheet '!BW9</f>
        <v>-13746.397709999997</v>
      </c>
      <c r="BX34" s="96">
        <f>'Balance Sheet '!BW9-'Balance Sheet '!BX9</f>
        <v>-4412.021610000018</v>
      </c>
      <c r="BY34" s="96">
        <f>'Balance Sheet '!BX9-'Balance Sheet '!BY9</f>
        <v>-1480.4213199999867</v>
      </c>
      <c r="BZ34" s="96">
        <f>'Balance Sheet '!BY9-'Balance Sheet '!BZ9</f>
        <v>-4733.530399999996</v>
      </c>
      <c r="CA34" s="95">
        <f t="shared" si="21"/>
        <v>-24372.371039999998</v>
      </c>
    </row>
    <row r="35" spans="2:81" ht="12.6" customHeight="1">
      <c r="B35" s="112"/>
      <c r="C35" s="169" t="s">
        <v>262</v>
      </c>
      <c r="D35" s="95"/>
      <c r="E35" s="235"/>
      <c r="F35" s="235"/>
      <c r="G35" s="235"/>
      <c r="H35" s="202"/>
      <c r="I35" s="95"/>
      <c r="J35" s="235"/>
      <c r="K35" s="235"/>
      <c r="L35" s="235"/>
      <c r="M35" s="202"/>
      <c r="N35" s="95"/>
      <c r="O35" s="235"/>
      <c r="P35" s="235"/>
      <c r="Q35" s="235"/>
      <c r="R35" s="202"/>
      <c r="S35" s="95"/>
      <c r="T35" s="96"/>
      <c r="U35" s="96"/>
      <c r="V35" s="96"/>
      <c r="W35" s="96"/>
      <c r="X35" s="95"/>
      <c r="Y35" s="96"/>
      <c r="Z35" s="96"/>
      <c r="AA35" s="202"/>
      <c r="AB35" s="96"/>
      <c r="AC35" s="95"/>
      <c r="AD35" s="202"/>
      <c r="AE35" s="202"/>
      <c r="AF35" s="202"/>
      <c r="AG35" s="202"/>
      <c r="AH35" s="95"/>
      <c r="AI35" s="202">
        <v>-1662</v>
      </c>
      <c r="AJ35" s="96">
        <f>-3338-AI35</f>
        <v>-1676</v>
      </c>
      <c r="AK35" s="96">
        <f>-5094-AJ35-AI35</f>
        <v>-1756</v>
      </c>
      <c r="AL35" s="96">
        <f t="shared" si="0"/>
        <v>-2654</v>
      </c>
      <c r="AM35" s="95">
        <v>-7748</v>
      </c>
      <c r="AN35" s="96">
        <v>-2471</v>
      </c>
      <c r="AO35" s="96">
        <f>-5488-AN35</f>
        <v>-3017</v>
      </c>
      <c r="AP35" s="96">
        <f>-9035-AO35-AN35</f>
        <v>-3547</v>
      </c>
      <c r="AQ35" s="96">
        <f t="shared" si="11"/>
        <v>-3748</v>
      </c>
      <c r="AR35" s="95">
        <v>-12783</v>
      </c>
      <c r="AS35" s="96">
        <v>-4695</v>
      </c>
      <c r="AT35" s="96">
        <f>-11848-AS35</f>
        <v>-7153</v>
      </c>
      <c r="AU35" s="96">
        <f>-18345-AT35-AS35</f>
        <v>-6497</v>
      </c>
      <c r="AV35" s="96">
        <f t="shared" si="12"/>
        <v>-10614</v>
      </c>
      <c r="AW35" s="95">
        <v>-28959</v>
      </c>
      <c r="AX35" s="107">
        <v>-15983</v>
      </c>
      <c r="AY35" s="107">
        <f>-35319-AX35</f>
        <v>-19336</v>
      </c>
      <c r="AZ35" s="107">
        <f>-51765-AY35-AX35</f>
        <v>-16446</v>
      </c>
      <c r="BA35" s="816">
        <f>-71380-AZ35-AY35-AX35</f>
        <v>-19615</v>
      </c>
      <c r="BB35" s="150">
        <f t="shared" si="16"/>
        <v>-71380</v>
      </c>
      <c r="BC35" s="816">
        <v>-20160</v>
      </c>
      <c r="BD35" s="107">
        <f>+-42854-BC35</f>
        <v>-22694</v>
      </c>
      <c r="BE35" s="96">
        <f>+-62835-BD35-BC35</f>
        <v>-19981</v>
      </c>
      <c r="BF35" s="96">
        <f>-85197-BE35-BD35-BC35</f>
        <v>-22362</v>
      </c>
      <c r="BG35" s="95">
        <f t="shared" si="17"/>
        <v>-85197</v>
      </c>
      <c r="BH35" s="96">
        <v>-20665</v>
      </c>
      <c r="BI35" s="96">
        <f>+-44606-BH35</f>
        <v>-23941</v>
      </c>
      <c r="BJ35" s="673">
        <f>-68410-BI35-BH35</f>
        <v>-23804</v>
      </c>
      <c r="BK35" s="96">
        <f>+-91544-BJ35-BI35-BH35</f>
        <v>-23134</v>
      </c>
      <c r="BL35" s="95">
        <f t="shared" si="18"/>
        <v>-91544</v>
      </c>
      <c r="BM35" s="96">
        <v>-33565</v>
      </c>
      <c r="BN35" s="96">
        <f>+-53032-BM35</f>
        <v>-19467</v>
      </c>
      <c r="BO35" s="96">
        <f>+-76288-BN35-BM35</f>
        <v>-23256</v>
      </c>
      <c r="BP35" s="912">
        <f>-104957-BO35-BN35-BM35</f>
        <v>-28669</v>
      </c>
      <c r="BQ35" s="95">
        <f t="shared" si="19"/>
        <v>-104957</v>
      </c>
      <c r="BR35" s="912">
        <v>-25429</v>
      </c>
      <c r="BS35" s="911">
        <f>-56181-BR35</f>
        <v>-30752</v>
      </c>
      <c r="BT35" s="911">
        <f>-85513-BS35-BR35</f>
        <v>-29332</v>
      </c>
      <c r="BU35" s="911">
        <f>-119940-BT35-BS35-BR35</f>
        <v>-34427</v>
      </c>
      <c r="BV35" s="95">
        <f t="shared" si="20"/>
        <v>-119940</v>
      </c>
      <c r="BW35" s="911">
        <v>-20000</v>
      </c>
      <c r="BX35" s="911">
        <v>-20000</v>
      </c>
      <c r="BY35" s="911">
        <v>-20000</v>
      </c>
      <c r="BZ35" s="911">
        <v>-20000</v>
      </c>
      <c r="CA35" s="95">
        <f t="shared" si="21"/>
        <v>-80000</v>
      </c>
      <c r="CC35" s="53">
        <f>226207-225174</f>
        <v>1033</v>
      </c>
    </row>
    <row r="36" spans="2:81" ht="12.6" customHeight="1">
      <c r="B36" s="112"/>
      <c r="C36" s="169" t="s">
        <v>217</v>
      </c>
      <c r="D36" s="95">
        <v>-157</v>
      </c>
      <c r="E36" s="235">
        <v>-5</v>
      </c>
      <c r="F36" s="235">
        <v>6</v>
      </c>
      <c r="G36" s="235">
        <v>-10</v>
      </c>
      <c r="H36" s="202">
        <v>27</v>
      </c>
      <c r="I36" s="95">
        <f t="shared" si="22"/>
        <v>18</v>
      </c>
      <c r="J36" s="235">
        <v>-166</v>
      </c>
      <c r="K36" s="235">
        <v>-25</v>
      </c>
      <c r="L36" s="235">
        <v>15</v>
      </c>
      <c r="M36" s="202">
        <v>40</v>
      </c>
      <c r="N36" s="95">
        <f t="shared" si="23"/>
        <v>-136</v>
      </c>
      <c r="O36" s="235">
        <v>-65</v>
      </c>
      <c r="P36" s="235">
        <v>10</v>
      </c>
      <c r="Q36" s="235">
        <v>16</v>
      </c>
      <c r="R36" s="202">
        <v>-89</v>
      </c>
      <c r="S36" s="95">
        <f t="shared" si="24"/>
        <v>-128</v>
      </c>
      <c r="T36" s="96">
        <v>-94</v>
      </c>
      <c r="U36" s="96">
        <v>7</v>
      </c>
      <c r="V36" s="96">
        <v>-91</v>
      </c>
      <c r="W36" s="96">
        <v>-134</v>
      </c>
      <c r="X36" s="95">
        <f t="shared" si="13"/>
        <v>-312</v>
      </c>
      <c r="Y36" s="96">
        <v>-30</v>
      </c>
      <c r="Z36" s="96">
        <f>62-Y36</f>
        <v>92</v>
      </c>
      <c r="AA36" s="202">
        <f>-25-Z36-Y36</f>
        <v>-87</v>
      </c>
      <c r="AB36" s="96">
        <f>203-AA36-Z36-Y36</f>
        <v>228</v>
      </c>
      <c r="AC36" s="95">
        <f t="shared" si="14"/>
        <v>203</v>
      </c>
      <c r="AD36" s="202">
        <v>30</v>
      </c>
      <c r="AE36" s="202">
        <f>166-AD36</f>
        <v>136</v>
      </c>
      <c r="AF36" s="202">
        <f>71-AE36-AD36</f>
        <v>-95</v>
      </c>
      <c r="AG36" s="202">
        <f>-33-AF36-AE36-AD36</f>
        <v>-104</v>
      </c>
      <c r="AH36" s="95">
        <f t="shared" si="15"/>
        <v>-33</v>
      </c>
      <c r="AI36" s="202">
        <v>-90</v>
      </c>
      <c r="AJ36" s="96">
        <f>4-AI36</f>
        <v>94</v>
      </c>
      <c r="AK36" s="96">
        <f>68-AJ36-AI36</f>
        <v>64</v>
      </c>
      <c r="AL36" s="96">
        <f t="shared" si="0"/>
        <v>125</v>
      </c>
      <c r="AM36" s="95">
        <v>193</v>
      </c>
      <c r="AN36" s="96">
        <v>-7845</v>
      </c>
      <c r="AO36" s="96">
        <f>-12571-AN36</f>
        <v>-4726</v>
      </c>
      <c r="AP36" s="96">
        <f>-264-AO36-AN36</f>
        <v>12307</v>
      </c>
      <c r="AQ36" s="96">
        <f t="shared" si="11"/>
        <v>-84</v>
      </c>
      <c r="AR36" s="95">
        <v>-348</v>
      </c>
      <c r="AS36" s="96">
        <v>-2132</v>
      </c>
      <c r="AT36" s="96">
        <f>-1604-AS36</f>
        <v>528</v>
      </c>
      <c r="AU36" s="96">
        <f>-2074-AT36-AS36</f>
        <v>-470</v>
      </c>
      <c r="AV36" s="96">
        <f t="shared" si="12"/>
        <v>163</v>
      </c>
      <c r="AW36" s="95">
        <v>-1911</v>
      </c>
      <c r="AX36" s="107">
        <v>101</v>
      </c>
      <c r="AY36" s="107">
        <f>147-AX36</f>
        <v>46</v>
      </c>
      <c r="AZ36" s="107">
        <f>-2196-AY36-AX36</f>
        <v>-2343</v>
      </c>
      <c r="BA36" s="816">
        <f>-1729-AZ36-AY36-AX36</f>
        <v>467</v>
      </c>
      <c r="BB36" s="150">
        <f t="shared" si="16"/>
        <v>-1729</v>
      </c>
      <c r="BC36" s="816">
        <v>234</v>
      </c>
      <c r="BD36" s="107">
        <f>+-70-BC36</f>
        <v>-304</v>
      </c>
      <c r="BE36" s="96">
        <f>+-213-BD36-BC36</f>
        <v>-143</v>
      </c>
      <c r="BF36" s="96">
        <f>-319-BE36-BD36-BC36</f>
        <v>-106</v>
      </c>
      <c r="BG36" s="95">
        <f t="shared" si="17"/>
        <v>-319</v>
      </c>
      <c r="BH36" s="96">
        <v>-4231</v>
      </c>
      <c r="BI36" s="96">
        <f>+-5344-BH36</f>
        <v>-1113</v>
      </c>
      <c r="BJ36" s="673">
        <f>-4892-BI36-BH36</f>
        <v>452</v>
      </c>
      <c r="BK36" s="96">
        <f>+-3988-BJ36-BI36-BH36</f>
        <v>904</v>
      </c>
      <c r="BL36" s="95">
        <f t="shared" si="18"/>
        <v>-3988</v>
      </c>
      <c r="BM36" s="96">
        <v>-781</v>
      </c>
      <c r="BN36" s="96">
        <f>+-1868-BM36</f>
        <v>-1087</v>
      </c>
      <c r="BO36" s="96">
        <f>+-1452-BN36-BM36</f>
        <v>416</v>
      </c>
      <c r="BP36" s="912">
        <f>3115-BO36-BN36-BM36</f>
        <v>4567</v>
      </c>
      <c r="BQ36" s="95">
        <f t="shared" si="19"/>
        <v>3115</v>
      </c>
      <c r="BR36" s="673">
        <v>843</v>
      </c>
      <c r="BS36" s="96">
        <f>2552-BR36</f>
        <v>1709</v>
      </c>
      <c r="BT36" s="96">
        <f>2645-BS36-BR36</f>
        <v>93</v>
      </c>
      <c r="BU36" s="96">
        <f>2630-BT36-BS36-BR36</f>
        <v>-15</v>
      </c>
      <c r="BV36" s="95">
        <f t="shared" si="20"/>
        <v>2630</v>
      </c>
      <c r="BW36" s="96">
        <f>'Balance Sheet '!BV18-'Balance Sheet '!BW18</f>
        <v>-8724.8465849999993</v>
      </c>
      <c r="BX36" s="96">
        <f>'Balance Sheet '!BW18-'Balance Sheet '!BX18</f>
        <v>-1993.0501770000046</v>
      </c>
      <c r="BY36" s="96">
        <f>'Balance Sheet '!BX18-'Balance Sheet '!BY18</f>
        <v>-518.14746199999718</v>
      </c>
      <c r="BZ36" s="96">
        <f>'Balance Sheet '!BY18-'Balance Sheet '!BZ18</f>
        <v>30.248636000000261</v>
      </c>
      <c r="CA36" s="95">
        <f t="shared" si="21"/>
        <v>-11205.795588000001</v>
      </c>
    </row>
    <row r="37" spans="2:81" ht="12.6" customHeight="1">
      <c r="B37" s="112"/>
      <c r="C37" s="169" t="s">
        <v>181</v>
      </c>
      <c r="D37" s="95">
        <v>927</v>
      </c>
      <c r="E37" s="235">
        <v>-390</v>
      </c>
      <c r="F37" s="235">
        <v>813</v>
      </c>
      <c r="G37" s="235">
        <v>-1122</v>
      </c>
      <c r="H37" s="202">
        <v>2687</v>
      </c>
      <c r="I37" s="95">
        <f t="shared" si="22"/>
        <v>1988</v>
      </c>
      <c r="J37" s="235">
        <v>1182</v>
      </c>
      <c r="K37" s="235">
        <v>-603</v>
      </c>
      <c r="L37" s="235">
        <v>-893</v>
      </c>
      <c r="M37" s="202">
        <v>510</v>
      </c>
      <c r="N37" s="95">
        <f t="shared" si="23"/>
        <v>196</v>
      </c>
      <c r="O37" s="235">
        <v>-221</v>
      </c>
      <c r="P37" s="235">
        <v>-287</v>
      </c>
      <c r="Q37" s="235">
        <v>-510</v>
      </c>
      <c r="R37" s="202">
        <v>1318</v>
      </c>
      <c r="S37" s="95">
        <f t="shared" si="24"/>
        <v>300</v>
      </c>
      <c r="T37" s="96">
        <v>-1629</v>
      </c>
      <c r="U37" s="96">
        <v>235</v>
      </c>
      <c r="V37" s="96">
        <v>65</v>
      </c>
      <c r="W37" s="96">
        <v>-281</v>
      </c>
      <c r="X37" s="95">
        <f t="shared" si="13"/>
        <v>-1610</v>
      </c>
      <c r="Y37" s="96">
        <v>825</v>
      </c>
      <c r="Z37" s="96">
        <f>357-Y37</f>
        <v>-468</v>
      </c>
      <c r="AA37" s="202">
        <f>1039-Z37-Y37</f>
        <v>682</v>
      </c>
      <c r="AB37" s="96">
        <f>811-AA37-Z37-Y37</f>
        <v>-228</v>
      </c>
      <c r="AC37" s="95">
        <f t="shared" si="14"/>
        <v>811</v>
      </c>
      <c r="AD37" s="96">
        <v>-95</v>
      </c>
      <c r="AE37" s="202">
        <f>1187-AD37</f>
        <v>1282</v>
      </c>
      <c r="AF37" s="202">
        <f>1409-AE37-AD37</f>
        <v>222</v>
      </c>
      <c r="AG37" s="202">
        <f>813-AF37-AE37-AD37</f>
        <v>-596</v>
      </c>
      <c r="AH37" s="95">
        <f t="shared" si="15"/>
        <v>813</v>
      </c>
      <c r="AI37" s="202">
        <v>1181</v>
      </c>
      <c r="AJ37" s="96">
        <f>1493-AI37</f>
        <v>312</v>
      </c>
      <c r="AK37" s="96">
        <f>307-AJ37-AI37</f>
        <v>-1186</v>
      </c>
      <c r="AL37" s="96">
        <f t="shared" si="0"/>
        <v>2111</v>
      </c>
      <c r="AM37" s="95">
        <v>2418</v>
      </c>
      <c r="AN37" s="96">
        <v>552</v>
      </c>
      <c r="AO37" s="96">
        <f>159-AN37</f>
        <v>-393</v>
      </c>
      <c r="AP37" s="96">
        <f>100-AO37-AN37</f>
        <v>-59</v>
      </c>
      <c r="AQ37" s="96">
        <f t="shared" si="11"/>
        <v>2449</v>
      </c>
      <c r="AR37" s="95">
        <v>2549</v>
      </c>
      <c r="AS37" s="96">
        <v>-1121</v>
      </c>
      <c r="AT37" s="96">
        <f>2553-AS37</f>
        <v>3674</v>
      </c>
      <c r="AU37" s="96">
        <f>2667-AT37-AS37</f>
        <v>114</v>
      </c>
      <c r="AV37" s="96">
        <f t="shared" si="12"/>
        <v>3514</v>
      </c>
      <c r="AW37" s="95">
        <v>6181</v>
      </c>
      <c r="AX37" s="107">
        <v>351</v>
      </c>
      <c r="AY37" s="107">
        <f>1725-AX37</f>
        <v>1374</v>
      </c>
      <c r="AZ37" s="107">
        <f>5319-AY37-AX37</f>
        <v>3594</v>
      </c>
      <c r="BA37" s="816">
        <f>4305-AZ37-AY37-AX37</f>
        <v>-1014</v>
      </c>
      <c r="BB37" s="150">
        <f t="shared" si="16"/>
        <v>4305</v>
      </c>
      <c r="BC37" s="816">
        <v>11133</v>
      </c>
      <c r="BD37" s="107">
        <f>4487-BC37</f>
        <v>-6646</v>
      </c>
      <c r="BE37" s="96">
        <f>1008-BD37-BC37</f>
        <v>-3479</v>
      </c>
      <c r="BF37" s="96">
        <f>845-BE37-BD37-BC37</f>
        <v>-163</v>
      </c>
      <c r="BG37" s="95">
        <f t="shared" si="17"/>
        <v>845</v>
      </c>
      <c r="BH37" s="96">
        <v>1557</v>
      </c>
      <c r="BI37" s="96">
        <f>2316-BH37</f>
        <v>759</v>
      </c>
      <c r="BJ37" s="673">
        <f>5562-BI37-BH37</f>
        <v>3246</v>
      </c>
      <c r="BK37" s="96">
        <f>2932-BJ37-BI37-BH37</f>
        <v>-2630</v>
      </c>
      <c r="BL37" s="95">
        <f t="shared" si="18"/>
        <v>2932</v>
      </c>
      <c r="BM37" s="96">
        <v>1279</v>
      </c>
      <c r="BN37" s="96">
        <f>3931-BM37</f>
        <v>2652</v>
      </c>
      <c r="BO37" s="96">
        <f>8651-BN37-BM37</f>
        <v>4720</v>
      </c>
      <c r="BP37" s="912">
        <f>1057-BO37-BN37-BM37</f>
        <v>-7594</v>
      </c>
      <c r="BQ37" s="95">
        <f t="shared" si="19"/>
        <v>1057</v>
      </c>
      <c r="BR37" s="673">
        <v>2731</v>
      </c>
      <c r="BS37" s="96">
        <f>3853-BR37</f>
        <v>1122</v>
      </c>
      <c r="BT37" s="96">
        <f>523-BS37-BR37</f>
        <v>-3330</v>
      </c>
      <c r="BU37" s="96">
        <f>3190-BT37-BS37-BR37</f>
        <v>2667</v>
      </c>
      <c r="BV37" s="95">
        <f t="shared" si="20"/>
        <v>3190</v>
      </c>
      <c r="BW37" s="96">
        <f>'Balance Sheet '!BW23-'Balance Sheet '!BV23</f>
        <v>5934.4090799999976</v>
      </c>
      <c r="BX37" s="96">
        <f>'Balance Sheet '!BX23-'Balance Sheet '!BW23</f>
        <v>3915.1134780000066</v>
      </c>
      <c r="BY37" s="96">
        <f>'Balance Sheet '!BY23-'Balance Sheet '!BX23</f>
        <v>4099.565889999998</v>
      </c>
      <c r="BZ37" s="96">
        <f>'Balance Sheet '!BZ23-'Balance Sheet '!BY23</f>
        <v>-3434.4658240000063</v>
      </c>
      <c r="CA37" s="95">
        <f t="shared" si="21"/>
        <v>10514.622623999996</v>
      </c>
    </row>
    <row r="38" spans="2:81" ht="12.6" customHeight="1">
      <c r="B38" s="112"/>
      <c r="C38" s="169" t="s">
        <v>218</v>
      </c>
      <c r="D38" s="95">
        <v>5266</v>
      </c>
      <c r="E38" s="235">
        <v>1526</v>
      </c>
      <c r="F38" s="235">
        <v>1453</v>
      </c>
      <c r="G38" s="235">
        <v>1344</v>
      </c>
      <c r="H38" s="202">
        <v>280</v>
      </c>
      <c r="I38" s="95">
        <f t="shared" si="22"/>
        <v>4603</v>
      </c>
      <c r="J38" s="235">
        <v>2055</v>
      </c>
      <c r="K38" s="235">
        <v>45</v>
      </c>
      <c r="L38" s="235">
        <v>447</v>
      </c>
      <c r="M38" s="202">
        <v>1207</v>
      </c>
      <c r="N38" s="95">
        <f t="shared" si="23"/>
        <v>3754</v>
      </c>
      <c r="O38" s="235">
        <v>1398</v>
      </c>
      <c r="P38" s="235">
        <v>587</v>
      </c>
      <c r="Q38" s="235">
        <v>573</v>
      </c>
      <c r="R38" s="202">
        <v>-695</v>
      </c>
      <c r="S38" s="95">
        <f t="shared" si="24"/>
        <v>1863</v>
      </c>
      <c r="T38" s="96">
        <v>1123</v>
      </c>
      <c r="U38" s="96">
        <v>912</v>
      </c>
      <c r="V38" s="96">
        <v>-1247</v>
      </c>
      <c r="W38" s="96">
        <v>-362</v>
      </c>
      <c r="X38" s="95">
        <f t="shared" si="13"/>
        <v>426</v>
      </c>
      <c r="Y38" s="96">
        <v>1935</v>
      </c>
      <c r="Z38" s="96">
        <f>1389-Y38</f>
        <v>-546</v>
      </c>
      <c r="AA38" s="202">
        <f>2749-Z38-Y38</f>
        <v>1360</v>
      </c>
      <c r="AB38" s="96">
        <f>2262-AA38-Z38-Y38</f>
        <v>-487</v>
      </c>
      <c r="AC38" s="95">
        <f t="shared" si="14"/>
        <v>2262</v>
      </c>
      <c r="AD38" s="96">
        <v>3119</v>
      </c>
      <c r="AE38" s="202">
        <f>909-AD38</f>
        <v>-2210</v>
      </c>
      <c r="AF38" s="202">
        <f>1774-AE38-AD38</f>
        <v>865</v>
      </c>
      <c r="AG38" s="202">
        <f>1061-AF38-AE38-AD38</f>
        <v>-713</v>
      </c>
      <c r="AH38" s="95">
        <f t="shared" si="15"/>
        <v>1061</v>
      </c>
      <c r="AI38" s="202">
        <v>2791</v>
      </c>
      <c r="AJ38" s="96">
        <f>2415-AI38</f>
        <v>-376</v>
      </c>
      <c r="AK38" s="96">
        <f>2575-AJ38-AI38</f>
        <v>160</v>
      </c>
      <c r="AL38" s="96">
        <f t="shared" si="0"/>
        <v>-710</v>
      </c>
      <c r="AM38" s="95">
        <v>1865</v>
      </c>
      <c r="AN38" s="96">
        <v>7724</v>
      </c>
      <c r="AO38" s="96">
        <f>6516-AN38</f>
        <v>-1208</v>
      </c>
      <c r="AP38" s="96">
        <f>3522-AO38-AN38</f>
        <v>-2994</v>
      </c>
      <c r="AQ38" s="96">
        <f t="shared" si="11"/>
        <v>-4066</v>
      </c>
      <c r="AR38" s="95">
        <v>-544</v>
      </c>
      <c r="AS38" s="96">
        <v>4802</v>
      </c>
      <c r="AT38" s="96">
        <f>9561-AS38</f>
        <v>4759</v>
      </c>
      <c r="AU38" s="96">
        <f>13528-AT38-AS38</f>
        <v>3967</v>
      </c>
      <c r="AV38" s="96">
        <f t="shared" si="12"/>
        <v>-4154</v>
      </c>
      <c r="AW38" s="95">
        <v>9374</v>
      </c>
      <c r="AX38" s="107">
        <v>5299</v>
      </c>
      <c r="AY38" s="107">
        <f>23343-AX38</f>
        <v>18044</v>
      </c>
      <c r="AZ38" s="107">
        <f>20528-AY38-AX38</f>
        <v>-2815</v>
      </c>
      <c r="BA38" s="816">
        <f>20562-AZ38-AY38-AX38</f>
        <v>34</v>
      </c>
      <c r="BB38" s="150">
        <f t="shared" si="16"/>
        <v>20562</v>
      </c>
      <c r="BC38" s="816">
        <v>2096</v>
      </c>
      <c r="BD38" s="107">
        <f>+-4107-BC38</f>
        <v>-6203</v>
      </c>
      <c r="BE38" s="96">
        <f>796-BD38-BC38</f>
        <v>4903</v>
      </c>
      <c r="BF38" s="96">
        <f>-8379-BE38-BD38-BC38</f>
        <v>-9175</v>
      </c>
      <c r="BG38" s="95">
        <f t="shared" si="17"/>
        <v>-8379</v>
      </c>
      <c r="BH38" s="96">
        <v>7599</v>
      </c>
      <c r="BI38" s="96">
        <f>3966-BH38</f>
        <v>-3633</v>
      </c>
      <c r="BJ38" s="673">
        <f>-2006-BI38-BH38</f>
        <v>-5972</v>
      </c>
      <c r="BK38" s="96">
        <f>+-9274-BJ38-BI38-BH38</f>
        <v>-7268</v>
      </c>
      <c r="BL38" s="95">
        <f t="shared" si="18"/>
        <v>-9274</v>
      </c>
      <c r="BM38" s="96">
        <v>15832</v>
      </c>
      <c r="BN38" s="96">
        <f>3934-BM38</f>
        <v>-11898</v>
      </c>
      <c r="BO38" s="96">
        <f>5380-BN38-BM38</f>
        <v>1446</v>
      </c>
      <c r="BP38" s="912">
        <f>2839-BO38-BN38-BM38</f>
        <v>-2541</v>
      </c>
      <c r="BQ38" s="95">
        <f t="shared" si="19"/>
        <v>2839</v>
      </c>
      <c r="BR38" s="673">
        <v>-3208</v>
      </c>
      <c r="BS38" s="96">
        <f>-8096-BR38</f>
        <v>-4888</v>
      </c>
      <c r="BT38" s="96">
        <f>-8073-BS38-BR38</f>
        <v>23</v>
      </c>
      <c r="BU38" s="96">
        <f>-5700-BT38-BS38-BR38</f>
        <v>2373</v>
      </c>
      <c r="BV38" s="95">
        <f t="shared" si="20"/>
        <v>-5700</v>
      </c>
      <c r="BW38" s="96">
        <f>'Balance Sheet '!BW24-'Balance Sheet '!BV24</f>
        <v>11633.090880000003</v>
      </c>
      <c r="BX38" s="96">
        <f>'Balance Sheet '!BX24-'Balance Sheet '!BW24</f>
        <v>-9981.5038319999876</v>
      </c>
      <c r="BY38" s="96">
        <f>'Balance Sheet '!BY24-'Balance Sheet '!BX24</f>
        <v>-1064.7021840000089</v>
      </c>
      <c r="BZ38" s="96">
        <f>'Balance Sheet '!BZ24-'Balance Sheet '!BY24</f>
        <v>-357.67106400000921</v>
      </c>
      <c r="CA38" s="95">
        <f t="shared" si="21"/>
        <v>229.21379999999772</v>
      </c>
    </row>
    <row r="39" spans="2:81" ht="12.6" customHeight="1">
      <c r="B39" s="112"/>
      <c r="C39" s="169" t="s">
        <v>219</v>
      </c>
      <c r="D39" s="95">
        <v>0</v>
      </c>
      <c r="E39" s="235">
        <v>0</v>
      </c>
      <c r="F39" s="235">
        <v>0</v>
      </c>
      <c r="G39" s="235">
        <v>0</v>
      </c>
      <c r="H39" s="202">
        <v>0</v>
      </c>
      <c r="I39" s="95">
        <f t="shared" si="22"/>
        <v>0</v>
      </c>
      <c r="J39" s="235">
        <v>0</v>
      </c>
      <c r="K39" s="235">
        <v>0</v>
      </c>
      <c r="L39" s="235">
        <v>0</v>
      </c>
      <c r="M39" s="202">
        <v>0</v>
      </c>
      <c r="N39" s="95">
        <f t="shared" si="23"/>
        <v>0</v>
      </c>
      <c r="O39" s="235"/>
      <c r="P39" s="235">
        <v>-2808</v>
      </c>
      <c r="Q39" s="235">
        <v>2021</v>
      </c>
      <c r="R39" s="202">
        <v>1227</v>
      </c>
      <c r="S39" s="95">
        <f t="shared" si="24"/>
        <v>440</v>
      </c>
      <c r="T39" s="96">
        <v>960</v>
      </c>
      <c r="U39" s="96">
        <v>-795</v>
      </c>
      <c r="V39" s="96">
        <v>-4</v>
      </c>
      <c r="W39" s="96">
        <v>280</v>
      </c>
      <c r="X39" s="95">
        <f t="shared" si="13"/>
        <v>441</v>
      </c>
      <c r="Y39" s="96">
        <v>93</v>
      </c>
      <c r="Z39" s="96">
        <f>12-Y39</f>
        <v>-81</v>
      </c>
      <c r="AA39" s="202">
        <f>-90-Z39-Y39</f>
        <v>-102</v>
      </c>
      <c r="AB39" s="96">
        <f>-182-AA39-Z39-Y39</f>
        <v>-92</v>
      </c>
      <c r="AC39" s="95">
        <f t="shared" si="14"/>
        <v>-182</v>
      </c>
      <c r="AD39" s="96">
        <v>-11</v>
      </c>
      <c r="AE39" s="202">
        <f>171-AD39</f>
        <v>182</v>
      </c>
      <c r="AF39" s="202">
        <f>95-AE39-AD39</f>
        <v>-76</v>
      </c>
      <c r="AG39" s="202">
        <f>90-AF39-AE39-AD39</f>
        <v>-5</v>
      </c>
      <c r="AH39" s="95">
        <f t="shared" si="15"/>
        <v>90</v>
      </c>
      <c r="AI39" s="202">
        <v>-115</v>
      </c>
      <c r="AJ39" s="96">
        <f>246-AI39</f>
        <v>361</v>
      </c>
      <c r="AK39" s="96">
        <f>366-AJ39-AI39</f>
        <v>120</v>
      </c>
      <c r="AL39" s="96">
        <f t="shared" si="0"/>
        <v>129</v>
      </c>
      <c r="AM39" s="95">
        <v>495</v>
      </c>
      <c r="AN39" s="96">
        <v>-425</v>
      </c>
      <c r="AO39" s="96">
        <f>-337-AN39</f>
        <v>88</v>
      </c>
      <c r="AP39" s="96">
        <f>233-AO39-AN39</f>
        <v>570</v>
      </c>
      <c r="AQ39" s="96">
        <f t="shared" si="11"/>
        <v>777</v>
      </c>
      <c r="AR39" s="95">
        <v>1010</v>
      </c>
      <c r="AS39" s="96">
        <v>-707</v>
      </c>
      <c r="AT39" s="96">
        <f>-945-AS39</f>
        <v>-238</v>
      </c>
      <c r="AU39" s="96">
        <f>16-AT39-AS39</f>
        <v>961</v>
      </c>
      <c r="AV39" s="96">
        <f t="shared" si="12"/>
        <v>1286</v>
      </c>
      <c r="AW39" s="95">
        <v>1302</v>
      </c>
      <c r="AX39" s="107">
        <v>738</v>
      </c>
      <c r="AY39" s="107">
        <f>1277-AX39</f>
        <v>539</v>
      </c>
      <c r="AZ39" s="107">
        <f>-3363-AY39-AX39</f>
        <v>-4640</v>
      </c>
      <c r="BA39" s="816">
        <f>-497-AZ39-AY39-AX39</f>
        <v>2866</v>
      </c>
      <c r="BB39" s="150">
        <f t="shared" si="16"/>
        <v>-497</v>
      </c>
      <c r="BC39" s="816">
        <v>-1239</v>
      </c>
      <c r="BD39" s="107">
        <f>+-2677-BC39</f>
        <v>-1438</v>
      </c>
      <c r="BE39" s="96">
        <f>+-2001-BD39-BC39</f>
        <v>676</v>
      </c>
      <c r="BF39" s="96">
        <f>524-BE39-BD39-BC39</f>
        <v>2525</v>
      </c>
      <c r="BG39" s="95">
        <f t="shared" si="17"/>
        <v>524</v>
      </c>
      <c r="BH39" s="96">
        <v>133</v>
      </c>
      <c r="BI39" s="96">
        <f>500-BH39</f>
        <v>367</v>
      </c>
      <c r="BJ39" s="673">
        <f>877-BI39-BH39</f>
        <v>377</v>
      </c>
      <c r="BK39" s="96">
        <f>0-BJ39-BI39-BH39</f>
        <v>-877</v>
      </c>
      <c r="BL39" s="95">
        <f t="shared" si="18"/>
        <v>0</v>
      </c>
      <c r="BN39" s="96">
        <f>'Balance Sheet '!BN28-'Balance Sheet '!BM28</f>
        <v>0</v>
      </c>
      <c r="BO39" s="96">
        <f>'Balance Sheet '!BO28-'Balance Sheet '!BN28</f>
        <v>0</v>
      </c>
      <c r="BP39" s="912">
        <f>'Balance Sheet '!BP28-'Balance Sheet '!BO28</f>
        <v>0</v>
      </c>
      <c r="BQ39" s="95">
        <f t="shared" si="19"/>
        <v>0</v>
      </c>
      <c r="BR39" s="673">
        <f>'Balance Sheet '!BR28-'Balance Sheet '!BQ28</f>
        <v>0</v>
      </c>
      <c r="BS39" s="96">
        <f>'Balance Sheet '!BS28-'Balance Sheet '!BR28</f>
        <v>0</v>
      </c>
      <c r="BT39" s="96">
        <f>'Balance Sheet '!BT28-'Balance Sheet '!BS28</f>
        <v>0</v>
      </c>
      <c r="BU39" s="96">
        <f>'Balance Sheet '!BU28-'Balance Sheet '!BT28</f>
        <v>0</v>
      </c>
      <c r="BV39" s="95">
        <f t="shared" si="20"/>
        <v>0</v>
      </c>
      <c r="BW39" s="96">
        <f>'Balance Sheet '!BW28-'Balance Sheet '!BV28</f>
        <v>1496.1420450000001</v>
      </c>
      <c r="BX39" s="96">
        <f>'Balance Sheet '!BX28-'Balance Sheet '!BW28</f>
        <v>35.493438000000197</v>
      </c>
      <c r="BY39" s="96">
        <f>'Balance Sheet '!BY28-'Balance Sheet '!BX28</f>
        <v>37.010532999999668</v>
      </c>
      <c r="BZ39" s="96">
        <f>'Balance Sheet '!BZ28-'Balance Sheet '!BY28</f>
        <v>118.33825999999999</v>
      </c>
      <c r="CA39" s="95">
        <f t="shared" si="21"/>
        <v>1686.9842759999999</v>
      </c>
    </row>
    <row r="40" spans="2:81" ht="12.6" customHeight="1">
      <c r="B40" s="112"/>
      <c r="C40" s="169" t="s">
        <v>202</v>
      </c>
      <c r="D40" s="95">
        <v>1074</v>
      </c>
      <c r="E40" s="235">
        <v>334.17</v>
      </c>
      <c r="F40" s="235">
        <v>78</v>
      </c>
      <c r="G40" s="235">
        <v>114</v>
      </c>
      <c r="H40" s="202">
        <v>828</v>
      </c>
      <c r="I40" s="95">
        <f t="shared" si="22"/>
        <v>1354.17</v>
      </c>
      <c r="J40" s="235">
        <v>-119</v>
      </c>
      <c r="K40" s="235">
        <v>332</v>
      </c>
      <c r="L40" s="235">
        <v>111</v>
      </c>
      <c r="M40" s="202">
        <v>-218</v>
      </c>
      <c r="N40" s="95">
        <f t="shared" si="23"/>
        <v>106</v>
      </c>
      <c r="O40" s="235">
        <v>582</v>
      </c>
      <c r="P40" s="235">
        <v>52</v>
      </c>
      <c r="Q40" s="235">
        <v>32</v>
      </c>
      <c r="R40" s="202">
        <v>346</v>
      </c>
      <c r="S40" s="95">
        <f t="shared" si="24"/>
        <v>1012</v>
      </c>
      <c r="T40" s="96">
        <v>286</v>
      </c>
      <c r="U40" s="96">
        <v>-123</v>
      </c>
      <c r="V40" s="96">
        <v>29</v>
      </c>
      <c r="W40" s="96">
        <v>846</v>
      </c>
      <c r="X40" s="95">
        <f t="shared" si="13"/>
        <v>1038</v>
      </c>
      <c r="Y40" s="96">
        <v>1659</v>
      </c>
      <c r="Z40" s="96">
        <f>1535-Y40</f>
        <v>-124</v>
      </c>
      <c r="AA40" s="202">
        <f>2449-Z40-Y40</f>
        <v>914</v>
      </c>
      <c r="AB40" s="96">
        <f>3680-AA40-Z40-Y40</f>
        <v>1231</v>
      </c>
      <c r="AC40" s="95">
        <f t="shared" si="14"/>
        <v>3680</v>
      </c>
      <c r="AD40" s="96">
        <v>909</v>
      </c>
      <c r="AE40" s="202">
        <f>2025-AD40</f>
        <v>1116</v>
      </c>
      <c r="AF40" s="202">
        <f>3676-AE40-AD40</f>
        <v>1651</v>
      </c>
      <c r="AG40" s="202">
        <f>3882-AF40-AE40-AD40</f>
        <v>206</v>
      </c>
      <c r="AH40" s="95">
        <f t="shared" si="15"/>
        <v>3882</v>
      </c>
      <c r="AI40" s="202">
        <v>121</v>
      </c>
      <c r="AJ40" s="96">
        <f>1170-AI40</f>
        <v>1049</v>
      </c>
      <c r="AK40" s="96">
        <f>3910-AJ40-AI40</f>
        <v>2740</v>
      </c>
      <c r="AL40" s="96">
        <f t="shared" si="0"/>
        <v>46</v>
      </c>
      <c r="AM40" s="95">
        <v>3956</v>
      </c>
      <c r="AN40" s="96">
        <v>416</v>
      </c>
      <c r="AO40" s="96">
        <f>2539-AN40</f>
        <v>2123</v>
      </c>
      <c r="AP40" s="96">
        <f>4391-AO40-AN40</f>
        <v>1852</v>
      </c>
      <c r="AQ40" s="96">
        <f t="shared" si="11"/>
        <v>4304</v>
      </c>
      <c r="AR40" s="95">
        <v>8695</v>
      </c>
      <c r="AS40" s="96">
        <v>3378</v>
      </c>
      <c r="AT40" s="96">
        <f>3292-AS40</f>
        <v>-86</v>
      </c>
      <c r="AU40" s="96">
        <f>5246-AT40-AS40</f>
        <v>1954</v>
      </c>
      <c r="AV40" s="96">
        <f t="shared" si="12"/>
        <v>2725</v>
      </c>
      <c r="AW40" s="95">
        <v>7971</v>
      </c>
      <c r="AX40" s="107">
        <v>322</v>
      </c>
      <c r="AY40" s="107">
        <f>-2118-AX40</f>
        <v>-2440</v>
      </c>
      <c r="AZ40" s="107">
        <f>4006-AY40-AX40</f>
        <v>6124</v>
      </c>
      <c r="BA40" s="816">
        <f>10462-AZ40-AY40-AX40</f>
        <v>6456</v>
      </c>
      <c r="BB40" s="150">
        <f t="shared" si="16"/>
        <v>10462</v>
      </c>
      <c r="BC40" s="816">
        <v>2659</v>
      </c>
      <c r="BD40" s="107">
        <f>7571-BC40</f>
        <v>4912</v>
      </c>
      <c r="BE40" s="96">
        <f>9519-BD40-BC40</f>
        <v>1948</v>
      </c>
      <c r="BF40" s="96">
        <f>13176-BE40-BD40-BC40</f>
        <v>3657</v>
      </c>
      <c r="BG40" s="95">
        <f t="shared" si="17"/>
        <v>13176</v>
      </c>
      <c r="BH40" s="96">
        <v>181</v>
      </c>
      <c r="BI40" s="96">
        <f>+-680-BH40</f>
        <v>-861</v>
      </c>
      <c r="BJ40" s="673">
        <f>1544-BI40-BH40</f>
        <v>2224</v>
      </c>
      <c r="BK40" s="96">
        <f>4958-BJ40-BI40-BH40</f>
        <v>3414</v>
      </c>
      <c r="BL40" s="95">
        <f t="shared" si="18"/>
        <v>4958</v>
      </c>
      <c r="BM40" s="96">
        <v>-1452</v>
      </c>
      <c r="BN40" s="96">
        <f>+-3484-BM40</f>
        <v>-2032</v>
      </c>
      <c r="BO40" s="96">
        <f>184-BN40-BM40</f>
        <v>3668</v>
      </c>
      <c r="BP40" s="912">
        <f>-425-BO40-BN40-BM40</f>
        <v>-609</v>
      </c>
      <c r="BQ40" s="95">
        <f>SUM(BM40:BP40)</f>
        <v>-425</v>
      </c>
      <c r="BR40" s="673">
        <v>-4561</v>
      </c>
      <c r="BS40" s="96">
        <f>-11522-BR40</f>
        <v>-6961</v>
      </c>
      <c r="BT40" s="96">
        <f>-3514-BS40-BR40</f>
        <v>8008</v>
      </c>
      <c r="BU40" s="96">
        <f>-958-BT40-BS40-BR40</f>
        <v>2556</v>
      </c>
      <c r="BV40" s="95">
        <f t="shared" si="20"/>
        <v>-958</v>
      </c>
      <c r="BW40" s="96">
        <f>'Balance Sheet '!BW31-'Balance Sheet '!BV31</f>
        <v>15245.806789999988</v>
      </c>
      <c r="BX40" s="96">
        <f>'Balance Sheet '!BX31-'Balance Sheet '!BW31</f>
        <v>-862.67780999997922</v>
      </c>
      <c r="BY40" s="96">
        <f>'Balance Sheet '!BY31-'Balance Sheet '!BX31</f>
        <v>2220.631979999991</v>
      </c>
      <c r="BZ40" s="96">
        <f>'Balance Sheet '!BZ31-'Balance Sheet '!BY31</f>
        <v>13848.232703999995</v>
      </c>
      <c r="CA40" s="95">
        <f t="shared" si="21"/>
        <v>30451.993663999994</v>
      </c>
    </row>
    <row r="41" spans="2:81" ht="12.6" customHeight="1">
      <c r="B41" s="112"/>
      <c r="C41" s="169" t="s">
        <v>220</v>
      </c>
      <c r="D41" s="95">
        <v>113</v>
      </c>
      <c r="E41" s="96">
        <v>-7</v>
      </c>
      <c r="F41" s="96">
        <v>162.41</v>
      </c>
      <c r="G41" s="202">
        <v>193</v>
      </c>
      <c r="H41" s="202">
        <v>191</v>
      </c>
      <c r="I41" s="95">
        <f t="shared" si="22"/>
        <v>539.41</v>
      </c>
      <c r="J41" s="96">
        <v>198</v>
      </c>
      <c r="K41" s="96">
        <v>-76</v>
      </c>
      <c r="L41" s="202">
        <v>-66</v>
      </c>
      <c r="M41" s="202">
        <v>-49</v>
      </c>
      <c r="N41" s="95">
        <f t="shared" si="23"/>
        <v>7</v>
      </c>
      <c r="O41" s="96">
        <v>-47</v>
      </c>
      <c r="P41" s="96">
        <v>-55</v>
      </c>
      <c r="Q41" s="202">
        <v>-56</v>
      </c>
      <c r="R41" s="202">
        <v>-50</v>
      </c>
      <c r="S41" s="95">
        <f>SUM(O41:R41)</f>
        <v>-208</v>
      </c>
      <c r="T41" s="96">
        <v>9</v>
      </c>
      <c r="U41" s="96">
        <v>-67</v>
      </c>
      <c r="V41" s="96">
        <v>-25</v>
      </c>
      <c r="W41" s="96">
        <v>-52</v>
      </c>
      <c r="X41" s="95">
        <f t="shared" si="13"/>
        <v>-135</v>
      </c>
      <c r="Y41" s="96">
        <v>-24</v>
      </c>
      <c r="Z41" s="96">
        <f>-53-Y41</f>
        <v>-29</v>
      </c>
      <c r="AA41" s="202">
        <f>-75-Z41-Y41</f>
        <v>-22</v>
      </c>
      <c r="AB41" s="96">
        <f>-99-AA41-Z41-Y41</f>
        <v>-24</v>
      </c>
      <c r="AC41" s="95">
        <f t="shared" si="14"/>
        <v>-99</v>
      </c>
      <c r="AD41" s="96">
        <f>24-11</f>
        <v>13</v>
      </c>
      <c r="AE41" s="202">
        <f>311-AD41</f>
        <v>298</v>
      </c>
      <c r="AF41" s="202">
        <f>131-AE41-AD41</f>
        <v>-180</v>
      </c>
      <c r="AG41" s="202">
        <f>31-AF41-AE41-AD41</f>
        <v>-100</v>
      </c>
      <c r="AH41" s="95">
        <f t="shared" si="15"/>
        <v>31</v>
      </c>
      <c r="AI41" s="202">
        <v>325</v>
      </c>
      <c r="AJ41" s="96">
        <f>261-AI41</f>
        <v>-64</v>
      </c>
      <c r="AK41" s="96">
        <f>-75-AJ41-AI41</f>
        <v>-336</v>
      </c>
      <c r="AL41" s="96">
        <f t="shared" si="0"/>
        <v>467</v>
      </c>
      <c r="AM41" s="95">
        <v>392</v>
      </c>
      <c r="AN41" s="96">
        <v>2604</v>
      </c>
      <c r="AO41" s="96">
        <f>5412-AN41</f>
        <v>2808</v>
      </c>
      <c r="AP41" s="96">
        <f>-33-AO41-AN41</f>
        <v>-5445</v>
      </c>
      <c r="AQ41" s="96">
        <f t="shared" si="11"/>
        <v>-342</v>
      </c>
      <c r="AR41" s="95">
        <v>-375</v>
      </c>
      <c r="AS41" s="96">
        <v>-377</v>
      </c>
      <c r="AT41" s="96">
        <f>-281-AS41</f>
        <v>96</v>
      </c>
      <c r="AU41" s="96">
        <f>-66-AT41-AS41</f>
        <v>215</v>
      </c>
      <c r="AV41" s="96">
        <f t="shared" si="12"/>
        <v>1979</v>
      </c>
      <c r="AW41" s="95">
        <v>1913</v>
      </c>
      <c r="AX41" s="107">
        <v>-766</v>
      </c>
      <c r="AY41" s="107">
        <f>-14955-AX41</f>
        <v>-14189</v>
      </c>
      <c r="AZ41" s="107">
        <f>-17183-AY41-AX41</f>
        <v>-2228</v>
      </c>
      <c r="BA41" s="816">
        <f>-22623-AZ41-AY41-AX41</f>
        <v>-5440</v>
      </c>
      <c r="BB41" s="150">
        <f t="shared" si="16"/>
        <v>-22623</v>
      </c>
      <c r="BC41" s="816">
        <v>-764</v>
      </c>
      <c r="BD41" s="107">
        <f>+-1423-BC41</f>
        <v>-659</v>
      </c>
      <c r="BE41" s="96">
        <f>+-2208-BD41-BC41</f>
        <v>-785</v>
      </c>
      <c r="BF41" s="96">
        <f>-3880-BE41-BD41-BC41</f>
        <v>-1672</v>
      </c>
      <c r="BG41" s="95">
        <f t="shared" si="17"/>
        <v>-3880</v>
      </c>
      <c r="BH41" s="96">
        <v>1994</v>
      </c>
      <c r="BI41" s="96">
        <f>704-BH41</f>
        <v>-1290</v>
      </c>
      <c r="BJ41" s="673">
        <f>3616-BI41-BH41</f>
        <v>2912</v>
      </c>
      <c r="BK41" s="96">
        <f>3814-BJ41-BI41-BH41</f>
        <v>198</v>
      </c>
      <c r="BL41" s="95">
        <f t="shared" si="18"/>
        <v>3814</v>
      </c>
      <c r="BM41" s="96">
        <v>-1092</v>
      </c>
      <c r="BN41" s="96">
        <f>+-1805-BM41</f>
        <v>-713</v>
      </c>
      <c r="BO41" s="96">
        <f>+-871-BN41-BM41</f>
        <v>934</v>
      </c>
      <c r="BP41" s="912">
        <f>-1959-BO41-BN41-BM41</f>
        <v>-1088</v>
      </c>
      <c r="BQ41" s="95">
        <f>SUM(BM41:BP41)</f>
        <v>-1959</v>
      </c>
      <c r="BR41" s="673">
        <v>-25</v>
      </c>
      <c r="BS41" s="96">
        <f>497-BR41</f>
        <v>522</v>
      </c>
      <c r="BT41" s="96">
        <f>1558-BS41-BR41</f>
        <v>1061</v>
      </c>
      <c r="BU41" s="96">
        <f>-48-BT41-BS41-BR41</f>
        <v>-1606</v>
      </c>
      <c r="BV41" s="95">
        <f t="shared" si="20"/>
        <v>-48</v>
      </c>
      <c r="BW41" s="96">
        <f>'Balance Sheet '!BW44-'Balance Sheet '!BV44</f>
        <v>2925.9943149999999</v>
      </c>
      <c r="BX41" s="96">
        <f>'Balance Sheet '!BX44-'Balance Sheet '!BW44</f>
        <v>-1283.181416999998</v>
      </c>
      <c r="BY41" s="96">
        <f>'Balance Sheet '!BY44-'Balance Sheet '!BX44</f>
        <v>222.06319799999801</v>
      </c>
      <c r="BZ41" s="96">
        <f>'Balance Sheet '!BZ44-'Balance Sheet '!BY44</f>
        <v>4083.9981119999993</v>
      </c>
      <c r="CA41" s="95">
        <f t="shared" si="21"/>
        <v>5948.8742079999993</v>
      </c>
    </row>
    <row r="42" spans="2:81" s="116" customFormat="1" ht="12.95" customHeight="1">
      <c r="B42" s="138" t="s">
        <v>122</v>
      </c>
      <c r="C42" s="173"/>
      <c r="D42" s="136">
        <f>SUM(D6:D41)-D9-D10</f>
        <v>-1142</v>
      </c>
      <c r="E42" s="137">
        <f>SUM(E6:E41)-E10-E9</f>
        <v>-2237.99559</v>
      </c>
      <c r="F42" s="137">
        <f>SUM(F6:F41)-F10-F9</f>
        <v>-848.9994800000012</v>
      </c>
      <c r="G42" s="137">
        <f>SUM(G6:G41)-G10-G9</f>
        <v>-3589.233760000001</v>
      </c>
      <c r="H42" s="137">
        <f>SUM(H6:H41)-H10-H9</f>
        <v>-1623.141120000002</v>
      </c>
      <c r="I42" s="136">
        <f>SUM(I6:I41)-I9-I10</f>
        <v>-8299.3699500000057</v>
      </c>
      <c r="J42" s="137">
        <f>SUM(J6:J41)-J10-J9</f>
        <v>-3842.7410699999982</v>
      </c>
      <c r="K42" s="137">
        <f>SUM(K6:K41)-K10-K9</f>
        <v>-5981.2699300000004</v>
      </c>
      <c r="L42" s="137">
        <f>SUM(L6:L41)-L10-L9</f>
        <v>-5602.0454899999968</v>
      </c>
      <c r="M42" s="137">
        <f>SUM(M6:M41)-M10-M9</f>
        <v>-5532.1076400000056</v>
      </c>
      <c r="N42" s="136">
        <f>SUM(N6:N41)-N9-N10</f>
        <v>-20958.164130000001</v>
      </c>
      <c r="O42" s="137">
        <f t="shared" ref="O42:X42" si="25">SUM(O6:O41)-O10-O9</f>
        <v>-6180</v>
      </c>
      <c r="P42" s="137">
        <f t="shared" si="25"/>
        <v>-8218</v>
      </c>
      <c r="Q42" s="137">
        <f t="shared" si="25"/>
        <v>-6361</v>
      </c>
      <c r="R42" s="137">
        <f t="shared" si="25"/>
        <v>-3520</v>
      </c>
      <c r="S42" s="136">
        <f t="shared" si="25"/>
        <v>-24279</v>
      </c>
      <c r="T42" s="137">
        <f t="shared" si="25"/>
        <v>-5753</v>
      </c>
      <c r="U42" s="137">
        <f t="shared" si="25"/>
        <v>-3957</v>
      </c>
      <c r="V42" s="137">
        <f t="shared" si="25"/>
        <v>-3163</v>
      </c>
      <c r="W42" s="137">
        <f t="shared" si="25"/>
        <v>-66</v>
      </c>
      <c r="X42" s="136">
        <f t="shared" si="25"/>
        <v>-12939</v>
      </c>
      <c r="Y42" s="137">
        <f>SUM(Y6:Y41)</f>
        <v>52</v>
      </c>
      <c r="Z42" s="137">
        <f t="shared" ref="Z42:BE42" si="26">SUM(Z6:Z41)-Z10-Z9</f>
        <v>2205</v>
      </c>
      <c r="AA42" s="360">
        <f t="shared" si="26"/>
        <v>1747</v>
      </c>
      <c r="AB42" s="137">
        <f t="shared" si="26"/>
        <v>2834</v>
      </c>
      <c r="AC42" s="136">
        <f t="shared" si="26"/>
        <v>6838</v>
      </c>
      <c r="AD42" s="360">
        <f t="shared" si="26"/>
        <v>159</v>
      </c>
      <c r="AE42" s="360">
        <f t="shared" si="26"/>
        <v>84</v>
      </c>
      <c r="AF42" s="360">
        <f t="shared" si="26"/>
        <v>7983</v>
      </c>
      <c r="AG42" s="360">
        <f t="shared" si="26"/>
        <v>2880</v>
      </c>
      <c r="AH42" s="136">
        <f t="shared" si="26"/>
        <v>11106</v>
      </c>
      <c r="AI42" s="360">
        <f t="shared" si="26"/>
        <v>7997</v>
      </c>
      <c r="AJ42" s="137">
        <f t="shared" si="26"/>
        <v>5711</v>
      </c>
      <c r="AK42" s="137">
        <f t="shared" si="26"/>
        <v>9444</v>
      </c>
      <c r="AL42" s="137">
        <f t="shared" si="26"/>
        <v>15470</v>
      </c>
      <c r="AM42" s="136">
        <f t="shared" si="26"/>
        <v>38622</v>
      </c>
      <c r="AN42" s="137">
        <f t="shared" si="26"/>
        <v>11190</v>
      </c>
      <c r="AO42" s="137">
        <f t="shared" si="26"/>
        <v>6788</v>
      </c>
      <c r="AP42" s="137">
        <f t="shared" si="26"/>
        <v>17677</v>
      </c>
      <c r="AQ42" s="137">
        <f t="shared" si="26"/>
        <v>15566</v>
      </c>
      <c r="AR42" s="136">
        <f t="shared" si="26"/>
        <v>51221</v>
      </c>
      <c r="AS42" s="137">
        <f t="shared" si="26"/>
        <v>10394</v>
      </c>
      <c r="AT42" s="137">
        <f t="shared" si="26"/>
        <v>14765</v>
      </c>
      <c r="AU42" s="137">
        <f t="shared" si="26"/>
        <v>22831</v>
      </c>
      <c r="AV42" s="137">
        <f t="shared" si="26"/>
        <v>19312</v>
      </c>
      <c r="AW42" s="136">
        <f t="shared" si="26"/>
        <v>67302</v>
      </c>
      <c r="AX42" s="185">
        <f t="shared" si="26"/>
        <v>13765</v>
      </c>
      <c r="AY42" s="185">
        <f t="shared" si="26"/>
        <v>11392</v>
      </c>
      <c r="AZ42" s="185">
        <f t="shared" si="26"/>
        <v>-4808</v>
      </c>
      <c r="BA42" s="859">
        <f t="shared" si="26"/>
        <v>8136</v>
      </c>
      <c r="BB42" s="172">
        <f t="shared" si="26"/>
        <v>28485</v>
      </c>
      <c r="BC42" s="859">
        <f t="shared" si="26"/>
        <v>28724</v>
      </c>
      <c r="BD42" s="185">
        <f t="shared" si="26"/>
        <v>-3103</v>
      </c>
      <c r="BE42" s="137">
        <f t="shared" si="26"/>
        <v>30504</v>
      </c>
      <c r="BF42" s="137">
        <f t="shared" ref="BF42:CA42" si="27">SUM(BF6:BF41)-BF10-BF9</f>
        <v>32740</v>
      </c>
      <c r="BG42" s="136">
        <f t="shared" si="27"/>
        <v>88865</v>
      </c>
      <c r="BH42" s="137">
        <f t="shared" si="27"/>
        <v>33413</v>
      </c>
      <c r="BI42" s="137">
        <f t="shared" si="27"/>
        <v>21851</v>
      </c>
      <c r="BJ42" s="819">
        <f t="shared" si="27"/>
        <v>37030</v>
      </c>
      <c r="BK42" s="137">
        <f t="shared" si="27"/>
        <v>36544</v>
      </c>
      <c r="BL42" s="136">
        <f t="shared" si="27"/>
        <v>128839</v>
      </c>
      <c r="BM42" s="137">
        <f t="shared" si="27"/>
        <v>32353</v>
      </c>
      <c r="BN42" s="137">
        <f t="shared" si="27"/>
        <v>19878</v>
      </c>
      <c r="BO42" s="137">
        <f t="shared" si="27"/>
        <v>41122</v>
      </c>
      <c r="BP42" s="913">
        <f t="shared" si="27"/>
        <v>49815</v>
      </c>
      <c r="BQ42" s="136">
        <f t="shared" si="27"/>
        <v>143168</v>
      </c>
      <c r="BR42" s="819">
        <f t="shared" si="27"/>
        <v>48384</v>
      </c>
      <c r="BS42" s="137">
        <f t="shared" si="27"/>
        <v>35061</v>
      </c>
      <c r="BT42" s="137">
        <f>SUM(BT6:BT41)-BT10-BT9</f>
        <v>59196</v>
      </c>
      <c r="BU42" s="137">
        <f>SUM(BU6:BU41)-BU10-BU9</f>
        <v>83566</v>
      </c>
      <c r="BV42" s="136">
        <f t="shared" si="27"/>
        <v>226207</v>
      </c>
      <c r="BW42" s="137">
        <f t="shared" si="27"/>
        <v>55182.521566999989</v>
      </c>
      <c r="BX42" s="137">
        <f t="shared" si="27"/>
        <v>36003.668753999998</v>
      </c>
      <c r="BY42" s="137">
        <f t="shared" si="27"/>
        <v>47439.429417118736</v>
      </c>
      <c r="BZ42" s="137">
        <f t="shared" si="27"/>
        <v>60410.087968539883</v>
      </c>
      <c r="CA42" s="136">
        <f t="shared" si="27"/>
        <v>199035.70770665858</v>
      </c>
    </row>
    <row r="43" spans="2:81" s="141" customFormat="1" ht="10.5" customHeight="1">
      <c r="B43" s="115"/>
      <c r="C43" s="156" t="s">
        <v>155</v>
      </c>
      <c r="D43" s="292">
        <f>D42/'Income Statement'!I28</f>
        <v>-1.7893426213535697E-2</v>
      </c>
      <c r="E43" s="114">
        <f>E42/'Income Statement'!J28</f>
        <v>-0.11707983158663952</v>
      </c>
      <c r="F43" s="114">
        <f>F42/'Income Statement'!K28</f>
        <v>-4.1857891591042327E-2</v>
      </c>
      <c r="G43" s="114">
        <f>G42/'Income Statement'!L28</f>
        <v>-0.17017667664386721</v>
      </c>
      <c r="H43" s="200">
        <f>H42/'Income Statement'!M28</f>
        <v>-6.8652794553630825E-2</v>
      </c>
      <c r="I43" s="113">
        <f>I42/'Income Statement'!N28</f>
        <v>-9.8647006489801806E-2</v>
      </c>
      <c r="J43" s="114">
        <f>J42/'Income Statement'!O28</f>
        <v>-0.15830687443355024</v>
      </c>
      <c r="K43" s="114">
        <f>K42/'Income Statement'!P28</f>
        <v>-0.24230382540004053</v>
      </c>
      <c r="L43" s="114">
        <f>L42/'Income Statement'!Q28</f>
        <v>-0.21655438903707128</v>
      </c>
      <c r="M43" s="200">
        <f>M42/'Income Statement'!R28</f>
        <v>-0.19566059418547094</v>
      </c>
      <c r="N43" s="113">
        <f>N42/'Income Statement'!S28</f>
        <v>-0.20327601918488489</v>
      </c>
      <c r="O43" s="114">
        <f>O42/'Income Statement'!T28</f>
        <v>-0.20413556186826981</v>
      </c>
      <c r="P43" s="114">
        <f>P42/'Income Statement'!U28</f>
        <v>-0.27145405298275749</v>
      </c>
      <c r="Q43" s="114">
        <f>Q42/'Income Statement'!V28</f>
        <v>-0.19701427819246137</v>
      </c>
      <c r="R43" s="200">
        <f>R42/'Income Statement'!W28</f>
        <v>-9.7688230233397164E-2</v>
      </c>
      <c r="S43" s="113">
        <f>S42/'Income Statement'!X28</f>
        <v>-0.18840208585529378</v>
      </c>
      <c r="T43" s="114">
        <f>T42/'Income Statement'!Y28</f>
        <v>-0.15133499934236486</v>
      </c>
      <c r="U43" s="114">
        <f>U42/'Income Statement'!Z28</f>
        <v>-0.10175898781052306</v>
      </c>
      <c r="V43" s="114">
        <f>V42/'Income Statement'!AA28</f>
        <v>-7.7180225464838229E-2</v>
      </c>
      <c r="W43" s="114">
        <f>W42/'Income Statement'!AB28</f>
        <v>-1.4929762254846518E-3</v>
      </c>
      <c r="X43" s="113">
        <f>X42/'Income Statement'!AC28</f>
        <v>-7.9826022580048117E-2</v>
      </c>
      <c r="Y43" s="115">
        <f>Y42/'Income Statement'!AD28</f>
        <v>1.1060535159739652E-3</v>
      </c>
      <c r="Z43" s="114">
        <f>Z42/'Income Statement'!AE28</f>
        <v>4.6200264001508583E-2</v>
      </c>
      <c r="AA43" s="200">
        <f>AA42/'Income Statement'!AF28</f>
        <v>3.4883488748227873E-2</v>
      </c>
      <c r="AB43" s="114">
        <f>AB42/'Income Statement'!AG28</f>
        <v>5.1152464667978272E-2</v>
      </c>
      <c r="AC43" s="113">
        <f>AC42/'Income Statement'!AH28</f>
        <v>3.4151579473092768E-2</v>
      </c>
      <c r="AD43" s="200">
        <f>AD42/'Income Statement'!AD28</f>
        <v>3.3819713276896242E-3</v>
      </c>
      <c r="AE43" s="200">
        <f>AE42/'Income Statement'!AE28</f>
        <v>1.7600100572003269E-3</v>
      </c>
      <c r="AF43" s="200">
        <f>AF42/'Income Statement'!AF28</f>
        <v>0.15940176913400292</v>
      </c>
      <c r="AG43" s="384">
        <f>AG42/'Income Statement'!AG28</f>
        <v>5.1982744616717508E-2</v>
      </c>
      <c r="AH43" s="113">
        <f>AH42/'Income Statement'!AH28</f>
        <v>5.5467598951179919E-2</v>
      </c>
      <c r="AI43" s="200">
        <f>AI42/'Income Statement'!AI28</f>
        <v>0.13576097105508869</v>
      </c>
      <c r="AJ43" s="114">
        <f>AJ42/'Income Statement'!AJ28</f>
        <v>9.3439136125654451E-2</v>
      </c>
      <c r="AK43" s="114">
        <f>AK42/'Income Statement'!AK28</f>
        <v>0.1446159500183756</v>
      </c>
      <c r="AL43" s="156">
        <f>AL42/'Income Statement'!AL28</f>
        <v>0.21386603995299647</v>
      </c>
      <c r="AM43" s="113">
        <f>AM42/'Income Statement'!AM28</f>
        <v>0.14989288375558868</v>
      </c>
      <c r="AN43" s="114">
        <f>AN42/'Income Statement'!AN28</f>
        <v>0.15012476857441842</v>
      </c>
      <c r="AO43" s="114">
        <f>AO42/'Income Statement'!AO28</f>
        <v>8.7659486543726434E-2</v>
      </c>
      <c r="AP43" s="114">
        <f>AP42/'Income Statement'!AP28</f>
        <v>0.21102078334467406</v>
      </c>
      <c r="AQ43" s="156">
        <f>AQ42/'Income Statement'!AQ28</f>
        <v>0.16871335204794988</v>
      </c>
      <c r="AR43" s="113">
        <f>AR42/'Income Statement'!AR28</f>
        <v>0.1561587288037414</v>
      </c>
      <c r="AS43" s="114">
        <f>AS42/'Income Statement'!AS28</f>
        <v>0.10930927141174492</v>
      </c>
      <c r="AT43" s="114">
        <f>AT42/'Income Statement'!AT28</f>
        <v>0.14795775212441878</v>
      </c>
      <c r="AU43" s="114">
        <f>AU42/'Income Statement'!AU28</f>
        <v>0.20358827568372526</v>
      </c>
      <c r="AV43" s="156">
        <f>AV42/'Income Statement'!AV28</f>
        <v>0.15101067365210932</v>
      </c>
      <c r="AW43" s="113">
        <f>AW42/'Income Statement'!AW28</f>
        <v>0.15474997010862068</v>
      </c>
      <c r="AX43" s="860">
        <f>AX42/'Income Statement'!AX28</f>
        <v>9.9831740183635276E-2</v>
      </c>
      <c r="AY43" s="860">
        <f>AY42/'Income Statement'!AY28</f>
        <v>7.9231058129668533E-2</v>
      </c>
      <c r="AZ43" s="860">
        <f>AZ42/'Income Statement'!AZ28</f>
        <v>-3.1154424342957857E-2</v>
      </c>
      <c r="BA43" s="861">
        <f>BA42/'Income Statement'!BA28</f>
        <v>4.6866629416068062E-2</v>
      </c>
      <c r="BB43" s="862">
        <f>BB42/'Income Statement'!BB28</f>
        <v>4.6728052087383183E-2</v>
      </c>
      <c r="BC43" s="863">
        <f>BC42/'Income Statement'!BC28</f>
        <v>0.15715325232387006</v>
      </c>
      <c r="BD43" s="860">
        <f>BD42/'Income Statement'!BD28</f>
        <v>-1.6384872902387767E-2</v>
      </c>
      <c r="BE43" s="114">
        <f>BE42/'Income Statement'!BE28</f>
        <v>0.15379496022022568</v>
      </c>
      <c r="BF43" s="156">
        <f>BF42/'Income Statement'!BF28</f>
        <v>0.15714319998080106</v>
      </c>
      <c r="BG43" s="113">
        <f>BG42/'Income Statement'!BG28</f>
        <v>0.11409829414287291</v>
      </c>
      <c r="BH43" s="114">
        <f>BH42/'Income Statement'!BH28</f>
        <v>0.15296261198778607</v>
      </c>
      <c r="BI43" s="114">
        <f>BI42/'Income Statement'!BI28</f>
        <v>9.8038423919383347E-2</v>
      </c>
      <c r="BJ43" s="901">
        <f>BJ42/'Income Statement'!BJ28</f>
        <v>0.16092653353903652</v>
      </c>
      <c r="BK43" s="156">
        <f>BK42/'Income Statement'!BK28</f>
        <v>0.15286411056546001</v>
      </c>
      <c r="BL43" s="113">
        <f>BL42/'Income Statement'!BL28</f>
        <v>0.1415054344483398</v>
      </c>
      <c r="BM43" s="114">
        <f>BM42/'Income Statement'!BM28</f>
        <v>0.13097850289461965</v>
      </c>
      <c r="BN43" s="114">
        <f>BN42/'Income Statement'!BN28</f>
        <v>7.8854041874598352E-2</v>
      </c>
      <c r="BO43" s="114">
        <f>BO42/'Income Statement'!BO28</f>
        <v>0.15565784194229734</v>
      </c>
      <c r="BP43" s="914">
        <f>BP42/'Income Statement'!BP28</f>
        <v>0.17876623842675662</v>
      </c>
      <c r="BQ43" s="156">
        <f>BQ42/'Income Statement'!BQ28</f>
        <v>0.13740548861832469</v>
      </c>
      <c r="BR43" s="901">
        <f>BR42/'Income Statement'!BR28</f>
        <v>0.17298224915536012</v>
      </c>
      <c r="BS43" s="114">
        <f>BS42/'Income Statement'!BS28</f>
        <v>0.12377280959088358</v>
      </c>
      <c r="BT43" s="114">
        <f>BT42/'Income Statement'!BT28</f>
        <v>0.20710067452209691</v>
      </c>
      <c r="BU43" s="114">
        <f>BU42/'Income Statement'!BU28</f>
        <v>0.27829173909858068</v>
      </c>
      <c r="BV43" s="113">
        <f>BV42/'Income Statement'!BV28</f>
        <v>0.19685785596925562</v>
      </c>
      <c r="BW43" s="114">
        <f>BW42/'Income Statement'!BW28</f>
        <v>0.18441605110763393</v>
      </c>
      <c r="BX43" s="114">
        <f>BX42/'Income Statement'!BX28</f>
        <v>0.11753341168187076</v>
      </c>
      <c r="BY43" s="114">
        <f>BY42/'Income Statement'!BY28</f>
        <v>0.15121139165000352</v>
      </c>
      <c r="BZ43" s="156">
        <f>BZ42/'Income Statement'!BZ28</f>
        <v>0.17904757272479724</v>
      </c>
      <c r="CA43" s="113">
        <f>CA42/'Income Statement'!CA28</f>
        <v>0.15838197472487037</v>
      </c>
    </row>
    <row r="44" spans="2:81" ht="12.6" customHeight="1">
      <c r="B44" s="112"/>
      <c r="C44" s="169"/>
      <c r="D44" s="120"/>
      <c r="E44" s="105"/>
      <c r="F44" s="105"/>
      <c r="G44" s="105"/>
      <c r="H44" s="162"/>
      <c r="I44" s="120"/>
      <c r="J44" s="105"/>
      <c r="K44" s="105"/>
      <c r="L44" s="105"/>
      <c r="M44" s="162"/>
      <c r="N44" s="120"/>
      <c r="O44" s="105"/>
      <c r="P44" s="105"/>
      <c r="Q44" s="105"/>
      <c r="R44" s="162"/>
      <c r="S44" s="158"/>
      <c r="T44" s="105"/>
      <c r="U44" s="105"/>
      <c r="V44" s="105"/>
      <c r="W44" s="124"/>
      <c r="X44" s="158"/>
      <c r="Y44" s="105"/>
      <c r="Z44" s="105"/>
      <c r="AA44" s="203"/>
      <c r="AB44" s="105"/>
      <c r="AC44" s="123"/>
      <c r="AD44" s="203"/>
      <c r="AE44" s="162"/>
      <c r="AF44" s="203"/>
      <c r="AG44" s="203"/>
      <c r="AH44" s="123"/>
      <c r="AI44" s="203"/>
      <c r="AJ44" s="124"/>
      <c r="AK44" s="124"/>
      <c r="AL44" s="124"/>
      <c r="AM44" s="158"/>
      <c r="AN44" s="105"/>
      <c r="AO44" s="105"/>
      <c r="AP44" s="124"/>
      <c r="AQ44" s="124"/>
      <c r="AR44" s="158"/>
      <c r="AS44" s="105"/>
      <c r="AT44" s="124"/>
      <c r="AU44" s="105"/>
      <c r="AV44" s="124"/>
      <c r="AW44" s="158"/>
      <c r="AX44" s="124"/>
      <c r="AY44" s="105"/>
      <c r="AZ44" s="124"/>
      <c r="BA44" s="817"/>
      <c r="BB44" s="158"/>
      <c r="BC44" s="817"/>
      <c r="BD44" s="124"/>
      <c r="BE44" s="175"/>
      <c r="BF44" s="105"/>
      <c r="BG44" s="158"/>
      <c r="BH44" s="105"/>
      <c r="BI44" s="105"/>
      <c r="BJ44" s="824"/>
      <c r="BK44" s="105"/>
      <c r="BL44" s="158"/>
      <c r="BM44" s="105"/>
      <c r="BN44" s="105"/>
      <c r="BO44" s="105"/>
      <c r="BP44" s="817"/>
      <c r="BQ44" s="123"/>
      <c r="BR44" s="824"/>
      <c r="BS44" s="124"/>
      <c r="BT44" s="124"/>
      <c r="BU44" s="124"/>
      <c r="BV44" s="158"/>
      <c r="BW44" s="105"/>
      <c r="BX44" s="105"/>
      <c r="BY44" s="105"/>
      <c r="BZ44" s="105"/>
      <c r="CA44" s="158"/>
    </row>
    <row r="45" spans="2:81" ht="12.95" customHeight="1">
      <c r="B45" s="176" t="s">
        <v>121</v>
      </c>
      <c r="C45" s="169"/>
      <c r="D45" s="120"/>
      <c r="E45" s="105"/>
      <c r="F45" s="124"/>
      <c r="G45" s="105"/>
      <c r="H45" s="162"/>
      <c r="I45" s="120"/>
      <c r="J45" s="105"/>
      <c r="K45" s="124"/>
      <c r="L45" s="105"/>
      <c r="M45" s="162"/>
      <c r="N45" s="120"/>
      <c r="O45" s="105"/>
      <c r="P45" s="124"/>
      <c r="Q45" s="105"/>
      <c r="R45" s="162"/>
      <c r="S45" s="158"/>
      <c r="T45" s="105"/>
      <c r="U45" s="105"/>
      <c r="V45" s="105"/>
      <c r="W45" s="105"/>
      <c r="X45" s="158"/>
      <c r="Y45" s="105"/>
      <c r="Z45" s="162"/>
      <c r="AA45" s="162"/>
      <c r="AB45" s="105"/>
      <c r="AC45" s="158"/>
      <c r="AD45" s="162"/>
      <c r="AE45" s="162"/>
      <c r="AF45" s="162"/>
      <c r="AG45" s="162"/>
      <c r="AH45" s="158"/>
      <c r="AI45" s="162"/>
      <c r="AJ45" s="105"/>
      <c r="AK45" s="105"/>
      <c r="AL45" s="105"/>
      <c r="AM45" s="158"/>
      <c r="AN45" s="105"/>
      <c r="AO45" s="105"/>
      <c r="AP45" s="105"/>
      <c r="AQ45" s="105"/>
      <c r="AR45" s="158"/>
      <c r="AS45" s="105"/>
      <c r="AT45" s="105"/>
      <c r="AU45" s="105"/>
      <c r="AV45" s="105"/>
      <c r="AW45" s="158"/>
      <c r="AX45" s="105"/>
      <c r="AY45" s="105"/>
      <c r="AZ45" s="105"/>
      <c r="BA45" s="817"/>
      <c r="BB45" s="158"/>
      <c r="BC45" s="817"/>
      <c r="BD45" s="105"/>
      <c r="BE45" s="105"/>
      <c r="BF45" s="105"/>
      <c r="BG45" s="158"/>
      <c r="BH45" s="105"/>
      <c r="BI45" s="105"/>
      <c r="BJ45" s="817"/>
      <c r="BK45" s="105"/>
      <c r="BL45" s="158"/>
      <c r="BM45" s="105"/>
      <c r="BN45" s="105"/>
      <c r="BO45" s="105"/>
      <c r="BP45" s="817"/>
      <c r="BQ45" s="158"/>
      <c r="BR45" s="817"/>
      <c r="BS45" s="105"/>
      <c r="BT45" s="105"/>
      <c r="BU45" s="105"/>
      <c r="BV45" s="158"/>
      <c r="BW45" s="105"/>
      <c r="BX45" s="105"/>
      <c r="BY45" s="105"/>
      <c r="BZ45" s="105"/>
      <c r="CA45" s="158"/>
    </row>
    <row r="46" spans="2:81" ht="12.6" customHeight="1">
      <c r="B46" s="112"/>
      <c r="C46" s="280" t="s">
        <v>237</v>
      </c>
      <c r="D46" s="204">
        <v>-3142</v>
      </c>
      <c r="E46" s="175">
        <v>-1023</v>
      </c>
      <c r="F46" s="175">
        <v>-746</v>
      </c>
      <c r="G46" s="175">
        <v>-734</v>
      </c>
      <c r="H46" s="183">
        <v>-177</v>
      </c>
      <c r="I46" s="204">
        <f>SUM(E46:H46)</f>
        <v>-2680</v>
      </c>
      <c r="J46" s="175">
        <v>-115</v>
      </c>
      <c r="K46" s="175">
        <v>-9</v>
      </c>
      <c r="L46" s="175">
        <v>-176</v>
      </c>
      <c r="M46" s="183">
        <v>-254</v>
      </c>
      <c r="N46" s="204">
        <f>SUM(J46:M46)</f>
        <v>-554</v>
      </c>
      <c r="O46" s="175">
        <v>-71</v>
      </c>
      <c r="P46" s="175">
        <v>-265</v>
      </c>
      <c r="Q46" s="175">
        <v>-142</v>
      </c>
      <c r="R46" s="183">
        <v>-547</v>
      </c>
      <c r="S46" s="204">
        <f>SUM(O46:R46)</f>
        <v>-1025</v>
      </c>
      <c r="T46" s="175">
        <v>-198</v>
      </c>
      <c r="U46" s="175">
        <v>-216</v>
      </c>
      <c r="V46" s="175">
        <v>-275</v>
      </c>
      <c r="W46" s="175">
        <v>-427</v>
      </c>
      <c r="X46" s="204">
        <f>SUM(T46:W46)</f>
        <v>-1116</v>
      </c>
      <c r="Y46" s="183">
        <v>-252</v>
      </c>
      <c r="Z46" s="183">
        <f>-568-Y46</f>
        <v>-316</v>
      </c>
      <c r="AA46" s="183">
        <f>-973-Z46-Y46</f>
        <v>-405</v>
      </c>
      <c r="AB46" s="183">
        <f>-1131-AA46-Z46-Y46</f>
        <v>-158</v>
      </c>
      <c r="AC46" s="204">
        <f>SUM(Y46:AB46)</f>
        <v>-1131</v>
      </c>
      <c r="AD46" s="183">
        <v>-514</v>
      </c>
      <c r="AE46" s="183">
        <f>-1178-AD46</f>
        <v>-664</v>
      </c>
      <c r="AF46" s="183">
        <f>-1809-AE46-AD46</f>
        <v>-631</v>
      </c>
      <c r="AG46" s="183">
        <f>-2650-AF46-AE46-AD46</f>
        <v>-841</v>
      </c>
      <c r="AH46" s="204">
        <f>SUM(AD46:AG46)</f>
        <v>-2650</v>
      </c>
      <c r="AI46" s="183">
        <v>-433</v>
      </c>
      <c r="AJ46" s="175">
        <f>-1092-AI46</f>
        <v>-659</v>
      </c>
      <c r="AK46" s="175">
        <f>-4503-AJ46-AI46</f>
        <v>-3411</v>
      </c>
      <c r="AL46" s="183">
        <f>AM46-AK46-AJ46-AI46</f>
        <v>-4758</v>
      </c>
      <c r="AM46" s="204">
        <v>-9261</v>
      </c>
      <c r="AN46" s="183">
        <v>-3985</v>
      </c>
      <c r="AO46" s="183">
        <f>-8226-AN46</f>
        <v>-4241</v>
      </c>
      <c r="AP46" s="183">
        <f>-12776-AO46-AN46</f>
        <v>-4550</v>
      </c>
      <c r="AQ46" s="183">
        <f>AR46-AP46-AO46-AN46</f>
        <v>-6452</v>
      </c>
      <c r="AR46" s="204">
        <v>-19228</v>
      </c>
      <c r="AS46" s="183">
        <v>-6045</v>
      </c>
      <c r="AT46" s="183">
        <f>-14891-AS46</f>
        <v>-8846</v>
      </c>
      <c r="AU46" s="676">
        <f>-20412-AT46-AS46</f>
        <v>-5521</v>
      </c>
      <c r="AV46" s="183">
        <f>AW46-AU46-AT46-AS46</f>
        <v>-10010</v>
      </c>
      <c r="AW46" s="204">
        <v>-30422</v>
      </c>
      <c r="AX46" s="183">
        <v>-8229</v>
      </c>
      <c r="AY46" s="676">
        <f>-19477-AX46</f>
        <v>-11248</v>
      </c>
      <c r="AZ46" s="676">
        <f>-28478-AY46-AX46</f>
        <v>-9001</v>
      </c>
      <c r="BA46" s="676">
        <f>-42216-AZ46-AY46-AX46</f>
        <v>-13738</v>
      </c>
      <c r="BB46" s="204">
        <f>SUM(AX46:BA46)</f>
        <v>-42216</v>
      </c>
      <c r="BC46" s="676">
        <v>-12398</v>
      </c>
      <c r="BD46" s="676">
        <f>+-34474-BC46</f>
        <v>-22076</v>
      </c>
      <c r="BE46" s="676">
        <f>+-46028-BD46-BC46</f>
        <v>-11554</v>
      </c>
      <c r="BF46" s="175">
        <f>-52272-BE46-BD46-BC46</f>
        <v>-6244</v>
      </c>
      <c r="BG46" s="675">
        <f>SUM(BC46:BF46)</f>
        <v>-52272</v>
      </c>
      <c r="BH46" s="676">
        <v>-9928</v>
      </c>
      <c r="BI46" s="676">
        <f>+-16642-BH46</f>
        <v>-6714</v>
      </c>
      <c r="BJ46" s="676">
        <f>-19941-BI46-BH46</f>
        <v>-3299</v>
      </c>
      <c r="BK46" s="676">
        <f>+-31234-BJ46-BI46-BH46</f>
        <v>-11293</v>
      </c>
      <c r="BL46" s="204">
        <f>SUM(BH46:BK46)</f>
        <v>-31234</v>
      </c>
      <c r="BM46" s="676">
        <v>-11951</v>
      </c>
      <c r="BN46" s="676">
        <f>+-18722-BM46</f>
        <v>-6771</v>
      </c>
      <c r="BO46" s="676">
        <f>+-33097-BN46-BM46</f>
        <v>-14375</v>
      </c>
      <c r="BP46" s="676">
        <f>-42388-BO46-BN46-BM46</f>
        <v>-9291</v>
      </c>
      <c r="BQ46" s="204">
        <f>SUM(BM46:BP46)</f>
        <v>-42388</v>
      </c>
      <c r="BR46" s="676">
        <v>-4724</v>
      </c>
      <c r="BS46" s="864">
        <f>-8218-BR46</f>
        <v>-3494</v>
      </c>
      <c r="BT46" s="864">
        <f>-18722-BS46-BR46</f>
        <v>-10504</v>
      </c>
      <c r="BU46" s="864">
        <f>-24963-BT46-BS46-BR46</f>
        <v>-6241</v>
      </c>
      <c r="BV46" s="204">
        <f t="shared" ref="BV46:BV51" si="28">SUM(BR46:BU46)</f>
        <v>-24963</v>
      </c>
      <c r="BW46" s="864">
        <v>-12000</v>
      </c>
      <c r="BX46" s="864">
        <v>-12000</v>
      </c>
      <c r="BY46" s="864">
        <v>-12000</v>
      </c>
      <c r="BZ46" s="864">
        <v>-12000</v>
      </c>
      <c r="CA46" s="204">
        <f>SUM(BW46:BZ46)</f>
        <v>-48000</v>
      </c>
    </row>
    <row r="47" spans="2:81" ht="12.6" customHeight="1">
      <c r="B47" s="112"/>
      <c r="C47" s="280" t="s">
        <v>221</v>
      </c>
      <c r="D47" s="204">
        <v>-700</v>
      </c>
      <c r="E47" s="175">
        <v>0</v>
      </c>
      <c r="F47" s="175">
        <v>0</v>
      </c>
      <c r="G47" s="175">
        <v>0</v>
      </c>
      <c r="H47" s="183">
        <v>0</v>
      </c>
      <c r="I47" s="204">
        <f>SUM(E47:H47)</f>
        <v>0</v>
      </c>
      <c r="J47" s="175">
        <v>0</v>
      </c>
      <c r="K47" s="175">
        <v>0</v>
      </c>
      <c r="L47" s="175">
        <v>0</v>
      </c>
      <c r="M47" s="183">
        <v>-121</v>
      </c>
      <c r="N47" s="204">
        <f>SUM(J47:M47)</f>
        <v>-121</v>
      </c>
      <c r="O47" s="175">
        <v>-25</v>
      </c>
      <c r="P47" s="175">
        <v>0</v>
      </c>
      <c r="Q47" s="175">
        <v>0</v>
      </c>
      <c r="R47" s="183">
        <v>0</v>
      </c>
      <c r="S47" s="204">
        <f>SUM(O47:R47)</f>
        <v>-25</v>
      </c>
      <c r="T47" s="175">
        <v>660</v>
      </c>
      <c r="U47" s="175">
        <v>146</v>
      </c>
      <c r="V47" s="175">
        <v>0</v>
      </c>
      <c r="W47" s="175">
        <v>0</v>
      </c>
      <c r="X47" s="204">
        <f>SUM(T47:W47)</f>
        <v>806</v>
      </c>
      <c r="Y47" s="183">
        <v>0</v>
      </c>
      <c r="Z47" s="183">
        <f>-60-Y47</f>
        <v>-60</v>
      </c>
      <c r="AA47" s="183">
        <f>-60-Z47-Y47</f>
        <v>0</v>
      </c>
      <c r="AB47" s="183"/>
      <c r="AC47" s="204">
        <f>SUM(Y47:AB47)</f>
        <v>-60</v>
      </c>
      <c r="AD47" s="183"/>
      <c r="AE47" s="183"/>
      <c r="AF47" s="183"/>
      <c r="AG47" s="183"/>
      <c r="AH47" s="204">
        <f>SUM(AD47:AG47)</f>
        <v>0</v>
      </c>
      <c r="AI47" s="183"/>
      <c r="AJ47" s="175"/>
      <c r="AK47" s="175"/>
      <c r="AL47" s="183">
        <f>AM47-AK47-AJ47-AI47</f>
        <v>0</v>
      </c>
      <c r="AM47" s="204">
        <v>0</v>
      </c>
      <c r="AN47" s="183"/>
      <c r="AO47" s="183"/>
      <c r="AP47" s="183"/>
      <c r="AQ47" s="183">
        <f t="shared" ref="AQ47:AQ59" si="29">AR47-AP47-AO47-AN47</f>
        <v>0</v>
      </c>
      <c r="AR47" s="204"/>
      <c r="AS47" s="183"/>
      <c r="AT47" s="183"/>
      <c r="AU47" s="676"/>
      <c r="AV47" s="183">
        <f t="shared" ref="AV47:AV59" si="30">AW47-AU47-AT47-AS47</f>
        <v>0</v>
      </c>
      <c r="AW47" s="204">
        <v>0</v>
      </c>
      <c r="AX47" s="183"/>
      <c r="AY47" s="676"/>
      <c r="AZ47" s="676"/>
      <c r="BA47" s="676"/>
      <c r="BB47" s="204">
        <f t="shared" ref="BB47:BB59" si="31">SUM(AX47:BA47)</f>
        <v>0</v>
      </c>
      <c r="BC47" s="676"/>
      <c r="BD47" s="237"/>
      <c r="BE47" s="237"/>
      <c r="BF47" s="175"/>
      <c r="BG47" s="204">
        <f t="shared" ref="BG47:BG59" si="32">SUM(BC47:BF47)</f>
        <v>0</v>
      </c>
      <c r="BH47" s="183"/>
      <c r="BI47" s="237"/>
      <c r="BJ47" s="676"/>
      <c r="BK47" s="237"/>
      <c r="BL47" s="204">
        <f t="shared" ref="BL47:BL59" si="33">SUM(BH47:BK47)</f>
        <v>0</v>
      </c>
      <c r="BM47" s="183"/>
      <c r="BN47" s="237"/>
      <c r="BO47" s="237"/>
      <c r="BP47" s="676"/>
      <c r="BQ47" s="204">
        <f t="shared" ref="BQ47:BQ53" si="34">SUM(BM47:BP47)</f>
        <v>0</v>
      </c>
      <c r="BR47" s="676"/>
      <c r="BS47" s="237"/>
      <c r="BT47" s="237"/>
      <c r="BU47" s="237"/>
      <c r="BV47" s="204">
        <f t="shared" si="28"/>
        <v>0</v>
      </c>
      <c r="BW47" s="183"/>
      <c r="BX47" s="237"/>
      <c r="BY47" s="237"/>
      <c r="BZ47" s="237"/>
      <c r="CA47" s="204">
        <f>SUM(BW47:BZ47)</f>
        <v>0</v>
      </c>
    </row>
    <row r="48" spans="2:81" ht="12.6" customHeight="1">
      <c r="B48" s="112"/>
      <c r="C48" s="280" t="s">
        <v>238</v>
      </c>
      <c r="D48" s="204">
        <v>-3581</v>
      </c>
      <c r="E48" s="175">
        <v>0</v>
      </c>
      <c r="F48" s="175">
        <v>-1245</v>
      </c>
      <c r="G48" s="175">
        <v>0</v>
      </c>
      <c r="H48" s="183">
        <v>-1245</v>
      </c>
      <c r="I48" s="204">
        <f>SUM(E48:H48)</f>
        <v>-2490</v>
      </c>
      <c r="J48" s="175">
        <v>0</v>
      </c>
      <c r="K48" s="175">
        <v>0</v>
      </c>
      <c r="L48" s="175">
        <v>0</v>
      </c>
      <c r="M48" s="183">
        <v>0</v>
      </c>
      <c r="N48" s="204">
        <f>SUM(J48:M48)</f>
        <v>0</v>
      </c>
      <c r="O48" s="175">
        <v>0</v>
      </c>
      <c r="P48" s="175">
        <v>-29993</v>
      </c>
      <c r="Q48" s="175">
        <v>0</v>
      </c>
      <c r="R48" s="183">
        <v>-19999</v>
      </c>
      <c r="S48" s="204">
        <f>SUM(O48:R48)</f>
        <v>-49992</v>
      </c>
      <c r="T48" s="175">
        <v>-20000</v>
      </c>
      <c r="U48" s="175">
        <v>0</v>
      </c>
      <c r="V48" s="175">
        <v>0</v>
      </c>
      <c r="W48" s="175">
        <v>0</v>
      </c>
      <c r="X48" s="204">
        <f>SUM(T48:W48)</f>
        <v>-20000</v>
      </c>
      <c r="Y48" s="183">
        <v>0</v>
      </c>
      <c r="Z48" s="183"/>
      <c r="AA48" s="183"/>
      <c r="AB48" s="183">
        <v>-1206</v>
      </c>
      <c r="AC48" s="204">
        <f>SUM(Y48:AB48)</f>
        <v>-1206</v>
      </c>
      <c r="AD48" s="183"/>
      <c r="AE48" s="183"/>
      <c r="AF48" s="183"/>
      <c r="AG48" s="183"/>
      <c r="AH48" s="204">
        <f>SUM(AD48:AG48)</f>
        <v>0</v>
      </c>
      <c r="AI48" s="183"/>
      <c r="AJ48" s="175">
        <v>-109506</v>
      </c>
      <c r="AK48" s="175">
        <f>-203953-AJ48</f>
        <v>-94447</v>
      </c>
      <c r="AL48" s="183">
        <f>AM48-AK48-AJ48-AI48</f>
        <v>-16751</v>
      </c>
      <c r="AM48" s="204">
        <v>-220704</v>
      </c>
      <c r="AN48" s="183">
        <v>-34427</v>
      </c>
      <c r="AO48" s="183">
        <f>-151308-AN48</f>
        <v>-116881</v>
      </c>
      <c r="AP48" s="183">
        <f>-274401-AO48-AN48</f>
        <v>-123093</v>
      </c>
      <c r="AQ48" s="183">
        <f t="shared" si="29"/>
        <v>-86557</v>
      </c>
      <c r="AR48" s="204">
        <v>-360958</v>
      </c>
      <c r="AS48" s="183">
        <v>-62339</v>
      </c>
      <c r="AT48" s="183">
        <f>-460899-AS48</f>
        <v>-398560</v>
      </c>
      <c r="AU48" s="676">
        <f>-507046-AT48-AS48</f>
        <v>-46147</v>
      </c>
      <c r="AV48" s="183">
        <f t="shared" si="30"/>
        <v>-113902</v>
      </c>
      <c r="AW48" s="204">
        <v>-620948</v>
      </c>
      <c r="AX48" s="183">
        <v>-163683</v>
      </c>
      <c r="AY48" s="676">
        <f>-325628-AX48</f>
        <v>-161945</v>
      </c>
      <c r="AZ48" s="676">
        <f>-543544-AY48-AX48</f>
        <v>-217916</v>
      </c>
      <c r="BA48" s="676">
        <f>-680490-AZ48-AY48-AX48</f>
        <v>-136946</v>
      </c>
      <c r="BB48" s="204">
        <f t="shared" si="31"/>
        <v>-680490</v>
      </c>
      <c r="BC48" s="676">
        <v>-105277</v>
      </c>
      <c r="BD48" s="676">
        <f>+-151712-BC48</f>
        <v>-46435</v>
      </c>
      <c r="BE48" s="676">
        <f>+-250278-BD48-BC48</f>
        <v>-98566</v>
      </c>
      <c r="BF48" s="175">
        <f>-435768-BE48-BD48-BC48</f>
        <v>-185490</v>
      </c>
      <c r="BG48" s="204">
        <f t="shared" si="32"/>
        <v>-435768</v>
      </c>
      <c r="BH48" s="183">
        <v>-140892</v>
      </c>
      <c r="BI48" s="676">
        <f>+-337595-BH48</f>
        <v>-196703</v>
      </c>
      <c r="BJ48" s="676">
        <f>-544713-BI48-BH48</f>
        <v>-207118</v>
      </c>
      <c r="BK48" s="676">
        <f>+-795002-BJ48-BI48-BH48</f>
        <v>-250289</v>
      </c>
      <c r="BL48" s="204">
        <f t="shared" si="33"/>
        <v>-795002</v>
      </c>
      <c r="BM48" s="183">
        <v>-524865</v>
      </c>
      <c r="BN48" s="676">
        <f>+-816492-BM48</f>
        <v>-291627</v>
      </c>
      <c r="BO48" s="676">
        <f>+-993483-BN48-BM48</f>
        <v>-176991</v>
      </c>
      <c r="BP48" s="676">
        <f>-1289357-BO48-BN48-BM48</f>
        <v>-295874</v>
      </c>
      <c r="BQ48" s="204">
        <f t="shared" si="34"/>
        <v>-1289357</v>
      </c>
      <c r="BR48" s="183">
        <v>-275939</v>
      </c>
      <c r="BS48" s="237">
        <f>-315146-BR48</f>
        <v>-39207</v>
      </c>
      <c r="BT48" s="237">
        <f>-569150-BS48-BR48</f>
        <v>-254004</v>
      </c>
      <c r="BU48" s="237">
        <f>-745378-BT48-BS48-BR48</f>
        <v>-176228</v>
      </c>
      <c r="BV48" s="204">
        <f t="shared" si="28"/>
        <v>-745378</v>
      </c>
      <c r="BW48" s="183"/>
      <c r="BX48" s="237"/>
      <c r="BY48" s="237"/>
      <c r="BZ48" s="237"/>
      <c r="CA48" s="204">
        <f>SUM(BW48:BZ48)</f>
        <v>0</v>
      </c>
    </row>
    <row r="49" spans="2:79" ht="12.6" customHeight="1">
      <c r="B49" s="112"/>
      <c r="C49" s="280" t="s">
        <v>222</v>
      </c>
      <c r="D49" s="204">
        <v>0</v>
      </c>
      <c r="E49" s="175">
        <v>0</v>
      </c>
      <c r="F49" s="175">
        <v>2088</v>
      </c>
      <c r="G49" s="175">
        <v>247</v>
      </c>
      <c r="H49" s="183">
        <v>1245</v>
      </c>
      <c r="I49" s="204">
        <f>SUM(E49:H49)</f>
        <v>3580</v>
      </c>
      <c r="J49" s="175">
        <v>249</v>
      </c>
      <c r="K49" s="175">
        <v>2240</v>
      </c>
      <c r="L49" s="175">
        <v>0</v>
      </c>
      <c r="M49" s="183">
        <v>0</v>
      </c>
      <c r="N49" s="204">
        <f>SUM(J49:M49)</f>
        <v>2489</v>
      </c>
      <c r="O49" s="175">
        <v>0</v>
      </c>
      <c r="P49" s="175">
        <v>0</v>
      </c>
      <c r="Q49" s="175">
        <v>0</v>
      </c>
      <c r="R49" s="183">
        <v>30000</v>
      </c>
      <c r="S49" s="204">
        <f>SUM(O49:R49)</f>
        <v>30000</v>
      </c>
      <c r="T49" s="175">
        <v>20000</v>
      </c>
      <c r="U49" s="175">
        <v>20000</v>
      </c>
      <c r="V49" s="175">
        <v>0</v>
      </c>
      <c r="W49" s="175">
        <v>0</v>
      </c>
      <c r="X49" s="204">
        <f>SUM(T49:W49)</f>
        <v>40000</v>
      </c>
      <c r="Y49" s="183">
        <v>0</v>
      </c>
      <c r="Z49" s="183"/>
      <c r="AA49" s="183"/>
      <c r="AB49" s="183"/>
      <c r="AC49" s="204">
        <f>SUM(Y49:AB49)</f>
        <v>0</v>
      </c>
      <c r="AD49" s="183"/>
      <c r="AE49" s="183"/>
      <c r="AF49" s="183"/>
      <c r="AG49" s="183"/>
      <c r="AH49" s="204">
        <f>SUM(AD49:AG49)</f>
        <v>0</v>
      </c>
      <c r="AI49" s="183">
        <v>1923</v>
      </c>
      <c r="AJ49" s="175">
        <f>1400-AI49</f>
        <v>-523</v>
      </c>
      <c r="AK49" s="175">
        <f>4047-AJ49</f>
        <v>4570</v>
      </c>
      <c r="AL49" s="183">
        <f>AM49-AK49-AJ49-AI49</f>
        <v>5323</v>
      </c>
      <c r="AM49" s="204">
        <v>11293</v>
      </c>
      <c r="AN49" s="183">
        <v>39497</v>
      </c>
      <c r="AO49" s="183">
        <f>165354-AN49</f>
        <v>125857</v>
      </c>
      <c r="AP49" s="183">
        <f>285281-AO49-AN49</f>
        <v>119927</v>
      </c>
      <c r="AQ49" s="183">
        <f t="shared" si="29"/>
        <v>44947</v>
      </c>
      <c r="AR49" s="204">
        <v>330228</v>
      </c>
      <c r="AS49" s="183">
        <v>134610</v>
      </c>
      <c r="AT49" s="183">
        <f>167850-AS49</f>
        <v>33240</v>
      </c>
      <c r="AU49" s="676">
        <f>268207-AT49-AS49</f>
        <v>100357</v>
      </c>
      <c r="AV49" s="183">
        <f t="shared" si="30"/>
        <v>166271</v>
      </c>
      <c r="AW49" s="204">
        <v>434478</v>
      </c>
      <c r="AX49" s="183">
        <v>120182</v>
      </c>
      <c r="AY49" s="676">
        <f>283605-AX49</f>
        <v>163423</v>
      </c>
      <c r="AZ49" s="676">
        <f>(2369+419922)-AY49-AX49</f>
        <v>138686</v>
      </c>
      <c r="BA49" s="676">
        <f>(44288+527940)-AZ49-AY49-AX49</f>
        <v>149937</v>
      </c>
      <c r="BB49" s="204">
        <f t="shared" si="31"/>
        <v>572228</v>
      </c>
      <c r="BC49" s="676">
        <v>600</v>
      </c>
      <c r="BD49" s="676">
        <f>600-BC49</f>
        <v>0</v>
      </c>
      <c r="BE49" s="676">
        <f>600-BD49-BC49</f>
        <v>0</v>
      </c>
      <c r="BF49" s="175">
        <f>600-BE49-BD49-BC49</f>
        <v>0</v>
      </c>
      <c r="BG49" s="204">
        <f t="shared" si="32"/>
        <v>600</v>
      </c>
      <c r="BH49" s="183">
        <v>76940</v>
      </c>
      <c r="BI49" s="676">
        <f>245-BH49</f>
        <v>-76695</v>
      </c>
      <c r="BJ49" s="676">
        <f>971-BI49-BH49</f>
        <v>726</v>
      </c>
      <c r="BK49" s="676">
        <f>1211-BJ49-BI49-BH49</f>
        <v>240</v>
      </c>
      <c r="BL49" s="204">
        <f t="shared" si="33"/>
        <v>1211</v>
      </c>
      <c r="BM49" s="183">
        <v>12517</v>
      </c>
      <c r="BN49" s="676">
        <f>12517-BM49</f>
        <v>0</v>
      </c>
      <c r="BO49" s="676">
        <f>93995-BN49-BM49</f>
        <v>81478</v>
      </c>
      <c r="BP49" s="676">
        <f>122138-BO49-BN49-BM49</f>
        <v>28143</v>
      </c>
      <c r="BQ49" s="204">
        <f t="shared" si="34"/>
        <v>122138</v>
      </c>
      <c r="BR49" s="183">
        <v>251292</v>
      </c>
      <c r="BS49" s="237">
        <f>90502+442655-BR49</f>
        <v>281865</v>
      </c>
      <c r="BT49" s="237">
        <f>114406-BS49-BR49</f>
        <v>-418751</v>
      </c>
      <c r="BU49" s="237">
        <f>127976-BT49-BS49-BR49</f>
        <v>13570</v>
      </c>
      <c r="BV49" s="204">
        <f t="shared" si="28"/>
        <v>127976</v>
      </c>
      <c r="BW49" s="183"/>
      <c r="BX49" s="237"/>
      <c r="BY49" s="237"/>
      <c r="BZ49" s="237"/>
      <c r="CA49" s="204">
        <f>SUM(BW49:BZ49)</f>
        <v>0</v>
      </c>
    </row>
    <row r="50" spans="2:79" ht="12.6" customHeight="1">
      <c r="B50" s="112"/>
      <c r="C50" s="280" t="s">
        <v>469</v>
      </c>
      <c r="D50" s="204"/>
      <c r="E50" s="175"/>
      <c r="F50" s="175"/>
      <c r="G50" s="175"/>
      <c r="H50" s="183"/>
      <c r="I50" s="204"/>
      <c r="J50" s="175"/>
      <c r="K50" s="175"/>
      <c r="L50" s="175"/>
      <c r="M50" s="183"/>
      <c r="N50" s="204"/>
      <c r="O50" s="175"/>
      <c r="P50" s="175"/>
      <c r="Q50" s="175"/>
      <c r="R50" s="183"/>
      <c r="S50" s="204"/>
      <c r="T50" s="175"/>
      <c r="U50" s="175"/>
      <c r="V50" s="175"/>
      <c r="W50" s="175"/>
      <c r="X50" s="204"/>
      <c r="Y50" s="183"/>
      <c r="Z50" s="183"/>
      <c r="AA50" s="183"/>
      <c r="AB50" s="183"/>
      <c r="AC50" s="204"/>
      <c r="AD50" s="183"/>
      <c r="AE50" s="183"/>
      <c r="AF50" s="183"/>
      <c r="AG50" s="183"/>
      <c r="AH50" s="204"/>
      <c r="AI50" s="183"/>
      <c r="AJ50" s="175"/>
      <c r="AK50" s="175"/>
      <c r="AL50" s="183"/>
      <c r="AM50" s="204"/>
      <c r="AN50" s="183"/>
      <c r="AO50" s="183"/>
      <c r="AP50" s="183"/>
      <c r="AQ50" s="183"/>
      <c r="AR50" s="204"/>
      <c r="AS50" s="183"/>
      <c r="AT50" s="183"/>
      <c r="AU50" s="676"/>
      <c r="AV50" s="183"/>
      <c r="AW50" s="204"/>
      <c r="AX50" s="183"/>
      <c r="AY50" s="676"/>
      <c r="AZ50" s="676"/>
      <c r="BA50" s="676"/>
      <c r="BB50" s="204"/>
      <c r="BC50" s="676">
        <v>130821</v>
      </c>
      <c r="BD50" s="676">
        <f>214585-BC50</f>
        <v>83764</v>
      </c>
      <c r="BE50" s="676">
        <f>321311-BD50-BC50</f>
        <v>106726</v>
      </c>
      <c r="BF50" s="175">
        <f>524568-BE50-BD50-BC50</f>
        <v>203257</v>
      </c>
      <c r="BG50" s="204">
        <f>SUM(BC50:BF50)</f>
        <v>524568</v>
      </c>
      <c r="BH50" s="183"/>
      <c r="BI50" s="676">
        <f>227836-BH50</f>
        <v>227836</v>
      </c>
      <c r="BJ50" s="676">
        <f>415117-BI50</f>
        <v>187281</v>
      </c>
      <c r="BK50" s="676">
        <f>655588-BJ50-BI50-BH50</f>
        <v>240471</v>
      </c>
      <c r="BL50" s="204">
        <f t="shared" si="33"/>
        <v>655588</v>
      </c>
      <c r="BM50" s="183">
        <v>260619</v>
      </c>
      <c r="BN50" s="676">
        <f>470755-BM50</f>
        <v>210136</v>
      </c>
      <c r="BO50" s="676">
        <f>829122-BN50-BM50</f>
        <v>358367</v>
      </c>
      <c r="BP50" s="676">
        <f>1132332-BO50-BN50-BM50</f>
        <v>303210</v>
      </c>
      <c r="BQ50" s="204">
        <f t="shared" si="34"/>
        <v>1132332</v>
      </c>
      <c r="BR50" s="183"/>
      <c r="BS50" s="237"/>
      <c r="BT50" s="237">
        <v>622026</v>
      </c>
      <c r="BU50" s="237">
        <f>804091-BT50-BS50-BR50</f>
        <v>182065</v>
      </c>
      <c r="BV50" s="204">
        <f t="shared" si="28"/>
        <v>804091</v>
      </c>
      <c r="BW50" s="183"/>
      <c r="BX50" s="237"/>
      <c r="BY50" s="237"/>
      <c r="BZ50" s="237"/>
      <c r="CA50" s="204"/>
    </row>
    <row r="51" spans="2:79" ht="12.6" customHeight="1">
      <c r="B51" s="112"/>
      <c r="C51" s="280" t="s">
        <v>470</v>
      </c>
      <c r="D51" s="204"/>
      <c r="E51" s="175"/>
      <c r="F51" s="175"/>
      <c r="G51" s="175"/>
      <c r="H51" s="183"/>
      <c r="I51" s="204"/>
      <c r="J51" s="175"/>
      <c r="K51" s="175"/>
      <c r="L51" s="175"/>
      <c r="M51" s="183"/>
      <c r="N51" s="204"/>
      <c r="O51" s="175"/>
      <c r="P51" s="175"/>
      <c r="Q51" s="175"/>
      <c r="R51" s="183"/>
      <c r="S51" s="204"/>
      <c r="T51" s="175"/>
      <c r="U51" s="175"/>
      <c r="V51" s="175"/>
      <c r="W51" s="175"/>
      <c r="X51" s="204"/>
      <c r="Y51" s="183"/>
      <c r="Z51" s="183"/>
      <c r="AA51" s="183"/>
      <c r="AB51" s="183"/>
      <c r="AC51" s="204"/>
      <c r="AD51" s="183"/>
      <c r="AE51" s="183"/>
      <c r="AF51" s="183"/>
      <c r="AG51" s="183"/>
      <c r="AH51" s="204"/>
      <c r="AI51" s="183"/>
      <c r="AJ51" s="175"/>
      <c r="AK51" s="175"/>
      <c r="AL51" s="183"/>
      <c r="AM51" s="204"/>
      <c r="AN51" s="183"/>
      <c r="AO51" s="183"/>
      <c r="AP51" s="183"/>
      <c r="AQ51" s="183"/>
      <c r="AR51" s="204"/>
      <c r="AS51" s="183"/>
      <c r="AT51" s="183"/>
      <c r="AU51" s="237"/>
      <c r="AV51" s="183"/>
      <c r="AW51" s="204"/>
      <c r="AX51" s="183"/>
      <c r="AY51" s="676"/>
      <c r="AZ51" s="676"/>
      <c r="BA51" s="676"/>
      <c r="BB51" s="204"/>
      <c r="BC51" s="676">
        <v>-569</v>
      </c>
      <c r="BD51" s="676">
        <f>+-1392-BC51</f>
        <v>-823</v>
      </c>
      <c r="BE51" s="676">
        <f>+-2420-BD51-BC51</f>
        <v>-1028</v>
      </c>
      <c r="BF51" s="175">
        <f>-3899-BE51-BD51-BC51</f>
        <v>-1479</v>
      </c>
      <c r="BG51" s="204">
        <f>SUM(BC51:BF51)</f>
        <v>-3899</v>
      </c>
      <c r="BH51" s="183">
        <v>-1806</v>
      </c>
      <c r="BI51" s="676">
        <f>+-3565-BH51</f>
        <v>-1759</v>
      </c>
      <c r="BJ51" s="676">
        <f>-5820-BI51-BH51</f>
        <v>-2255</v>
      </c>
      <c r="BK51" s="676">
        <f>+-9537-BJ51-BI51-BH51</f>
        <v>-3717</v>
      </c>
      <c r="BL51" s="204">
        <f t="shared" si="33"/>
        <v>-9537</v>
      </c>
      <c r="BM51" s="183">
        <v>-3242</v>
      </c>
      <c r="BN51" s="676">
        <f>+-8260-BM51</f>
        <v>-5018</v>
      </c>
      <c r="BO51" s="676">
        <f>+-14211-BN51-BM51</f>
        <v>-5951</v>
      </c>
      <c r="BP51" s="676">
        <f>-22223-BO51-BN51-BM51</f>
        <v>-8012</v>
      </c>
      <c r="BQ51" s="204">
        <f t="shared" si="34"/>
        <v>-22223</v>
      </c>
      <c r="BR51" s="183">
        <v>-8732</v>
      </c>
      <c r="BS51" s="237">
        <f>-18730-BR51</f>
        <v>-9998</v>
      </c>
      <c r="BT51" s="237">
        <f>-29121-BS51-BR51</f>
        <v>-10391</v>
      </c>
      <c r="BU51" s="237">
        <f>-39135-BT51-BS51-BR51</f>
        <v>-10014</v>
      </c>
      <c r="BV51" s="204">
        <f t="shared" si="28"/>
        <v>-39135</v>
      </c>
      <c r="BW51" s="183"/>
      <c r="BX51" s="237"/>
      <c r="BY51" s="237"/>
      <c r="BZ51" s="237"/>
      <c r="CA51" s="204"/>
    </row>
    <row r="52" spans="2:79" ht="12.6" customHeight="1">
      <c r="B52" s="112"/>
      <c r="C52" s="280" t="s">
        <v>506</v>
      </c>
      <c r="D52" s="204"/>
      <c r="E52" s="175"/>
      <c r="F52" s="175"/>
      <c r="G52" s="175"/>
      <c r="H52" s="183"/>
      <c r="I52" s="204"/>
      <c r="J52" s="175"/>
      <c r="K52" s="175"/>
      <c r="L52" s="175"/>
      <c r="M52" s="183"/>
      <c r="N52" s="204"/>
      <c r="O52" s="175"/>
      <c r="P52" s="175"/>
      <c r="Q52" s="175"/>
      <c r="R52" s="183"/>
      <c r="S52" s="204"/>
      <c r="T52" s="175"/>
      <c r="U52" s="175"/>
      <c r="V52" s="175"/>
      <c r="W52" s="175"/>
      <c r="X52" s="204"/>
      <c r="Y52" s="183"/>
      <c r="Z52" s="183"/>
      <c r="AA52" s="183"/>
      <c r="AB52" s="183"/>
      <c r="AC52" s="204"/>
      <c r="AD52" s="183"/>
      <c r="AE52" s="183"/>
      <c r="AF52" s="183"/>
      <c r="AG52" s="183"/>
      <c r="AH52" s="204"/>
      <c r="AI52" s="183"/>
      <c r="AJ52" s="175"/>
      <c r="AK52" s="175"/>
      <c r="AL52" s="183"/>
      <c r="AM52" s="204"/>
      <c r="AN52" s="183"/>
      <c r="AO52" s="183"/>
      <c r="AP52" s="183"/>
      <c r="AQ52" s="183"/>
      <c r="AR52" s="204"/>
      <c r="AS52" s="183"/>
      <c r="AT52" s="183"/>
      <c r="AU52" s="237"/>
      <c r="AV52" s="183"/>
      <c r="AW52" s="204"/>
      <c r="AX52" s="183"/>
      <c r="AY52" s="676"/>
      <c r="AZ52" s="676"/>
      <c r="BA52" s="676"/>
      <c r="BB52" s="204"/>
      <c r="BC52" s="676"/>
      <c r="BD52" s="676"/>
      <c r="BE52" s="676"/>
      <c r="BF52" s="175"/>
      <c r="BG52" s="204"/>
      <c r="BH52" s="183"/>
      <c r="BI52" s="676"/>
      <c r="BJ52" s="676"/>
      <c r="BK52" s="676"/>
      <c r="BL52" s="204"/>
      <c r="BM52" s="183"/>
      <c r="BN52" s="676"/>
      <c r="BO52" s="676">
        <f>+-167166</f>
        <v>-167166</v>
      </c>
      <c r="BP52" s="676">
        <f>-167151-BO52-BM52</f>
        <v>15</v>
      </c>
      <c r="BQ52" s="204">
        <f t="shared" si="34"/>
        <v>-167151</v>
      </c>
      <c r="BR52" s="183"/>
      <c r="BS52" s="237"/>
      <c r="BT52" s="237"/>
      <c r="BU52" s="237"/>
      <c r="BV52" s="204"/>
      <c r="BW52" s="183"/>
      <c r="BX52" s="237"/>
      <c r="BY52" s="237"/>
      <c r="BZ52" s="237"/>
      <c r="CA52" s="204"/>
    </row>
    <row r="53" spans="2:79" ht="12.6" customHeight="1">
      <c r="B53" s="112"/>
      <c r="C53" s="280" t="s">
        <v>499</v>
      </c>
      <c r="D53" s="204"/>
      <c r="E53" s="175"/>
      <c r="F53" s="175"/>
      <c r="G53" s="175"/>
      <c r="H53" s="183"/>
      <c r="I53" s="204"/>
      <c r="J53" s="175"/>
      <c r="K53" s="175"/>
      <c r="L53" s="175"/>
      <c r="M53" s="183"/>
      <c r="N53" s="204"/>
      <c r="O53" s="175"/>
      <c r="P53" s="175"/>
      <c r="Q53" s="175"/>
      <c r="R53" s="183"/>
      <c r="S53" s="204"/>
      <c r="T53" s="175"/>
      <c r="U53" s="175"/>
      <c r="V53" s="175"/>
      <c r="W53" s="175"/>
      <c r="X53" s="204"/>
      <c r="Y53" s="183"/>
      <c r="Z53" s="183"/>
      <c r="AA53" s="183"/>
      <c r="AB53" s="183"/>
      <c r="AC53" s="204"/>
      <c r="AD53" s="183"/>
      <c r="AE53" s="183"/>
      <c r="AF53" s="183"/>
      <c r="AG53" s="183"/>
      <c r="AH53" s="204"/>
      <c r="AI53" s="183"/>
      <c r="AJ53" s="175"/>
      <c r="AK53" s="175"/>
      <c r="AL53" s="183"/>
      <c r="AM53" s="204"/>
      <c r="AN53" s="183"/>
      <c r="AO53" s="183"/>
      <c r="AP53" s="183"/>
      <c r="AQ53" s="183"/>
      <c r="AR53" s="204"/>
      <c r="AS53" s="183"/>
      <c r="AT53" s="183"/>
      <c r="AU53" s="237"/>
      <c r="AV53" s="183"/>
      <c r="AW53" s="204"/>
      <c r="AX53" s="183"/>
      <c r="AY53" s="676"/>
      <c r="AZ53" s="676"/>
      <c r="BA53" s="676"/>
      <c r="BB53" s="204"/>
      <c r="BC53" s="676"/>
      <c r="BD53" s="676"/>
      <c r="BE53" s="676"/>
      <c r="BF53" s="175"/>
      <c r="BG53" s="204"/>
      <c r="BH53" s="183"/>
      <c r="BI53" s="676"/>
      <c r="BJ53" s="676"/>
      <c r="BK53" s="676"/>
      <c r="BL53" s="204"/>
      <c r="BM53" s="183">
        <v>99</v>
      </c>
      <c r="BN53" s="676">
        <f>99-BM53</f>
        <v>0</v>
      </c>
      <c r="BO53" s="676">
        <f>99-BM53</f>
        <v>0</v>
      </c>
      <c r="BP53" s="676"/>
      <c r="BQ53" s="204">
        <f t="shared" si="34"/>
        <v>99</v>
      </c>
      <c r="BR53" s="183"/>
      <c r="BS53" s="237"/>
      <c r="BT53" s="237"/>
      <c r="BU53" s="237"/>
      <c r="BV53" s="204"/>
      <c r="BW53" s="183"/>
      <c r="BX53" s="237"/>
      <c r="BY53" s="237"/>
      <c r="BZ53" s="237"/>
      <c r="CA53" s="204"/>
    </row>
    <row r="54" spans="2:79">
      <c r="B54" s="112"/>
      <c r="C54" s="280" t="s">
        <v>269</v>
      </c>
      <c r="D54" s="204"/>
      <c r="E54" s="175"/>
      <c r="F54" s="175"/>
      <c r="G54" s="175"/>
      <c r="H54" s="183"/>
      <c r="I54" s="204"/>
      <c r="J54" s="175"/>
      <c r="K54" s="175"/>
      <c r="L54" s="175"/>
      <c r="M54" s="183"/>
      <c r="N54" s="204"/>
      <c r="O54" s="175"/>
      <c r="P54" s="175"/>
      <c r="Q54" s="175"/>
      <c r="R54" s="183"/>
      <c r="S54" s="204"/>
      <c r="T54" s="175"/>
      <c r="U54" s="175"/>
      <c r="V54" s="175"/>
      <c r="W54" s="175"/>
      <c r="X54" s="204"/>
      <c r="Y54" s="183"/>
      <c r="Z54" s="183"/>
      <c r="AA54" s="183"/>
      <c r="AB54" s="183"/>
      <c r="AC54" s="204"/>
      <c r="AD54" s="183"/>
      <c r="AE54" s="183"/>
      <c r="AF54" s="183"/>
      <c r="AG54" s="183"/>
      <c r="AH54" s="204"/>
      <c r="AI54" s="183"/>
      <c r="AJ54" s="175">
        <v>1923</v>
      </c>
      <c r="AK54" s="175">
        <v>-1923</v>
      </c>
      <c r="AL54" s="183">
        <f>AM54-AK54-AJ54-AI54</f>
        <v>1923</v>
      </c>
      <c r="AM54" s="204">
        <v>1923</v>
      </c>
      <c r="AN54" s="183">
        <v>217</v>
      </c>
      <c r="AO54" s="183">
        <f>217-AN54</f>
        <v>0</v>
      </c>
      <c r="AP54" s="183"/>
      <c r="AQ54" s="183">
        <f t="shared" si="29"/>
        <v>0</v>
      </c>
      <c r="AR54" s="204">
        <v>217</v>
      </c>
      <c r="AS54" s="183"/>
      <c r="AT54" s="183"/>
      <c r="AU54" s="237"/>
      <c r="AV54" s="183">
        <f t="shared" si="30"/>
        <v>0</v>
      </c>
      <c r="AW54" s="204">
        <v>0</v>
      </c>
      <c r="AX54" s="183"/>
      <c r="AY54" s="237"/>
      <c r="AZ54" s="237"/>
      <c r="BA54" s="676"/>
      <c r="BB54" s="204">
        <f t="shared" si="31"/>
        <v>0</v>
      </c>
      <c r="BC54" s="676"/>
      <c r="BD54" s="237"/>
      <c r="BE54" s="676">
        <v>-282</v>
      </c>
      <c r="BF54" s="175">
        <v>282</v>
      </c>
      <c r="BG54" s="204">
        <f>SUM(BC54:BF54)</f>
        <v>0</v>
      </c>
      <c r="BH54" s="183"/>
      <c r="BI54" s="237"/>
      <c r="BJ54" s="676"/>
      <c r="BK54" s="237"/>
      <c r="BL54" s="204">
        <f t="shared" si="33"/>
        <v>0</v>
      </c>
      <c r="BM54" s="183"/>
      <c r="BN54" s="237"/>
      <c r="BO54" s="237"/>
      <c r="BP54" s="237"/>
      <c r="BQ54" s="204">
        <f>SUM(BM54:BP54)</f>
        <v>0</v>
      </c>
      <c r="BR54" s="183"/>
      <c r="BS54" s="237"/>
      <c r="BT54" s="237"/>
      <c r="BU54" s="237"/>
      <c r="BV54" s="204">
        <f>SUM(BR54:BU54)</f>
        <v>0</v>
      </c>
      <c r="BW54" s="183"/>
      <c r="BX54" s="237"/>
      <c r="BY54" s="237"/>
      <c r="BZ54" s="237"/>
      <c r="CA54" s="204">
        <f>SUM(BW54:BZ54)</f>
        <v>0</v>
      </c>
    </row>
    <row r="55" spans="2:79">
      <c r="B55" s="112"/>
      <c r="C55" s="280" t="s">
        <v>478</v>
      </c>
      <c r="D55" s="204"/>
      <c r="E55" s="175"/>
      <c r="F55" s="175"/>
      <c r="G55" s="175"/>
      <c r="H55" s="183"/>
      <c r="I55" s="204"/>
      <c r="J55" s="175"/>
      <c r="K55" s="175"/>
      <c r="L55" s="175"/>
      <c r="M55" s="183"/>
      <c r="N55" s="204"/>
      <c r="O55" s="175"/>
      <c r="P55" s="175"/>
      <c r="Q55" s="175"/>
      <c r="R55" s="183"/>
      <c r="S55" s="204"/>
      <c r="T55" s="175"/>
      <c r="U55" s="175"/>
      <c r="V55" s="175"/>
      <c r="W55" s="175"/>
      <c r="X55" s="204"/>
      <c r="Y55" s="183"/>
      <c r="Z55" s="183"/>
      <c r="AA55" s="183"/>
      <c r="AB55" s="183"/>
      <c r="AC55" s="204"/>
      <c r="AD55" s="183"/>
      <c r="AE55" s="183"/>
      <c r="AF55" s="183"/>
      <c r="AG55" s="183"/>
      <c r="AH55" s="204"/>
      <c r="AI55" s="183"/>
      <c r="AJ55" s="175"/>
      <c r="AK55" s="175"/>
      <c r="AL55" s="183"/>
      <c r="AM55" s="204"/>
      <c r="AN55" s="183"/>
      <c r="AO55" s="183"/>
      <c r="AP55" s="183"/>
      <c r="AQ55" s="183"/>
      <c r="AR55" s="204"/>
      <c r="AS55" s="183"/>
      <c r="AT55" s="183"/>
      <c r="AU55" s="237"/>
      <c r="AV55" s="183"/>
      <c r="AW55" s="204"/>
      <c r="AX55" s="183"/>
      <c r="AY55" s="237"/>
      <c r="AZ55" s="237"/>
      <c r="BA55" s="676"/>
      <c r="BB55" s="204"/>
      <c r="BC55" s="676"/>
      <c r="BD55" s="237"/>
      <c r="BE55" s="676"/>
      <c r="BF55" s="175">
        <f>-266-BE55-BD55-BC55</f>
        <v>-266</v>
      </c>
      <c r="BG55" s="204">
        <f>SUM(BC55:BF55)</f>
        <v>-266</v>
      </c>
      <c r="BH55" s="183"/>
      <c r="BI55" s="237"/>
      <c r="BJ55" s="676"/>
      <c r="BK55" s="237"/>
      <c r="BL55" s="204">
        <f t="shared" si="33"/>
        <v>0</v>
      </c>
      <c r="BM55" s="183"/>
      <c r="BN55" s="237"/>
      <c r="BO55" s="237"/>
      <c r="BP55" s="237"/>
      <c r="BQ55" s="204"/>
      <c r="BR55" s="183"/>
      <c r="BS55" s="237"/>
      <c r="BT55" s="237">
        <v>-286</v>
      </c>
      <c r="BU55" s="237">
        <f>-286-BT55</f>
        <v>0</v>
      </c>
      <c r="BV55" s="204">
        <f>SUM(BR55:BU55)</f>
        <v>-286</v>
      </c>
      <c r="BW55" s="183"/>
      <c r="BX55" s="237"/>
      <c r="BY55" s="237"/>
      <c r="BZ55" s="237"/>
      <c r="CA55" s="204"/>
    </row>
    <row r="56" spans="2:79">
      <c r="B56" s="112"/>
      <c r="C56" s="280" t="s">
        <v>471</v>
      </c>
      <c r="D56" s="204"/>
      <c r="E56" s="175"/>
      <c r="F56" s="175"/>
      <c r="G56" s="175"/>
      <c r="H56" s="183"/>
      <c r="I56" s="204"/>
      <c r="J56" s="175"/>
      <c r="K56" s="175"/>
      <c r="L56" s="175"/>
      <c r="M56" s="183"/>
      <c r="N56" s="204"/>
      <c r="O56" s="175"/>
      <c r="P56" s="175"/>
      <c r="Q56" s="175"/>
      <c r="R56" s="183"/>
      <c r="S56" s="204"/>
      <c r="T56" s="175"/>
      <c r="U56" s="175"/>
      <c r="V56" s="175"/>
      <c r="W56" s="175"/>
      <c r="X56" s="204"/>
      <c r="Y56" s="183"/>
      <c r="Z56" s="183"/>
      <c r="AA56" s="183"/>
      <c r="AB56" s="183"/>
      <c r="AC56" s="204"/>
      <c r="AD56" s="183"/>
      <c r="AE56" s="183"/>
      <c r="AF56" s="183"/>
      <c r="AG56" s="183"/>
      <c r="AH56" s="204"/>
      <c r="AI56" s="183"/>
      <c r="AJ56" s="175"/>
      <c r="AK56" s="175"/>
      <c r="AL56" s="183"/>
      <c r="AM56" s="204"/>
      <c r="AN56" s="183"/>
      <c r="AO56" s="183"/>
      <c r="AP56" s="183"/>
      <c r="AQ56" s="183"/>
      <c r="AR56" s="204"/>
      <c r="AS56" s="183"/>
      <c r="AT56" s="183"/>
      <c r="AU56" s="237"/>
      <c r="AV56" s="183"/>
      <c r="AW56" s="204"/>
      <c r="AX56" s="183"/>
      <c r="AY56" s="237"/>
      <c r="AZ56" s="237"/>
      <c r="BA56" s="676"/>
      <c r="BB56" s="204"/>
      <c r="BC56" s="676">
        <v>-2000</v>
      </c>
      <c r="BD56" s="676">
        <f>+-2000-BC56</f>
        <v>0</v>
      </c>
      <c r="BE56" s="676">
        <f>+-2000-BD56-BC56</f>
        <v>0</v>
      </c>
      <c r="BF56" s="175">
        <f>-2000-BE56-BD56-BC56</f>
        <v>0</v>
      </c>
      <c r="BG56" s="204">
        <f>SUM(BC56:BF56)</f>
        <v>-2000</v>
      </c>
      <c r="BH56" s="183"/>
      <c r="BI56" s="237"/>
      <c r="BJ56" s="676">
        <v>-80588</v>
      </c>
      <c r="BK56" s="237"/>
      <c r="BL56" s="204">
        <f t="shared" si="33"/>
        <v>-80588</v>
      </c>
      <c r="BM56" s="183"/>
      <c r="BN56" s="237"/>
      <c r="BO56" s="237"/>
      <c r="BP56" s="237"/>
      <c r="BQ56" s="204"/>
      <c r="BR56" s="183"/>
      <c r="BS56" s="237"/>
      <c r="BT56" s="237"/>
      <c r="BU56" s="237"/>
      <c r="BV56" s="204"/>
      <c r="BW56" s="183"/>
      <c r="BX56" s="237"/>
      <c r="BY56" s="237"/>
      <c r="BZ56" s="237"/>
      <c r="CA56" s="204"/>
    </row>
    <row r="57" spans="2:79">
      <c r="B57" s="112"/>
      <c r="C57" s="280" t="s">
        <v>290</v>
      </c>
      <c r="D57" s="204"/>
      <c r="E57" s="175"/>
      <c r="F57" s="175"/>
      <c r="G57" s="175"/>
      <c r="H57" s="183"/>
      <c r="I57" s="204"/>
      <c r="J57" s="175"/>
      <c r="K57" s="175"/>
      <c r="L57" s="175"/>
      <c r="M57" s="183"/>
      <c r="N57" s="204"/>
      <c r="O57" s="175"/>
      <c r="P57" s="175"/>
      <c r="Q57" s="175"/>
      <c r="R57" s="183"/>
      <c r="S57" s="204"/>
      <c r="T57" s="175"/>
      <c r="U57" s="175"/>
      <c r="V57" s="175"/>
      <c r="W57" s="175"/>
      <c r="X57" s="204"/>
      <c r="Y57" s="183"/>
      <c r="Z57" s="183"/>
      <c r="AA57" s="183"/>
      <c r="AB57" s="183"/>
      <c r="AC57" s="204"/>
      <c r="AD57" s="183"/>
      <c r="AE57" s="183"/>
      <c r="AF57" s="183"/>
      <c r="AG57" s="183"/>
      <c r="AH57" s="204"/>
      <c r="AI57" s="183"/>
      <c r="AJ57" s="175"/>
      <c r="AK57" s="175"/>
      <c r="AL57" s="183"/>
      <c r="AM57" s="204"/>
      <c r="AN57" s="237"/>
      <c r="AO57" s="237"/>
      <c r="AP57" s="237"/>
      <c r="AQ57" s="183">
        <f t="shared" si="29"/>
        <v>-13890</v>
      </c>
      <c r="AR57" s="204">
        <v>-13890</v>
      </c>
      <c r="AS57" s="183">
        <v>-100</v>
      </c>
      <c r="AT57" s="183">
        <f>-100-AS57</f>
        <v>0</v>
      </c>
      <c r="AU57" s="237">
        <f>-100-AT57-AS57</f>
        <v>0</v>
      </c>
      <c r="AV57" s="183">
        <f t="shared" si="30"/>
        <v>0</v>
      </c>
      <c r="AW57" s="204">
        <v>-100</v>
      </c>
      <c r="AX57" s="183"/>
      <c r="AY57" s="237"/>
      <c r="AZ57" s="237"/>
      <c r="BA57" s="676"/>
      <c r="BB57" s="204">
        <f t="shared" si="31"/>
        <v>0</v>
      </c>
      <c r="BC57" s="676"/>
      <c r="BD57" s="237"/>
      <c r="BE57" s="676"/>
      <c r="BF57" s="175"/>
      <c r="BG57" s="204">
        <f t="shared" si="32"/>
        <v>0</v>
      </c>
      <c r="BH57" s="183"/>
      <c r="BI57" s="237"/>
      <c r="BJ57" s="237"/>
      <c r="BK57" s="237"/>
      <c r="BL57" s="204">
        <f t="shared" si="33"/>
        <v>0</v>
      </c>
      <c r="BM57" s="183"/>
      <c r="BN57" s="237"/>
      <c r="BO57" s="237"/>
      <c r="BP57" s="237"/>
      <c r="BQ57" s="204">
        <f>SUM(BM57:BP57)</f>
        <v>0</v>
      </c>
      <c r="BR57" s="183"/>
      <c r="BS57" s="237"/>
      <c r="BT57" s="237"/>
      <c r="BU57" s="237"/>
      <c r="BV57" s="204">
        <f>SUM(BR57:BU57)</f>
        <v>0</v>
      </c>
      <c r="BW57" s="183"/>
      <c r="BX57" s="237"/>
      <c r="BY57" s="237"/>
      <c r="BZ57" s="237"/>
      <c r="CA57" s="204">
        <f>SUM(BW57:BZ57)</f>
        <v>0</v>
      </c>
    </row>
    <row r="58" spans="2:79">
      <c r="B58" s="112"/>
      <c r="C58" s="280" t="s">
        <v>316</v>
      </c>
      <c r="D58" s="204"/>
      <c r="E58" s="175"/>
      <c r="F58" s="175"/>
      <c r="G58" s="175"/>
      <c r="H58" s="183"/>
      <c r="I58" s="204"/>
      <c r="J58" s="175"/>
      <c r="K58" s="175"/>
      <c r="L58" s="175"/>
      <c r="M58" s="183"/>
      <c r="N58" s="204"/>
      <c r="O58" s="175"/>
      <c r="P58" s="175"/>
      <c r="Q58" s="175"/>
      <c r="R58" s="183"/>
      <c r="S58" s="204"/>
      <c r="T58" s="175"/>
      <c r="U58" s="175"/>
      <c r="V58" s="175"/>
      <c r="W58" s="175"/>
      <c r="X58" s="204"/>
      <c r="Y58" s="183"/>
      <c r="Z58" s="183"/>
      <c r="AA58" s="183"/>
      <c r="AB58" s="183"/>
      <c r="AC58" s="204"/>
      <c r="AD58" s="183"/>
      <c r="AE58" s="183"/>
      <c r="AF58" s="183"/>
      <c r="AG58" s="183"/>
      <c r="AH58" s="204"/>
      <c r="AI58" s="183"/>
      <c r="AJ58" s="175"/>
      <c r="AK58" s="175"/>
      <c r="AL58" s="183"/>
      <c r="AM58" s="204"/>
      <c r="AN58" s="237"/>
      <c r="AO58" s="237"/>
      <c r="AP58" s="237"/>
      <c r="AQ58" s="183"/>
      <c r="AR58" s="204"/>
      <c r="AS58" s="183"/>
      <c r="AT58" s="183">
        <v>-28313</v>
      </c>
      <c r="AU58" s="237">
        <f>-28313-AT58-AS58</f>
        <v>0</v>
      </c>
      <c r="AV58" s="183">
        <f t="shared" si="30"/>
        <v>-137025</v>
      </c>
      <c r="AW58" s="204">
        <v>-165338</v>
      </c>
      <c r="AX58" s="183"/>
      <c r="AY58" s="237"/>
      <c r="AZ58" s="237"/>
      <c r="BA58" s="676"/>
      <c r="BB58" s="204">
        <f t="shared" si="31"/>
        <v>0</v>
      </c>
      <c r="BC58" s="676"/>
      <c r="BD58" s="237"/>
      <c r="BE58" s="676"/>
      <c r="BF58" s="237"/>
      <c r="BG58" s="204">
        <f t="shared" si="32"/>
        <v>0</v>
      </c>
      <c r="BH58" s="183"/>
      <c r="BI58" s="237"/>
      <c r="BJ58" s="237"/>
      <c r="BK58" s="237"/>
      <c r="BL58" s="204">
        <f t="shared" si="33"/>
        <v>0</v>
      </c>
      <c r="BM58" s="183"/>
      <c r="BN58" s="237"/>
      <c r="BO58" s="237"/>
      <c r="BP58" s="237"/>
      <c r="BQ58" s="204">
        <f>SUM(BM58:BP58)</f>
        <v>0</v>
      </c>
      <c r="BR58" s="183"/>
      <c r="BS58" s="237"/>
      <c r="BT58" s="237"/>
      <c r="BU58" s="237"/>
      <c r="BV58" s="204">
        <f>SUM(BR58:BU58)</f>
        <v>0</v>
      </c>
      <c r="BW58" s="183"/>
      <c r="BX58" s="237"/>
      <c r="BY58" s="237"/>
      <c r="BZ58" s="237"/>
      <c r="CA58" s="204">
        <f>SUM(BW58:BZ58)</f>
        <v>0</v>
      </c>
    </row>
    <row r="59" spans="2:79">
      <c r="B59" s="112"/>
      <c r="C59" s="280" t="s">
        <v>223</v>
      </c>
      <c r="D59" s="204">
        <v>0</v>
      </c>
      <c r="E59" s="175">
        <v>0</v>
      </c>
      <c r="F59" s="175">
        <v>0</v>
      </c>
      <c r="G59" s="175">
        <v>0</v>
      </c>
      <c r="H59" s="183">
        <v>0</v>
      </c>
      <c r="I59" s="204">
        <f>SUM(E59:H59)</f>
        <v>0</v>
      </c>
      <c r="J59" s="175">
        <v>0</v>
      </c>
      <c r="K59" s="175">
        <v>0</v>
      </c>
      <c r="L59" s="175">
        <v>0</v>
      </c>
      <c r="M59" s="183">
        <v>-2836</v>
      </c>
      <c r="N59" s="204">
        <f>SUM(J59:M59)</f>
        <v>-2836</v>
      </c>
      <c r="O59" s="175">
        <v>0</v>
      </c>
      <c r="P59" s="175">
        <v>0</v>
      </c>
      <c r="Q59" s="175">
        <v>0</v>
      </c>
      <c r="R59" s="183">
        <v>0</v>
      </c>
      <c r="S59" s="204">
        <f>SUM(O59:R59)</f>
        <v>0</v>
      </c>
      <c r="T59" s="175">
        <v>0</v>
      </c>
      <c r="U59" s="175">
        <v>0</v>
      </c>
      <c r="V59" s="175">
        <v>0</v>
      </c>
      <c r="W59" s="175">
        <v>0</v>
      </c>
      <c r="X59" s="204">
        <f>SUM(T59:W59)</f>
        <v>0</v>
      </c>
      <c r="Y59" s="183">
        <v>0</v>
      </c>
      <c r="Z59" s="183"/>
      <c r="AA59" s="183"/>
      <c r="AB59" s="183"/>
      <c r="AC59" s="204">
        <f>SUM(Y59:AB59)</f>
        <v>0</v>
      </c>
      <c r="AD59" s="183"/>
      <c r="AE59" s="183"/>
      <c r="AF59" s="183"/>
      <c r="AG59" s="183"/>
      <c r="AH59" s="204">
        <f>SUM(AD59:AG59)</f>
        <v>0</v>
      </c>
      <c r="AI59" s="183"/>
      <c r="AJ59" s="175"/>
      <c r="AK59" s="175"/>
      <c r="AL59" s="183">
        <f>AM59-AK59-AJ59-AI59</f>
        <v>0</v>
      </c>
      <c r="AM59" s="204">
        <v>0</v>
      </c>
      <c r="AN59" s="237"/>
      <c r="AO59" s="237"/>
      <c r="AP59" s="237"/>
      <c r="AQ59" s="183">
        <f t="shared" si="29"/>
        <v>0</v>
      </c>
      <c r="AR59" s="204"/>
      <c r="AS59" s="183"/>
      <c r="AT59" s="237"/>
      <c r="AU59" s="237"/>
      <c r="AV59" s="183">
        <f t="shared" si="30"/>
        <v>0</v>
      </c>
      <c r="AW59" s="204">
        <v>0</v>
      </c>
      <c r="AX59" s="183"/>
      <c r="AY59" s="237"/>
      <c r="AZ59" s="237"/>
      <c r="BA59" s="676"/>
      <c r="BB59" s="204">
        <f t="shared" si="31"/>
        <v>0</v>
      </c>
      <c r="BC59" s="676"/>
      <c r="BD59" s="237"/>
      <c r="BE59" s="676"/>
      <c r="BF59" s="237"/>
      <c r="BG59" s="204">
        <f t="shared" si="32"/>
        <v>0</v>
      </c>
      <c r="BH59" s="183"/>
      <c r="BI59" s="237"/>
      <c r="BJ59" s="237"/>
      <c r="BK59" s="237"/>
      <c r="BL59" s="204">
        <f t="shared" si="33"/>
        <v>0</v>
      </c>
      <c r="BM59" s="183"/>
      <c r="BN59" s="237"/>
      <c r="BO59" s="237"/>
      <c r="BP59" s="237"/>
      <c r="BQ59" s="204">
        <f>SUM(BM59:BP59)</f>
        <v>0</v>
      </c>
      <c r="BR59" s="183"/>
      <c r="BS59" s="237"/>
      <c r="BT59" s="237"/>
      <c r="BU59" s="237"/>
      <c r="BV59" s="204">
        <f>SUM(BR59:BU59)</f>
        <v>0</v>
      </c>
      <c r="BW59" s="183"/>
      <c r="BX59" s="237"/>
      <c r="BY59" s="237"/>
      <c r="BZ59" s="237"/>
      <c r="CA59" s="204">
        <f>SUM(BW59:BZ59)</f>
        <v>0</v>
      </c>
    </row>
    <row r="60" spans="2:79" s="116" customFormat="1" ht="13.15">
      <c r="B60" s="138" t="s">
        <v>120</v>
      </c>
      <c r="C60" s="173"/>
      <c r="D60" s="136">
        <f t="shared" ref="D60:AI60" si="35">SUM(D46:D59)</f>
        <v>-7423</v>
      </c>
      <c r="E60" s="137">
        <f t="shared" si="35"/>
        <v>-1023</v>
      </c>
      <c r="F60" s="137">
        <f t="shared" si="35"/>
        <v>97</v>
      </c>
      <c r="G60" s="137">
        <f t="shared" si="35"/>
        <v>-487</v>
      </c>
      <c r="H60" s="137">
        <f t="shared" si="35"/>
        <v>-177</v>
      </c>
      <c r="I60" s="136">
        <f t="shared" si="35"/>
        <v>-1590</v>
      </c>
      <c r="J60" s="137">
        <f t="shared" si="35"/>
        <v>134</v>
      </c>
      <c r="K60" s="137">
        <f t="shared" si="35"/>
        <v>2231</v>
      </c>
      <c r="L60" s="137">
        <f t="shared" si="35"/>
        <v>-176</v>
      </c>
      <c r="M60" s="137">
        <f t="shared" si="35"/>
        <v>-3211</v>
      </c>
      <c r="N60" s="136">
        <f t="shared" si="35"/>
        <v>-1022</v>
      </c>
      <c r="O60" s="137">
        <f t="shared" si="35"/>
        <v>-96</v>
      </c>
      <c r="P60" s="137">
        <f t="shared" si="35"/>
        <v>-30258</v>
      </c>
      <c r="Q60" s="137">
        <f t="shared" si="35"/>
        <v>-142</v>
      </c>
      <c r="R60" s="137">
        <f t="shared" si="35"/>
        <v>9454</v>
      </c>
      <c r="S60" s="136">
        <f t="shared" si="35"/>
        <v>-21042</v>
      </c>
      <c r="T60" s="137">
        <f t="shared" si="35"/>
        <v>462</v>
      </c>
      <c r="U60" s="137">
        <f t="shared" si="35"/>
        <v>19930</v>
      </c>
      <c r="V60" s="137">
        <f t="shared" si="35"/>
        <v>-275</v>
      </c>
      <c r="W60" s="137">
        <f t="shared" si="35"/>
        <v>-427</v>
      </c>
      <c r="X60" s="136">
        <f t="shared" si="35"/>
        <v>19690</v>
      </c>
      <c r="Y60" s="137">
        <f t="shared" si="35"/>
        <v>-252</v>
      </c>
      <c r="Z60" s="137">
        <f t="shared" si="35"/>
        <v>-376</v>
      </c>
      <c r="AA60" s="137">
        <f t="shared" si="35"/>
        <v>-405</v>
      </c>
      <c r="AB60" s="137">
        <f t="shared" si="35"/>
        <v>-1364</v>
      </c>
      <c r="AC60" s="136">
        <f t="shared" si="35"/>
        <v>-2397</v>
      </c>
      <c r="AD60" s="360">
        <f t="shared" si="35"/>
        <v>-514</v>
      </c>
      <c r="AE60" s="360">
        <f t="shared" si="35"/>
        <v>-664</v>
      </c>
      <c r="AF60" s="360">
        <f t="shared" si="35"/>
        <v>-631</v>
      </c>
      <c r="AG60" s="360">
        <f t="shared" si="35"/>
        <v>-841</v>
      </c>
      <c r="AH60" s="136">
        <f t="shared" si="35"/>
        <v>-2650</v>
      </c>
      <c r="AI60" s="360">
        <f t="shared" si="35"/>
        <v>1490</v>
      </c>
      <c r="AJ60" s="137">
        <f t="shared" ref="AJ60:BL60" si="36">SUM(AJ46:AJ59)</f>
        <v>-108765</v>
      </c>
      <c r="AK60" s="137">
        <f t="shared" si="36"/>
        <v>-95211</v>
      </c>
      <c r="AL60" s="137">
        <f t="shared" si="36"/>
        <v>-14263</v>
      </c>
      <c r="AM60" s="136">
        <f t="shared" si="36"/>
        <v>-216749</v>
      </c>
      <c r="AN60" s="137">
        <f t="shared" si="36"/>
        <v>1302</v>
      </c>
      <c r="AO60" s="137">
        <f t="shared" si="36"/>
        <v>4735</v>
      </c>
      <c r="AP60" s="137">
        <f t="shared" si="36"/>
        <v>-7716</v>
      </c>
      <c r="AQ60" s="137">
        <f t="shared" si="36"/>
        <v>-61952</v>
      </c>
      <c r="AR60" s="136">
        <f t="shared" si="36"/>
        <v>-63631</v>
      </c>
      <c r="AS60" s="137">
        <f t="shared" si="36"/>
        <v>66126</v>
      </c>
      <c r="AT60" s="137">
        <f t="shared" si="36"/>
        <v>-402479</v>
      </c>
      <c r="AU60" s="137">
        <f t="shared" si="36"/>
        <v>48689</v>
      </c>
      <c r="AV60" s="137">
        <f t="shared" si="36"/>
        <v>-94666</v>
      </c>
      <c r="AW60" s="136">
        <f t="shared" si="36"/>
        <v>-382330</v>
      </c>
      <c r="AX60" s="137">
        <f t="shared" si="36"/>
        <v>-51730</v>
      </c>
      <c r="AY60" s="137">
        <f t="shared" si="36"/>
        <v>-9770</v>
      </c>
      <c r="AZ60" s="137">
        <f t="shared" si="36"/>
        <v>-88231</v>
      </c>
      <c r="BA60" s="818">
        <f t="shared" si="36"/>
        <v>-747</v>
      </c>
      <c r="BB60" s="761">
        <f t="shared" si="36"/>
        <v>-150478</v>
      </c>
      <c r="BC60" s="818">
        <f t="shared" si="36"/>
        <v>11177</v>
      </c>
      <c r="BD60" s="137">
        <f t="shared" si="36"/>
        <v>14430</v>
      </c>
      <c r="BE60" s="137">
        <f>SUM(BE46:BE59)</f>
        <v>-4704</v>
      </c>
      <c r="BF60" s="137">
        <f t="shared" si="36"/>
        <v>10060</v>
      </c>
      <c r="BG60" s="172">
        <f t="shared" si="36"/>
        <v>30963</v>
      </c>
      <c r="BH60" s="137">
        <f t="shared" si="36"/>
        <v>-75686</v>
      </c>
      <c r="BI60" s="137">
        <f t="shared" si="36"/>
        <v>-54035</v>
      </c>
      <c r="BJ60" s="137">
        <f t="shared" si="36"/>
        <v>-105253</v>
      </c>
      <c r="BK60" s="137">
        <f t="shared" si="36"/>
        <v>-24588</v>
      </c>
      <c r="BL60" s="136">
        <f t="shared" si="36"/>
        <v>-259562</v>
      </c>
      <c r="BM60" s="137">
        <f t="shared" ref="BM60:CA60" si="37">SUM(BM46:BM59)</f>
        <v>-266823</v>
      </c>
      <c r="BN60" s="137">
        <f t="shared" si="37"/>
        <v>-93280</v>
      </c>
      <c r="BO60" s="137">
        <f t="shared" si="37"/>
        <v>75362</v>
      </c>
      <c r="BP60" s="137">
        <f t="shared" si="37"/>
        <v>18191</v>
      </c>
      <c r="BQ60" s="136">
        <f t="shared" si="37"/>
        <v>-266550</v>
      </c>
      <c r="BR60" s="137">
        <f t="shared" si="37"/>
        <v>-38103</v>
      </c>
      <c r="BS60" s="137">
        <f t="shared" si="37"/>
        <v>229166</v>
      </c>
      <c r="BT60" s="137">
        <f t="shared" si="37"/>
        <v>-71910</v>
      </c>
      <c r="BU60" s="137">
        <f t="shared" si="37"/>
        <v>3152</v>
      </c>
      <c r="BV60" s="136">
        <f t="shared" si="37"/>
        <v>122305</v>
      </c>
      <c r="BW60" s="137">
        <f t="shared" si="37"/>
        <v>-12000</v>
      </c>
      <c r="BX60" s="137">
        <f t="shared" si="37"/>
        <v>-12000</v>
      </c>
      <c r="BY60" s="137">
        <f t="shared" si="37"/>
        <v>-12000</v>
      </c>
      <c r="BZ60" s="137">
        <f t="shared" si="37"/>
        <v>-12000</v>
      </c>
      <c r="CA60" s="136">
        <f t="shared" si="37"/>
        <v>-48000</v>
      </c>
    </row>
    <row r="61" spans="2:79" ht="13.15">
      <c r="B61" s="138"/>
      <c r="C61" s="169"/>
      <c r="D61" s="123"/>
      <c r="E61" s="105"/>
      <c r="F61" s="105"/>
      <c r="G61" s="105"/>
      <c r="H61" s="105"/>
      <c r="I61" s="123"/>
      <c r="J61" s="105"/>
      <c r="K61" s="105"/>
      <c r="L61" s="105"/>
      <c r="M61" s="105"/>
      <c r="N61" s="123"/>
      <c r="O61" s="105"/>
      <c r="P61" s="105"/>
      <c r="Q61" s="105"/>
      <c r="R61" s="105"/>
      <c r="S61" s="158"/>
      <c r="T61" s="105"/>
      <c r="U61" s="105"/>
      <c r="V61" s="105"/>
      <c r="W61" s="105"/>
      <c r="X61" s="158"/>
      <c r="Y61" s="105"/>
      <c r="Z61" s="162"/>
      <c r="AA61" s="162"/>
      <c r="AB61" s="105"/>
      <c r="AC61" s="158"/>
      <c r="AD61" s="162"/>
      <c r="AE61" s="162"/>
      <c r="AF61" s="162"/>
      <c r="AG61" s="162"/>
      <c r="AH61" s="158"/>
      <c r="AI61" s="162"/>
      <c r="AJ61" s="105"/>
      <c r="AK61" s="124"/>
      <c r="AL61" s="105"/>
      <c r="AM61" s="158"/>
      <c r="AN61" s="105"/>
      <c r="AO61" s="105"/>
      <c r="AP61" s="105"/>
      <c r="AQ61" s="105"/>
      <c r="AR61" s="158"/>
      <c r="AS61" s="105"/>
      <c r="AT61" s="124"/>
      <c r="AU61" s="105"/>
      <c r="AV61" s="105"/>
      <c r="AW61" s="158"/>
      <c r="AX61" s="105"/>
      <c r="AY61" s="105"/>
      <c r="AZ61" s="124"/>
      <c r="BA61" s="817"/>
      <c r="BB61" s="158"/>
      <c r="BC61" s="817"/>
      <c r="BD61" s="105"/>
      <c r="BE61" s="175"/>
      <c r="BF61" s="105"/>
      <c r="BG61" s="158"/>
      <c r="BH61" s="105"/>
      <c r="BI61" s="105"/>
      <c r="BJ61" s="105"/>
      <c r="BK61" s="105"/>
      <c r="BL61" s="158"/>
      <c r="BM61" s="105"/>
      <c r="BN61" s="105"/>
      <c r="BO61" s="105"/>
      <c r="BP61" s="105"/>
      <c r="BQ61" s="158"/>
      <c r="BR61" s="105"/>
      <c r="BS61" s="105"/>
      <c r="BT61" s="105"/>
      <c r="BU61" s="105"/>
      <c r="BV61" s="158"/>
      <c r="BW61" s="105"/>
      <c r="BX61" s="105"/>
      <c r="BY61" s="105"/>
      <c r="BZ61" s="105"/>
      <c r="CA61" s="158"/>
    </row>
    <row r="62" spans="2:79" s="116" customFormat="1" ht="13.15">
      <c r="B62" s="138" t="s">
        <v>119</v>
      </c>
      <c r="C62" s="173"/>
      <c r="D62" s="136">
        <f t="shared" ref="D62:AI62" si="38">D42+D46</f>
        <v>-4284</v>
      </c>
      <c r="E62" s="137">
        <f t="shared" si="38"/>
        <v>-3260.99559</v>
      </c>
      <c r="F62" s="137">
        <f t="shared" si="38"/>
        <v>-1594.9994800000013</v>
      </c>
      <c r="G62" s="137">
        <f t="shared" si="38"/>
        <v>-4323.233760000001</v>
      </c>
      <c r="H62" s="137">
        <f t="shared" si="38"/>
        <v>-1800.141120000002</v>
      </c>
      <c r="I62" s="136">
        <f t="shared" si="38"/>
        <v>-10979.369950000006</v>
      </c>
      <c r="J62" s="137">
        <f t="shared" si="38"/>
        <v>-3957.7410699999982</v>
      </c>
      <c r="K62" s="137">
        <f t="shared" si="38"/>
        <v>-5990.2699300000004</v>
      </c>
      <c r="L62" s="137">
        <f t="shared" si="38"/>
        <v>-5778.0454899999968</v>
      </c>
      <c r="M62" s="137">
        <f t="shared" si="38"/>
        <v>-5786.1076400000056</v>
      </c>
      <c r="N62" s="136">
        <f t="shared" si="38"/>
        <v>-21512.164130000001</v>
      </c>
      <c r="O62" s="137">
        <f t="shared" si="38"/>
        <v>-6251</v>
      </c>
      <c r="P62" s="137">
        <f t="shared" si="38"/>
        <v>-8483</v>
      </c>
      <c r="Q62" s="137">
        <f t="shared" si="38"/>
        <v>-6503</v>
      </c>
      <c r="R62" s="137">
        <f t="shared" si="38"/>
        <v>-4067</v>
      </c>
      <c r="S62" s="136">
        <f t="shared" si="38"/>
        <v>-25304</v>
      </c>
      <c r="T62" s="137">
        <f t="shared" si="38"/>
        <v>-5951</v>
      </c>
      <c r="U62" s="137">
        <f t="shared" si="38"/>
        <v>-4173</v>
      </c>
      <c r="V62" s="137">
        <f t="shared" si="38"/>
        <v>-3438</v>
      </c>
      <c r="W62" s="137">
        <f t="shared" si="38"/>
        <v>-493</v>
      </c>
      <c r="X62" s="136">
        <f t="shared" si="38"/>
        <v>-14055</v>
      </c>
      <c r="Y62" s="137">
        <f t="shared" si="38"/>
        <v>-200</v>
      </c>
      <c r="Z62" s="360">
        <f t="shared" si="38"/>
        <v>1889</v>
      </c>
      <c r="AA62" s="360">
        <f t="shared" si="38"/>
        <v>1342</v>
      </c>
      <c r="AB62" s="137">
        <f t="shared" si="38"/>
        <v>2676</v>
      </c>
      <c r="AC62" s="136">
        <f t="shared" si="38"/>
        <v>5707</v>
      </c>
      <c r="AD62" s="360">
        <f t="shared" si="38"/>
        <v>-355</v>
      </c>
      <c r="AE62" s="360">
        <f t="shared" si="38"/>
        <v>-580</v>
      </c>
      <c r="AF62" s="360">
        <f t="shared" si="38"/>
        <v>7352</v>
      </c>
      <c r="AG62" s="360">
        <f t="shared" si="38"/>
        <v>2039</v>
      </c>
      <c r="AH62" s="136">
        <f t="shared" si="38"/>
        <v>8456</v>
      </c>
      <c r="AI62" s="360">
        <f t="shared" si="38"/>
        <v>7564</v>
      </c>
      <c r="AJ62" s="137">
        <f t="shared" ref="AJ62:BB62" si="39">AJ42+AJ46</f>
        <v>5052</v>
      </c>
      <c r="AK62" s="137">
        <f t="shared" si="39"/>
        <v>6033</v>
      </c>
      <c r="AL62" s="137">
        <f t="shared" si="39"/>
        <v>10712</v>
      </c>
      <c r="AM62" s="136">
        <f t="shared" si="39"/>
        <v>29361</v>
      </c>
      <c r="AN62" s="137">
        <f t="shared" si="39"/>
        <v>7205</v>
      </c>
      <c r="AO62" s="137">
        <f t="shared" si="39"/>
        <v>2547</v>
      </c>
      <c r="AP62" s="137">
        <f t="shared" si="39"/>
        <v>13127</v>
      </c>
      <c r="AQ62" s="137">
        <f t="shared" si="39"/>
        <v>9114</v>
      </c>
      <c r="AR62" s="136">
        <f t="shared" si="39"/>
        <v>31993</v>
      </c>
      <c r="AS62" s="137">
        <f t="shared" si="39"/>
        <v>4349</v>
      </c>
      <c r="AT62" s="137">
        <f t="shared" si="39"/>
        <v>5919</v>
      </c>
      <c r="AU62" s="137">
        <f t="shared" si="39"/>
        <v>17310</v>
      </c>
      <c r="AV62" s="137">
        <f t="shared" si="39"/>
        <v>9302</v>
      </c>
      <c r="AW62" s="136">
        <f t="shared" si="39"/>
        <v>36880</v>
      </c>
      <c r="AX62" s="137">
        <f t="shared" si="39"/>
        <v>5536</v>
      </c>
      <c r="AY62" s="137">
        <f t="shared" si="39"/>
        <v>144</v>
      </c>
      <c r="AZ62" s="137">
        <f t="shared" si="39"/>
        <v>-13809</v>
      </c>
      <c r="BA62" s="819">
        <f t="shared" si="39"/>
        <v>-5602</v>
      </c>
      <c r="BB62" s="136">
        <f t="shared" si="39"/>
        <v>-13731</v>
      </c>
      <c r="BC62" s="819">
        <f t="shared" ref="BC62:BI62" si="40">BC42+BC46+BC51</f>
        <v>15757</v>
      </c>
      <c r="BD62" s="137">
        <f t="shared" si="40"/>
        <v>-26002</v>
      </c>
      <c r="BE62" s="137">
        <f t="shared" si="40"/>
        <v>17922</v>
      </c>
      <c r="BF62" s="137">
        <f t="shared" si="40"/>
        <v>25017</v>
      </c>
      <c r="BG62" s="136">
        <f t="shared" si="40"/>
        <v>32694</v>
      </c>
      <c r="BH62" s="137">
        <f t="shared" si="40"/>
        <v>21679</v>
      </c>
      <c r="BI62" s="137">
        <f t="shared" si="40"/>
        <v>13378</v>
      </c>
      <c r="BJ62" s="185">
        <f>BJ42+BJ46+BJ51</f>
        <v>31476</v>
      </c>
      <c r="BK62" s="137">
        <f t="shared" ref="BK62:BQ62" si="41">BK42+BK46+BK51</f>
        <v>21534</v>
      </c>
      <c r="BL62" s="136">
        <f t="shared" si="41"/>
        <v>88068</v>
      </c>
      <c r="BM62" s="137">
        <f t="shared" si="41"/>
        <v>17160</v>
      </c>
      <c r="BN62" s="137">
        <f t="shared" si="41"/>
        <v>8089</v>
      </c>
      <c r="BO62" s="137">
        <f t="shared" si="41"/>
        <v>20796</v>
      </c>
      <c r="BP62" s="137">
        <f t="shared" si="41"/>
        <v>32512</v>
      </c>
      <c r="BQ62" s="136">
        <f t="shared" si="41"/>
        <v>78557</v>
      </c>
      <c r="BR62" s="137">
        <f t="shared" ref="BR62:CA62" si="42">BR42+BR46+BR51</f>
        <v>34928</v>
      </c>
      <c r="BS62" s="137">
        <f t="shared" si="42"/>
        <v>21569</v>
      </c>
      <c r="BT62" s="137">
        <f t="shared" si="42"/>
        <v>38301</v>
      </c>
      <c r="BU62" s="137">
        <f t="shared" si="42"/>
        <v>67311</v>
      </c>
      <c r="BV62" s="136">
        <f t="shared" si="42"/>
        <v>162109</v>
      </c>
      <c r="BW62" s="137">
        <f t="shared" si="42"/>
        <v>43182.521566999989</v>
      </c>
      <c r="BX62" s="137">
        <f t="shared" si="42"/>
        <v>24003.668753999998</v>
      </c>
      <c r="BY62" s="137">
        <f t="shared" si="42"/>
        <v>35439.429417118736</v>
      </c>
      <c r="BZ62" s="137">
        <f t="shared" si="42"/>
        <v>48410.087968539883</v>
      </c>
      <c r="CA62" s="136">
        <f t="shared" si="42"/>
        <v>151035.70770665858</v>
      </c>
    </row>
    <row r="63" spans="2:79" s="106" customFormat="1">
      <c r="B63" s="181"/>
      <c r="C63" s="182" t="s">
        <v>118</v>
      </c>
      <c r="D63" s="113">
        <f>D62/'Income Statement'!I28</f>
        <v>-6.7123851049725847E-2</v>
      </c>
      <c r="E63" s="178">
        <f>E62/'Income Statement'!J28</f>
        <v>-0.17059766167009033</v>
      </c>
      <c r="F63" s="178">
        <f>F62/'Income Statement'!K28</f>
        <v>-7.8637639827068964E-2</v>
      </c>
      <c r="G63" s="178">
        <f>G62/'Income Statement'!L28</f>
        <v>-0.20497788743393805</v>
      </c>
      <c r="H63" s="178">
        <f>H62/'Income Statement'!M28</f>
        <v>-7.6139232107497151E-2</v>
      </c>
      <c r="I63" s="113">
        <f>I62/'Income Statement'!N28</f>
        <v>-0.1305017110017592</v>
      </c>
      <c r="J63" s="178">
        <f>J62/'Income Statement'!O28</f>
        <v>-0.16304445373650814</v>
      </c>
      <c r="K63" s="178">
        <f>K62/'Income Statement'!P28</f>
        <v>-0.24266841928296537</v>
      </c>
      <c r="L63" s="178">
        <f>L62/'Income Statement'!Q28</f>
        <v>-0.22335789902972658</v>
      </c>
      <c r="M63" s="178">
        <f>M62/'Income Statement'!R28</f>
        <v>-0.20464411261229418</v>
      </c>
      <c r="N63" s="113">
        <f>N62/'Income Statement'!S28</f>
        <v>-0.20864933881011039</v>
      </c>
      <c r="O63" s="178">
        <f>O62/'Income Statement'!T28</f>
        <v>-0.20648080861465284</v>
      </c>
      <c r="P63" s="178">
        <f>P62/'Income Statement'!U28</f>
        <v>-0.28020743872629977</v>
      </c>
      <c r="Q63" s="178">
        <f>Q62/'Income Statement'!V28</f>
        <v>-0.20141233313717596</v>
      </c>
      <c r="R63" s="178">
        <f>R62/'Income Statement'!W28</f>
        <v>-0.11286875919296201</v>
      </c>
      <c r="S63" s="177">
        <f>S62/'Income Statement'!X28</f>
        <v>-0.19635596113852935</v>
      </c>
      <c r="T63" s="178">
        <f>T62/'Income Statement'!Y28</f>
        <v>-0.15654346968301985</v>
      </c>
      <c r="U63" s="178">
        <f>U62/'Income Statement'!Z28</f>
        <v>-0.10731368615954329</v>
      </c>
      <c r="V63" s="178">
        <f>V62/'Income Statement'!AA28</f>
        <v>-8.3890488507149474E-2</v>
      </c>
      <c r="W63" s="178">
        <f>W62/'Income Statement'!AB28</f>
        <v>-1.1152079987332322E-2</v>
      </c>
      <c r="X63" s="177">
        <f>X62/'Income Statement'!AC28</f>
        <v>-8.6711086433462897E-2</v>
      </c>
      <c r="Y63" s="178">
        <f>Y62/'Income Statement'!Y28</f>
        <v>-5.261081152176772E-3</v>
      </c>
      <c r="Z63" s="361">
        <f>Z62/'Income Statement'!Z28</f>
        <v>4.8577894357866587E-2</v>
      </c>
      <c r="AA63" s="361">
        <f>AA62/'Income Statement'!AA28</f>
        <v>3.2746083646478942E-2</v>
      </c>
      <c r="AB63" s="178">
        <f>AB62/'Income Statement'!AB28</f>
        <v>6.0533399687832244E-2</v>
      </c>
      <c r="AC63" s="177">
        <f>AC62/'Income Statement'!AC28</f>
        <v>3.5208834598062802E-2</v>
      </c>
      <c r="AD63" s="361">
        <f>AD62/'Income Statement'!AD28</f>
        <v>-7.5509422725145705E-3</v>
      </c>
      <c r="AE63" s="361">
        <f>AE62/'Income Statement'!AE28</f>
        <v>-1.2152450394954637E-2</v>
      </c>
      <c r="AF63" s="361">
        <f>AF62/'Income Statement'!AF28</f>
        <v>0.14680218046764243</v>
      </c>
      <c r="AG63" s="361">
        <f>AG62/'Income Statement'!AG28</f>
        <v>3.6803061206071873E-2</v>
      </c>
      <c r="AH63" s="177">
        <f>AH62/'Income Statement'!AH28</f>
        <v>4.2232488450493197E-2</v>
      </c>
      <c r="AI63" s="361">
        <f>AI62/'Income Statement'!AI28</f>
        <v>0.1284101519395637</v>
      </c>
      <c r="AJ63" s="178">
        <f>AJ62/'Income Statement'!AJ28</f>
        <v>8.265706806282723E-2</v>
      </c>
      <c r="AK63" s="178">
        <f>AK62/'Income Statement'!AK28</f>
        <v>9.2383314957736121E-2</v>
      </c>
      <c r="AL63" s="178">
        <f>AL62/'Income Statement'!AL28</f>
        <v>0.14808875371535218</v>
      </c>
      <c r="AM63" s="177">
        <f>AM62/'Income Statement'!AM28</f>
        <v>0.11395072652757079</v>
      </c>
      <c r="AN63" s="178">
        <f>AN62/'Income Statement'!AN28</f>
        <v>9.6662105234913739E-2</v>
      </c>
      <c r="AO63" s="178">
        <f>AO62/'Income Statement'!AO28</f>
        <v>3.2891678289167829E-2</v>
      </c>
      <c r="AP63" s="178">
        <f>AP62/'Income Statement'!AP28</f>
        <v>0.15670474757965358</v>
      </c>
      <c r="AQ63" s="178">
        <f>AQ62/'Income Statement'!AQ28</f>
        <v>9.8782827352243044E-2</v>
      </c>
      <c r="AR63" s="177">
        <f>AR62/'Income Statement'!AR28</f>
        <v>9.7537849917379557E-2</v>
      </c>
      <c r="AS63" s="178">
        <f>AS62/'Income Statement'!AS28</f>
        <v>4.5736580851421842E-2</v>
      </c>
      <c r="AT63" s="178">
        <f>AT62/'Income Statement'!AT28</f>
        <v>5.9313371813371811E-2</v>
      </c>
      <c r="AU63" s="178">
        <f>AU62/'Income Statement'!AU28</f>
        <v>0.15435649126561624</v>
      </c>
      <c r="AV63" s="178">
        <f>AV62/'Income Statement'!AV28</f>
        <v>7.2737224850451573E-2</v>
      </c>
      <c r="AW63" s="177">
        <f>AW62/'Income Statement'!AW28</f>
        <v>8.4799543811564751E-2</v>
      </c>
      <c r="AX63" s="178">
        <f>AX62/'Income Statement'!AX28</f>
        <v>4.0150273422201593E-2</v>
      </c>
      <c r="AY63" s="178">
        <f>AY62/'Income Statement'!AY28</f>
        <v>1.001516184223338E-3</v>
      </c>
      <c r="AZ63" s="178">
        <f>AZ62/'Income Statement'!AZ28</f>
        <v>-8.9478254108133329E-2</v>
      </c>
      <c r="BA63" s="820">
        <f>BA62/'Income Statement'!BA28</f>
        <v>-3.2269771139234675E-2</v>
      </c>
      <c r="BB63" s="177">
        <f>BB62/'Income Statement'!BB28</f>
        <v>-2.2524938852443686E-2</v>
      </c>
      <c r="BC63" s="820">
        <f>BC62/'Income Statement'!BC28</f>
        <v>8.6208877484585042E-2</v>
      </c>
      <c r="BD63" s="178">
        <f>BD62/'Income Statement'!BD28</f>
        <v>-0.1372992153425352</v>
      </c>
      <c r="BE63" s="178">
        <f>BE62/'Income Statement'!BE28</f>
        <v>9.0359076746226216E-2</v>
      </c>
      <c r="BF63" s="178">
        <f>BF62/'Income Statement'!BF28</f>
        <v>0.12007487580695481</v>
      </c>
      <c r="BG63" s="177">
        <f>BG62/'Income Statement'!BG28</f>
        <v>4.1977489773331315E-2</v>
      </c>
      <c r="BH63" s="178">
        <f>BH62/'Income Statement'!BH28</f>
        <v>9.9245098173860902E-2</v>
      </c>
      <c r="BI63" s="178">
        <f>BI62/'Income Statement'!BI28</f>
        <v>6.0022792329573499E-2</v>
      </c>
      <c r="BJ63" s="178">
        <f>BJ62/'Income Statement'!BJ28</f>
        <v>0.13678972642923884</v>
      </c>
      <c r="BK63" s="178">
        <f>BK62/'Income Statement'!BK28</f>
        <v>9.0077051141544864E-2</v>
      </c>
      <c r="BL63" s="177">
        <f>BL62/'Income Statement'!BL28</f>
        <v>9.6726151250757841E-2</v>
      </c>
      <c r="BM63" s="178">
        <f>BM62/'Income Statement'!BM28</f>
        <v>6.9470871624630587E-2</v>
      </c>
      <c r="BN63" s="178">
        <f>BN62/'Income Statement'!BN28</f>
        <v>3.2088255595312712E-2</v>
      </c>
      <c r="BO63" s="178">
        <f>BO62/'Income Statement'!BO28</f>
        <v>7.8718459244006028E-2</v>
      </c>
      <c r="BP63" s="178">
        <f>BP62/'Income Statement'!BP28</f>
        <v>0.11667264767099692</v>
      </c>
      <c r="BQ63" s="177">
        <f>BQ62/'Income Statement'!BQ28</f>
        <v>7.5395081089277866E-2</v>
      </c>
      <c r="BR63" s="178">
        <f>BR62/'Income Statement'!BR28</f>
        <v>0.12487442126526162</v>
      </c>
      <c r="BS63" s="178">
        <f>BS62/'Income Statement'!BS28</f>
        <v>7.614317133184359E-2</v>
      </c>
      <c r="BT63" s="178">
        <f>BT62/'Income Statement'!BT28</f>
        <v>0.13399829270340619</v>
      </c>
      <c r="BU63" s="178">
        <f>BU62/'Income Statement'!BU28</f>
        <v>0.22415929026714887</v>
      </c>
      <c r="BV63" s="177">
        <f>BV62/'Income Statement'!BV28</f>
        <v>0.14107622740817066</v>
      </c>
      <c r="BW63" s="178">
        <f>BW62/'Income Statement'!BW28</f>
        <v>0.14431290702414554</v>
      </c>
      <c r="BX63" s="178">
        <f>BX62/'Income Statement'!BX28</f>
        <v>7.8359599984534942E-2</v>
      </c>
      <c r="BY63" s="178">
        <f>BY62/'Income Statement'!BY28</f>
        <v>0.11296184434104582</v>
      </c>
      <c r="BZ63" s="178">
        <f>BZ62/'Income Statement'!BZ28</f>
        <v>0.14348114756387892</v>
      </c>
      <c r="CA63" s="177">
        <f>CA62/'Income Statement'!CA28</f>
        <v>0.12018614105065249</v>
      </c>
    </row>
    <row r="64" spans="2:79" s="106" customFormat="1" ht="10.15">
      <c r="B64" s="181"/>
      <c r="C64" s="180"/>
      <c r="D64" s="179"/>
      <c r="E64" s="178"/>
      <c r="F64" s="178"/>
      <c r="G64" s="178"/>
      <c r="H64" s="178"/>
      <c r="I64" s="179"/>
      <c r="J64" s="178"/>
      <c r="K64" s="178"/>
      <c r="L64" s="178"/>
      <c r="M64" s="178"/>
      <c r="N64" s="179"/>
      <c r="O64" s="178"/>
      <c r="P64" s="178"/>
      <c r="Q64" s="178"/>
      <c r="R64" s="178"/>
      <c r="S64" s="177"/>
      <c r="T64" s="178"/>
      <c r="U64" s="178"/>
      <c r="V64" s="178"/>
      <c r="W64" s="178"/>
      <c r="X64" s="177"/>
      <c r="Y64" s="178"/>
      <c r="Z64" s="361"/>
      <c r="AA64" s="361"/>
      <c r="AB64" s="178"/>
      <c r="AC64" s="177"/>
      <c r="AD64" s="361"/>
      <c r="AE64" s="361"/>
      <c r="AF64" s="361"/>
      <c r="AG64" s="361"/>
      <c r="AH64" s="177"/>
      <c r="AI64" s="361"/>
      <c r="AJ64" s="178"/>
      <c r="AK64" s="178"/>
      <c r="AL64" s="178"/>
      <c r="AM64" s="177"/>
      <c r="AN64" s="178"/>
      <c r="AO64" s="178"/>
      <c r="AP64" s="178"/>
      <c r="AQ64" s="178"/>
      <c r="AR64" s="177"/>
      <c r="AS64" s="178"/>
      <c r="AT64" s="178"/>
      <c r="AU64" s="178"/>
      <c r="AV64" s="178"/>
      <c r="AW64" s="177"/>
      <c r="AX64" s="178"/>
      <c r="AY64" s="178"/>
      <c r="AZ64" s="178"/>
      <c r="BA64" s="820"/>
      <c r="BB64" s="177"/>
      <c r="BC64" s="820"/>
      <c r="BD64" s="178"/>
      <c r="BE64" s="178"/>
      <c r="BF64" s="178"/>
      <c r="BG64" s="177"/>
      <c r="BH64" s="178"/>
      <c r="BI64" s="178"/>
      <c r="BJ64" s="178"/>
      <c r="BK64" s="178"/>
      <c r="BL64" s="177"/>
      <c r="BM64" s="178"/>
      <c r="BN64" s="178"/>
      <c r="BO64" s="178"/>
      <c r="BP64" s="178"/>
      <c r="BQ64" s="177"/>
      <c r="BR64" s="178"/>
      <c r="BS64" s="178"/>
      <c r="BT64" s="178"/>
      <c r="BU64" s="178"/>
      <c r="BV64" s="177"/>
      <c r="BW64" s="178"/>
      <c r="BX64" s="178"/>
      <c r="BY64" s="178"/>
      <c r="BZ64" s="178"/>
      <c r="CA64" s="177"/>
    </row>
    <row r="65" spans="2:79" ht="13.15">
      <c r="B65" s="176" t="s">
        <v>117</v>
      </c>
      <c r="C65" s="169"/>
      <c r="D65" s="123"/>
      <c r="E65" s="105"/>
      <c r="F65" s="105"/>
      <c r="G65" s="105"/>
      <c r="H65" s="105"/>
      <c r="I65" s="123"/>
      <c r="J65" s="105"/>
      <c r="K65" s="105"/>
      <c r="L65" s="105"/>
      <c r="M65" s="105"/>
      <c r="N65" s="123"/>
      <c r="O65" s="105"/>
      <c r="P65" s="105"/>
      <c r="Q65" s="105"/>
      <c r="R65" s="105"/>
      <c r="S65" s="158"/>
      <c r="T65" s="105"/>
      <c r="U65" s="105"/>
      <c r="V65" s="105"/>
      <c r="W65" s="105"/>
      <c r="X65" s="158"/>
      <c r="Y65" s="105"/>
      <c r="Z65" s="162"/>
      <c r="AA65" s="162"/>
      <c r="AB65" s="105"/>
      <c r="AC65" s="174"/>
      <c r="AD65" s="162"/>
      <c r="AE65" s="162"/>
      <c r="AF65" s="162"/>
      <c r="AG65" s="105"/>
      <c r="AH65" s="174"/>
      <c r="AI65" s="162"/>
      <c r="AJ65" s="105"/>
      <c r="AK65" s="105"/>
      <c r="AL65" s="105"/>
      <c r="AM65" s="174"/>
      <c r="AN65" s="105"/>
      <c r="AO65" s="105"/>
      <c r="AP65" s="105"/>
      <c r="AQ65" s="105"/>
      <c r="AR65" s="174"/>
      <c r="AS65" s="105"/>
      <c r="AT65" s="105"/>
      <c r="AU65" s="105"/>
      <c r="AV65" s="105"/>
      <c r="AW65" s="174"/>
      <c r="AX65" s="105"/>
      <c r="AY65" s="105"/>
      <c r="AZ65" s="105"/>
      <c r="BA65" s="817"/>
      <c r="BB65" s="174"/>
      <c r="BC65" s="817"/>
      <c r="BD65" s="105"/>
      <c r="BE65" s="105"/>
      <c r="BF65" s="105"/>
      <c r="BG65" s="174"/>
      <c r="BH65" s="105"/>
      <c r="BI65" s="105"/>
      <c r="BJ65" s="105"/>
      <c r="BK65" s="105"/>
      <c r="BL65" s="174"/>
      <c r="BM65" s="105"/>
      <c r="BN65" s="105"/>
      <c r="BO65" s="105"/>
      <c r="BP65" s="105"/>
      <c r="BQ65" s="174"/>
      <c r="BR65" s="105"/>
      <c r="BS65" s="105"/>
      <c r="BT65" s="105"/>
      <c r="BU65" s="105"/>
      <c r="BV65" s="174"/>
      <c r="BW65" s="105"/>
      <c r="BX65" s="105"/>
      <c r="BY65" s="105"/>
      <c r="BZ65" s="105"/>
      <c r="CA65" s="174"/>
    </row>
    <row r="66" spans="2:79" ht="25.9">
      <c r="B66" s="176"/>
      <c r="C66" s="904" t="s">
        <v>500</v>
      </c>
      <c r="D66" s="123"/>
      <c r="E66" s="105"/>
      <c r="F66" s="105"/>
      <c r="G66" s="105"/>
      <c r="H66" s="105"/>
      <c r="I66" s="123"/>
      <c r="J66" s="105"/>
      <c r="K66" s="105"/>
      <c r="L66" s="105"/>
      <c r="M66" s="105"/>
      <c r="N66" s="123"/>
      <c r="O66" s="105"/>
      <c r="P66" s="105"/>
      <c r="Q66" s="105"/>
      <c r="R66" s="105"/>
      <c r="S66" s="158"/>
      <c r="T66" s="105"/>
      <c r="U66" s="105"/>
      <c r="V66" s="105"/>
      <c r="W66" s="105"/>
      <c r="X66" s="158"/>
      <c r="Y66" s="105"/>
      <c r="Z66" s="162"/>
      <c r="AA66" s="162"/>
      <c r="AB66" s="105"/>
      <c r="AC66" s="174"/>
      <c r="AD66" s="162"/>
      <c r="AE66" s="162"/>
      <c r="AF66" s="162"/>
      <c r="AG66" s="105"/>
      <c r="AH66" s="174"/>
      <c r="AI66" s="162"/>
      <c r="AJ66" s="105"/>
      <c r="AK66" s="105"/>
      <c r="AL66" s="105"/>
      <c r="AM66" s="174"/>
      <c r="AN66" s="105"/>
      <c r="AO66" s="105"/>
      <c r="AP66" s="105"/>
      <c r="AQ66" s="105"/>
      <c r="AR66" s="174"/>
      <c r="AS66" s="105"/>
      <c r="AT66" s="105"/>
      <c r="AU66" s="105"/>
      <c r="AV66" s="105"/>
      <c r="AW66" s="174"/>
      <c r="AX66" s="105"/>
      <c r="AY66" s="105"/>
      <c r="AZ66" s="105"/>
      <c r="BA66" s="817"/>
      <c r="BB66" s="174"/>
      <c r="BC66" s="817"/>
      <c r="BD66" s="105"/>
      <c r="BE66" s="105"/>
      <c r="BF66" s="105"/>
      <c r="BG66" s="174"/>
      <c r="BH66" s="105"/>
      <c r="BI66" s="105"/>
      <c r="BJ66" s="105"/>
      <c r="BK66" s="105"/>
      <c r="BL66" s="174"/>
      <c r="BM66" s="105">
        <v>728873</v>
      </c>
      <c r="BN66" s="105">
        <f>728843-BM66</f>
        <v>-30</v>
      </c>
      <c r="BO66" s="105">
        <f>728843-BN66-BM66</f>
        <v>0</v>
      </c>
      <c r="BP66" s="105">
        <f>731055-BO66-BN66-BM66</f>
        <v>2212</v>
      </c>
      <c r="BQ66" s="95">
        <f>SUM(BM66:BP66)</f>
        <v>731055</v>
      </c>
      <c r="BR66" s="105"/>
      <c r="BS66" s="105"/>
      <c r="BT66" s="105"/>
      <c r="BU66" s="105"/>
      <c r="BV66" s="174"/>
      <c r="BW66" s="105"/>
      <c r="BX66" s="105"/>
      <c r="BY66" s="105"/>
      <c r="BZ66" s="105"/>
      <c r="CA66" s="174"/>
    </row>
    <row r="67" spans="2:79" ht="13.15">
      <c r="B67" s="176"/>
      <c r="C67" s="169" t="s">
        <v>224</v>
      </c>
      <c r="D67" s="123">
        <v>7908</v>
      </c>
      <c r="E67" s="175">
        <v>0</v>
      </c>
      <c r="F67" s="96">
        <v>11875</v>
      </c>
      <c r="G67" s="96">
        <v>0</v>
      </c>
      <c r="H67" s="96">
        <v>0</v>
      </c>
      <c r="I67" s="123">
        <f>SUM(E67:H67)</f>
        <v>11875</v>
      </c>
      <c r="J67" s="175">
        <v>0</v>
      </c>
      <c r="K67" s="96">
        <v>21794</v>
      </c>
      <c r="L67" s="96">
        <v>0</v>
      </c>
      <c r="M67" s="96">
        <v>0</v>
      </c>
      <c r="N67" s="123">
        <f>SUM(J67:M67)</f>
        <v>21794</v>
      </c>
      <c r="O67" s="175"/>
      <c r="P67" s="96">
        <v>0</v>
      </c>
      <c r="Q67" s="96">
        <v>0</v>
      </c>
      <c r="R67" s="96">
        <v>0</v>
      </c>
      <c r="S67" s="95">
        <f>SUM(O67:R67)</f>
        <v>0</v>
      </c>
      <c r="T67" s="96">
        <v>0</v>
      </c>
      <c r="U67" s="96">
        <v>0</v>
      </c>
      <c r="V67" s="96">
        <v>0</v>
      </c>
      <c r="W67" s="96">
        <v>0</v>
      </c>
      <c r="X67" s="95">
        <f>SUM(T67:W67)</f>
        <v>0</v>
      </c>
      <c r="Y67" s="175"/>
      <c r="Z67" s="183"/>
      <c r="AA67" s="183"/>
      <c r="AB67" s="175"/>
      <c r="AC67" s="95">
        <f>SUM(Y67:AB67)</f>
        <v>0</v>
      </c>
      <c r="AD67" s="183"/>
      <c r="AE67" s="183"/>
      <c r="AF67" s="183"/>
      <c r="AG67" s="175"/>
      <c r="AH67" s="174">
        <f>SUM(AD67:AG67)</f>
        <v>0</v>
      </c>
      <c r="AI67" s="175"/>
      <c r="AJ67" s="175">
        <v>250804</v>
      </c>
      <c r="AK67" s="175">
        <f>250714-AJ67</f>
        <v>-90</v>
      </c>
      <c r="AL67" s="175">
        <f>AM67-AK67-AJ67-AI67</f>
        <v>-3</v>
      </c>
      <c r="AM67" s="95">
        <v>250711</v>
      </c>
      <c r="AN67" s="175"/>
      <c r="AO67" s="175"/>
      <c r="AP67" s="175"/>
      <c r="AQ67" s="175">
        <f>AR67-AP67-AO67-AN67</f>
        <v>0</v>
      </c>
      <c r="AR67" s="95"/>
      <c r="AS67" s="175"/>
      <c r="AT67" s="175">
        <f>728812.5-181462</f>
        <v>547350.5</v>
      </c>
      <c r="AU67" s="175">
        <f>728812-AT67-AS67</f>
        <v>181461.5</v>
      </c>
      <c r="AV67" s="175">
        <f>AW67-AU67-AT67-AS67</f>
        <v>0</v>
      </c>
      <c r="AW67" s="95">
        <v>728812</v>
      </c>
      <c r="AX67" s="175"/>
      <c r="AY67" s="175"/>
      <c r="AZ67" s="175"/>
      <c r="BA67" s="676"/>
      <c r="BB67" s="95">
        <f>SUM(AX67:BA67)</f>
        <v>0</v>
      </c>
      <c r="BC67" s="676"/>
      <c r="BD67" s="175"/>
      <c r="BE67" s="175"/>
      <c r="BF67" s="175"/>
      <c r="BG67" s="95">
        <f>SUM(BC67:BF67)</f>
        <v>0</v>
      </c>
      <c r="BH67" s="175"/>
      <c r="BI67" s="175"/>
      <c r="BJ67" s="175"/>
      <c r="BK67" s="175"/>
      <c r="BL67" s="95">
        <f>SUM(BH67:BK67)</f>
        <v>0</v>
      </c>
      <c r="BM67" s="175"/>
      <c r="BN67" s="175"/>
      <c r="BO67" s="175"/>
      <c r="BP67" s="175"/>
      <c r="BQ67" s="95">
        <f>SUM(BM67:BP67)</f>
        <v>0</v>
      </c>
      <c r="BR67" s="175"/>
      <c r="BS67" s="175"/>
      <c r="BT67" s="175"/>
      <c r="BU67" s="175"/>
      <c r="BV67" s="95">
        <f>SUM(BR67:BU67)</f>
        <v>0</v>
      </c>
      <c r="BW67" s="175"/>
      <c r="BX67" s="175"/>
      <c r="BY67" s="175"/>
      <c r="BZ67" s="175"/>
      <c r="CA67" s="95">
        <f>SUM(BW67:BZ67)</f>
        <v>0</v>
      </c>
    </row>
    <row r="68" spans="2:79" ht="13.15">
      <c r="B68" s="176"/>
      <c r="C68" s="169" t="s">
        <v>270</v>
      </c>
      <c r="D68" s="123"/>
      <c r="E68" s="175"/>
      <c r="F68" s="96"/>
      <c r="G68" s="96"/>
      <c r="H68" s="96"/>
      <c r="I68" s="123"/>
      <c r="J68" s="175"/>
      <c r="K68" s="96"/>
      <c r="L68" s="96"/>
      <c r="M68" s="96"/>
      <c r="N68" s="123"/>
      <c r="O68" s="175"/>
      <c r="P68" s="96"/>
      <c r="Q68" s="96"/>
      <c r="R68" s="96"/>
      <c r="S68" s="95"/>
      <c r="T68" s="96"/>
      <c r="U68" s="96"/>
      <c r="V68" s="96"/>
      <c r="W68" s="96"/>
      <c r="X68" s="95"/>
      <c r="Y68" s="175"/>
      <c r="Z68" s="183"/>
      <c r="AA68" s="183"/>
      <c r="AB68" s="175"/>
      <c r="AC68" s="95"/>
      <c r="AD68" s="183"/>
      <c r="AE68" s="183"/>
      <c r="AF68" s="183"/>
      <c r="AG68" s="175"/>
      <c r="AH68" s="174"/>
      <c r="AI68" s="175"/>
      <c r="AJ68" s="175">
        <v>-31412</v>
      </c>
      <c r="AK68" s="175"/>
      <c r="AL68" s="175">
        <f t="shared" ref="AL68:AL88" si="43">AM68-AK68-AJ68-AI68</f>
        <v>0</v>
      </c>
      <c r="AM68" s="95">
        <v>-31412</v>
      </c>
      <c r="AN68" s="175"/>
      <c r="AO68" s="175"/>
      <c r="AP68" s="175"/>
      <c r="AQ68" s="175">
        <f t="shared" ref="AQ68:AQ88" si="44">AR68-AP68-AO68-AN68</f>
        <v>0</v>
      </c>
      <c r="AR68" s="95"/>
      <c r="AS68" s="175"/>
      <c r="AT68" s="175">
        <f>-90448</f>
        <v>-90448</v>
      </c>
      <c r="AU68" s="175">
        <f>-90448-AT68-AS68</f>
        <v>0</v>
      </c>
      <c r="AV68" s="175">
        <f t="shared" ref="AV68:AV88" si="45">AW68-AU68-AT68-AS68</f>
        <v>0</v>
      </c>
      <c r="AW68" s="95">
        <v>-90448</v>
      </c>
      <c r="AX68" s="175"/>
      <c r="AY68" s="175"/>
      <c r="AZ68" s="175"/>
      <c r="BA68" s="676"/>
      <c r="BB68" s="95">
        <f t="shared" ref="BB68:BB88" si="46">SUM(AX68:BA68)</f>
        <v>0</v>
      </c>
      <c r="BC68" s="676"/>
      <c r="BD68" s="175"/>
      <c r="BE68" s="175"/>
      <c r="BF68" s="175"/>
      <c r="BG68" s="95">
        <f t="shared" ref="BG68:BG88" si="47">SUM(BC68:BF68)</f>
        <v>0</v>
      </c>
      <c r="BH68" s="175"/>
      <c r="BI68" s="175">
        <f>74453-BH68</f>
        <v>74453</v>
      </c>
      <c r="BJ68" s="175"/>
      <c r="BK68" s="175"/>
      <c r="BL68" s="95">
        <f t="shared" ref="BL68:BL88" si="48">SUM(BH68:BK68)</f>
        <v>74453</v>
      </c>
      <c r="BM68" s="175">
        <v>-93438</v>
      </c>
      <c r="BN68" s="175">
        <f>+-93438-BM68</f>
        <v>0</v>
      </c>
      <c r="BO68" s="175">
        <f>+-93438-BM68</f>
        <v>0</v>
      </c>
      <c r="BP68" s="175"/>
      <c r="BQ68" s="95">
        <f t="shared" ref="BQ68:BQ77" si="49">SUM(BM68:BP68)</f>
        <v>-93438</v>
      </c>
      <c r="BR68" s="175"/>
      <c r="BS68" s="175">
        <v>-434405</v>
      </c>
      <c r="BT68" s="175">
        <f>-434405-BS68-BR68</f>
        <v>0</v>
      </c>
      <c r="BU68" s="175">
        <f>-434405-BT68-BS68</f>
        <v>0</v>
      </c>
      <c r="BV68" s="95">
        <f t="shared" ref="BV68:BV73" si="50">SUM(BR68:BU68)</f>
        <v>-434405</v>
      </c>
      <c r="BW68" s="175"/>
      <c r="BX68" s="175"/>
      <c r="BY68" s="175"/>
      <c r="BZ68" s="175"/>
      <c r="CA68" s="95">
        <f>SUM(BW68:BZ68)</f>
        <v>0</v>
      </c>
    </row>
    <row r="69" spans="2:79" ht="25.9">
      <c r="B69" s="176"/>
      <c r="C69" s="904" t="s">
        <v>501</v>
      </c>
      <c r="D69" s="123"/>
      <c r="E69" s="175"/>
      <c r="F69" s="96"/>
      <c r="G69" s="96"/>
      <c r="H69" s="96"/>
      <c r="I69" s="123"/>
      <c r="J69" s="175"/>
      <c r="K69" s="96"/>
      <c r="L69" s="96"/>
      <c r="M69" s="96"/>
      <c r="N69" s="123"/>
      <c r="O69" s="175"/>
      <c r="P69" s="96"/>
      <c r="Q69" s="96"/>
      <c r="R69" s="96"/>
      <c r="S69" s="95"/>
      <c r="T69" s="96"/>
      <c r="U69" s="96"/>
      <c r="V69" s="96"/>
      <c r="W69" s="96"/>
      <c r="X69" s="95"/>
      <c r="Y69" s="175"/>
      <c r="Z69" s="183"/>
      <c r="AA69" s="183"/>
      <c r="AB69" s="175"/>
      <c r="AC69" s="95"/>
      <c r="AD69" s="183"/>
      <c r="AE69" s="183"/>
      <c r="AF69" s="183"/>
      <c r="AG69" s="175"/>
      <c r="AH69" s="174"/>
      <c r="AI69" s="175"/>
      <c r="AJ69" s="175"/>
      <c r="AK69" s="175"/>
      <c r="AL69" s="175"/>
      <c r="AM69" s="95"/>
      <c r="AN69" s="175"/>
      <c r="AO69" s="175"/>
      <c r="AP69" s="175"/>
      <c r="AQ69" s="175"/>
      <c r="AR69" s="95"/>
      <c r="AS69" s="175"/>
      <c r="AT69" s="175"/>
      <c r="AU69" s="175">
        <f>-186465</f>
        <v>-186465</v>
      </c>
      <c r="AV69" s="175">
        <f>AW69-AU69-AT69-AS69</f>
        <v>-13885</v>
      </c>
      <c r="AW69" s="95">
        <v>-200350</v>
      </c>
      <c r="AX69" s="175">
        <v>-7840</v>
      </c>
      <c r="AY69" s="175">
        <f>-17622-AX69</f>
        <v>-9782</v>
      </c>
      <c r="AZ69" s="175">
        <f>-18870-AY69-AX69</f>
        <v>-1248</v>
      </c>
      <c r="BA69" s="676">
        <f>-24688-AZ69-AY69-AX69</f>
        <v>-5818</v>
      </c>
      <c r="BB69" s="95">
        <f t="shared" si="46"/>
        <v>-24688</v>
      </c>
      <c r="BC69" s="676">
        <v>-31905</v>
      </c>
      <c r="BD69" s="175">
        <f>+-34034-BC69</f>
        <v>-2129</v>
      </c>
      <c r="BE69" s="175">
        <f>+-34057-BD69-BC69</f>
        <v>-23</v>
      </c>
      <c r="BF69" s="175">
        <f>-34067-BE69-BD69-BC69</f>
        <v>-10</v>
      </c>
      <c r="BG69" s="95">
        <f t="shared" si="47"/>
        <v>-34067</v>
      </c>
      <c r="BH69" s="175"/>
      <c r="BI69" s="175">
        <f>+-169-BH69</f>
        <v>-169</v>
      </c>
      <c r="BJ69" s="175"/>
      <c r="BK69" s="175">
        <f>+-169-BJ69-BI69</f>
        <v>0</v>
      </c>
      <c r="BL69" s="95">
        <f t="shared" si="48"/>
        <v>-169</v>
      </c>
      <c r="BM69" s="175">
        <v>-304485</v>
      </c>
      <c r="BN69" s="175">
        <f>-304485-BM69</f>
        <v>0</v>
      </c>
      <c r="BO69" s="175">
        <f>+-304485-BM69</f>
        <v>0</v>
      </c>
      <c r="BP69" s="175"/>
      <c r="BQ69" s="95">
        <f t="shared" si="49"/>
        <v>-304485</v>
      </c>
      <c r="BR69" s="175"/>
      <c r="BS69" s="175"/>
      <c r="BT69" s="175"/>
      <c r="BU69" s="175"/>
      <c r="BV69" s="95">
        <f t="shared" si="50"/>
        <v>0</v>
      </c>
      <c r="BW69" s="175"/>
      <c r="BX69" s="175"/>
      <c r="BY69" s="175"/>
      <c r="BZ69" s="175"/>
      <c r="CA69" s="95">
        <f>SUM(BW69:BZ69)</f>
        <v>0</v>
      </c>
    </row>
    <row r="70" spans="2:79" ht="38.65">
      <c r="B70" s="176"/>
      <c r="C70" s="904" t="s">
        <v>502</v>
      </c>
      <c r="D70" s="123"/>
      <c r="E70" s="175"/>
      <c r="F70" s="96"/>
      <c r="G70" s="96"/>
      <c r="H70" s="96"/>
      <c r="I70" s="123"/>
      <c r="J70" s="175"/>
      <c r="K70" s="96"/>
      <c r="L70" s="96"/>
      <c r="M70" s="96"/>
      <c r="N70" s="123"/>
      <c r="O70" s="175"/>
      <c r="P70" s="96"/>
      <c r="Q70" s="96"/>
      <c r="R70" s="96"/>
      <c r="S70" s="95"/>
      <c r="T70" s="96"/>
      <c r="U70" s="96"/>
      <c r="V70" s="96"/>
      <c r="W70" s="96"/>
      <c r="X70" s="95"/>
      <c r="Y70" s="175"/>
      <c r="Z70" s="183"/>
      <c r="AA70" s="183"/>
      <c r="AB70" s="175"/>
      <c r="AC70" s="95"/>
      <c r="AD70" s="183"/>
      <c r="AE70" s="183"/>
      <c r="AF70" s="183"/>
      <c r="AG70" s="175"/>
      <c r="AH70" s="174"/>
      <c r="AI70" s="175"/>
      <c r="AJ70" s="175"/>
      <c r="AK70" s="175"/>
      <c r="AL70" s="175"/>
      <c r="AM70" s="95"/>
      <c r="AN70" s="175"/>
      <c r="AO70" s="175"/>
      <c r="AP70" s="175"/>
      <c r="AQ70" s="175"/>
      <c r="AR70" s="95"/>
      <c r="AS70" s="175"/>
      <c r="AT70" s="175"/>
      <c r="AU70" s="175"/>
      <c r="AV70" s="175"/>
      <c r="AW70" s="95"/>
      <c r="AX70" s="175"/>
      <c r="AY70" s="175"/>
      <c r="AZ70" s="175"/>
      <c r="BA70" s="676"/>
      <c r="BB70" s="95"/>
      <c r="BC70" s="676"/>
      <c r="BD70" s="175"/>
      <c r="BE70" s="175"/>
      <c r="BF70" s="175"/>
      <c r="BG70" s="95"/>
      <c r="BH70" s="175"/>
      <c r="BI70" s="175"/>
      <c r="BJ70" s="175"/>
      <c r="BK70" s="175"/>
      <c r="BL70" s="95"/>
      <c r="BM70" s="175">
        <v>539</v>
      </c>
      <c r="BN70" s="175">
        <f>539-BM70</f>
        <v>0</v>
      </c>
      <c r="BO70" s="175">
        <f>539-BM70</f>
        <v>0</v>
      </c>
      <c r="BP70" s="175"/>
      <c r="BQ70" s="95">
        <f t="shared" si="49"/>
        <v>539</v>
      </c>
      <c r="BR70" s="175"/>
      <c r="BS70" s="175"/>
      <c r="BT70" s="175"/>
      <c r="BU70" s="175"/>
      <c r="BV70" s="95"/>
      <c r="BW70" s="175"/>
      <c r="BX70" s="175"/>
      <c r="BY70" s="175"/>
      <c r="BZ70" s="175"/>
      <c r="CA70" s="95"/>
    </row>
    <row r="71" spans="2:79" ht="13.15">
      <c r="B71" s="176"/>
      <c r="C71" s="169" t="s">
        <v>225</v>
      </c>
      <c r="D71" s="123"/>
      <c r="E71" s="175"/>
      <c r="F71" s="175"/>
      <c r="G71" s="175"/>
      <c r="H71" s="175"/>
      <c r="I71" s="123">
        <f t="shared" ref="I71:I88" si="51">SUM(E71:H71)</f>
        <v>0</v>
      </c>
      <c r="J71" s="175"/>
      <c r="K71" s="175"/>
      <c r="L71" s="175"/>
      <c r="M71" s="175"/>
      <c r="N71" s="123">
        <f t="shared" ref="N71:N88" si="52">SUM(J71:M71)</f>
        <v>0</v>
      </c>
      <c r="O71" s="175"/>
      <c r="P71" s="175">
        <v>0</v>
      </c>
      <c r="Q71" s="175">
        <v>0</v>
      </c>
      <c r="R71" s="175">
        <v>0</v>
      </c>
      <c r="S71" s="95">
        <f t="shared" ref="S71:S86" si="53">SUM(O71:R71)</f>
        <v>0</v>
      </c>
      <c r="T71" s="96">
        <v>0</v>
      </c>
      <c r="U71" s="96">
        <v>0</v>
      </c>
      <c r="V71" s="96">
        <v>0</v>
      </c>
      <c r="W71" s="96">
        <v>0</v>
      </c>
      <c r="X71" s="95">
        <f t="shared" ref="X71:X88" si="54">SUM(T71:W71)</f>
        <v>0</v>
      </c>
      <c r="Y71" s="175"/>
      <c r="Z71" s="183"/>
      <c r="AA71" s="183"/>
      <c r="AB71" s="175"/>
      <c r="AC71" s="95">
        <f t="shared" ref="AC71:AC88" si="55">SUM(Y71:AB71)</f>
        <v>0</v>
      </c>
      <c r="AD71" s="183"/>
      <c r="AE71" s="183"/>
      <c r="AF71" s="183"/>
      <c r="AG71" s="175"/>
      <c r="AH71" s="95">
        <f t="shared" ref="AH71:AH88" si="56">SUM(AD71:AG71)</f>
        <v>0</v>
      </c>
      <c r="AI71" s="175"/>
      <c r="AJ71" s="175"/>
      <c r="AK71" s="175"/>
      <c r="AL71" s="175">
        <f t="shared" si="43"/>
        <v>0</v>
      </c>
      <c r="AM71" s="95">
        <v>0</v>
      </c>
      <c r="AN71" s="175"/>
      <c r="AO71" s="175"/>
      <c r="AP71" s="175"/>
      <c r="AQ71" s="175">
        <f t="shared" si="44"/>
        <v>0</v>
      </c>
      <c r="AR71" s="95"/>
      <c r="AS71" s="175"/>
      <c r="AT71" s="175"/>
      <c r="AU71" s="175"/>
      <c r="AV71" s="175">
        <f t="shared" si="45"/>
        <v>0</v>
      </c>
      <c r="AW71" s="95">
        <v>0</v>
      </c>
      <c r="AX71" s="175"/>
      <c r="AY71" s="175"/>
      <c r="AZ71" s="175"/>
      <c r="BA71" s="676"/>
      <c r="BB71" s="95">
        <f t="shared" si="46"/>
        <v>0</v>
      </c>
      <c r="BC71" s="676"/>
      <c r="BD71" s="175"/>
      <c r="BE71" s="175"/>
      <c r="BF71" s="175"/>
      <c r="BG71" s="95">
        <f t="shared" si="47"/>
        <v>0</v>
      </c>
      <c r="BH71" s="175"/>
      <c r="BI71" s="175"/>
      <c r="BJ71" s="175"/>
      <c r="BK71" s="175"/>
      <c r="BL71" s="95">
        <f t="shared" si="48"/>
        <v>0</v>
      </c>
      <c r="BM71" s="175"/>
      <c r="BN71" s="175"/>
      <c r="BO71" s="175"/>
      <c r="BP71" s="175"/>
      <c r="BQ71" s="95">
        <f t="shared" si="49"/>
        <v>0</v>
      </c>
      <c r="BR71" s="175"/>
      <c r="BS71" s="175"/>
      <c r="BT71" s="175"/>
      <c r="BU71" s="175"/>
      <c r="BV71" s="95">
        <f t="shared" si="50"/>
        <v>0</v>
      </c>
      <c r="BW71" s="175"/>
      <c r="BX71" s="175"/>
      <c r="BY71" s="175"/>
      <c r="BZ71" s="175"/>
      <c r="CA71" s="95">
        <f>SUM(BW71:BZ71)</f>
        <v>0</v>
      </c>
    </row>
    <row r="72" spans="2:79" ht="13.15">
      <c r="B72" s="176"/>
      <c r="C72" s="169" t="s">
        <v>226</v>
      </c>
      <c r="D72" s="123">
        <v>109</v>
      </c>
      <c r="E72" s="175">
        <v>72</v>
      </c>
      <c r="F72" s="175">
        <v>21</v>
      </c>
      <c r="G72" s="175">
        <v>23</v>
      </c>
      <c r="H72" s="175">
        <v>4</v>
      </c>
      <c r="I72" s="123">
        <f t="shared" si="51"/>
        <v>120</v>
      </c>
      <c r="J72" s="175">
        <v>87</v>
      </c>
      <c r="K72" s="175">
        <v>71</v>
      </c>
      <c r="L72" s="175">
        <v>11</v>
      </c>
      <c r="M72" s="175">
        <v>432</v>
      </c>
      <c r="N72" s="123">
        <f t="shared" si="52"/>
        <v>601</v>
      </c>
      <c r="O72" s="175">
        <v>556</v>
      </c>
      <c r="P72" s="175">
        <v>149</v>
      </c>
      <c r="Q72" s="175">
        <v>62</v>
      </c>
      <c r="R72" s="175">
        <v>445</v>
      </c>
      <c r="S72" s="95">
        <f t="shared" si="53"/>
        <v>1212</v>
      </c>
      <c r="T72" s="96">
        <v>116</v>
      </c>
      <c r="U72" s="96">
        <v>233</v>
      </c>
      <c r="V72" s="96">
        <v>70</v>
      </c>
      <c r="W72" s="96">
        <v>847</v>
      </c>
      <c r="X72" s="95">
        <f t="shared" si="54"/>
        <v>1266</v>
      </c>
      <c r="Y72" s="175">
        <v>2397</v>
      </c>
      <c r="Z72" s="183">
        <f>3352-Y72</f>
        <v>955</v>
      </c>
      <c r="AA72" s="183">
        <f>4050-Z72-Y72</f>
        <v>698</v>
      </c>
      <c r="AB72" s="175">
        <f>4286-AA72-Z72-Y72</f>
        <v>236</v>
      </c>
      <c r="AC72" s="95">
        <f t="shared" si="55"/>
        <v>4286</v>
      </c>
      <c r="AD72" s="183">
        <v>793</v>
      </c>
      <c r="AE72" s="183">
        <f>2303-AD72</f>
        <v>1510</v>
      </c>
      <c r="AF72" s="183">
        <f>3280-AE72-AD72</f>
        <v>977</v>
      </c>
      <c r="AG72" s="175">
        <f>6035-AF72-AE72-AD72</f>
        <v>2755</v>
      </c>
      <c r="AH72" s="95">
        <f t="shared" si="56"/>
        <v>6035</v>
      </c>
      <c r="AI72" s="175">
        <v>4751</v>
      </c>
      <c r="AJ72" s="175">
        <f>5821-AI72</f>
        <v>1070</v>
      </c>
      <c r="AK72" s="175">
        <f>7111-AJ72-AI72</f>
        <v>1290</v>
      </c>
      <c r="AL72" s="175">
        <f t="shared" si="43"/>
        <v>668</v>
      </c>
      <c r="AM72" s="95">
        <v>7779</v>
      </c>
      <c r="AN72" s="175">
        <v>982</v>
      </c>
      <c r="AO72" s="175">
        <f>4248-AN72</f>
        <v>3266</v>
      </c>
      <c r="AP72" s="175">
        <f>6097-AO72-AN72</f>
        <v>1849</v>
      </c>
      <c r="AQ72" s="175">
        <f t="shared" si="44"/>
        <v>1608</v>
      </c>
      <c r="AR72" s="95">
        <v>7705</v>
      </c>
      <c r="AS72" s="175">
        <v>2596</v>
      </c>
      <c r="AT72" s="175">
        <f>6080-AS72</f>
        <v>3484</v>
      </c>
      <c r="AU72" s="175">
        <f>8928-AT72-AS72</f>
        <v>2848</v>
      </c>
      <c r="AV72" s="175">
        <f>AW72-AU72-AT72-AS72</f>
        <v>2728</v>
      </c>
      <c r="AW72" s="95">
        <v>11656</v>
      </c>
      <c r="AX72" s="175">
        <v>2215</v>
      </c>
      <c r="AY72" s="175">
        <f>4439-AX72</f>
        <v>2224</v>
      </c>
      <c r="AZ72" s="175">
        <f>6029-AY72-AX72</f>
        <v>1590</v>
      </c>
      <c r="BA72" s="676">
        <f>7402-AZ72-AY72-AX72</f>
        <v>1373</v>
      </c>
      <c r="BB72" s="95">
        <f t="shared" si="46"/>
        <v>7402</v>
      </c>
      <c r="BC72" s="676">
        <v>1277</v>
      </c>
      <c r="BD72" s="175">
        <f>3005-BC72</f>
        <v>1728</v>
      </c>
      <c r="BE72" s="175">
        <f>5358-BD72-BC72</f>
        <v>2353</v>
      </c>
      <c r="BF72" s="175">
        <f>8522-BE72-BD72-BC72</f>
        <v>3164</v>
      </c>
      <c r="BG72" s="95">
        <f t="shared" si="47"/>
        <v>8522</v>
      </c>
      <c r="BH72" s="175">
        <v>3125</v>
      </c>
      <c r="BI72" s="175">
        <f>6981-BH72</f>
        <v>3856</v>
      </c>
      <c r="BJ72" s="175">
        <f>8315-BI72-BH72</f>
        <v>1334</v>
      </c>
      <c r="BK72" s="175">
        <f>9127-BJ72-BI72-BH72</f>
        <v>812</v>
      </c>
      <c r="BL72" s="95">
        <f t="shared" si="48"/>
        <v>9127</v>
      </c>
      <c r="BM72" s="175">
        <v>386</v>
      </c>
      <c r="BN72" s="175">
        <f>397-BM72</f>
        <v>11</v>
      </c>
      <c r="BO72" s="175">
        <f>423-BN72-BM72</f>
        <v>26</v>
      </c>
      <c r="BP72" s="175">
        <f>481-BO72-BN72-BM72</f>
        <v>58</v>
      </c>
      <c r="BQ72" s="95">
        <f t="shared" si="49"/>
        <v>481</v>
      </c>
      <c r="BR72" s="175"/>
      <c r="BS72" s="175">
        <v>30</v>
      </c>
      <c r="BT72" s="175">
        <f>3118-BS72-BR72</f>
        <v>3088</v>
      </c>
      <c r="BU72" s="175">
        <f>3137-BT72-BS72</f>
        <v>19</v>
      </c>
      <c r="BV72" s="95">
        <f t="shared" si="50"/>
        <v>3137</v>
      </c>
      <c r="BW72" s="175"/>
      <c r="BX72" s="175"/>
      <c r="BY72" s="175"/>
      <c r="BZ72" s="175"/>
      <c r="CA72" s="95">
        <f>SUM(BW72:BZ72)</f>
        <v>0</v>
      </c>
    </row>
    <row r="73" spans="2:79" ht="13.15">
      <c r="B73" s="176"/>
      <c r="C73" s="169" t="s">
        <v>271</v>
      </c>
      <c r="D73" s="123"/>
      <c r="E73" s="175"/>
      <c r="F73" s="175"/>
      <c r="G73" s="175"/>
      <c r="H73" s="175"/>
      <c r="I73" s="123"/>
      <c r="J73" s="175"/>
      <c r="K73" s="175"/>
      <c r="L73" s="175"/>
      <c r="M73" s="175"/>
      <c r="N73" s="123"/>
      <c r="O73" s="175"/>
      <c r="P73" s="175"/>
      <c r="Q73" s="175"/>
      <c r="R73" s="175"/>
      <c r="S73" s="95"/>
      <c r="T73" s="96"/>
      <c r="U73" s="96"/>
      <c r="V73" s="96"/>
      <c r="W73" s="96"/>
      <c r="X73" s="95"/>
      <c r="Y73" s="175"/>
      <c r="Z73" s="183"/>
      <c r="AA73" s="183"/>
      <c r="AB73" s="175"/>
      <c r="AC73" s="95"/>
      <c r="AD73" s="183"/>
      <c r="AE73" s="183"/>
      <c r="AF73" s="183"/>
      <c r="AG73" s="175"/>
      <c r="AH73" s="95"/>
      <c r="AI73" s="175"/>
      <c r="AJ73" s="175">
        <v>2884</v>
      </c>
      <c r="AK73" s="175">
        <f>2884-AJ73-AI73</f>
        <v>0</v>
      </c>
      <c r="AL73" s="175">
        <f t="shared" si="43"/>
        <v>2846</v>
      </c>
      <c r="AM73" s="95">
        <v>5730</v>
      </c>
      <c r="AN73" s="175"/>
      <c r="AO73" s="175">
        <f>3996-AN73</f>
        <v>3996</v>
      </c>
      <c r="AP73" s="175"/>
      <c r="AQ73" s="175">
        <f t="shared" si="44"/>
        <v>3827</v>
      </c>
      <c r="AR73" s="95">
        <v>7823</v>
      </c>
      <c r="AS73" s="175"/>
      <c r="AT73" s="175">
        <f>5666</f>
        <v>5666</v>
      </c>
      <c r="AU73" s="175">
        <f>5666-AT73-AS73</f>
        <v>0</v>
      </c>
      <c r="AV73" s="175">
        <f t="shared" si="45"/>
        <v>5803</v>
      </c>
      <c r="AW73" s="95">
        <v>11469</v>
      </c>
      <c r="AX73" s="175"/>
      <c r="AY73" s="175">
        <v>8128</v>
      </c>
      <c r="AZ73" s="175">
        <f>8128-AY73-AX73</f>
        <v>0</v>
      </c>
      <c r="BA73" s="676">
        <f>15397-AZ73-AY73-AX73</f>
        <v>7269</v>
      </c>
      <c r="BB73" s="95">
        <f t="shared" si="46"/>
        <v>15397</v>
      </c>
      <c r="BC73" s="676"/>
      <c r="BD73" s="175">
        <v>8338</v>
      </c>
      <c r="BE73" s="175">
        <f>8338-BD73-BC73</f>
        <v>0</v>
      </c>
      <c r="BF73" s="175">
        <f>13413-BE73-BD73-BC73</f>
        <v>5075</v>
      </c>
      <c r="BG73" s="95">
        <f t="shared" si="47"/>
        <v>13413</v>
      </c>
      <c r="BH73" s="175"/>
      <c r="BI73" s="175">
        <f>9444-BH73</f>
        <v>9444</v>
      </c>
      <c r="BJ73" s="175"/>
      <c r="BK73" s="175">
        <f>15927-BI73</f>
        <v>6483</v>
      </c>
      <c r="BL73" s="95">
        <f t="shared" si="48"/>
        <v>15927</v>
      </c>
      <c r="BM73" s="175"/>
      <c r="BN73" s="175">
        <f>9522-BM73</f>
        <v>9522</v>
      </c>
      <c r="BO73" s="175">
        <f>9522-BN73</f>
        <v>0</v>
      </c>
      <c r="BP73" s="175">
        <f>14797-BO73-BN73-BM73</f>
        <v>5275</v>
      </c>
      <c r="BQ73" s="95">
        <f t="shared" si="49"/>
        <v>14797</v>
      </c>
      <c r="BR73" s="175">
        <v>3</v>
      </c>
      <c r="BS73" s="175">
        <f>7921-BR73</f>
        <v>7918</v>
      </c>
      <c r="BT73" s="175">
        <f>7921-BS73-BR73</f>
        <v>0</v>
      </c>
      <c r="BU73" s="175">
        <f>12472-BT73-BS73-BR73</f>
        <v>4551</v>
      </c>
      <c r="BV73" s="95">
        <f t="shared" si="50"/>
        <v>12472</v>
      </c>
      <c r="BW73" s="175"/>
      <c r="BX73" s="175"/>
      <c r="BY73" s="175"/>
      <c r="BZ73" s="175"/>
      <c r="CA73" s="95">
        <f>SUM(BW73:BZ73)</f>
        <v>0</v>
      </c>
    </row>
    <row r="74" spans="2:79" ht="13.15">
      <c r="B74" s="176"/>
      <c r="C74" s="169" t="s">
        <v>496</v>
      </c>
      <c r="D74" s="123"/>
      <c r="E74" s="175"/>
      <c r="F74" s="175"/>
      <c r="G74" s="175"/>
      <c r="H74" s="175"/>
      <c r="I74" s="123"/>
      <c r="J74" s="175"/>
      <c r="K74" s="175"/>
      <c r="L74" s="175"/>
      <c r="M74" s="175"/>
      <c r="N74" s="123"/>
      <c r="O74" s="175"/>
      <c r="P74" s="175"/>
      <c r="Q74" s="175"/>
      <c r="R74" s="175"/>
      <c r="S74" s="95"/>
      <c r="T74" s="96"/>
      <c r="U74" s="96"/>
      <c r="V74" s="96"/>
      <c r="W74" s="96"/>
      <c r="X74" s="95"/>
      <c r="Y74" s="175"/>
      <c r="Z74" s="183"/>
      <c r="AA74" s="183"/>
      <c r="AB74" s="175"/>
      <c r="AC74" s="95"/>
      <c r="AD74" s="183"/>
      <c r="AE74" s="183"/>
      <c r="AF74" s="183"/>
      <c r="AG74" s="175"/>
      <c r="AH74" s="95"/>
      <c r="AI74" s="175"/>
      <c r="AJ74" s="175"/>
      <c r="AK74" s="175"/>
      <c r="AL74" s="175"/>
      <c r="AM74" s="95"/>
      <c r="AN74" s="175"/>
      <c r="AO74" s="175"/>
      <c r="AP74" s="175"/>
      <c r="AQ74" s="175"/>
      <c r="AR74" s="95"/>
      <c r="AS74" s="175"/>
      <c r="AT74" s="175"/>
      <c r="AU74" s="175"/>
      <c r="AV74" s="175"/>
      <c r="AW74" s="95"/>
      <c r="AX74" s="175"/>
      <c r="AY74" s="175"/>
      <c r="AZ74" s="175"/>
      <c r="BA74" s="676"/>
      <c r="BB74" s="95"/>
      <c r="BC74" s="676"/>
      <c r="BD74" s="175"/>
      <c r="BE74" s="175"/>
      <c r="BF74" s="175"/>
      <c r="BG74" s="95"/>
      <c r="BH74" s="175"/>
      <c r="BI74" s="175"/>
      <c r="BJ74" s="175"/>
      <c r="BK74" s="175">
        <f>+-3270</f>
        <v>-3270</v>
      </c>
      <c r="BL74" s="95">
        <f t="shared" si="48"/>
        <v>-3270</v>
      </c>
      <c r="BM74" s="175"/>
      <c r="BN74" s="175"/>
      <c r="BO74" s="175"/>
      <c r="BP74" s="175"/>
      <c r="BQ74" s="95"/>
      <c r="BR74" s="175"/>
      <c r="BS74" s="175"/>
      <c r="BT74" s="175"/>
      <c r="BU74" s="175"/>
      <c r="BV74" s="95"/>
      <c r="BW74" s="175"/>
      <c r="BX74" s="175"/>
      <c r="BY74" s="175"/>
      <c r="BZ74" s="175"/>
      <c r="CA74" s="95"/>
    </row>
    <row r="75" spans="2:79" ht="13.15">
      <c r="B75" s="176"/>
      <c r="C75" s="169" t="s">
        <v>227</v>
      </c>
      <c r="D75" s="123">
        <v>0</v>
      </c>
      <c r="E75" s="175">
        <v>0</v>
      </c>
      <c r="F75" s="175">
        <v>0</v>
      </c>
      <c r="G75" s="175">
        <v>0</v>
      </c>
      <c r="H75" s="175">
        <v>0</v>
      </c>
      <c r="I75" s="123">
        <f t="shared" si="51"/>
        <v>0</v>
      </c>
      <c r="J75" s="175">
        <v>0</v>
      </c>
      <c r="K75" s="175">
        <v>0</v>
      </c>
      <c r="L75" s="175">
        <v>0</v>
      </c>
      <c r="M75" s="175">
        <v>100</v>
      </c>
      <c r="N75" s="123">
        <f t="shared" si="52"/>
        <v>100</v>
      </c>
      <c r="O75" s="175">
        <v>0</v>
      </c>
      <c r="P75" s="175">
        <v>0</v>
      </c>
      <c r="Q75" s="175">
        <v>0</v>
      </c>
      <c r="R75" s="175">
        <v>660</v>
      </c>
      <c r="S75" s="95">
        <f t="shared" si="53"/>
        <v>660</v>
      </c>
      <c r="T75" s="96">
        <v>0</v>
      </c>
      <c r="U75" s="105">
        <v>680</v>
      </c>
      <c r="V75" s="96">
        <v>0</v>
      </c>
      <c r="W75" s="96">
        <v>689</v>
      </c>
      <c r="X75" s="95">
        <f t="shared" si="54"/>
        <v>1369</v>
      </c>
      <c r="Y75" s="175">
        <v>0</v>
      </c>
      <c r="Z75" s="183">
        <v>792</v>
      </c>
      <c r="AA75" s="183">
        <f>792-Z75-Y75</f>
        <v>0</v>
      </c>
      <c r="AB75" s="175">
        <f>1979-AA75-Z75-Y75</f>
        <v>1187</v>
      </c>
      <c r="AC75" s="95">
        <f t="shared" si="55"/>
        <v>1979</v>
      </c>
      <c r="AD75" s="183"/>
      <c r="AE75" s="183"/>
      <c r="AF75" s="175"/>
      <c r="AG75" s="175"/>
      <c r="AH75" s="95">
        <f t="shared" si="56"/>
        <v>0</v>
      </c>
      <c r="AI75" s="175"/>
      <c r="AJ75" s="175"/>
      <c r="AK75" s="175"/>
      <c r="AL75" s="175">
        <f t="shared" si="43"/>
        <v>0</v>
      </c>
      <c r="AM75" s="95">
        <v>0</v>
      </c>
      <c r="AN75" s="175"/>
      <c r="AO75" s="175"/>
      <c r="AP75" s="175"/>
      <c r="AQ75" s="175">
        <f t="shared" si="44"/>
        <v>0</v>
      </c>
      <c r="AR75" s="95"/>
      <c r="AS75" s="175"/>
      <c r="AT75" s="175"/>
      <c r="AU75" s="175"/>
      <c r="AV75" s="175">
        <f t="shared" si="45"/>
        <v>0</v>
      </c>
      <c r="AW75" s="95">
        <v>0</v>
      </c>
      <c r="AX75" s="175"/>
      <c r="AY75" s="175"/>
      <c r="AZ75" s="175"/>
      <c r="BA75" s="676"/>
      <c r="BB75" s="95">
        <f t="shared" si="46"/>
        <v>0</v>
      </c>
      <c r="BC75" s="676"/>
      <c r="BD75" s="175"/>
      <c r="BE75" s="175"/>
      <c r="BF75" s="175"/>
      <c r="BG75" s="95">
        <f t="shared" si="47"/>
        <v>0</v>
      </c>
      <c r="BH75" s="175"/>
      <c r="BI75" s="175"/>
      <c r="BJ75" s="175"/>
      <c r="BK75" s="175"/>
      <c r="BL75" s="95">
        <f t="shared" si="48"/>
        <v>0</v>
      </c>
      <c r="BM75" s="175"/>
      <c r="BN75" s="175"/>
      <c r="BO75" s="175"/>
      <c r="BP75" s="175"/>
      <c r="BQ75" s="95">
        <f t="shared" si="49"/>
        <v>0</v>
      </c>
      <c r="BR75" s="175"/>
      <c r="BS75" s="175"/>
      <c r="BT75" s="175"/>
      <c r="BU75" s="175"/>
      <c r="BV75" s="95">
        <f>SUM(BR75:BU75)</f>
        <v>0</v>
      </c>
      <c r="BW75" s="175"/>
      <c r="BX75" s="175"/>
      <c r="BY75" s="175"/>
      <c r="BZ75" s="175"/>
      <c r="CA75" s="95">
        <f>SUM(BW75:BZ75)</f>
        <v>0</v>
      </c>
    </row>
    <row r="76" spans="2:79">
      <c r="B76" s="112"/>
      <c r="C76" s="169" t="s">
        <v>228</v>
      </c>
      <c r="D76" s="123">
        <v>0</v>
      </c>
      <c r="E76" s="175">
        <v>0</v>
      </c>
      <c r="F76" s="175">
        <v>0</v>
      </c>
      <c r="G76" s="175">
        <v>0</v>
      </c>
      <c r="H76" s="175">
        <v>0</v>
      </c>
      <c r="I76" s="123">
        <f t="shared" si="51"/>
        <v>0</v>
      </c>
      <c r="J76" s="175">
        <v>0</v>
      </c>
      <c r="K76" s="175">
        <v>0</v>
      </c>
      <c r="L76" s="175">
        <v>0</v>
      </c>
      <c r="M76" s="175">
        <v>5000</v>
      </c>
      <c r="N76" s="123">
        <f t="shared" si="52"/>
        <v>5000</v>
      </c>
      <c r="O76" s="175">
        <v>19561</v>
      </c>
      <c r="P76" s="175">
        <v>-19561</v>
      </c>
      <c r="Q76" s="175">
        <v>0</v>
      </c>
      <c r="R76" s="175">
        <v>0</v>
      </c>
      <c r="S76" s="95">
        <f t="shared" si="53"/>
        <v>0</v>
      </c>
      <c r="T76" s="175">
        <v>-781</v>
      </c>
      <c r="U76" s="175">
        <v>781</v>
      </c>
      <c r="V76" s="96">
        <v>0</v>
      </c>
      <c r="W76" s="96">
        <v>0</v>
      </c>
      <c r="X76" s="95">
        <f t="shared" si="54"/>
        <v>0</v>
      </c>
      <c r="Y76" s="175">
        <v>0</v>
      </c>
      <c r="Z76" s="183"/>
      <c r="AA76" s="183"/>
      <c r="AB76" s="175"/>
      <c r="AC76" s="95">
        <f t="shared" si="55"/>
        <v>0</v>
      </c>
      <c r="AD76" s="183"/>
      <c r="AE76" s="183">
        <v>1800</v>
      </c>
      <c r="AF76" s="175">
        <f>0-AE76</f>
        <v>-1800</v>
      </c>
      <c r="AG76" s="175"/>
      <c r="AH76" s="95">
        <f t="shared" si="56"/>
        <v>0</v>
      </c>
      <c r="AI76" s="175"/>
      <c r="AJ76" s="175"/>
      <c r="AK76" s="175"/>
      <c r="AL76" s="175">
        <f t="shared" si="43"/>
        <v>-318</v>
      </c>
      <c r="AM76" s="95">
        <v>-318</v>
      </c>
      <c r="AN76" s="175"/>
      <c r="AO76" s="175"/>
      <c r="AP76" s="175"/>
      <c r="AQ76" s="175">
        <f t="shared" si="44"/>
        <v>0</v>
      </c>
      <c r="AR76" s="95"/>
      <c r="AS76" s="175"/>
      <c r="AT76" s="175"/>
      <c r="AU76" s="175"/>
      <c r="AV76" s="175">
        <f t="shared" si="45"/>
        <v>0</v>
      </c>
      <c r="AW76" s="95">
        <v>0</v>
      </c>
      <c r="AX76" s="175"/>
      <c r="AY76" s="175"/>
      <c r="AZ76" s="175"/>
      <c r="BA76" s="676"/>
      <c r="BB76" s="95">
        <f t="shared" si="46"/>
        <v>0</v>
      </c>
      <c r="BC76" s="676"/>
      <c r="BD76" s="175"/>
      <c r="BE76" s="175"/>
      <c r="BF76" s="175"/>
      <c r="BG76" s="95">
        <f t="shared" si="47"/>
        <v>0</v>
      </c>
      <c r="BH76" s="175"/>
      <c r="BI76" s="175"/>
      <c r="BJ76" s="175"/>
      <c r="BK76" s="175"/>
      <c r="BL76" s="95">
        <f t="shared" si="48"/>
        <v>0</v>
      </c>
      <c r="BM76" s="175"/>
      <c r="BN76" s="175"/>
      <c r="BO76" s="175"/>
      <c r="BP76" s="175"/>
      <c r="BQ76" s="95">
        <f t="shared" si="49"/>
        <v>0</v>
      </c>
      <c r="BR76" s="175"/>
      <c r="BS76" s="175"/>
      <c r="BT76" s="175"/>
      <c r="BU76" s="175"/>
      <c r="BV76" s="95">
        <f>SUM(BR76:BU76)</f>
        <v>0</v>
      </c>
      <c r="BW76" s="175"/>
      <c r="BX76" s="175"/>
      <c r="BY76" s="175"/>
      <c r="BZ76" s="175"/>
      <c r="CA76" s="95">
        <f>SUM(BW76:BZ76)</f>
        <v>0</v>
      </c>
    </row>
    <row r="77" spans="2:79">
      <c r="B77" s="112"/>
      <c r="C77" s="169" t="s">
        <v>229</v>
      </c>
      <c r="D77" s="123">
        <v>-635</v>
      </c>
      <c r="E77" s="175">
        <v>-175</v>
      </c>
      <c r="F77" s="175">
        <v>-182</v>
      </c>
      <c r="G77" s="175">
        <v>-189</v>
      </c>
      <c r="H77" s="175">
        <v>-197</v>
      </c>
      <c r="I77" s="123">
        <f t="shared" si="51"/>
        <v>-743</v>
      </c>
      <c r="J77" s="175">
        <v>-184</v>
      </c>
      <c r="K77" s="175">
        <v>-138</v>
      </c>
      <c r="L77" s="175">
        <v>-211</v>
      </c>
      <c r="M77" s="175">
        <v>-276</v>
      </c>
      <c r="N77" s="123">
        <f t="shared" si="52"/>
        <v>-809</v>
      </c>
      <c r="O77" s="175">
        <v>-264</v>
      </c>
      <c r="P77" s="175">
        <v>19306</v>
      </c>
      <c r="Q77" s="175">
        <v>-264</v>
      </c>
      <c r="R77" s="175">
        <v>-798</v>
      </c>
      <c r="S77" s="95">
        <f t="shared" si="53"/>
        <v>17980</v>
      </c>
      <c r="T77" s="175">
        <v>0</v>
      </c>
      <c r="U77" s="175">
        <v>-1572</v>
      </c>
      <c r="V77" s="175">
        <v>-1050</v>
      </c>
      <c r="W77" s="175">
        <v>-825</v>
      </c>
      <c r="X77" s="95">
        <f t="shared" si="54"/>
        <v>-3447</v>
      </c>
      <c r="Y77" s="175">
        <v>-1608</v>
      </c>
      <c r="Z77" s="183">
        <f>-3563-Y77</f>
        <v>-1955</v>
      </c>
      <c r="AA77" s="183">
        <f>-23866-Z77-Y77</f>
        <v>-20303</v>
      </c>
      <c r="AB77" s="175">
        <f>-24351-AA77-Z77-Y77</f>
        <v>-485</v>
      </c>
      <c r="AC77" s="95">
        <f t="shared" si="55"/>
        <v>-24351</v>
      </c>
      <c r="AD77" s="183">
        <v>-258</v>
      </c>
      <c r="AE77" s="183">
        <f>-400-AD77</f>
        <v>-142</v>
      </c>
      <c r="AF77" s="175">
        <f>-547-AE77-AD77</f>
        <v>-147</v>
      </c>
      <c r="AG77" s="175">
        <f>-699-AF77-AE77-AD77</f>
        <v>-152</v>
      </c>
      <c r="AH77" s="95">
        <f t="shared" si="56"/>
        <v>-699</v>
      </c>
      <c r="AI77" s="175">
        <v>-157</v>
      </c>
      <c r="AJ77" s="175">
        <f>-32594-318-AI77</f>
        <v>-32755</v>
      </c>
      <c r="AK77" s="175"/>
      <c r="AL77" s="175">
        <f t="shared" si="43"/>
        <v>318</v>
      </c>
      <c r="AM77" s="95">
        <v>-32594</v>
      </c>
      <c r="AN77" s="175"/>
      <c r="AO77" s="175"/>
      <c r="AP77" s="175"/>
      <c r="AQ77" s="175">
        <f t="shared" si="44"/>
        <v>0</v>
      </c>
      <c r="AR77" s="95"/>
      <c r="AS77" s="175"/>
      <c r="AT77" s="175"/>
      <c r="AU77" s="175"/>
      <c r="AV77" s="175">
        <f t="shared" si="45"/>
        <v>0</v>
      </c>
      <c r="AW77" s="95">
        <v>0</v>
      </c>
      <c r="AX77" s="175"/>
      <c r="AY77" s="175"/>
      <c r="AZ77" s="175"/>
      <c r="BA77" s="676"/>
      <c r="BB77" s="95">
        <f t="shared" si="46"/>
        <v>0</v>
      </c>
      <c r="BC77" s="676"/>
      <c r="BD77" s="175"/>
      <c r="BE77" s="175"/>
      <c r="BF77" s="175"/>
      <c r="BG77" s="95">
        <f t="shared" si="47"/>
        <v>0</v>
      </c>
      <c r="BH77" s="175"/>
      <c r="BI77" s="175"/>
      <c r="BJ77" s="175"/>
      <c r="BK77" s="175"/>
      <c r="BL77" s="95">
        <f t="shared" si="48"/>
        <v>0</v>
      </c>
      <c r="BM77" s="175"/>
      <c r="BN77" s="175"/>
      <c r="BO77" s="175"/>
      <c r="BP77" s="175"/>
      <c r="BQ77" s="95">
        <f t="shared" si="49"/>
        <v>0</v>
      </c>
      <c r="BR77" s="175"/>
      <c r="BS77" s="175"/>
      <c r="BT77" s="175"/>
      <c r="BU77" s="175"/>
      <c r="BV77" s="95">
        <f>SUM(BR77:BU77)</f>
        <v>0</v>
      </c>
      <c r="BW77" s="175"/>
      <c r="BX77" s="175"/>
      <c r="BY77" s="175"/>
      <c r="BZ77" s="175"/>
      <c r="CA77" s="95">
        <f>SUM(BW77:BZ77)</f>
        <v>0</v>
      </c>
    </row>
    <row r="78" spans="2:79">
      <c r="B78" s="112"/>
      <c r="C78" s="169" t="s">
        <v>475</v>
      </c>
      <c r="D78" s="123"/>
      <c r="E78" s="175"/>
      <c r="F78" s="175"/>
      <c r="G78" s="175"/>
      <c r="H78" s="175"/>
      <c r="I78" s="123"/>
      <c r="J78" s="175"/>
      <c r="K78" s="175"/>
      <c r="L78" s="175"/>
      <c r="M78" s="175"/>
      <c r="N78" s="123"/>
      <c r="O78" s="175"/>
      <c r="P78" s="175"/>
      <c r="Q78" s="175"/>
      <c r="R78" s="175"/>
      <c r="S78" s="95"/>
      <c r="T78" s="175"/>
      <c r="U78" s="175"/>
      <c r="V78" s="175"/>
      <c r="W78" s="175"/>
      <c r="X78" s="95"/>
      <c r="Y78" s="175"/>
      <c r="Z78" s="183"/>
      <c r="AA78" s="183"/>
      <c r="AB78" s="175"/>
      <c r="AC78" s="95"/>
      <c r="AD78" s="183"/>
      <c r="AE78" s="183"/>
      <c r="AF78" s="175"/>
      <c r="AG78" s="175"/>
      <c r="AH78" s="95"/>
      <c r="AI78" s="175"/>
      <c r="AJ78" s="175"/>
      <c r="AK78" s="175"/>
      <c r="AL78" s="175"/>
      <c r="AM78" s="95"/>
      <c r="AN78" s="175"/>
      <c r="AO78" s="175"/>
      <c r="AP78" s="175"/>
      <c r="AQ78" s="175"/>
      <c r="AR78" s="95"/>
      <c r="AS78" s="175"/>
      <c r="AT78" s="175"/>
      <c r="AU78" s="175"/>
      <c r="AV78" s="175"/>
      <c r="AW78" s="95"/>
      <c r="AX78" s="175"/>
      <c r="AY78" s="175"/>
      <c r="AZ78" s="175"/>
      <c r="BA78" s="676"/>
      <c r="BB78" s="95"/>
      <c r="BC78" s="676"/>
      <c r="BD78" s="175">
        <v>-18100</v>
      </c>
      <c r="BE78" s="175">
        <f>+-18100-BD78-BC78</f>
        <v>0</v>
      </c>
      <c r="BF78" s="175">
        <f>-18100-BE78-BD78-BC78</f>
        <v>0</v>
      </c>
      <c r="BG78" s="95">
        <f>SUM(BC78:BF78)</f>
        <v>-18100</v>
      </c>
      <c r="BH78" s="175"/>
      <c r="BI78" s="175"/>
      <c r="BJ78" s="175"/>
      <c r="BK78" s="175"/>
      <c r="BL78" s="95"/>
      <c r="BM78" s="175"/>
      <c r="BN78" s="175"/>
      <c r="BO78" s="175"/>
      <c r="BP78" s="175"/>
      <c r="BQ78" s="95"/>
      <c r="BR78" s="175"/>
      <c r="BS78" s="175"/>
      <c r="BT78" s="175"/>
      <c r="BU78" s="175"/>
      <c r="BV78" s="95"/>
      <c r="BW78" s="175"/>
      <c r="BX78" s="175"/>
      <c r="BY78" s="175"/>
      <c r="BZ78" s="175"/>
      <c r="CA78" s="95"/>
    </row>
    <row r="79" spans="2:79">
      <c r="B79" s="112"/>
      <c r="C79" s="169" t="s">
        <v>230</v>
      </c>
      <c r="D79" s="123">
        <v>-520</v>
      </c>
      <c r="E79" s="175">
        <v>-279</v>
      </c>
      <c r="F79" s="175">
        <v>-533</v>
      </c>
      <c r="G79" s="175">
        <v>-622</v>
      </c>
      <c r="H79" s="175">
        <v>-753</v>
      </c>
      <c r="I79" s="123">
        <f t="shared" si="51"/>
        <v>-2187</v>
      </c>
      <c r="J79" s="175">
        <v>-665</v>
      </c>
      <c r="K79" s="175">
        <v>-1421</v>
      </c>
      <c r="L79" s="175">
        <v>-1206</v>
      </c>
      <c r="M79" s="175">
        <v>-1307</v>
      </c>
      <c r="N79" s="123">
        <f t="shared" si="52"/>
        <v>-4599</v>
      </c>
      <c r="O79" s="175">
        <v>-1282</v>
      </c>
      <c r="P79" s="175">
        <v>-1343</v>
      </c>
      <c r="Q79" s="175">
        <v>-1383</v>
      </c>
      <c r="R79" s="175">
        <v>-1441</v>
      </c>
      <c r="S79" s="95">
        <f t="shared" si="53"/>
        <v>-5449</v>
      </c>
      <c r="T79" s="175">
        <v>-1687</v>
      </c>
      <c r="U79" s="175">
        <v>-1408</v>
      </c>
      <c r="V79" s="175">
        <v>-1414</v>
      </c>
      <c r="W79" s="175">
        <v>-1235</v>
      </c>
      <c r="X79" s="95">
        <f t="shared" si="54"/>
        <v>-5744</v>
      </c>
      <c r="Y79" s="175">
        <v>-1306</v>
      </c>
      <c r="Z79" s="183">
        <f>-3056-Y79</f>
        <v>-1750</v>
      </c>
      <c r="AA79" s="183">
        <f>-4618-Z79-Y79</f>
        <v>-1562</v>
      </c>
      <c r="AB79" s="175">
        <f>-6237-AA79-Z79-Y79</f>
        <v>-1619</v>
      </c>
      <c r="AC79" s="95">
        <f t="shared" si="55"/>
        <v>-6237</v>
      </c>
      <c r="AD79" s="183">
        <v>-1850</v>
      </c>
      <c r="AE79" s="183">
        <f>-3741-AD79</f>
        <v>-1891</v>
      </c>
      <c r="AF79" s="175">
        <f>-5708-AE79-AD79</f>
        <v>-1967</v>
      </c>
      <c r="AG79" s="175">
        <f>-7068-AF79-AE79-AD79</f>
        <v>-1360</v>
      </c>
      <c r="AH79" s="95">
        <f t="shared" si="56"/>
        <v>-7068</v>
      </c>
      <c r="AI79" s="175">
        <v>-2352</v>
      </c>
      <c r="AJ79" s="175">
        <f>-4403-AI79</f>
        <v>-2051</v>
      </c>
      <c r="AK79" s="175">
        <f>-6379-AJ79-AI79</f>
        <v>-1976</v>
      </c>
      <c r="AL79" s="175">
        <f t="shared" si="43"/>
        <v>-2165</v>
      </c>
      <c r="AM79" s="95">
        <v>-8544</v>
      </c>
      <c r="AN79" s="175">
        <v>-1894</v>
      </c>
      <c r="AO79" s="175">
        <f>-3702-AN79</f>
        <v>-1808</v>
      </c>
      <c r="AP79" s="175">
        <v>-2750</v>
      </c>
      <c r="AQ79" s="175">
        <f t="shared" si="44"/>
        <v>-602</v>
      </c>
      <c r="AR79" s="95">
        <v>-7054</v>
      </c>
      <c r="AS79" s="175">
        <v>-1229</v>
      </c>
      <c r="AT79" s="175">
        <f>-2195-AS79</f>
        <v>-966</v>
      </c>
      <c r="AU79" s="175">
        <f>-3028-AT79-AS79</f>
        <v>-833</v>
      </c>
      <c r="AV79" s="175">
        <f t="shared" si="45"/>
        <v>-687</v>
      </c>
      <c r="AW79" s="95">
        <v>-3715</v>
      </c>
      <c r="AX79" s="175">
        <v>-456</v>
      </c>
      <c r="AY79" s="175">
        <f>-575-AX79</f>
        <v>-119</v>
      </c>
      <c r="AZ79" s="175">
        <f>-612-AY79-AX79</f>
        <v>-37</v>
      </c>
      <c r="BA79" s="676">
        <f>-612-AZ79-AY79-AX79</f>
        <v>0</v>
      </c>
      <c r="BB79" s="95">
        <f t="shared" si="46"/>
        <v>-612</v>
      </c>
      <c r="BC79" s="676">
        <v>0</v>
      </c>
      <c r="BD79" s="175"/>
      <c r="BE79" s="676">
        <v>0</v>
      </c>
      <c r="BF79" s="864"/>
      <c r="BG79" s="95">
        <f t="shared" si="47"/>
        <v>0</v>
      </c>
      <c r="BH79" s="864"/>
      <c r="BI79" s="864"/>
      <c r="BJ79" s="676">
        <v>-496</v>
      </c>
      <c r="BK79" s="676">
        <f>+-989-BJ79</f>
        <v>-493</v>
      </c>
      <c r="BL79" s="95">
        <f t="shared" si="48"/>
        <v>-989</v>
      </c>
      <c r="BM79" s="676">
        <v>-479</v>
      </c>
      <c r="BN79" s="676">
        <f>+-966-BM79</f>
        <v>-487</v>
      </c>
      <c r="BO79" s="676">
        <f>+-2006-BN79-BM79</f>
        <v>-1040</v>
      </c>
      <c r="BP79" s="676">
        <f>-4012-BO79-BN79-BM79</f>
        <v>-2006</v>
      </c>
      <c r="BQ79" s="95">
        <f t="shared" ref="BQ79:BQ88" si="57">SUM(BM79:BP79)</f>
        <v>-4012</v>
      </c>
      <c r="BR79" s="676">
        <v>-2166</v>
      </c>
      <c r="BS79" s="864">
        <f>-4671-BR79</f>
        <v>-2505</v>
      </c>
      <c r="BT79" s="864">
        <f>-7183-BS79-BR79</f>
        <v>-2512</v>
      </c>
      <c r="BU79" s="864">
        <f>-9770-BT79-BS79-BR79</f>
        <v>-2587</v>
      </c>
      <c r="BV79" s="95">
        <f t="shared" ref="BV79:BV86" si="58">SUM(BR79:BU79)</f>
        <v>-9770</v>
      </c>
      <c r="BW79" s="864"/>
      <c r="BX79" s="864"/>
      <c r="BY79" s="864"/>
      <c r="BZ79" s="864"/>
      <c r="CA79" s="95">
        <f t="shared" ref="CA79:CA86" si="59">SUM(BW79:BZ79)</f>
        <v>0</v>
      </c>
    </row>
    <row r="80" spans="2:79">
      <c r="B80" s="112"/>
      <c r="C80" s="169" t="s">
        <v>231</v>
      </c>
      <c r="D80" s="123">
        <v>2981</v>
      </c>
      <c r="E80" s="175">
        <v>0</v>
      </c>
      <c r="F80" s="175">
        <v>965</v>
      </c>
      <c r="G80" s="175">
        <v>203</v>
      </c>
      <c r="H80" s="175">
        <v>251</v>
      </c>
      <c r="I80" s="123">
        <f t="shared" si="51"/>
        <v>1419</v>
      </c>
      <c r="J80" s="175">
        <v>0</v>
      </c>
      <c r="K80" s="175">
        <v>0</v>
      </c>
      <c r="L80" s="175">
        <v>0</v>
      </c>
      <c r="M80" s="175">
        <v>0</v>
      </c>
      <c r="N80" s="123">
        <f t="shared" si="52"/>
        <v>0</v>
      </c>
      <c r="O80" s="175">
        <v>0</v>
      </c>
      <c r="P80" s="175">
        <v>0</v>
      </c>
      <c r="Q80" s="175">
        <v>0</v>
      </c>
      <c r="R80" s="175">
        <v>0</v>
      </c>
      <c r="S80" s="95">
        <f t="shared" si="53"/>
        <v>0</v>
      </c>
      <c r="T80" s="175">
        <v>0</v>
      </c>
      <c r="U80" s="175">
        <v>0</v>
      </c>
      <c r="V80" s="175">
        <v>0</v>
      </c>
      <c r="W80" s="175">
        <v>0</v>
      </c>
      <c r="X80" s="95">
        <f t="shared" si="54"/>
        <v>0</v>
      </c>
      <c r="Y80" s="175">
        <v>0</v>
      </c>
      <c r="Z80" s="183">
        <v>0</v>
      </c>
      <c r="AA80" s="183">
        <v>0</v>
      </c>
      <c r="AB80" s="175">
        <v>0</v>
      </c>
      <c r="AC80" s="95">
        <f t="shared" si="55"/>
        <v>0</v>
      </c>
      <c r="AD80" s="183"/>
      <c r="AE80" s="183"/>
      <c r="AF80" s="175"/>
      <c r="AG80" s="175"/>
      <c r="AH80" s="95">
        <f t="shared" si="56"/>
        <v>0</v>
      </c>
      <c r="AI80" s="175"/>
      <c r="AJ80" s="175"/>
      <c r="AK80" s="175"/>
      <c r="AL80" s="175">
        <f t="shared" si="43"/>
        <v>0</v>
      </c>
      <c r="AM80" s="95">
        <v>0</v>
      </c>
      <c r="AN80" s="175"/>
      <c r="AO80" s="175"/>
      <c r="AP80" s="175"/>
      <c r="AQ80" s="175">
        <f t="shared" si="44"/>
        <v>0</v>
      </c>
      <c r="AR80" s="95"/>
      <c r="AS80" s="175"/>
      <c r="AT80" s="175"/>
      <c r="AU80" s="175"/>
      <c r="AV80" s="175">
        <f t="shared" si="45"/>
        <v>0</v>
      </c>
      <c r="AW80" s="95">
        <v>0</v>
      </c>
      <c r="AX80" s="175"/>
      <c r="AY80" s="175"/>
      <c r="AZ80" s="175"/>
      <c r="BA80" s="676"/>
      <c r="BB80" s="95">
        <f t="shared" si="46"/>
        <v>0</v>
      </c>
      <c r="BC80" s="676"/>
      <c r="BD80" s="175"/>
      <c r="BE80" s="175"/>
      <c r="BF80" s="175"/>
      <c r="BG80" s="95">
        <f t="shared" si="47"/>
        <v>0</v>
      </c>
      <c r="BH80" s="175"/>
      <c r="BI80" s="175"/>
      <c r="BJ80" s="175"/>
      <c r="BK80" s="175"/>
      <c r="BL80" s="95">
        <f t="shared" si="48"/>
        <v>0</v>
      </c>
      <c r="BM80" s="175"/>
      <c r="BN80" s="175"/>
      <c r="BO80" s="175"/>
      <c r="BP80" s="175"/>
      <c r="BQ80" s="95">
        <f t="shared" si="57"/>
        <v>0</v>
      </c>
      <c r="BR80" s="175"/>
      <c r="BS80" s="175"/>
      <c r="BT80" s="175"/>
      <c r="BU80" s="175"/>
      <c r="BV80" s="95">
        <f t="shared" si="58"/>
        <v>0</v>
      </c>
      <c r="BW80" s="175"/>
      <c r="BX80" s="175"/>
      <c r="BY80" s="175"/>
      <c r="BZ80" s="175"/>
      <c r="CA80" s="95">
        <f t="shared" si="59"/>
        <v>0</v>
      </c>
    </row>
    <row r="81" spans="2:79">
      <c r="B81" s="112"/>
      <c r="C81" s="169" t="s">
        <v>232</v>
      </c>
      <c r="D81" s="123">
        <v>0</v>
      </c>
      <c r="E81" s="175">
        <v>0</v>
      </c>
      <c r="F81" s="175">
        <v>0</v>
      </c>
      <c r="G81" s="175">
        <v>0</v>
      </c>
      <c r="H81" s="175">
        <v>-12</v>
      </c>
      <c r="I81" s="123">
        <f t="shared" si="51"/>
        <v>-12</v>
      </c>
      <c r="J81" s="175">
        <v>-15</v>
      </c>
      <c r="K81" s="175">
        <v>-290</v>
      </c>
      <c r="L81" s="175">
        <v>-448</v>
      </c>
      <c r="M81" s="175">
        <v>-66</v>
      </c>
      <c r="N81" s="123">
        <f t="shared" si="52"/>
        <v>-819</v>
      </c>
      <c r="O81" s="175">
        <v>-805</v>
      </c>
      <c r="P81" s="175">
        <v>805</v>
      </c>
      <c r="Q81" s="175">
        <v>0</v>
      </c>
      <c r="R81" s="175">
        <v>0</v>
      </c>
      <c r="S81" s="95">
        <f t="shared" si="53"/>
        <v>0</v>
      </c>
      <c r="T81" s="175">
        <v>0</v>
      </c>
      <c r="U81" s="175">
        <v>0</v>
      </c>
      <c r="V81" s="175">
        <v>0</v>
      </c>
      <c r="W81" s="175">
        <v>0</v>
      </c>
      <c r="X81" s="95">
        <f t="shared" si="54"/>
        <v>0</v>
      </c>
      <c r="Y81" s="175">
        <v>0</v>
      </c>
      <c r="Z81" s="183">
        <v>0</v>
      </c>
      <c r="AA81" s="183">
        <v>0</v>
      </c>
      <c r="AB81" s="175">
        <v>0</v>
      </c>
      <c r="AC81" s="95">
        <f t="shared" si="55"/>
        <v>0</v>
      </c>
      <c r="AD81" s="183"/>
      <c r="AE81" s="183"/>
      <c r="AF81" s="175"/>
      <c r="AG81" s="175"/>
      <c r="AH81" s="95">
        <f t="shared" si="56"/>
        <v>0</v>
      </c>
      <c r="AI81" s="175"/>
      <c r="AJ81" s="175"/>
      <c r="AK81" s="175"/>
      <c r="AL81" s="175">
        <f t="shared" si="43"/>
        <v>0</v>
      </c>
      <c r="AM81" s="95">
        <v>0</v>
      </c>
      <c r="AN81" s="175"/>
      <c r="AO81" s="175"/>
      <c r="AP81" s="175"/>
      <c r="AQ81" s="175">
        <f t="shared" si="44"/>
        <v>0</v>
      </c>
      <c r="AR81" s="95"/>
      <c r="AS81" s="175"/>
      <c r="AT81" s="175"/>
      <c r="AU81" s="175"/>
      <c r="AV81" s="175">
        <f t="shared" si="45"/>
        <v>0</v>
      </c>
      <c r="AW81" s="95">
        <v>0</v>
      </c>
      <c r="AX81" s="175"/>
      <c r="AY81" s="175"/>
      <c r="AZ81" s="175"/>
      <c r="BA81" s="676"/>
      <c r="BB81" s="95">
        <f t="shared" si="46"/>
        <v>0</v>
      </c>
      <c r="BC81" s="676"/>
      <c r="BD81" s="175"/>
      <c r="BE81" s="175"/>
      <c r="BF81" s="175"/>
      <c r="BG81" s="95">
        <f t="shared" si="47"/>
        <v>0</v>
      </c>
      <c r="BH81" s="175"/>
      <c r="BI81" s="175"/>
      <c r="BJ81" s="175"/>
      <c r="BK81" s="175"/>
      <c r="BL81" s="95">
        <f t="shared" si="48"/>
        <v>0</v>
      </c>
      <c r="BM81" s="175"/>
      <c r="BN81" s="175"/>
      <c r="BO81" s="175"/>
      <c r="BP81" s="175">
        <v>-2212</v>
      </c>
      <c r="BQ81" s="95">
        <f t="shared" si="57"/>
        <v>-2212</v>
      </c>
      <c r="BR81" s="175"/>
      <c r="BS81" s="175"/>
      <c r="BT81" s="175"/>
      <c r="BU81" s="175"/>
      <c r="BV81" s="95">
        <f t="shared" si="58"/>
        <v>0</v>
      </c>
      <c r="BW81" s="175"/>
      <c r="BX81" s="175"/>
      <c r="BY81" s="175"/>
      <c r="BZ81" s="175"/>
      <c r="CA81" s="95">
        <f t="shared" si="59"/>
        <v>0</v>
      </c>
    </row>
    <row r="82" spans="2:79">
      <c r="B82" s="112"/>
      <c r="C82" s="169" t="s">
        <v>233</v>
      </c>
      <c r="D82" s="123">
        <v>0</v>
      </c>
      <c r="E82" s="175">
        <v>0</v>
      </c>
      <c r="F82" s="175">
        <v>0</v>
      </c>
      <c r="G82" s="175">
        <v>0</v>
      </c>
      <c r="H82" s="175">
        <v>0</v>
      </c>
      <c r="I82" s="123">
        <f t="shared" si="51"/>
        <v>0</v>
      </c>
      <c r="J82" s="175">
        <v>0</v>
      </c>
      <c r="K82" s="175">
        <v>-6000</v>
      </c>
      <c r="L82" s="175">
        <v>0</v>
      </c>
      <c r="M82" s="175">
        <v>0</v>
      </c>
      <c r="N82" s="123">
        <f t="shared" si="52"/>
        <v>-6000</v>
      </c>
      <c r="O82" s="175">
        <v>0</v>
      </c>
      <c r="P82" s="175">
        <v>0</v>
      </c>
      <c r="Q82" s="175">
        <v>0</v>
      </c>
      <c r="R82" s="175">
        <v>0</v>
      </c>
      <c r="S82" s="95">
        <f t="shared" si="53"/>
        <v>0</v>
      </c>
      <c r="T82" s="175">
        <v>0</v>
      </c>
      <c r="U82" s="175">
        <v>0</v>
      </c>
      <c r="V82" s="175">
        <v>0</v>
      </c>
      <c r="W82" s="175">
        <v>0</v>
      </c>
      <c r="X82" s="95">
        <f t="shared" si="54"/>
        <v>0</v>
      </c>
      <c r="Y82" s="175">
        <v>0</v>
      </c>
      <c r="Z82" s="183">
        <v>0</v>
      </c>
      <c r="AA82" s="183">
        <f>32594-Z82-Y82</f>
        <v>32594</v>
      </c>
      <c r="AB82" s="175">
        <f>32594-AA82-Z82-Y82</f>
        <v>0</v>
      </c>
      <c r="AC82" s="95">
        <f t="shared" si="55"/>
        <v>32594</v>
      </c>
      <c r="AD82" s="175"/>
      <c r="AE82" s="183"/>
      <c r="AF82" s="175"/>
      <c r="AG82" s="175"/>
      <c r="AH82" s="95">
        <f t="shared" si="56"/>
        <v>0</v>
      </c>
      <c r="AI82" s="175"/>
      <c r="AJ82" s="175"/>
      <c r="AK82" s="175"/>
      <c r="AL82" s="175">
        <f t="shared" si="43"/>
        <v>0</v>
      </c>
      <c r="AM82" s="95">
        <v>0</v>
      </c>
      <c r="AN82" s="175"/>
      <c r="AO82" s="175"/>
      <c r="AP82" s="175"/>
      <c r="AQ82" s="175">
        <f t="shared" si="44"/>
        <v>0</v>
      </c>
      <c r="AR82" s="95"/>
      <c r="AS82" s="175"/>
      <c r="AT82" s="175"/>
      <c r="AU82" s="175"/>
      <c r="AV82" s="175">
        <f t="shared" si="45"/>
        <v>0</v>
      </c>
      <c r="AW82" s="95">
        <v>0</v>
      </c>
      <c r="AX82" s="175"/>
      <c r="AY82" s="175"/>
      <c r="AZ82" s="175"/>
      <c r="BA82" s="676"/>
      <c r="BB82" s="95">
        <f t="shared" si="46"/>
        <v>0</v>
      </c>
      <c r="BC82" s="676"/>
      <c r="BD82" s="175"/>
      <c r="BE82" s="175"/>
      <c r="BF82" s="175"/>
      <c r="BG82" s="95">
        <f t="shared" si="47"/>
        <v>0</v>
      </c>
      <c r="BH82" s="175"/>
      <c r="BI82" s="175"/>
      <c r="BJ82" s="175"/>
      <c r="BK82" s="175"/>
      <c r="BL82" s="95">
        <f t="shared" si="48"/>
        <v>0</v>
      </c>
      <c r="BM82" s="175"/>
      <c r="BN82" s="175"/>
      <c r="BO82" s="175"/>
      <c r="BP82" s="175"/>
      <c r="BQ82" s="95">
        <f t="shared" si="57"/>
        <v>0</v>
      </c>
      <c r="BR82" s="175"/>
      <c r="BS82" s="175"/>
      <c r="BT82" s="175"/>
      <c r="BU82" s="175"/>
      <c r="BV82" s="95">
        <f t="shared" si="58"/>
        <v>0</v>
      </c>
      <c r="BW82" s="175"/>
      <c r="BX82" s="175"/>
      <c r="BY82" s="175"/>
      <c r="BZ82" s="175"/>
      <c r="CA82" s="95">
        <f t="shared" si="59"/>
        <v>0</v>
      </c>
    </row>
    <row r="83" spans="2:79">
      <c r="B83" s="112"/>
      <c r="C83" s="169" t="s">
        <v>234</v>
      </c>
      <c r="D83" s="123">
        <v>0</v>
      </c>
      <c r="E83" s="175">
        <v>0</v>
      </c>
      <c r="F83" s="175">
        <v>0</v>
      </c>
      <c r="G83" s="175">
        <v>0</v>
      </c>
      <c r="H83" s="175">
        <v>0</v>
      </c>
      <c r="I83" s="123">
        <f t="shared" si="51"/>
        <v>0</v>
      </c>
      <c r="J83" s="175">
        <v>4000</v>
      </c>
      <c r="K83" s="175">
        <v>2000</v>
      </c>
      <c r="L83" s="175">
        <v>0</v>
      </c>
      <c r="M83" s="175">
        <v>12500</v>
      </c>
      <c r="N83" s="123">
        <f t="shared" si="52"/>
        <v>18500</v>
      </c>
      <c r="O83" s="175">
        <v>0</v>
      </c>
      <c r="P83" s="175">
        <v>0</v>
      </c>
      <c r="Q83" s="175">
        <v>0</v>
      </c>
      <c r="R83" s="175">
        <v>0</v>
      </c>
      <c r="S83" s="95">
        <f t="shared" si="53"/>
        <v>0</v>
      </c>
      <c r="T83" s="175">
        <v>0</v>
      </c>
      <c r="U83" s="175">
        <v>0</v>
      </c>
      <c r="V83" s="175">
        <v>0</v>
      </c>
      <c r="W83" s="175">
        <v>0</v>
      </c>
      <c r="X83" s="95">
        <f t="shared" si="54"/>
        <v>0</v>
      </c>
      <c r="Y83" s="175">
        <v>0</v>
      </c>
      <c r="Z83" s="183">
        <v>0</v>
      </c>
      <c r="AA83" s="183">
        <f>-12500-Z83-Y83</f>
        <v>-12500</v>
      </c>
      <c r="AB83" s="175">
        <f>-12500-AA83-Z83-Y83</f>
        <v>0</v>
      </c>
      <c r="AC83" s="95">
        <f t="shared" si="55"/>
        <v>-12500</v>
      </c>
      <c r="AD83" s="175"/>
      <c r="AE83" s="183"/>
      <c r="AF83" s="175"/>
      <c r="AG83" s="175"/>
      <c r="AH83" s="95">
        <f t="shared" si="56"/>
        <v>0</v>
      </c>
      <c r="AI83" s="175"/>
      <c r="AJ83" s="175"/>
      <c r="AK83" s="175"/>
      <c r="AL83" s="175">
        <f t="shared" si="43"/>
        <v>0</v>
      </c>
      <c r="AM83" s="95">
        <v>0</v>
      </c>
      <c r="AN83" s="175"/>
      <c r="AO83" s="175"/>
      <c r="AP83" s="175"/>
      <c r="AQ83" s="175">
        <f t="shared" si="44"/>
        <v>0</v>
      </c>
      <c r="AR83" s="95"/>
      <c r="AS83" s="175"/>
      <c r="AT83" s="175"/>
      <c r="AU83" s="175"/>
      <c r="AV83" s="175">
        <f t="shared" si="45"/>
        <v>0</v>
      </c>
      <c r="AW83" s="95">
        <v>0</v>
      </c>
      <c r="AX83" s="175"/>
      <c r="AY83" s="175"/>
      <c r="AZ83" s="175"/>
      <c r="BA83" s="676"/>
      <c r="BB83" s="95">
        <f t="shared" si="46"/>
        <v>0</v>
      </c>
      <c r="BC83" s="676"/>
      <c r="BD83" s="175"/>
      <c r="BE83" s="175"/>
      <c r="BF83" s="175"/>
      <c r="BG83" s="95">
        <f t="shared" si="47"/>
        <v>0</v>
      </c>
      <c r="BH83" s="175"/>
      <c r="BI83" s="175"/>
      <c r="BJ83" s="175"/>
      <c r="BK83" s="175"/>
      <c r="BL83" s="95">
        <f t="shared" si="48"/>
        <v>0</v>
      </c>
      <c r="BM83" s="175"/>
      <c r="BN83" s="175"/>
      <c r="BO83" s="175"/>
      <c r="BP83" s="175"/>
      <c r="BQ83" s="95">
        <f t="shared" si="57"/>
        <v>0</v>
      </c>
      <c r="BR83" s="175"/>
      <c r="BS83" s="175"/>
      <c r="BT83" s="175"/>
      <c r="BU83" s="175"/>
      <c r="BV83" s="95">
        <f t="shared" si="58"/>
        <v>0</v>
      </c>
      <c r="BW83" s="175"/>
      <c r="BX83" s="175"/>
      <c r="BY83" s="175"/>
      <c r="BZ83" s="175"/>
      <c r="CA83" s="95">
        <f t="shared" si="59"/>
        <v>0</v>
      </c>
    </row>
    <row r="84" spans="2:79">
      <c r="B84" s="112"/>
      <c r="C84" s="169" t="s">
        <v>540</v>
      </c>
      <c r="D84" s="123"/>
      <c r="E84" s="175"/>
      <c r="F84" s="175"/>
      <c r="G84" s="175"/>
      <c r="H84" s="175"/>
      <c r="I84" s="123"/>
      <c r="J84" s="175"/>
      <c r="K84" s="175"/>
      <c r="L84" s="175"/>
      <c r="M84" s="175"/>
      <c r="N84" s="123"/>
      <c r="O84" s="175"/>
      <c r="P84" s="175"/>
      <c r="Q84" s="175"/>
      <c r="R84" s="175"/>
      <c r="S84" s="95"/>
      <c r="T84" s="175"/>
      <c r="U84" s="175"/>
      <c r="V84" s="175"/>
      <c r="W84" s="175"/>
      <c r="X84" s="95"/>
      <c r="Y84" s="175"/>
      <c r="Z84" s="183"/>
      <c r="AA84" s="183"/>
      <c r="AB84" s="175"/>
      <c r="AC84" s="95"/>
      <c r="AD84" s="175"/>
      <c r="AE84" s="183"/>
      <c r="AF84" s="175"/>
      <c r="AG84" s="175"/>
      <c r="AH84" s="95"/>
      <c r="AI84" s="175"/>
      <c r="AJ84" s="175"/>
      <c r="AK84" s="175"/>
      <c r="AL84" s="175"/>
      <c r="AM84" s="95"/>
      <c r="AN84" s="175"/>
      <c r="AO84" s="175"/>
      <c r="AP84" s="175"/>
      <c r="AQ84" s="175"/>
      <c r="AR84" s="95"/>
      <c r="AS84" s="175"/>
      <c r="AT84" s="175"/>
      <c r="AU84" s="175"/>
      <c r="AV84" s="175"/>
      <c r="AW84" s="95"/>
      <c r="AX84" s="175"/>
      <c r="AY84" s="175"/>
      <c r="AZ84" s="175"/>
      <c r="BA84" s="676"/>
      <c r="BB84" s="95"/>
      <c r="BC84" s="676"/>
      <c r="BD84" s="175"/>
      <c r="BE84" s="175"/>
      <c r="BF84" s="175"/>
      <c r="BG84" s="95"/>
      <c r="BH84" s="175"/>
      <c r="BI84" s="175"/>
      <c r="BJ84" s="175"/>
      <c r="BK84" s="175"/>
      <c r="BL84" s="95"/>
      <c r="BM84" s="175"/>
      <c r="BN84" s="175"/>
      <c r="BO84" s="175"/>
      <c r="BP84" s="175"/>
      <c r="BQ84" s="95"/>
      <c r="BR84" s="175"/>
      <c r="BS84" s="175"/>
      <c r="BT84" s="175"/>
      <c r="BU84" s="175">
        <v>-50000</v>
      </c>
      <c r="BV84" s="95">
        <f>SUM(BR84:BU84)</f>
        <v>-50000</v>
      </c>
      <c r="BW84" s="175"/>
      <c r="BX84" s="175"/>
      <c r="BY84" s="175"/>
      <c r="BZ84" s="175"/>
      <c r="CA84" s="95"/>
    </row>
    <row r="85" spans="2:79">
      <c r="B85" s="112"/>
      <c r="C85" s="169" t="s">
        <v>251</v>
      </c>
      <c r="D85" s="123"/>
      <c r="E85" s="175"/>
      <c r="F85" s="175"/>
      <c r="G85" s="175"/>
      <c r="H85" s="175"/>
      <c r="I85" s="123"/>
      <c r="J85" s="175"/>
      <c r="K85" s="175"/>
      <c r="L85" s="175"/>
      <c r="M85" s="175"/>
      <c r="N85" s="123"/>
      <c r="O85" s="175">
        <v>0</v>
      </c>
      <c r="P85" s="175">
        <v>0</v>
      </c>
      <c r="Q85" s="175">
        <v>0</v>
      </c>
      <c r="R85" s="175">
        <v>0</v>
      </c>
      <c r="S85" s="95">
        <f t="shared" si="53"/>
        <v>0</v>
      </c>
      <c r="T85" s="175">
        <v>0</v>
      </c>
      <c r="U85" s="175">
        <v>0</v>
      </c>
      <c r="V85" s="175">
        <v>0</v>
      </c>
      <c r="W85" s="175">
        <v>0</v>
      </c>
      <c r="X85" s="95">
        <f t="shared" si="54"/>
        <v>0</v>
      </c>
      <c r="Y85" s="175">
        <v>0</v>
      </c>
      <c r="Z85" s="183">
        <v>0</v>
      </c>
      <c r="AA85" s="183">
        <f>-368-206</f>
        <v>-574</v>
      </c>
      <c r="AB85" s="175">
        <f>(-368)+(-206)-AA85-Z85-Y85</f>
        <v>0</v>
      </c>
      <c r="AC85" s="95">
        <f>SUM(Y85:AB85)</f>
        <v>-574</v>
      </c>
      <c r="AD85" s="175"/>
      <c r="AE85" s="183"/>
      <c r="AF85" s="175"/>
      <c r="AG85" s="175"/>
      <c r="AH85" s="95">
        <f t="shared" si="56"/>
        <v>0</v>
      </c>
      <c r="AI85" s="175"/>
      <c r="AJ85" s="175"/>
      <c r="AK85" s="175"/>
      <c r="AL85" s="175">
        <f t="shared" si="43"/>
        <v>-260</v>
      </c>
      <c r="AM85" s="95">
        <v>-260</v>
      </c>
      <c r="AN85" s="175"/>
      <c r="AO85" s="175"/>
      <c r="AP85" s="175"/>
      <c r="AQ85" s="175">
        <f t="shared" si="44"/>
        <v>0</v>
      </c>
      <c r="AR85" s="95"/>
      <c r="AS85" s="175"/>
      <c r="AT85" s="175"/>
      <c r="AU85" s="175"/>
      <c r="AV85" s="175">
        <f t="shared" si="45"/>
        <v>0</v>
      </c>
      <c r="AW85" s="95">
        <v>0</v>
      </c>
      <c r="AX85" s="175"/>
      <c r="AY85" s="175">
        <v>-3200</v>
      </c>
      <c r="AZ85" s="175">
        <f>-3200-AY85-AX85</f>
        <v>0</v>
      </c>
      <c r="BA85" s="676">
        <f>-5000-AZ85-AY85-AX85</f>
        <v>-1800</v>
      </c>
      <c r="BB85" s="95">
        <f t="shared" si="46"/>
        <v>-5000</v>
      </c>
      <c r="BC85" s="676"/>
      <c r="BD85" s="175"/>
      <c r="BE85" s="175"/>
      <c r="BF85" s="175"/>
      <c r="BG85" s="95">
        <f t="shared" si="47"/>
        <v>0</v>
      </c>
      <c r="BH85" s="175"/>
      <c r="BI85" s="175"/>
      <c r="BJ85" s="175"/>
      <c r="BK85" s="175"/>
      <c r="BL85" s="95">
        <f t="shared" si="48"/>
        <v>0</v>
      </c>
      <c r="BM85" s="175"/>
      <c r="BN85" s="175"/>
      <c r="BO85" s="175"/>
      <c r="BP85" s="175"/>
      <c r="BQ85" s="95">
        <f t="shared" si="57"/>
        <v>0</v>
      </c>
      <c r="BR85" s="175"/>
      <c r="BS85" s="175"/>
      <c r="BT85" s="175"/>
      <c r="BU85" s="175"/>
      <c r="BV85" s="95">
        <f t="shared" si="58"/>
        <v>0</v>
      </c>
      <c r="BW85" s="175"/>
      <c r="BX85" s="175"/>
      <c r="BY85" s="175"/>
      <c r="BZ85" s="175"/>
      <c r="CA85" s="95">
        <f t="shared" si="59"/>
        <v>0</v>
      </c>
    </row>
    <row r="86" spans="2:79">
      <c r="B86" s="112"/>
      <c r="C86" s="169" t="s">
        <v>235</v>
      </c>
      <c r="D86" s="123"/>
      <c r="E86" s="175">
        <v>0</v>
      </c>
      <c r="F86" s="175">
        <v>0</v>
      </c>
      <c r="G86" s="175">
        <v>0</v>
      </c>
      <c r="H86" s="175">
        <v>0</v>
      </c>
      <c r="I86" s="123">
        <f t="shared" si="51"/>
        <v>0</v>
      </c>
      <c r="J86" s="175"/>
      <c r="K86" s="175"/>
      <c r="L86" s="175"/>
      <c r="M86" s="175"/>
      <c r="N86" s="123">
        <f t="shared" si="52"/>
        <v>0</v>
      </c>
      <c r="O86" s="175">
        <v>0</v>
      </c>
      <c r="P86" s="175">
        <v>0</v>
      </c>
      <c r="Q86" s="175">
        <v>0</v>
      </c>
      <c r="R86" s="175">
        <v>0</v>
      </c>
      <c r="S86" s="95">
        <f t="shared" si="53"/>
        <v>0</v>
      </c>
      <c r="T86" s="175">
        <v>0</v>
      </c>
      <c r="U86" s="175">
        <v>0</v>
      </c>
      <c r="V86" s="175">
        <v>0</v>
      </c>
      <c r="W86" s="175">
        <v>0</v>
      </c>
      <c r="X86" s="95">
        <f t="shared" si="54"/>
        <v>0</v>
      </c>
      <c r="Y86" s="175">
        <v>0</v>
      </c>
      <c r="Z86" s="183">
        <v>0</v>
      </c>
      <c r="AA86" s="183">
        <v>0</v>
      </c>
      <c r="AB86" s="183">
        <v>0</v>
      </c>
      <c r="AC86" s="174">
        <f t="shared" si="55"/>
        <v>0</v>
      </c>
      <c r="AD86" s="175"/>
      <c r="AE86" s="183"/>
      <c r="AF86" s="175"/>
      <c r="AG86" s="175"/>
      <c r="AH86" s="95">
        <f t="shared" si="56"/>
        <v>0</v>
      </c>
      <c r="AI86" s="175"/>
      <c r="AJ86" s="175"/>
      <c r="AK86" s="175"/>
      <c r="AL86" s="175">
        <f t="shared" si="43"/>
        <v>0</v>
      </c>
      <c r="AM86" s="95">
        <v>0</v>
      </c>
      <c r="AN86" s="175"/>
      <c r="AO86" s="175"/>
      <c r="AP86" s="175"/>
      <c r="AQ86" s="175">
        <f t="shared" si="44"/>
        <v>0</v>
      </c>
      <c r="AR86" s="95"/>
      <c r="AS86" s="175"/>
      <c r="AT86" s="175"/>
      <c r="AU86" s="175"/>
      <c r="AV86" s="175">
        <f t="shared" si="45"/>
        <v>0</v>
      </c>
      <c r="AW86" s="95">
        <v>0</v>
      </c>
      <c r="AX86" s="175"/>
      <c r="AY86" s="175"/>
      <c r="AZ86" s="175"/>
      <c r="BA86" s="676"/>
      <c r="BB86" s="95">
        <f t="shared" si="46"/>
        <v>0</v>
      </c>
      <c r="BC86" s="676"/>
      <c r="BD86" s="175"/>
      <c r="BE86" s="175"/>
      <c r="BF86" s="175"/>
      <c r="BG86" s="95">
        <f t="shared" si="47"/>
        <v>0</v>
      </c>
      <c r="BH86" s="175"/>
      <c r="BI86" s="175"/>
      <c r="BJ86" s="175"/>
      <c r="BK86" s="175"/>
      <c r="BL86" s="95">
        <f t="shared" si="48"/>
        <v>0</v>
      </c>
      <c r="BM86" s="175"/>
      <c r="BN86" s="175"/>
      <c r="BO86" s="175"/>
      <c r="BP86" s="175"/>
      <c r="BQ86" s="95">
        <f t="shared" si="57"/>
        <v>0</v>
      </c>
      <c r="BR86" s="175"/>
      <c r="BS86" s="175"/>
      <c r="BT86" s="175"/>
      <c r="BU86" s="175"/>
      <c r="BV86" s="95">
        <f t="shared" si="58"/>
        <v>0</v>
      </c>
      <c r="BW86" s="175"/>
      <c r="BX86" s="175"/>
      <c r="BY86" s="175"/>
      <c r="BZ86" s="175"/>
      <c r="CA86" s="95">
        <f t="shared" si="59"/>
        <v>0</v>
      </c>
    </row>
    <row r="87" spans="2:79">
      <c r="B87" s="112"/>
      <c r="C87" s="169" t="s">
        <v>497</v>
      </c>
      <c r="D87" s="123"/>
      <c r="E87" s="175"/>
      <c r="F87" s="175"/>
      <c r="G87" s="175"/>
      <c r="H87" s="175"/>
      <c r="I87" s="123"/>
      <c r="J87" s="175"/>
      <c r="K87" s="175"/>
      <c r="L87" s="175"/>
      <c r="M87" s="175"/>
      <c r="N87" s="123"/>
      <c r="O87" s="175"/>
      <c r="P87" s="175"/>
      <c r="Q87" s="175"/>
      <c r="R87" s="175"/>
      <c r="S87" s="95"/>
      <c r="T87" s="175"/>
      <c r="U87" s="175"/>
      <c r="V87" s="175"/>
      <c r="W87" s="175"/>
      <c r="X87" s="95"/>
      <c r="Y87" s="175"/>
      <c r="Z87" s="183"/>
      <c r="AA87" s="183"/>
      <c r="AB87" s="183"/>
      <c r="AC87" s="174"/>
      <c r="AD87" s="175"/>
      <c r="AE87" s="183"/>
      <c r="AF87" s="175"/>
      <c r="AG87" s="175"/>
      <c r="AH87" s="95"/>
      <c r="AI87" s="175"/>
      <c r="AJ87" s="175"/>
      <c r="AK87" s="175"/>
      <c r="AL87" s="175"/>
      <c r="AM87" s="95"/>
      <c r="AN87" s="175"/>
      <c r="AO87" s="175"/>
      <c r="AP87" s="175"/>
      <c r="AQ87" s="175"/>
      <c r="AR87" s="95"/>
      <c r="AS87" s="175"/>
      <c r="AT87" s="175"/>
      <c r="AU87" s="175"/>
      <c r="AV87" s="175"/>
      <c r="AW87" s="95"/>
      <c r="AX87" s="175"/>
      <c r="AY87" s="175"/>
      <c r="AZ87" s="175"/>
      <c r="BA87" s="676"/>
      <c r="BB87" s="95"/>
      <c r="BC87" s="676"/>
      <c r="BD87" s="175"/>
      <c r="BE87" s="175"/>
      <c r="BF87" s="175"/>
      <c r="BG87" s="95"/>
      <c r="BH87" s="175"/>
      <c r="BI87" s="175"/>
      <c r="BJ87" s="175"/>
      <c r="BK87" s="175">
        <v>-500</v>
      </c>
      <c r="BL87" s="95">
        <f t="shared" si="48"/>
        <v>-500</v>
      </c>
      <c r="BM87" s="175"/>
      <c r="BN87" s="175"/>
      <c r="BO87" s="175"/>
      <c r="BP87" s="175"/>
      <c r="BQ87" s="95"/>
      <c r="BR87" s="175"/>
      <c r="BS87" s="175"/>
      <c r="BT87" s="175"/>
      <c r="BU87" s="175"/>
      <c r="BV87" s="95"/>
      <c r="BW87" s="175"/>
      <c r="BX87" s="175"/>
      <c r="BY87" s="175"/>
      <c r="BZ87" s="175"/>
      <c r="CA87" s="95"/>
    </row>
    <row r="88" spans="2:79">
      <c r="B88" s="112"/>
      <c r="C88" s="169" t="s">
        <v>236</v>
      </c>
      <c r="D88" s="123"/>
      <c r="E88" s="175">
        <v>0</v>
      </c>
      <c r="F88" s="175">
        <v>0</v>
      </c>
      <c r="G88" s="175">
        <v>0</v>
      </c>
      <c r="H88" s="175">
        <v>0</v>
      </c>
      <c r="I88" s="123">
        <f t="shared" si="51"/>
        <v>0</v>
      </c>
      <c r="J88" s="175"/>
      <c r="K88" s="175"/>
      <c r="L88" s="175"/>
      <c r="M88" s="175"/>
      <c r="N88" s="123">
        <f t="shared" si="52"/>
        <v>0</v>
      </c>
      <c r="O88" s="175">
        <v>0</v>
      </c>
      <c r="P88" s="175">
        <v>71459</v>
      </c>
      <c r="Q88" s="175">
        <v>0</v>
      </c>
      <c r="R88" s="175">
        <v>0</v>
      </c>
      <c r="S88" s="95">
        <f>SUM(O88:R88)</f>
        <v>71459</v>
      </c>
      <c r="T88" s="175">
        <v>0</v>
      </c>
      <c r="U88" s="175">
        <v>0</v>
      </c>
      <c r="V88" s="175">
        <v>0</v>
      </c>
      <c r="W88" s="175">
        <v>0</v>
      </c>
      <c r="X88" s="95">
        <f t="shared" si="54"/>
        <v>0</v>
      </c>
      <c r="Y88" s="175">
        <v>0</v>
      </c>
      <c r="Z88" s="183">
        <v>0</v>
      </c>
      <c r="AA88" s="183">
        <v>0</v>
      </c>
      <c r="AB88" s="183">
        <v>0</v>
      </c>
      <c r="AC88" s="174">
        <f t="shared" si="55"/>
        <v>0</v>
      </c>
      <c r="AD88" s="175"/>
      <c r="AE88" s="183"/>
      <c r="AF88" s="175">
        <f>1800</f>
        <v>1800</v>
      </c>
      <c r="AG88" s="175">
        <f>4101-AF88</f>
        <v>2301</v>
      </c>
      <c r="AH88" s="95">
        <f t="shared" si="56"/>
        <v>4101</v>
      </c>
      <c r="AI88" s="175"/>
      <c r="AJ88" s="175"/>
      <c r="AK88" s="175"/>
      <c r="AL88" s="175">
        <f t="shared" si="43"/>
        <v>0</v>
      </c>
      <c r="AM88" s="95">
        <v>0</v>
      </c>
      <c r="AN88" s="175"/>
      <c r="AO88" s="175"/>
      <c r="AP88" s="175"/>
      <c r="AQ88" s="175">
        <f t="shared" si="44"/>
        <v>0</v>
      </c>
      <c r="AR88" s="95"/>
      <c r="AS88" s="175"/>
      <c r="AT88" s="175"/>
      <c r="AU88" s="175"/>
      <c r="AV88" s="175">
        <f t="shared" si="45"/>
        <v>0</v>
      </c>
      <c r="AW88" s="95">
        <v>0</v>
      </c>
      <c r="AX88" s="175"/>
      <c r="AY88" s="175"/>
      <c r="AZ88" s="175"/>
      <c r="BA88" s="676"/>
      <c r="BB88" s="95">
        <f t="shared" si="46"/>
        <v>0</v>
      </c>
      <c r="BC88" s="676"/>
      <c r="BD88" s="175"/>
      <c r="BE88" s="175"/>
      <c r="BF88" s="175"/>
      <c r="BG88" s="95">
        <f t="shared" si="47"/>
        <v>0</v>
      </c>
      <c r="BH88" s="175"/>
      <c r="BI88" s="175"/>
      <c r="BJ88" s="175"/>
      <c r="BK88" s="175"/>
      <c r="BL88" s="95">
        <f t="shared" si="48"/>
        <v>0</v>
      </c>
      <c r="BM88" s="175"/>
      <c r="BN88" s="175"/>
      <c r="BO88" s="175"/>
      <c r="BP88" s="175"/>
      <c r="BQ88" s="95">
        <f t="shared" si="57"/>
        <v>0</v>
      </c>
      <c r="BR88" s="175"/>
      <c r="BS88" s="175"/>
      <c r="BT88" s="175"/>
      <c r="BU88" s="175"/>
      <c r="BV88" s="95">
        <f>SUM(BR88:BU88)</f>
        <v>0</v>
      </c>
      <c r="BW88" s="175"/>
      <c r="BX88" s="175"/>
      <c r="BY88" s="175"/>
      <c r="BZ88" s="175"/>
      <c r="CA88" s="95">
        <f>SUM(BW88:BZ88)</f>
        <v>0</v>
      </c>
    </row>
    <row r="89" spans="2:79" s="116" customFormat="1" ht="13.15">
      <c r="B89" s="138" t="s">
        <v>116</v>
      </c>
      <c r="C89" s="173"/>
      <c r="D89" s="136">
        <f t="shared" ref="D89:AI89" si="60">SUM(D67:D88)</f>
        <v>9843</v>
      </c>
      <c r="E89" s="137">
        <f t="shared" si="60"/>
        <v>-382</v>
      </c>
      <c r="F89" s="137">
        <f t="shared" si="60"/>
        <v>12146</v>
      </c>
      <c r="G89" s="137">
        <f t="shared" si="60"/>
        <v>-585</v>
      </c>
      <c r="H89" s="137">
        <f t="shared" si="60"/>
        <v>-707</v>
      </c>
      <c r="I89" s="136">
        <f t="shared" si="60"/>
        <v>10472</v>
      </c>
      <c r="J89" s="137">
        <f t="shared" si="60"/>
        <v>3223</v>
      </c>
      <c r="K89" s="137">
        <f t="shared" si="60"/>
        <v>16016</v>
      </c>
      <c r="L89" s="137">
        <f t="shared" si="60"/>
        <v>-1854</v>
      </c>
      <c r="M89" s="137">
        <f t="shared" si="60"/>
        <v>16383</v>
      </c>
      <c r="N89" s="136">
        <f t="shared" si="60"/>
        <v>33768</v>
      </c>
      <c r="O89" s="137">
        <f t="shared" si="60"/>
        <v>17766</v>
      </c>
      <c r="P89" s="137">
        <f t="shared" si="60"/>
        <v>70815</v>
      </c>
      <c r="Q89" s="137">
        <f t="shared" si="60"/>
        <v>-1585</v>
      </c>
      <c r="R89" s="137">
        <f t="shared" si="60"/>
        <v>-1134</v>
      </c>
      <c r="S89" s="136">
        <f t="shared" si="60"/>
        <v>85862</v>
      </c>
      <c r="T89" s="137">
        <f t="shared" si="60"/>
        <v>-2352</v>
      </c>
      <c r="U89" s="137">
        <f t="shared" si="60"/>
        <v>-1286</v>
      </c>
      <c r="V89" s="234">
        <f t="shared" si="60"/>
        <v>-2394</v>
      </c>
      <c r="W89" s="234">
        <f t="shared" si="60"/>
        <v>-524</v>
      </c>
      <c r="X89" s="136">
        <f t="shared" si="60"/>
        <v>-6556</v>
      </c>
      <c r="Y89" s="234">
        <f t="shared" si="60"/>
        <v>-517</v>
      </c>
      <c r="Z89" s="362">
        <f t="shared" si="60"/>
        <v>-1958</v>
      </c>
      <c r="AA89" s="362">
        <f t="shared" si="60"/>
        <v>-1647</v>
      </c>
      <c r="AB89" s="234">
        <f t="shared" si="60"/>
        <v>-681</v>
      </c>
      <c r="AC89" s="136">
        <f t="shared" si="60"/>
        <v>-4803</v>
      </c>
      <c r="AD89" s="234">
        <f t="shared" si="60"/>
        <v>-1315</v>
      </c>
      <c r="AE89" s="362">
        <f t="shared" si="60"/>
        <v>1277</v>
      </c>
      <c r="AF89" s="234">
        <f t="shared" si="60"/>
        <v>-1137</v>
      </c>
      <c r="AG89" s="234">
        <f t="shared" si="60"/>
        <v>3544</v>
      </c>
      <c r="AH89" s="136">
        <f t="shared" si="60"/>
        <v>2369</v>
      </c>
      <c r="AI89" s="234">
        <f t="shared" si="60"/>
        <v>2242</v>
      </c>
      <c r="AJ89" s="234">
        <f t="shared" ref="AJ89:BL89" si="61">SUM(AJ67:AJ88)</f>
        <v>188540</v>
      </c>
      <c r="AK89" s="234">
        <f t="shared" si="61"/>
        <v>-776</v>
      </c>
      <c r="AL89" s="234">
        <f t="shared" si="61"/>
        <v>1086</v>
      </c>
      <c r="AM89" s="136">
        <f t="shared" si="61"/>
        <v>191092</v>
      </c>
      <c r="AN89" s="234">
        <f t="shared" si="61"/>
        <v>-912</v>
      </c>
      <c r="AO89" s="234">
        <f t="shared" si="61"/>
        <v>5454</v>
      </c>
      <c r="AP89" s="234">
        <f t="shared" si="61"/>
        <v>-901</v>
      </c>
      <c r="AQ89" s="234">
        <f t="shared" si="61"/>
        <v>4833</v>
      </c>
      <c r="AR89" s="136">
        <f t="shared" si="61"/>
        <v>8474</v>
      </c>
      <c r="AS89" s="234">
        <f t="shared" si="61"/>
        <v>1367</v>
      </c>
      <c r="AT89" s="234">
        <f t="shared" si="61"/>
        <v>465086.5</v>
      </c>
      <c r="AU89" s="234">
        <f t="shared" si="61"/>
        <v>-2988.5</v>
      </c>
      <c r="AV89" s="234">
        <f t="shared" si="61"/>
        <v>-6041</v>
      </c>
      <c r="AW89" s="136">
        <f t="shared" si="61"/>
        <v>457424</v>
      </c>
      <c r="AX89" s="234">
        <f t="shared" si="61"/>
        <v>-6081</v>
      </c>
      <c r="AY89" s="234">
        <f t="shared" si="61"/>
        <v>-2749</v>
      </c>
      <c r="AZ89" s="234">
        <f t="shared" si="61"/>
        <v>305</v>
      </c>
      <c r="BA89" s="821">
        <f t="shared" si="61"/>
        <v>1024</v>
      </c>
      <c r="BB89" s="136">
        <f t="shared" si="61"/>
        <v>-7501</v>
      </c>
      <c r="BC89" s="821">
        <f t="shared" si="61"/>
        <v>-30628</v>
      </c>
      <c r="BD89" s="234">
        <f t="shared" si="61"/>
        <v>-10163</v>
      </c>
      <c r="BE89" s="234">
        <f t="shared" si="61"/>
        <v>2330</v>
      </c>
      <c r="BF89" s="234">
        <f t="shared" si="61"/>
        <v>8229</v>
      </c>
      <c r="BG89" s="136">
        <f t="shared" si="61"/>
        <v>-30232</v>
      </c>
      <c r="BH89" s="234">
        <f t="shared" si="61"/>
        <v>3125</v>
      </c>
      <c r="BI89" s="234">
        <f t="shared" si="61"/>
        <v>87584</v>
      </c>
      <c r="BJ89" s="234">
        <f t="shared" si="61"/>
        <v>838</v>
      </c>
      <c r="BK89" s="234">
        <f t="shared" si="61"/>
        <v>3032</v>
      </c>
      <c r="BL89" s="136">
        <f t="shared" si="61"/>
        <v>94579</v>
      </c>
      <c r="BM89" s="234">
        <f>SUM(BM66:BM88)</f>
        <v>331396</v>
      </c>
      <c r="BN89" s="234">
        <f>SUM(BN66:BN88)</f>
        <v>9016</v>
      </c>
      <c r="BO89" s="234">
        <f>SUM(BO66:BO88)</f>
        <v>-1014</v>
      </c>
      <c r="BP89" s="234">
        <f>SUM(BP66:BP88)</f>
        <v>3327</v>
      </c>
      <c r="BQ89" s="136">
        <f>SUM(BQ66:BQ88)</f>
        <v>342725</v>
      </c>
      <c r="BR89" s="234">
        <f t="shared" ref="BR89:CA89" si="62">SUM(BR67:BR88)</f>
        <v>-2163</v>
      </c>
      <c r="BS89" s="234">
        <f t="shared" si="62"/>
        <v>-428962</v>
      </c>
      <c r="BT89" s="234">
        <f t="shared" si="62"/>
        <v>576</v>
      </c>
      <c r="BU89" s="234">
        <f>SUM(BU67:BU88)</f>
        <v>-48017</v>
      </c>
      <c r="BV89" s="136">
        <f t="shared" si="62"/>
        <v>-478566</v>
      </c>
      <c r="BW89" s="234">
        <f t="shared" si="62"/>
        <v>0</v>
      </c>
      <c r="BX89" s="234">
        <f t="shared" si="62"/>
        <v>0</v>
      </c>
      <c r="BY89" s="234">
        <f t="shared" si="62"/>
        <v>0</v>
      </c>
      <c r="BZ89" s="234">
        <f t="shared" si="62"/>
        <v>0</v>
      </c>
      <c r="CA89" s="136">
        <f t="shared" si="62"/>
        <v>0</v>
      </c>
    </row>
    <row r="90" spans="2:79" s="116" customFormat="1" ht="13.15">
      <c r="B90" s="138"/>
      <c r="C90" s="173"/>
      <c r="D90" s="136"/>
      <c r="E90" s="137"/>
      <c r="F90" s="137"/>
      <c r="G90" s="137"/>
      <c r="H90" s="137"/>
      <c r="I90" s="136"/>
      <c r="J90" s="137"/>
      <c r="K90" s="137"/>
      <c r="L90" s="137"/>
      <c r="M90" s="137"/>
      <c r="N90" s="136"/>
      <c r="O90" s="137"/>
      <c r="P90" s="137"/>
      <c r="Q90" s="137"/>
      <c r="R90" s="137"/>
      <c r="S90" s="136"/>
      <c r="T90" s="137"/>
      <c r="U90" s="137"/>
      <c r="V90" s="175"/>
      <c r="W90" s="175"/>
      <c r="X90" s="95"/>
      <c r="Y90" s="175"/>
      <c r="Z90" s="183"/>
      <c r="AA90" s="183"/>
      <c r="AB90" s="175"/>
      <c r="AC90" s="136"/>
      <c r="AD90" s="175"/>
      <c r="AE90" s="183"/>
      <c r="AF90" s="175"/>
      <c r="AG90" s="175"/>
      <c r="AH90" s="136"/>
      <c r="AI90" s="175"/>
      <c r="AJ90" s="175"/>
      <c r="AK90" s="175"/>
      <c r="AL90" s="175"/>
      <c r="AM90" s="136"/>
      <c r="AN90" s="175"/>
      <c r="AO90" s="175"/>
      <c r="AP90" s="175"/>
      <c r="AQ90" s="175"/>
      <c r="AR90" s="136"/>
      <c r="AS90" s="175"/>
      <c r="AT90" s="175"/>
      <c r="AU90" s="175"/>
      <c r="AV90" s="175"/>
      <c r="AW90" s="136"/>
      <c r="AX90" s="175"/>
      <c r="AY90" s="175"/>
      <c r="AZ90" s="175"/>
      <c r="BA90" s="676"/>
      <c r="BB90" s="136"/>
      <c r="BC90" s="676"/>
      <c r="BD90" s="175"/>
      <c r="BE90" s="175"/>
      <c r="BF90" s="175"/>
      <c r="BG90" s="136"/>
      <c r="BH90" s="175"/>
      <c r="BI90" s="175"/>
      <c r="BJ90" s="175"/>
      <c r="BK90" s="175"/>
      <c r="BL90" s="136"/>
      <c r="BM90" s="175"/>
      <c r="BN90" s="175"/>
      <c r="BO90" s="175"/>
      <c r="BP90" s="175"/>
      <c r="BQ90" s="136"/>
      <c r="BR90" s="175"/>
      <c r="BS90" s="175"/>
      <c r="BT90" s="175"/>
      <c r="BU90" s="175"/>
      <c r="BV90" s="136"/>
      <c r="BW90" s="175"/>
      <c r="BX90" s="175"/>
      <c r="BY90" s="175"/>
      <c r="BZ90" s="175"/>
      <c r="CA90" s="136"/>
    </row>
    <row r="91" spans="2:79" s="116" customFormat="1" ht="13.15">
      <c r="B91" s="138" t="s">
        <v>115</v>
      </c>
      <c r="C91" s="173"/>
      <c r="D91" s="172">
        <v>0</v>
      </c>
      <c r="E91" s="137">
        <v>0</v>
      </c>
      <c r="F91" s="137">
        <v>0</v>
      </c>
      <c r="G91" s="137">
        <v>0</v>
      </c>
      <c r="H91" s="137">
        <v>0</v>
      </c>
      <c r="I91" s="172">
        <f>SUM(E91:H91)</f>
        <v>0</v>
      </c>
      <c r="J91" s="137"/>
      <c r="K91" s="137"/>
      <c r="L91" s="137"/>
      <c r="M91" s="137">
        <v>0</v>
      </c>
      <c r="N91" s="172">
        <f>SUM(J91:M91)</f>
        <v>0</v>
      </c>
      <c r="O91" s="137">
        <v>0</v>
      </c>
      <c r="P91" s="137">
        <v>0</v>
      </c>
      <c r="Q91" s="137">
        <v>0</v>
      </c>
      <c r="R91" s="137">
        <v>0</v>
      </c>
      <c r="S91" s="136">
        <f>SUM(O91:R91)</f>
        <v>0</v>
      </c>
      <c r="T91" s="137">
        <v>0</v>
      </c>
      <c r="U91" s="137">
        <v>0</v>
      </c>
      <c r="V91" s="175">
        <v>0</v>
      </c>
      <c r="W91" s="175">
        <v>0</v>
      </c>
      <c r="X91" s="136">
        <f>SUM(T91:W91)</f>
        <v>0</v>
      </c>
      <c r="Y91" s="175">
        <v>0</v>
      </c>
      <c r="Z91" s="183"/>
      <c r="AA91" s="183"/>
      <c r="AB91" s="175"/>
      <c r="AC91" s="136">
        <f>SUM(Y91:AB91)</f>
        <v>0</v>
      </c>
      <c r="AD91" s="175"/>
      <c r="AE91" s="183"/>
      <c r="AF91" s="175"/>
      <c r="AG91" s="175"/>
      <c r="AH91" s="136">
        <f>SUM(AD91:AG91)</f>
        <v>0</v>
      </c>
      <c r="AI91" s="175"/>
      <c r="AJ91" s="175"/>
      <c r="AK91" s="175"/>
      <c r="AL91" s="175"/>
      <c r="AM91" s="136">
        <v>0</v>
      </c>
      <c r="AN91" s="175"/>
      <c r="AO91" s="175"/>
      <c r="AP91" s="175"/>
      <c r="AQ91" s="175"/>
      <c r="AR91" s="136">
        <f>SUM(AN91:AQ91)</f>
        <v>0</v>
      </c>
      <c r="AS91" s="175"/>
      <c r="AT91" s="175"/>
      <c r="AU91" s="175"/>
      <c r="AV91" s="175"/>
      <c r="AW91" s="136">
        <f>SUM(AS91:AV91)</f>
        <v>0</v>
      </c>
      <c r="AX91" s="175"/>
      <c r="AY91" s="175"/>
      <c r="AZ91" s="175"/>
      <c r="BA91" s="676"/>
      <c r="BB91" s="136">
        <f>SUM(AX91:BA91)</f>
        <v>0</v>
      </c>
      <c r="BC91" s="676"/>
      <c r="BD91" s="175"/>
      <c r="BE91" s="175"/>
      <c r="BF91" s="175"/>
      <c r="BG91" s="136">
        <f>SUM(BC91:BF91)</f>
        <v>0</v>
      </c>
      <c r="BH91" s="175"/>
      <c r="BI91" s="175"/>
      <c r="BJ91" s="175"/>
      <c r="BK91" s="175"/>
      <c r="BL91" s="136">
        <f>SUM(BH91:BK91)</f>
        <v>0</v>
      </c>
      <c r="BM91" s="175"/>
      <c r="BN91" s="175"/>
      <c r="BO91" s="175"/>
      <c r="BP91" s="175"/>
      <c r="BQ91" s="136">
        <f>SUM(BM91:BP91)</f>
        <v>0</v>
      </c>
      <c r="BR91" s="175"/>
      <c r="BS91" s="175"/>
      <c r="BT91" s="175"/>
      <c r="BU91" s="175"/>
      <c r="BV91" s="136">
        <f>SUM(BR91:BU91)</f>
        <v>0</v>
      </c>
      <c r="BW91" s="175"/>
      <c r="BX91" s="175"/>
      <c r="BY91" s="175"/>
      <c r="BZ91" s="175"/>
      <c r="CA91" s="136">
        <f>SUM(BW91:BZ91)</f>
        <v>0</v>
      </c>
    </row>
    <row r="92" spans="2:79" ht="13.15" thickBot="1">
      <c r="B92" s="108"/>
      <c r="C92" s="168"/>
      <c r="D92" s="148"/>
      <c r="E92" s="245"/>
      <c r="F92" s="224"/>
      <c r="G92" s="245"/>
      <c r="H92" s="245"/>
      <c r="I92" s="148"/>
      <c r="J92" s="245"/>
      <c r="K92" s="224"/>
      <c r="L92" s="245"/>
      <c r="M92" s="245"/>
      <c r="N92" s="148"/>
      <c r="O92" s="245"/>
      <c r="P92" s="224"/>
      <c r="Q92" s="245"/>
      <c r="R92" s="245"/>
      <c r="S92" s="171"/>
      <c r="T92" s="224"/>
      <c r="U92" s="224"/>
      <c r="V92" s="247"/>
      <c r="W92" s="247"/>
      <c r="X92" s="171"/>
      <c r="Y92" s="247"/>
      <c r="Z92" s="363"/>
      <c r="AA92" s="363"/>
      <c r="AB92" s="247"/>
      <c r="AC92" s="171"/>
      <c r="AD92" s="247"/>
      <c r="AE92" s="363"/>
      <c r="AF92" s="247"/>
      <c r="AG92" s="247"/>
      <c r="AH92" s="171"/>
      <c r="AI92" s="247"/>
      <c r="AJ92" s="247"/>
      <c r="AK92" s="247"/>
      <c r="AL92" s="247"/>
      <c r="AM92" s="171"/>
      <c r="AN92" s="247"/>
      <c r="AO92" s="247"/>
      <c r="AP92" s="247"/>
      <c r="AQ92" s="247"/>
      <c r="AR92" s="171"/>
      <c r="AS92" s="247"/>
      <c r="AT92" s="247"/>
      <c r="AU92" s="247"/>
      <c r="AV92" s="247"/>
      <c r="AW92" s="171"/>
      <c r="AX92" s="247"/>
      <c r="AY92" s="247"/>
      <c r="AZ92" s="247"/>
      <c r="BA92" s="822"/>
      <c r="BB92" s="171"/>
      <c r="BC92" s="822"/>
      <c r="BD92" s="247"/>
      <c r="BE92" s="247"/>
      <c r="BF92" s="247"/>
      <c r="BG92" s="171"/>
      <c r="BH92" s="247"/>
      <c r="BI92" s="247"/>
      <c r="BJ92" s="247"/>
      <c r="BK92" s="247"/>
      <c r="BL92" s="171"/>
      <c r="BM92" s="247"/>
      <c r="BN92" s="247"/>
      <c r="BO92" s="247"/>
      <c r="BP92" s="247"/>
      <c r="BQ92" s="171"/>
      <c r="BR92" s="247"/>
      <c r="BS92" s="247"/>
      <c r="BT92" s="247"/>
      <c r="BU92" s="247"/>
      <c r="BV92" s="171"/>
      <c r="BW92" s="247"/>
      <c r="BX92" s="247"/>
      <c r="BY92" s="247"/>
      <c r="BZ92" s="247"/>
      <c r="CA92" s="171"/>
    </row>
    <row r="93" spans="2:79" ht="13.15" thickBot="1">
      <c r="B93" s="132" t="s">
        <v>13</v>
      </c>
      <c r="C93" s="131"/>
      <c r="D93" s="129">
        <f t="shared" ref="D93:AI93" si="63">D42+D60+D89+D91</f>
        <v>1278</v>
      </c>
      <c r="E93" s="130">
        <f t="shared" si="63"/>
        <v>-3642.99559</v>
      </c>
      <c r="F93" s="130">
        <f t="shared" si="63"/>
        <v>11394.00052</v>
      </c>
      <c r="G93" s="130">
        <f t="shared" si="63"/>
        <v>-4661.233760000001</v>
      </c>
      <c r="H93" s="130">
        <f t="shared" si="63"/>
        <v>-2507.141120000002</v>
      </c>
      <c r="I93" s="129">
        <f t="shared" si="63"/>
        <v>582.6300499999943</v>
      </c>
      <c r="J93" s="130">
        <f t="shared" si="63"/>
        <v>-485.74106999999822</v>
      </c>
      <c r="K93" s="130">
        <f t="shared" si="63"/>
        <v>12265.73007</v>
      </c>
      <c r="L93" s="130">
        <f t="shared" si="63"/>
        <v>-7632.0454899999968</v>
      </c>
      <c r="M93" s="130">
        <f t="shared" si="63"/>
        <v>7639.8923599999944</v>
      </c>
      <c r="N93" s="129">
        <f t="shared" si="63"/>
        <v>11787.835869999999</v>
      </c>
      <c r="O93" s="130">
        <f t="shared" si="63"/>
        <v>11490</v>
      </c>
      <c r="P93" s="130">
        <f t="shared" si="63"/>
        <v>32339</v>
      </c>
      <c r="Q93" s="130">
        <f t="shared" si="63"/>
        <v>-8088</v>
      </c>
      <c r="R93" s="130">
        <f t="shared" si="63"/>
        <v>4800</v>
      </c>
      <c r="S93" s="129">
        <f t="shared" si="63"/>
        <v>40541</v>
      </c>
      <c r="T93" s="130">
        <f t="shared" si="63"/>
        <v>-7643</v>
      </c>
      <c r="U93" s="130">
        <f t="shared" si="63"/>
        <v>14687</v>
      </c>
      <c r="V93" s="130">
        <f t="shared" si="63"/>
        <v>-5832</v>
      </c>
      <c r="W93" s="130">
        <f t="shared" si="63"/>
        <v>-1017</v>
      </c>
      <c r="X93" s="129">
        <f t="shared" si="63"/>
        <v>195</v>
      </c>
      <c r="Y93" s="130">
        <f t="shared" si="63"/>
        <v>-717</v>
      </c>
      <c r="Z93" s="212">
        <f t="shared" si="63"/>
        <v>-129</v>
      </c>
      <c r="AA93" s="212">
        <f t="shared" si="63"/>
        <v>-305</v>
      </c>
      <c r="AB93" s="212">
        <f t="shared" si="63"/>
        <v>789</v>
      </c>
      <c r="AC93" s="129">
        <f t="shared" si="63"/>
        <v>-362</v>
      </c>
      <c r="AD93" s="130">
        <f t="shared" si="63"/>
        <v>-1670</v>
      </c>
      <c r="AE93" s="212">
        <f t="shared" si="63"/>
        <v>697</v>
      </c>
      <c r="AF93" s="130">
        <f t="shared" si="63"/>
        <v>6215</v>
      </c>
      <c r="AG93" s="130">
        <f t="shared" si="63"/>
        <v>5583</v>
      </c>
      <c r="AH93" s="129">
        <f t="shared" si="63"/>
        <v>10825</v>
      </c>
      <c r="AI93" s="130">
        <f t="shared" si="63"/>
        <v>11729</v>
      </c>
      <c r="AJ93" s="130">
        <f t="shared" ref="AJ93:BO93" si="64">AJ42+AJ60+AJ89+AJ91</f>
        <v>85486</v>
      </c>
      <c r="AK93" s="130">
        <f t="shared" si="64"/>
        <v>-86543</v>
      </c>
      <c r="AL93" s="130">
        <f t="shared" si="64"/>
        <v>2293</v>
      </c>
      <c r="AM93" s="129">
        <f t="shared" si="64"/>
        <v>12965</v>
      </c>
      <c r="AN93" s="130">
        <f t="shared" si="64"/>
        <v>11580</v>
      </c>
      <c r="AO93" s="130">
        <f t="shared" si="64"/>
        <v>16977</v>
      </c>
      <c r="AP93" s="130">
        <f t="shared" si="64"/>
        <v>9060</v>
      </c>
      <c r="AQ93" s="130">
        <f t="shared" si="64"/>
        <v>-41553</v>
      </c>
      <c r="AR93" s="129">
        <f t="shared" si="64"/>
        <v>-3936</v>
      </c>
      <c r="AS93" s="130">
        <f t="shared" si="64"/>
        <v>77887</v>
      </c>
      <c r="AT93" s="130">
        <f t="shared" si="64"/>
        <v>77372.5</v>
      </c>
      <c r="AU93" s="130">
        <f t="shared" si="64"/>
        <v>68531.5</v>
      </c>
      <c r="AV93" s="130">
        <f t="shared" si="64"/>
        <v>-81395</v>
      </c>
      <c r="AW93" s="129">
        <f t="shared" si="64"/>
        <v>142396</v>
      </c>
      <c r="AX93" s="130">
        <f t="shared" si="64"/>
        <v>-44046</v>
      </c>
      <c r="AY93" s="130">
        <f t="shared" si="64"/>
        <v>-1127</v>
      </c>
      <c r="AZ93" s="130">
        <f t="shared" si="64"/>
        <v>-92734</v>
      </c>
      <c r="BA93" s="823">
        <f t="shared" si="64"/>
        <v>8413</v>
      </c>
      <c r="BB93" s="129">
        <f t="shared" si="64"/>
        <v>-129494</v>
      </c>
      <c r="BC93" s="823">
        <f t="shared" si="64"/>
        <v>9273</v>
      </c>
      <c r="BD93" s="130">
        <f t="shared" si="64"/>
        <v>1164</v>
      </c>
      <c r="BE93" s="130">
        <f t="shared" si="64"/>
        <v>28130</v>
      </c>
      <c r="BF93" s="130">
        <f t="shared" si="64"/>
        <v>51029</v>
      </c>
      <c r="BG93" s="129">
        <f t="shared" si="64"/>
        <v>89596</v>
      </c>
      <c r="BH93" s="130">
        <f t="shared" si="64"/>
        <v>-39148</v>
      </c>
      <c r="BI93" s="130">
        <f t="shared" si="64"/>
        <v>55400</v>
      </c>
      <c r="BJ93" s="130">
        <f t="shared" si="64"/>
        <v>-67385</v>
      </c>
      <c r="BK93" s="130">
        <f t="shared" si="64"/>
        <v>14988</v>
      </c>
      <c r="BL93" s="129">
        <f t="shared" si="64"/>
        <v>-36144</v>
      </c>
      <c r="BM93" s="130">
        <f t="shared" si="64"/>
        <v>96926</v>
      </c>
      <c r="BN93" s="130">
        <f t="shared" si="64"/>
        <v>-64386</v>
      </c>
      <c r="BO93" s="130">
        <f t="shared" si="64"/>
        <v>115470</v>
      </c>
      <c r="BP93" s="130">
        <f t="shared" ref="BP93:CA93" si="65">BP42+BP60+BP89+BP91</f>
        <v>71333</v>
      </c>
      <c r="BQ93" s="129">
        <f t="shared" si="65"/>
        <v>219343</v>
      </c>
      <c r="BR93" s="130">
        <f t="shared" si="65"/>
        <v>8118</v>
      </c>
      <c r="BS93" s="130">
        <f t="shared" si="65"/>
        <v>-164735</v>
      </c>
      <c r="BT93" s="130">
        <f t="shared" si="65"/>
        <v>-12138</v>
      </c>
      <c r="BU93" s="130">
        <f>BU42+BU60+BU89+BU91</f>
        <v>38701</v>
      </c>
      <c r="BV93" s="129">
        <f t="shared" si="65"/>
        <v>-130054</v>
      </c>
      <c r="BW93" s="130">
        <f t="shared" si="65"/>
        <v>43182.521566999989</v>
      </c>
      <c r="BX93" s="130">
        <f t="shared" si="65"/>
        <v>24003.668753999998</v>
      </c>
      <c r="BY93" s="130">
        <f t="shared" si="65"/>
        <v>35439.429417118736</v>
      </c>
      <c r="BZ93" s="130">
        <f t="shared" si="65"/>
        <v>48410.087968539883</v>
      </c>
      <c r="CA93" s="129">
        <f t="shared" si="65"/>
        <v>151035.70770665858</v>
      </c>
    </row>
    <row r="94" spans="2:79">
      <c r="B94" s="104"/>
      <c r="C94" s="102"/>
      <c r="D94" s="170"/>
      <c r="E94" s="105"/>
      <c r="F94" s="105"/>
      <c r="G94" s="105"/>
      <c r="H94" s="105"/>
      <c r="I94" s="170"/>
      <c r="J94" s="105"/>
      <c r="K94" s="105"/>
      <c r="L94" s="105"/>
      <c r="M94" s="105"/>
      <c r="N94" s="170"/>
      <c r="O94" s="105"/>
      <c r="P94" s="105"/>
      <c r="Q94" s="105"/>
      <c r="R94" s="105"/>
      <c r="S94" s="158"/>
      <c r="T94" s="105"/>
      <c r="U94" s="105"/>
      <c r="V94" s="105"/>
      <c r="W94" s="105"/>
      <c r="X94" s="158"/>
      <c r="Y94" s="105"/>
      <c r="Z94" s="162"/>
      <c r="AA94" s="162"/>
      <c r="AB94" s="105"/>
      <c r="AC94" s="158"/>
      <c r="AD94" s="105"/>
      <c r="AE94" s="162"/>
      <c r="AF94" s="105"/>
      <c r="AG94" s="105"/>
      <c r="AH94" s="158"/>
      <c r="AI94" s="105"/>
      <c r="AJ94" s="105"/>
      <c r="AK94" s="105"/>
      <c r="AL94" s="105"/>
      <c r="AM94" s="158"/>
      <c r="AN94" s="105"/>
      <c r="AO94" s="105"/>
      <c r="AP94" s="105"/>
      <c r="AQ94" s="105"/>
      <c r="AR94" s="158"/>
      <c r="AS94" s="105"/>
      <c r="AT94" s="105"/>
      <c r="AU94" s="105"/>
      <c r="AV94" s="105"/>
      <c r="AW94" s="158"/>
      <c r="AX94" s="105"/>
      <c r="AY94" s="105"/>
      <c r="AZ94" s="105"/>
      <c r="BA94" s="817"/>
      <c r="BB94" s="158"/>
      <c r="BC94" s="817"/>
      <c r="BD94" s="105"/>
      <c r="BE94" s="124"/>
      <c r="BF94" s="105"/>
      <c r="BG94" s="158"/>
      <c r="BH94" s="105"/>
      <c r="BI94" s="105"/>
      <c r="BJ94" s="105"/>
      <c r="BK94" s="105"/>
      <c r="BL94" s="158"/>
      <c r="BM94" s="105"/>
      <c r="BN94" s="105"/>
      <c r="BO94" s="105"/>
      <c r="BP94" s="105"/>
      <c r="BQ94" s="158"/>
      <c r="BR94" s="105"/>
      <c r="BS94" s="105"/>
      <c r="BT94" s="105"/>
      <c r="BU94" s="105"/>
      <c r="BV94" s="158"/>
      <c r="BW94" s="105"/>
      <c r="BX94" s="105"/>
      <c r="BY94" s="105"/>
      <c r="BZ94" s="105"/>
      <c r="CA94" s="158"/>
    </row>
    <row r="95" spans="2:79">
      <c r="B95" s="112" t="s">
        <v>114</v>
      </c>
      <c r="C95" s="169"/>
      <c r="D95" s="95">
        <v>4100</v>
      </c>
      <c r="E95" s="96">
        <f>D96</f>
        <v>5378</v>
      </c>
      <c r="F95" s="124">
        <f>E96</f>
        <v>1735.00441</v>
      </c>
      <c r="G95" s="124">
        <f>F96</f>
        <v>13129.004929999999</v>
      </c>
      <c r="H95" s="124">
        <f>G96</f>
        <v>8467.7711699999982</v>
      </c>
      <c r="I95" s="95">
        <f>D96</f>
        <v>5378</v>
      </c>
      <c r="J95" s="96">
        <f>I96</f>
        <v>5960.6300499999943</v>
      </c>
      <c r="K95" s="124">
        <f>J96</f>
        <v>5474.8889799999961</v>
      </c>
      <c r="L95" s="124">
        <f>K96</f>
        <v>17740.619049999994</v>
      </c>
      <c r="M95" s="124">
        <f>L96</f>
        <v>10108.573559999997</v>
      </c>
      <c r="N95" s="95">
        <f>I96</f>
        <v>5960.6300499999943</v>
      </c>
      <c r="O95" s="96">
        <f>N96</f>
        <v>17748.465919999995</v>
      </c>
      <c r="P95" s="124">
        <f>O96</f>
        <v>29238.465919999995</v>
      </c>
      <c r="Q95" s="124">
        <f>P96</f>
        <v>61577.465919999995</v>
      </c>
      <c r="R95" s="124">
        <f>Q96</f>
        <v>53489.465919999995</v>
      </c>
      <c r="S95" s="95">
        <f>N96</f>
        <v>17748.465919999995</v>
      </c>
      <c r="T95" s="96">
        <f>R96</f>
        <v>58289.465919999995</v>
      </c>
      <c r="U95" s="124">
        <f>T96</f>
        <v>50646.465919999995</v>
      </c>
      <c r="V95" s="124">
        <f>U96</f>
        <v>65333.465919999995</v>
      </c>
      <c r="W95" s="124">
        <f>V96</f>
        <v>59501.465919999995</v>
      </c>
      <c r="X95" s="95">
        <f>S96</f>
        <v>58289.465919999995</v>
      </c>
      <c r="Y95" s="96">
        <f>W96</f>
        <v>58484.465919999995</v>
      </c>
      <c r="Z95" s="124">
        <f>Y96</f>
        <v>57767.465919999995</v>
      </c>
      <c r="AA95" s="203">
        <f>Z96</f>
        <v>57638.465919999995</v>
      </c>
      <c r="AB95" s="124">
        <f>AA96</f>
        <v>57333.465919999995</v>
      </c>
      <c r="AC95" s="95">
        <f>X96</f>
        <v>58484.465919999995</v>
      </c>
      <c r="AD95" s="96">
        <f>AB96</f>
        <v>58122.465919999995</v>
      </c>
      <c r="AE95" s="203">
        <f>AD96</f>
        <v>56452.465919999995</v>
      </c>
      <c r="AF95" s="124">
        <f>AE96</f>
        <v>57149.465919999995</v>
      </c>
      <c r="AG95" s="124">
        <f>AF96</f>
        <v>63364.465919999995</v>
      </c>
      <c r="AH95" s="95">
        <f>AC96</f>
        <v>58122.465919999995</v>
      </c>
      <c r="AI95" s="96">
        <f>AG96</f>
        <v>68947.465919999988</v>
      </c>
      <c r="AJ95" s="124">
        <f>AI96</f>
        <v>80676.465919999988</v>
      </c>
      <c r="AK95" s="124">
        <f>AJ96</f>
        <v>166162.46591999999</v>
      </c>
      <c r="AL95" s="124">
        <f>AK96</f>
        <v>79619.465919999988</v>
      </c>
      <c r="AM95" s="95">
        <f>AH96</f>
        <v>68947.465919999988</v>
      </c>
      <c r="AN95" s="96">
        <f>AL96</f>
        <v>81912.465919999988</v>
      </c>
      <c r="AO95" s="124">
        <f>AN96</f>
        <v>93492.465919999988</v>
      </c>
      <c r="AP95" s="124">
        <f>AO96</f>
        <v>110469.46591999999</v>
      </c>
      <c r="AQ95" s="124">
        <f>AP96</f>
        <v>119529.46591999999</v>
      </c>
      <c r="AR95" s="95">
        <f>AM96</f>
        <v>81912.465919999988</v>
      </c>
      <c r="AS95" s="96">
        <f>AQ96</f>
        <v>77976.465919999988</v>
      </c>
      <c r="AT95" s="124">
        <f>AS96</f>
        <v>155863.46591999999</v>
      </c>
      <c r="AU95" s="124">
        <f>AT96</f>
        <v>233235.96591999999</v>
      </c>
      <c r="AV95" s="124">
        <f>AU96</f>
        <v>301767.46591999999</v>
      </c>
      <c r="AW95" s="95">
        <f>AR96</f>
        <v>77976.465919999988</v>
      </c>
      <c r="AX95" s="96">
        <f>AV96</f>
        <v>220372.46591999999</v>
      </c>
      <c r="AY95" s="124">
        <f>AX96</f>
        <v>176326.46591999999</v>
      </c>
      <c r="AZ95" s="124">
        <f>AY96</f>
        <v>175199.46591999999</v>
      </c>
      <c r="BA95" s="824">
        <f>AZ96</f>
        <v>82465.465919999988</v>
      </c>
      <c r="BB95" s="95">
        <f>AW96</f>
        <v>220372.46591999999</v>
      </c>
      <c r="BC95" s="824">
        <f>BA96</f>
        <v>91391</v>
      </c>
      <c r="BD95" s="124">
        <f>BC96</f>
        <v>100664</v>
      </c>
      <c r="BE95" s="124">
        <f>BD96</f>
        <v>101828</v>
      </c>
      <c r="BF95" s="124">
        <f>BE96</f>
        <v>129958</v>
      </c>
      <c r="BG95" s="95">
        <f>BB96</f>
        <v>91391</v>
      </c>
      <c r="BH95" s="96">
        <f>BF96</f>
        <v>180987</v>
      </c>
      <c r="BI95" s="124">
        <f>BH96</f>
        <v>141839</v>
      </c>
      <c r="BJ95" s="124">
        <f>BI96</f>
        <v>197239</v>
      </c>
      <c r="BK95" s="124">
        <f>BJ96</f>
        <v>129854</v>
      </c>
      <c r="BL95" s="95">
        <f>BG96</f>
        <v>180987</v>
      </c>
      <c r="BM95" s="96">
        <f>BK96</f>
        <v>144842</v>
      </c>
      <c r="BN95" s="124">
        <f>BM96</f>
        <v>241768</v>
      </c>
      <c r="BO95" s="124">
        <f>BN96</f>
        <v>177382</v>
      </c>
      <c r="BP95" s="124">
        <f>BO96</f>
        <v>292852</v>
      </c>
      <c r="BQ95" s="95">
        <f>BL96</f>
        <v>144843</v>
      </c>
      <c r="BR95" s="96">
        <f>BP96</f>
        <v>364185</v>
      </c>
      <c r="BS95" s="124">
        <f>BR96</f>
        <v>372303</v>
      </c>
      <c r="BT95" s="124">
        <f>BS96</f>
        <v>207568</v>
      </c>
      <c r="BU95" s="124">
        <f>BT96</f>
        <v>195430</v>
      </c>
      <c r="BV95" s="95">
        <f>BQ96</f>
        <v>364186</v>
      </c>
      <c r="BW95" s="96">
        <f>BU96</f>
        <v>234131</v>
      </c>
      <c r="BX95" s="124">
        <f>BW96</f>
        <v>277313.52156699996</v>
      </c>
      <c r="BY95" s="124">
        <f>BX96</f>
        <v>301317.19032099994</v>
      </c>
      <c r="BZ95" s="124">
        <f>BY96</f>
        <v>336756.61973811866</v>
      </c>
      <c r="CA95" s="95">
        <f>BV96</f>
        <v>234132</v>
      </c>
    </row>
    <row r="96" spans="2:79" ht="13.15" thickBot="1">
      <c r="B96" s="108" t="s">
        <v>113</v>
      </c>
      <c r="C96" s="168"/>
      <c r="D96" s="148">
        <f>D95+D93</f>
        <v>5378</v>
      </c>
      <c r="E96" s="167">
        <f>E93+E95</f>
        <v>1735.00441</v>
      </c>
      <c r="F96" s="167">
        <f>F93+F95</f>
        <v>13129.004929999999</v>
      </c>
      <c r="G96" s="167">
        <f>G93+G95</f>
        <v>8467.7711699999982</v>
      </c>
      <c r="H96" s="167">
        <f>H93+H95</f>
        <v>5960.6300499999961</v>
      </c>
      <c r="I96" s="148">
        <f>I95+I93</f>
        <v>5960.6300499999943</v>
      </c>
      <c r="J96" s="167">
        <f>J93+J95</f>
        <v>5474.8889799999961</v>
      </c>
      <c r="K96" s="167">
        <f>K93+K95</f>
        <v>17740.619049999994</v>
      </c>
      <c r="L96" s="167">
        <f>L93+L95</f>
        <v>10108.573559999997</v>
      </c>
      <c r="M96" s="167">
        <f>M93+M95</f>
        <v>17748.465919999991</v>
      </c>
      <c r="N96" s="148">
        <f>N95+N93</f>
        <v>17748.465919999995</v>
      </c>
      <c r="O96" s="167">
        <f t="shared" ref="O96:X96" si="66">O93+O95</f>
        <v>29238.465919999995</v>
      </c>
      <c r="P96" s="167">
        <f t="shared" si="66"/>
        <v>61577.465919999995</v>
      </c>
      <c r="Q96" s="167">
        <f t="shared" si="66"/>
        <v>53489.465919999995</v>
      </c>
      <c r="R96" s="167">
        <f t="shared" si="66"/>
        <v>58289.465919999995</v>
      </c>
      <c r="S96" s="148">
        <f t="shared" si="66"/>
        <v>58289.465919999995</v>
      </c>
      <c r="T96" s="167">
        <f t="shared" si="66"/>
        <v>50646.465919999995</v>
      </c>
      <c r="U96" s="167">
        <f t="shared" si="66"/>
        <v>65333.465919999995</v>
      </c>
      <c r="V96" s="167">
        <f>V93+V95</f>
        <v>59501.465919999995</v>
      </c>
      <c r="W96" s="167">
        <f t="shared" si="66"/>
        <v>58484.465919999995</v>
      </c>
      <c r="X96" s="148">
        <f t="shared" si="66"/>
        <v>58484.465919999995</v>
      </c>
      <c r="Y96" s="167">
        <f t="shared" ref="Y96:AH96" si="67">Y93+Y95</f>
        <v>57767.465919999995</v>
      </c>
      <c r="Z96" s="167">
        <f t="shared" si="67"/>
        <v>57638.465919999995</v>
      </c>
      <c r="AA96" s="377">
        <f t="shared" si="67"/>
        <v>57333.465919999995</v>
      </c>
      <c r="AB96" s="167">
        <f t="shared" si="67"/>
        <v>58122.465919999995</v>
      </c>
      <c r="AC96" s="148">
        <f t="shared" si="67"/>
        <v>58122.465919999995</v>
      </c>
      <c r="AD96" s="167">
        <f t="shared" si="67"/>
        <v>56452.465919999995</v>
      </c>
      <c r="AE96" s="167">
        <f t="shared" si="67"/>
        <v>57149.465919999995</v>
      </c>
      <c r="AF96" s="167">
        <f t="shared" si="67"/>
        <v>63364.465919999995</v>
      </c>
      <c r="AG96" s="167">
        <f t="shared" si="67"/>
        <v>68947.465919999988</v>
      </c>
      <c r="AH96" s="148">
        <f t="shared" si="67"/>
        <v>68947.465919999988</v>
      </c>
      <c r="AI96" s="167">
        <f t="shared" ref="AI96:AZ96" si="68">AI93+AI95</f>
        <v>80676.465919999988</v>
      </c>
      <c r="AJ96" s="167">
        <f t="shared" si="68"/>
        <v>166162.46591999999</v>
      </c>
      <c r="AK96" s="167">
        <f t="shared" si="68"/>
        <v>79619.465919999988</v>
      </c>
      <c r="AL96" s="167">
        <f t="shared" si="68"/>
        <v>81912.465919999988</v>
      </c>
      <c r="AM96" s="148">
        <f t="shared" si="68"/>
        <v>81912.465919999988</v>
      </c>
      <c r="AN96" s="167">
        <f t="shared" si="68"/>
        <v>93492.465919999988</v>
      </c>
      <c r="AO96" s="167">
        <f t="shared" si="68"/>
        <v>110469.46591999999</v>
      </c>
      <c r="AP96" s="167">
        <f t="shared" si="68"/>
        <v>119529.46591999999</v>
      </c>
      <c r="AQ96" s="167">
        <f t="shared" si="68"/>
        <v>77976.465919999988</v>
      </c>
      <c r="AR96" s="148">
        <f t="shared" si="68"/>
        <v>77976.465919999988</v>
      </c>
      <c r="AS96" s="167">
        <f t="shared" si="68"/>
        <v>155863.46591999999</v>
      </c>
      <c r="AT96" s="167">
        <f t="shared" si="68"/>
        <v>233235.96591999999</v>
      </c>
      <c r="AU96" s="167">
        <f t="shared" si="68"/>
        <v>301767.46591999999</v>
      </c>
      <c r="AV96" s="167">
        <f t="shared" si="68"/>
        <v>220372.46591999999</v>
      </c>
      <c r="AW96" s="148">
        <f t="shared" si="68"/>
        <v>220372.46591999999</v>
      </c>
      <c r="AX96" s="167">
        <f t="shared" si="68"/>
        <v>176326.46591999999</v>
      </c>
      <c r="AY96" s="167">
        <f t="shared" si="68"/>
        <v>175199.46591999999</v>
      </c>
      <c r="AZ96" s="167">
        <f t="shared" si="68"/>
        <v>82465.465919999988</v>
      </c>
      <c r="BA96" s="825">
        <v>91391</v>
      </c>
      <c r="BB96" s="148">
        <v>91391</v>
      </c>
      <c r="BC96" s="825">
        <f t="shared" ref="BC96:CA96" si="69">BC93+BC95</f>
        <v>100664</v>
      </c>
      <c r="BD96" s="167">
        <f t="shared" si="69"/>
        <v>101828</v>
      </c>
      <c r="BE96" s="167">
        <f t="shared" si="69"/>
        <v>129958</v>
      </c>
      <c r="BF96" s="167">
        <f t="shared" si="69"/>
        <v>180987</v>
      </c>
      <c r="BG96" s="148">
        <f t="shared" si="69"/>
        <v>180987</v>
      </c>
      <c r="BH96" s="167">
        <f t="shared" si="69"/>
        <v>141839</v>
      </c>
      <c r="BI96" s="167">
        <f t="shared" si="69"/>
        <v>197239</v>
      </c>
      <c r="BJ96" s="167">
        <f t="shared" si="69"/>
        <v>129854</v>
      </c>
      <c r="BK96" s="167">
        <f t="shared" si="69"/>
        <v>144842</v>
      </c>
      <c r="BL96" s="148">
        <f t="shared" si="69"/>
        <v>144843</v>
      </c>
      <c r="BM96" s="167">
        <f t="shared" si="69"/>
        <v>241768</v>
      </c>
      <c r="BN96" s="167">
        <f t="shared" si="69"/>
        <v>177382</v>
      </c>
      <c r="BO96" s="167">
        <f t="shared" si="69"/>
        <v>292852</v>
      </c>
      <c r="BP96" s="167">
        <f t="shared" si="69"/>
        <v>364185</v>
      </c>
      <c r="BQ96" s="148">
        <f t="shared" si="69"/>
        <v>364186</v>
      </c>
      <c r="BR96" s="167">
        <f t="shared" si="69"/>
        <v>372303</v>
      </c>
      <c r="BS96" s="167">
        <f t="shared" si="69"/>
        <v>207568</v>
      </c>
      <c r="BT96" s="167">
        <f t="shared" si="69"/>
        <v>195430</v>
      </c>
      <c r="BU96" s="167">
        <f t="shared" si="69"/>
        <v>234131</v>
      </c>
      <c r="BV96" s="148">
        <f t="shared" si="69"/>
        <v>234132</v>
      </c>
      <c r="BW96" s="167">
        <f t="shared" si="69"/>
        <v>277313.52156699996</v>
      </c>
      <c r="BX96" s="167">
        <f t="shared" si="69"/>
        <v>301317.19032099994</v>
      </c>
      <c r="BY96" s="167">
        <f t="shared" si="69"/>
        <v>336756.61973811866</v>
      </c>
      <c r="BZ96" s="167">
        <f t="shared" si="69"/>
        <v>385166.70770665852</v>
      </c>
      <c r="CA96" s="148">
        <f t="shared" si="69"/>
        <v>385167.70770665858</v>
      </c>
    </row>
    <row r="97" spans="2:79">
      <c r="B97" s="85" t="s">
        <v>72</v>
      </c>
      <c r="C97" s="90"/>
      <c r="D97" s="90"/>
      <c r="E97" s="90"/>
      <c r="F97" s="90"/>
      <c r="G97" s="90"/>
      <c r="H97" s="90"/>
      <c r="I97" s="90"/>
      <c r="J97" s="90"/>
      <c r="K97" s="90"/>
      <c r="L97" s="90"/>
      <c r="M97" s="124"/>
      <c r="N97" s="124"/>
      <c r="O97" s="124"/>
      <c r="P97" s="124"/>
      <c r="Q97" s="124"/>
      <c r="R97" s="124"/>
      <c r="S97" s="124"/>
      <c r="T97" s="124"/>
      <c r="U97" s="124"/>
      <c r="V97" s="124"/>
      <c r="W97" s="124"/>
      <c r="X97" s="91"/>
      <c r="AA97" s="378"/>
      <c r="AH97" s="91"/>
      <c r="AM97" s="91"/>
      <c r="AR97" s="91" t="s">
        <v>71</v>
      </c>
      <c r="AW97" s="91" t="s">
        <v>71</v>
      </c>
      <c r="BB97" s="91" t="s">
        <v>71</v>
      </c>
      <c r="BG97" s="91" t="s">
        <v>71</v>
      </c>
      <c r="BL97" s="91" t="s">
        <v>71</v>
      </c>
      <c r="BQ97" s="91" t="s">
        <v>71</v>
      </c>
      <c r="BV97" s="91" t="s">
        <v>71</v>
      </c>
      <c r="CA97" s="91" t="s">
        <v>71</v>
      </c>
    </row>
    <row r="98" spans="2:79">
      <c r="B98" s="85" t="s">
        <v>70</v>
      </c>
      <c r="C98" s="90"/>
      <c r="D98" s="166"/>
      <c r="E98" s="328">
        <f>E96-'Balance Sheet '!E6</f>
        <v>4.4100000000071304E-3</v>
      </c>
      <c r="F98" s="328">
        <f>F96-'Balance Sheet '!F6</f>
        <v>4.929999999149004E-3</v>
      </c>
      <c r="G98" s="166">
        <f>G96-'Balance Sheet '!G6</f>
        <v>-0.22883000000183529</v>
      </c>
      <c r="H98" s="166">
        <f>H96-'Balance Sheet '!H6</f>
        <v>-0.36995000000388245</v>
      </c>
      <c r="I98" s="166">
        <f>I96-'Balance Sheet '!I6</f>
        <v>-0.36995000000570144</v>
      </c>
      <c r="J98" s="166">
        <f>J96-'Balance Sheet '!J6</f>
        <v>-0.11102000000391854</v>
      </c>
      <c r="K98" s="166">
        <f>K96-'Balance Sheet '!K6</f>
        <v>-1.3809500000061234</v>
      </c>
      <c r="L98" s="166">
        <f>L96-'Balance Sheet '!L6</f>
        <v>-1.4264400000029127</v>
      </c>
      <c r="M98" s="166">
        <f>M96-'Balance Sheet '!M6</f>
        <v>0.46591999999145628</v>
      </c>
      <c r="N98" s="166">
        <f>N96-'Balance Sheet '!N6</f>
        <v>0.46591999999509426</v>
      </c>
      <c r="O98" s="166">
        <f>O96-'Balance Sheet '!O6</f>
        <v>0.46591999999509426</v>
      </c>
      <c r="P98" s="166">
        <f>P96-'Balance Sheet '!P6</f>
        <v>0.46591999999509426</v>
      </c>
      <c r="Q98" s="166">
        <f>Q96-'Balance Sheet '!Q6</f>
        <v>0.46591999999509426</v>
      </c>
      <c r="R98" s="166">
        <f>R96-'Balance Sheet '!R6</f>
        <v>0.46591999999509426</v>
      </c>
      <c r="S98" s="166">
        <f>S96-'Balance Sheet '!S6</f>
        <v>0.46591999999509426</v>
      </c>
      <c r="T98" s="166">
        <f>T96-'Balance Sheet '!T6</f>
        <v>0.46591999999509426</v>
      </c>
      <c r="U98" s="166">
        <f>U96-'Balance Sheet '!U6</f>
        <v>0.46591999999509426</v>
      </c>
      <c r="V98" s="166">
        <f>V96-'Balance Sheet '!V6</f>
        <v>0.46591999999509426</v>
      </c>
      <c r="W98" s="166">
        <f>W96-'Balance Sheet '!W6</f>
        <v>0.46591999999509426</v>
      </c>
      <c r="X98" s="166">
        <f>X96-'Balance Sheet '!X6</f>
        <v>0.46591999999509426</v>
      </c>
      <c r="Y98" s="166">
        <f>Y96-'Balance Sheet '!Y6</f>
        <v>0.46591999999509426</v>
      </c>
      <c r="Z98" s="166">
        <f>Z96-'Balance Sheet '!Z6</f>
        <v>0.46591999999509426</v>
      </c>
      <c r="AA98" s="379">
        <f>AA96-'Balance Sheet '!AA6</f>
        <v>0.46591999999509426</v>
      </c>
      <c r="AB98" s="166">
        <f>AB96-'Balance Sheet '!AB6</f>
        <v>0.46591999999509426</v>
      </c>
      <c r="AC98" s="329">
        <f>AC96-'Balance Sheet '!AC6</f>
        <v>0.46591999999509426</v>
      </c>
      <c r="AD98" s="166">
        <f>AD96-'Balance Sheet '!AD6</f>
        <v>0.46591999999509426</v>
      </c>
      <c r="AE98" s="166">
        <f>AE96-'Balance Sheet '!AE6</f>
        <v>0.46591999999509426</v>
      </c>
      <c r="AF98" s="166">
        <f>AF96-'Balance Sheet '!AF6</f>
        <v>0.46591999999509426</v>
      </c>
      <c r="AG98" s="166">
        <f>AG96-'Balance Sheet '!AG6</f>
        <v>0.4659199999878183</v>
      </c>
      <c r="AH98" s="166">
        <f>AH96-'Balance Sheet '!AH6</f>
        <v>0.4659199999878183</v>
      </c>
      <c r="AI98" s="166">
        <f>AI96-'Balance Sheet '!AI6</f>
        <v>0.4659199999878183</v>
      </c>
      <c r="AJ98" s="166">
        <f>AJ96-'Balance Sheet '!AJ6</f>
        <v>0.4659199999878183</v>
      </c>
      <c r="AK98" s="166">
        <f>AK96-'Balance Sheet '!AK6</f>
        <v>0.4659199999878183</v>
      </c>
      <c r="AL98" s="166">
        <f>AL96-'Balance Sheet '!AL6</f>
        <v>0.4659199999878183</v>
      </c>
      <c r="AM98" s="166">
        <f>AM96-'Balance Sheet '!AM6</f>
        <v>0.4659199999878183</v>
      </c>
      <c r="AN98" s="166">
        <f>AN96-'Balance Sheet '!AN6</f>
        <v>0.4659199999878183</v>
      </c>
      <c r="AO98" s="166">
        <f>AO96-'Balance Sheet '!AO6</f>
        <v>0.4659199999878183</v>
      </c>
      <c r="AP98" s="166">
        <f>AP96-'Balance Sheet '!AP6</f>
        <v>-1043.5340800000122</v>
      </c>
      <c r="AQ98" s="166">
        <f>AQ96-'Balance Sheet '!AQ6</f>
        <v>0.4659199999878183</v>
      </c>
      <c r="AR98" s="166">
        <f>AR96-'Balance Sheet '!AR6</f>
        <v>0.4659199999878183</v>
      </c>
      <c r="AS98" s="166">
        <f>AS96-'Balance Sheet '!AS6</f>
        <v>0.4659199999878183</v>
      </c>
      <c r="AT98" s="166">
        <f>AT96-'Balance Sheet '!AT6</f>
        <v>0.9659199999878183</v>
      </c>
      <c r="AU98" s="166">
        <f>AU96-'Balance Sheet '!AU6</f>
        <v>0.4659199999878183</v>
      </c>
      <c r="AV98" s="166">
        <f>AV96-'Balance Sheet '!AV6</f>
        <v>-162798.53408000001</v>
      </c>
      <c r="AW98" s="166">
        <f>AW96-'Balance Sheet '!AW6</f>
        <v>-162798.53408000001</v>
      </c>
      <c r="AX98" s="166">
        <f>AX96-'Balance Sheet '!AX6</f>
        <v>0.4659199999878183</v>
      </c>
      <c r="AY98" s="166">
        <f>AY96-'Balance Sheet '!AY6</f>
        <v>0.4659199999878183</v>
      </c>
      <c r="AZ98" s="166">
        <f>AZ96-'Balance Sheet '!AZ6</f>
        <v>0.4659199999878183</v>
      </c>
      <c r="BA98" s="166">
        <f>BA96-'Balance Sheet '!BA6</f>
        <v>513</v>
      </c>
      <c r="BB98" s="166">
        <f>BB96-'Balance Sheet '!BB6</f>
        <v>513</v>
      </c>
      <c r="BC98" s="166">
        <f>BC96-'Balance Sheet '!BC6</f>
        <v>513</v>
      </c>
      <c r="BD98" s="166">
        <f>BD96-'Balance Sheet '!BD6</f>
        <v>513</v>
      </c>
      <c r="BE98" s="166">
        <f>BE96-'Balance Sheet '!BE6</f>
        <v>466</v>
      </c>
      <c r="BF98" s="166">
        <f>BF96-'Balance Sheet '!BF6</f>
        <v>467</v>
      </c>
      <c r="BG98" s="166">
        <f>BG96-'Balance Sheet '!BG6</f>
        <v>467</v>
      </c>
      <c r="BH98" s="166">
        <f>BH96-'Balance Sheet '!BH6</f>
        <v>480</v>
      </c>
      <c r="BI98" s="166">
        <f>BI96-'Balance Sheet '!BI6</f>
        <v>1647</v>
      </c>
      <c r="BJ98" s="166">
        <f>BJ96-'Balance Sheet '!BJ6</f>
        <v>2026</v>
      </c>
      <c r="BK98" s="166">
        <f>BK96-'Balance Sheet '!BK6</f>
        <v>1641</v>
      </c>
      <c r="BL98" s="166">
        <f>BL96-'Balance Sheet '!BL6</f>
        <v>1642</v>
      </c>
      <c r="BM98" s="166">
        <f>BM96-'Balance Sheet '!BM6</f>
        <v>1578</v>
      </c>
      <c r="BN98" s="166">
        <f>BN96-'Balance Sheet '!BN6</f>
        <v>1683</v>
      </c>
      <c r="BO98" s="166">
        <f>BO96-'Balance Sheet '!BO6</f>
        <v>1893</v>
      </c>
      <c r="BP98" s="166">
        <f>BP96-'Balance Sheet '!BP6</f>
        <v>1639</v>
      </c>
      <c r="BQ98" s="166">
        <f>BQ96-'Balance Sheet '!BQ6</f>
        <v>1640</v>
      </c>
      <c r="BR98" s="166">
        <f>BR96-'Balance Sheet '!BR6</f>
        <v>1959</v>
      </c>
      <c r="BS98" s="166">
        <f>BS96-'Balance Sheet '!BS6</f>
        <v>2089</v>
      </c>
      <c r="BT98" s="166">
        <f>BT96-'Balance Sheet '!BT6</f>
        <v>2021</v>
      </c>
      <c r="BU98" s="166">
        <f>BU96-'Balance Sheet '!BU6</f>
        <v>2047</v>
      </c>
      <c r="BV98" s="166">
        <f>BV96-'Balance Sheet '!BV6</f>
        <v>2048</v>
      </c>
      <c r="BW98" s="166">
        <f>BW96-'Balance Sheet '!BW6</f>
        <v>2047</v>
      </c>
      <c r="BX98" s="166">
        <f>BX96-'Balance Sheet '!BX6</f>
        <v>2047</v>
      </c>
      <c r="BY98" s="166">
        <f>BY96-'Balance Sheet '!BY6</f>
        <v>2047</v>
      </c>
      <c r="BZ98" s="166">
        <f>BZ96-'Balance Sheet '!BZ6</f>
        <v>2047</v>
      </c>
      <c r="CA98" s="166">
        <f>CA96-'Balance Sheet '!CA6</f>
        <v>2048.0000000000582</v>
      </c>
    </row>
    <row r="99" spans="2:79" s="163" customFormat="1">
      <c r="M99" s="161"/>
      <c r="N99" s="161"/>
      <c r="O99" s="161"/>
      <c r="S99" s="165"/>
      <c r="U99" s="164"/>
      <c r="V99" s="164"/>
      <c r="W99" s="164"/>
      <c r="X99" s="164"/>
    </row>
    <row r="100" spans="2:79">
      <c r="C100" s="162" t="s">
        <v>112</v>
      </c>
      <c r="D100" s="203"/>
      <c r="E100" s="162"/>
      <c r="F100" s="162"/>
      <c r="G100" s="162"/>
      <c r="H100" s="162"/>
      <c r="I100" s="162"/>
      <c r="J100" s="162"/>
      <c r="K100" s="162"/>
      <c r="L100" s="162"/>
      <c r="M100" s="161"/>
      <c r="N100" s="161"/>
      <c r="O100" s="160">
        <f>O8/'Balance Sheet '!O$12</f>
        <v>0.1424098756597191</v>
      </c>
      <c r="P100" s="160">
        <f>P8/'Balance Sheet '!P$12</f>
        <v>0.14746983768770072</v>
      </c>
      <c r="Q100" s="160">
        <f>Q8/'Balance Sheet '!Q$12</f>
        <v>0.12932243954774283</v>
      </c>
      <c r="R100" s="195">
        <f>R8/'Balance Sheet '!R$12</f>
        <v>0.12767480709569645</v>
      </c>
      <c r="S100" s="196"/>
      <c r="T100" s="195">
        <f>T8/'Balance Sheet '!T$12</f>
        <v>0.14284564622565588</v>
      </c>
      <c r="U100" s="195">
        <f>U8/'Balance Sheet '!U$12</f>
        <v>0.15964560347709797</v>
      </c>
      <c r="V100" s="195">
        <f>V8/'Balance Sheet '!V$12</f>
        <v>0.1486748545572075</v>
      </c>
      <c r="W100" s="195">
        <f>W8/'Balance Sheet '!W$12</f>
        <v>0.1408695652173913</v>
      </c>
      <c r="X100" s="195"/>
      <c r="Y100" s="195">
        <f>Y8/'Balance Sheet '!Y$12</f>
        <v>0.16436107854630716</v>
      </c>
      <c r="Z100" s="195">
        <f>Z8/'Balance Sheet '!Z$12</f>
        <v>0.15620260843190781</v>
      </c>
      <c r="AA100" s="195">
        <f>AA8/'Balance Sheet '!AA$12</f>
        <v>0.15624543462381299</v>
      </c>
      <c r="AB100" s="195">
        <f>AB8/'Balance Sheet '!AB$12</f>
        <v>0.14215686274509803</v>
      </c>
      <c r="AC100" s="195"/>
      <c r="AD100" s="195">
        <f>AD8/'Balance Sheet '!AD$12</f>
        <v>0.13234365129500947</v>
      </c>
      <c r="AE100" s="195">
        <f>AE8/'Balance Sheet '!AE$12</f>
        <v>0.1449923352069494</v>
      </c>
      <c r="AF100" s="195">
        <f>AF8/'Balance Sheet '!AF$12</f>
        <v>0.10474440360841965</v>
      </c>
      <c r="AG100" s="195">
        <f>AG8/'Balance Sheet '!AG$12</f>
        <v>0.10398230088495575</v>
      </c>
      <c r="AI100" s="195">
        <f>AI8/'Balance Sheet '!AI$12</f>
        <v>0.11113240084307338</v>
      </c>
      <c r="AJ100" s="195">
        <f>AJ8/'Balance Sheet '!AJ$12</f>
        <v>0.11122212634542895</v>
      </c>
      <c r="AK100" s="195">
        <f>AK8/'Balance Sheet '!AK$12</f>
        <v>0.11641712863939936</v>
      </c>
      <c r="AL100" s="195">
        <f>AL8/'Balance Sheet '!AL$12</f>
        <v>0.10963878694224455</v>
      </c>
      <c r="AN100" s="195">
        <f>AN8/'Balance Sheet '!AN$12</f>
        <v>0.11608961303462322</v>
      </c>
      <c r="AO100" s="195">
        <f>AO8/'Balance Sheet '!AO$12</f>
        <v>0.11895239780569811</v>
      </c>
      <c r="AP100" s="195">
        <f>AP8/'Balance Sheet '!AP$12</f>
        <v>0.12313813866685447</v>
      </c>
      <c r="AQ100" s="195">
        <f>AQ8/'Balance Sheet '!AQ$12</f>
        <v>0.13028020488098824</v>
      </c>
      <c r="AS100" s="195">
        <f>AS8/'Balance Sheet '!AS$12</f>
        <v>0.14224384659416142</v>
      </c>
      <c r="AT100" s="195">
        <f>AT8/'Balance Sheet '!AT$12</f>
        <v>0.15686323776979322</v>
      </c>
      <c r="AU100" s="195">
        <f>AU8/'Balance Sheet '!AU$12</f>
        <v>0.15685286495824935</v>
      </c>
      <c r="AV100" s="195">
        <f>AV8/'Balance Sheet '!AV$12</f>
        <v>0.14326440552203543</v>
      </c>
      <c r="AX100" s="195">
        <f>AX8/'Balance Sheet '!AX$12</f>
        <v>0.15031906134211609</v>
      </c>
      <c r="AY100" s="195">
        <f>AY8/'Balance Sheet '!AY$12</f>
        <v>0.15293073668531224</v>
      </c>
      <c r="AZ100" s="195">
        <f>AZ8/'Balance Sheet '!AZ$12</f>
        <v>0.13689043166675999</v>
      </c>
      <c r="BA100" s="195">
        <f>BA8/'Balance Sheet '!BA$12</f>
        <v>0.13547599151507361</v>
      </c>
      <c r="BC100" s="195">
        <f>BC8/'Balance Sheet '!BC$12</f>
        <v>0.11800909528182256</v>
      </c>
      <c r="BD100" s="195">
        <f>BD8/'Balance Sheet '!BD$12</f>
        <v>0.11640698441906515</v>
      </c>
      <c r="BE100" s="195">
        <f>BE8/'Balance Sheet '!BE$12</f>
        <v>0.11027965701699181</v>
      </c>
      <c r="BF100" s="195">
        <f>BF8/'Balance Sheet '!BF$12</f>
        <v>0.10888056826152676</v>
      </c>
      <c r="BG100" s="866"/>
      <c r="BH100" s="195">
        <f>BH8/'Balance Sheet '!BH$12</f>
        <v>0.10904600363262443</v>
      </c>
      <c r="BI100" s="195">
        <f>BI8/'Balance Sheet '!BI$12</f>
        <v>0.1185691602868152</v>
      </c>
      <c r="BJ100" s="195">
        <f>BJ8/'Balance Sheet '!BJ$12</f>
        <v>0.12233776671338541</v>
      </c>
      <c r="BK100" s="195">
        <f>BK8/'Balance Sheet '!BK$12</f>
        <v>0.11938621375676971</v>
      </c>
      <c r="BM100" s="195">
        <f>BM8/'Balance Sheet '!BM$12</f>
        <v>0.10720696937697993</v>
      </c>
      <c r="BN100" s="195">
        <f>BN8/'Balance Sheet '!BN$12</f>
        <v>0.1038362760834671</v>
      </c>
      <c r="BO100" s="195">
        <f>BO8/'Balance Sheet '!BO$12</f>
        <v>9.6610119660129945E-2</v>
      </c>
      <c r="BP100" s="195">
        <f>BP8/'Balance Sheet '!BP$12</f>
        <v>0.10104356468444592</v>
      </c>
      <c r="BR100" s="865">
        <v>7.0000000000000007E-2</v>
      </c>
      <c r="BS100" s="865">
        <v>7.0000000000000007E-2</v>
      </c>
      <c r="BT100" s="865">
        <v>6.5000000000000002E-2</v>
      </c>
      <c r="BU100" s="865">
        <v>6.5000000000000002E-2</v>
      </c>
      <c r="BW100" s="865">
        <v>7.0000000000000007E-2</v>
      </c>
      <c r="BX100" s="865">
        <v>7.0000000000000007E-2</v>
      </c>
      <c r="BY100" s="865">
        <v>6.5000000000000002E-2</v>
      </c>
      <c r="BZ100" s="865">
        <v>6.5000000000000002E-2</v>
      </c>
    </row>
    <row r="101" spans="2:79" s="867" customFormat="1">
      <c r="C101" s="162" t="s">
        <v>477</v>
      </c>
      <c r="AI101" s="195">
        <f>+AI9/'Income Statement'!AI28</f>
        <v>3.7416178592649181E-2</v>
      </c>
      <c r="AJ101" s="195">
        <f>+AJ9/'Income Statement'!AJ28</f>
        <v>3.8170811518324604E-2</v>
      </c>
      <c r="AK101" s="195">
        <f>+AK9/'Income Statement'!AK28</f>
        <v>3.90481440646821E-2</v>
      </c>
      <c r="AL101" s="195">
        <f>+AL9/'Income Statement'!AL28</f>
        <v>3.7948434367871708E-2</v>
      </c>
      <c r="AN101" s="195">
        <f>+AN9/'Income Statement'!AN28</f>
        <v>4.1643188709114813E-2</v>
      </c>
      <c r="AO101" s="195">
        <f>+AO9/'Income Statement'!AO28</f>
        <v>4.2267162560049587E-2</v>
      </c>
      <c r="AP101" s="195">
        <f>+AP9/'Income Statement'!AP28</f>
        <v>4.0695245257792265E-2</v>
      </c>
      <c r="AQ101" s="195">
        <f>+AQ9/'Income Statement'!AQ28</f>
        <v>4.0167781234080831E-2</v>
      </c>
      <c r="AS101" s="195">
        <f>+AS9/'Income Statement'!AS28</f>
        <v>4.0804307588759886E-2</v>
      </c>
      <c r="AT101" s="195">
        <f>+AT9/'Income Statement'!AT28</f>
        <v>4.5143899310565977E-2</v>
      </c>
      <c r="AU101" s="195">
        <f>+AU9/'Income Statement'!AU28</f>
        <v>4.2793576059138777E-2</v>
      </c>
      <c r="AV101" s="195">
        <f>+AV9/'Income Statement'!AV28</f>
        <v>3.9519881143214607E-2</v>
      </c>
      <c r="AW101" s="53"/>
      <c r="AX101" s="195">
        <f>+AX9/'Income Statement'!AX28</f>
        <v>4.2180995343844736E-2</v>
      </c>
      <c r="AY101" s="195">
        <f>+AY9/'Income Statement'!AY28</f>
        <v>4.6626142354397632E-2</v>
      </c>
      <c r="AZ101" s="195">
        <f>+AZ9/'Income Statement'!AZ28</f>
        <v>4.4275828106370846E-2</v>
      </c>
      <c r="BA101" s="195">
        <f>+BA9/'Income Statement'!BA28</f>
        <v>4.3727210410198218E-2</v>
      </c>
      <c r="BB101" s="53"/>
      <c r="BC101" s="195">
        <f>+BC9/'Income Statement'!BC28</f>
        <v>4.2937568731295513E-2</v>
      </c>
      <c r="BD101" s="195">
        <f>+BD9/'Income Statement'!BD28</f>
        <v>4.5965297652364005E-2</v>
      </c>
      <c r="BE101" s="868">
        <f>+BE9/'Income Statement'!BE28</f>
        <v>4.175111675792318E-2</v>
      </c>
      <c r="BF101" s="868">
        <f>+BF9/'Income Statement'!BF28</f>
        <v>3.9026614509587464E-2</v>
      </c>
      <c r="BG101" s="869"/>
      <c r="BH101" s="868">
        <f>+BH9/'Income Statement'!BH28</f>
        <v>3.8917043201992317E-2</v>
      </c>
      <c r="BI101" s="868">
        <f>+BI9/'Income Statement'!BI28</f>
        <v>3.9837223284069599E-2</v>
      </c>
      <c r="BJ101" s="868">
        <f>+BJ9/'Income Statement'!BJ28</f>
        <v>4.0416331674670257E-2</v>
      </c>
      <c r="BK101" s="868">
        <f>+BK9/'Income Statement'!BK28</f>
        <v>4.106047803498674E-2</v>
      </c>
      <c r="BM101" s="868">
        <f>+BM9/'Income Statement'!BM28</f>
        <v>3.8601676045504234E-2</v>
      </c>
      <c r="BN101" s="868">
        <f>+BN9/'Income Statement'!BN28</f>
        <v>4.0819402902184172E-2</v>
      </c>
      <c r="BO101" s="868">
        <f>+BO9/'Income Statement'!BO28</f>
        <v>3.7655858461212346E-2</v>
      </c>
      <c r="BP101" s="868">
        <f>+BP9/'Income Statement'!BP28</f>
        <v>3.7827459987081029E-2</v>
      </c>
      <c r="BR101" s="868">
        <f>+BR9/'Income Statement'!BR28</f>
        <v>3.7146279115496686E-2</v>
      </c>
      <c r="BS101" s="868">
        <f>+BS9/'Income Statement'!BS28</f>
        <v>3.948543610490382E-2</v>
      </c>
      <c r="BT101" s="868">
        <f>+BT9/'Income Statement'!BT28</f>
        <v>4.3060259173220636E-2</v>
      </c>
      <c r="BU101" s="868">
        <f>+BU9/'Income Statement'!BU28</f>
        <v>4.46746724745406E-2</v>
      </c>
      <c r="BW101" s="868">
        <f>+BW9/'Income Statement'!BW28</f>
        <v>3.8513889902746505E-2</v>
      </c>
      <c r="BX101" s="868">
        <f>+BX9/'Income Statement'!BX28</f>
        <v>4.0191888219006482E-2</v>
      </c>
      <c r="BY101" s="868">
        <f>+BY9/'Income Statement'!BY28</f>
        <v>3.8762910350956935E-2</v>
      </c>
      <c r="BZ101" s="868">
        <f>+BZ9/'Income Statement'!BZ28</f>
        <v>3.8204738260820235E-2</v>
      </c>
    </row>
    <row r="105" spans="2:79">
      <c r="V105" s="153"/>
    </row>
  </sheetData>
  <pageMargins left="0.17" right="0.17" top="0.75" bottom="0.75" header="0.3" footer="0.3"/>
  <pageSetup scale="28" orientation="landscape" r:id="rId1"/>
  <ignoredErrors>
    <ignoredError sqref="BB10:BE10 BC26:BG26 BB16:BG16 BB11:BC15 BB25:BG25 BB17:BC18 BG17:BG18 BC28:BG28 BC27 BG27 BC31:BG31 BC29 BG29 BB8:BC9 BG8:BG15 BB19:BG21" formula="1"/>
    <ignoredError sqref="BB31 BB26:BB29" formula="1" formulaRange="1"/>
    <ignoredError sqref="BB88 BB75:BB77 BB54 BB71:BB73 BB85:BB86 BB47:BB51 BB56:BB65 BB67:BB69 BB79:BB83"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7"/>
  <sheetViews>
    <sheetView workbookViewId="0">
      <pane xSplit="1" ySplit="1" topLeftCell="B2" activePane="bottomRight" state="frozen"/>
      <selection pane="topRight" activeCell="B1" sqref="B1"/>
      <selection pane="bottomLeft" activeCell="A2" sqref="A2"/>
      <selection pane="bottomRight"/>
    </sheetView>
  </sheetViews>
  <sheetFormatPr defaultRowHeight="13.5"/>
  <cols>
    <col min="1" max="1" width="26.125" customWidth="1"/>
    <col min="3" max="3" width="13.625" customWidth="1"/>
    <col min="8" max="8" width="17.625" customWidth="1"/>
    <col min="12" max="12" width="9.125" bestFit="1" customWidth="1"/>
  </cols>
  <sheetData>
    <row r="1" spans="1:12">
      <c r="A1" s="3" t="s">
        <v>21</v>
      </c>
      <c r="B1" s="7" t="s">
        <v>0</v>
      </c>
      <c r="C1" s="7" t="s">
        <v>17</v>
      </c>
      <c r="D1" s="8" t="s">
        <v>22</v>
      </c>
      <c r="E1" s="8" t="s">
        <v>23</v>
      </c>
      <c r="F1" s="9" t="s">
        <v>24</v>
      </c>
      <c r="H1" s="10" t="s">
        <v>25</v>
      </c>
      <c r="I1" s="4">
        <v>2011</v>
      </c>
      <c r="J1" s="4">
        <v>2012</v>
      </c>
      <c r="K1" s="4">
        <v>2013</v>
      </c>
      <c r="L1" s="11" t="s">
        <v>26</v>
      </c>
    </row>
    <row r="2" spans="1:12">
      <c r="A2" s="5" t="s">
        <v>12</v>
      </c>
      <c r="B2" s="12" t="e">
        <f>#REF!</f>
        <v>#REF!</v>
      </c>
      <c r="C2" s="12" t="e">
        <f>#REF!</f>
        <v>#REF!</v>
      </c>
      <c r="D2" s="12" t="e">
        <f>C2*(1+D3)</f>
        <v>#REF!</v>
      </c>
      <c r="E2" s="12" t="e">
        <f>D2*(1+E3)</f>
        <v>#REF!</v>
      </c>
      <c r="F2" s="13" t="e">
        <f>E2*(1+F3)</f>
        <v>#REF!</v>
      </c>
      <c r="H2" s="5" t="s">
        <v>27</v>
      </c>
      <c r="I2" s="14"/>
      <c r="J2" s="14" t="e">
        <f>#REF!</f>
        <v>#REF!</v>
      </c>
      <c r="K2" s="14" t="e">
        <f>#REF!</f>
        <v>#REF!</v>
      </c>
      <c r="L2" s="15"/>
    </row>
    <row r="3" spans="1:12">
      <c r="A3" s="16" t="s">
        <v>28</v>
      </c>
      <c r="B3" s="17" t="e">
        <f>#REF!</f>
        <v>#REF!</v>
      </c>
      <c r="C3" s="17" t="e">
        <f>C2/B2-1</f>
        <v>#REF!</v>
      </c>
      <c r="D3" s="17">
        <f>B36</f>
        <v>0.2</v>
      </c>
      <c r="E3" s="17">
        <f>D3</f>
        <v>0.2</v>
      </c>
      <c r="F3" s="18">
        <f>E3</f>
        <v>0.2</v>
      </c>
      <c r="H3" s="5" t="s">
        <v>29</v>
      </c>
      <c r="I3" s="14" t="e">
        <f>I11/I10</f>
        <v>#REF!</v>
      </c>
      <c r="J3" s="14" t="e">
        <f>J11/J10</f>
        <v>#REF!</v>
      </c>
      <c r="K3" s="14" t="e">
        <f>K11/K10</f>
        <v>#REF!</v>
      </c>
      <c r="L3" s="15" t="e">
        <f>L11/L10</f>
        <v>#REF!</v>
      </c>
    </row>
    <row r="4" spans="1:12">
      <c r="A4" s="5" t="s">
        <v>30</v>
      </c>
      <c r="B4" s="12" t="e">
        <f>B2*B5</f>
        <v>#REF!</v>
      </c>
      <c r="C4" s="12" t="e">
        <f>C2*C5</f>
        <v>#REF!</v>
      </c>
      <c r="D4" s="12" t="e">
        <f>D2*D5</f>
        <v>#REF!</v>
      </c>
      <c r="E4" s="12" t="e">
        <f>E2*E5</f>
        <v>#REF!</v>
      </c>
      <c r="F4" s="13" t="e">
        <f>F2*F5</f>
        <v>#REF!</v>
      </c>
      <c r="H4" s="5" t="s">
        <v>31</v>
      </c>
      <c r="I4" s="14" t="e">
        <f>I12/I10</f>
        <v>#REF!</v>
      </c>
      <c r="J4" s="14" t="e">
        <f>J12/J10</f>
        <v>#REF!</v>
      </c>
      <c r="K4" s="14" t="e">
        <f>K12/K10</f>
        <v>#REF!</v>
      </c>
      <c r="L4" s="15" t="e">
        <f>L12/L10</f>
        <v>#REF!</v>
      </c>
    </row>
    <row r="5" spans="1:12">
      <c r="A5" s="16" t="s">
        <v>29</v>
      </c>
      <c r="B5" s="17">
        <v>0.1</v>
      </c>
      <c r="C5" s="17">
        <f>B5</f>
        <v>0.1</v>
      </c>
      <c r="D5" s="17">
        <f>C5</f>
        <v>0.1</v>
      </c>
      <c r="E5" s="17">
        <f>D5</f>
        <v>0.1</v>
      </c>
      <c r="F5" s="18">
        <v>0.2</v>
      </c>
      <c r="H5" s="5" t="s">
        <v>32</v>
      </c>
      <c r="I5" s="14" t="e">
        <f>I13/I10</f>
        <v>#REF!</v>
      </c>
      <c r="J5" s="14" t="e">
        <f>J13/J10</f>
        <v>#REF!</v>
      </c>
      <c r="K5" s="14" t="e">
        <f>K13/K10</f>
        <v>#REF!</v>
      </c>
      <c r="L5" s="15" t="e">
        <f>L13/L10</f>
        <v>#REF!</v>
      </c>
    </row>
    <row r="6" spans="1:12">
      <c r="A6" s="5" t="s">
        <v>33</v>
      </c>
      <c r="B6" s="12" t="e">
        <f>B2*B7</f>
        <v>#REF!</v>
      </c>
      <c r="C6" s="12" t="e">
        <f>C2*C7</f>
        <v>#REF!</v>
      </c>
      <c r="D6" s="12" t="e">
        <f>D2*D7</f>
        <v>#REF!</v>
      </c>
      <c r="E6" s="12" t="e">
        <f>E2*E7</f>
        <v>#REF!</v>
      </c>
      <c r="F6" s="13" t="e">
        <f>F2*F7</f>
        <v>#REF!</v>
      </c>
      <c r="H6" s="5" t="s">
        <v>16</v>
      </c>
      <c r="I6" s="14" t="e">
        <f>I14/I10</f>
        <v>#REF!</v>
      </c>
      <c r="J6" s="14" t="e">
        <f>J14/J10</f>
        <v>#REF!</v>
      </c>
      <c r="K6" s="14" t="e">
        <f>K14/K10</f>
        <v>#REF!</v>
      </c>
      <c r="L6" s="15" t="e">
        <f>L14/L10</f>
        <v>#REF!</v>
      </c>
    </row>
    <row r="7" spans="1:12">
      <c r="A7" s="16" t="s">
        <v>34</v>
      </c>
      <c r="B7" s="17">
        <v>0.06</v>
      </c>
      <c r="C7" s="17">
        <v>0.05</v>
      </c>
      <c r="D7" s="17">
        <v>4.2000000000000003E-2</v>
      </c>
      <c r="E7" s="17">
        <v>3.5000000000000003E-2</v>
      </c>
      <c r="F7" s="18">
        <v>0.03</v>
      </c>
      <c r="H7" s="19" t="s">
        <v>15</v>
      </c>
      <c r="I7" s="20" t="e">
        <f>I14/I15</f>
        <v>#REF!</v>
      </c>
      <c r="J7" s="20" t="e">
        <f>J14/J15</f>
        <v>#REF!</v>
      </c>
      <c r="K7" s="20" t="e">
        <f>K14/K15</f>
        <v>#REF!</v>
      </c>
      <c r="L7" s="20" t="e">
        <f>L14/L15</f>
        <v>#REF!</v>
      </c>
    </row>
    <row r="8" spans="1:12">
      <c r="A8" s="5" t="s">
        <v>6</v>
      </c>
      <c r="B8" s="1" t="e">
        <f>B4-B6</f>
        <v>#REF!</v>
      </c>
      <c r="C8" s="1" t="e">
        <f>C4-C6</f>
        <v>#REF!</v>
      </c>
      <c r="D8" s="1" t="e">
        <f>D4-D6</f>
        <v>#REF!</v>
      </c>
      <c r="E8" s="1" t="e">
        <f>E4-E6</f>
        <v>#REF!</v>
      </c>
      <c r="F8" s="21" t="e">
        <f>F4-F6</f>
        <v>#REF!</v>
      </c>
    </row>
    <row r="9" spans="1:12">
      <c r="A9" s="5"/>
      <c r="F9" s="22"/>
      <c r="H9" s="23" t="s">
        <v>35</v>
      </c>
      <c r="I9" s="24">
        <v>2011</v>
      </c>
      <c r="J9" s="24">
        <v>2012</v>
      </c>
      <c r="K9" s="24">
        <v>2013</v>
      </c>
      <c r="L9" s="25" t="s">
        <v>26</v>
      </c>
    </row>
    <row r="10" spans="1:12">
      <c r="A10" s="5" t="s">
        <v>36</v>
      </c>
      <c r="B10">
        <v>1</v>
      </c>
      <c r="C10">
        <v>2</v>
      </c>
      <c r="D10">
        <v>3</v>
      </c>
      <c r="E10">
        <v>4</v>
      </c>
      <c r="F10" s="22">
        <v>5</v>
      </c>
      <c r="H10" s="5" t="s">
        <v>12</v>
      </c>
      <c r="I10" s="26" t="e">
        <f>#REF!</f>
        <v>#REF!</v>
      </c>
      <c r="J10" s="26" t="e">
        <f>#REF!</f>
        <v>#REF!</v>
      </c>
      <c r="K10" s="26" t="e">
        <f>#REF!</f>
        <v>#REF!</v>
      </c>
      <c r="L10" s="27" t="e">
        <f>SUM(I10:K10)</f>
        <v>#REF!</v>
      </c>
    </row>
    <row r="11" spans="1:12">
      <c r="A11" s="5" t="s">
        <v>37</v>
      </c>
      <c r="B11" s="1" t="e">
        <f>B8/((1+$B$37)^B10)</f>
        <v>#REF!</v>
      </c>
      <c r="C11" s="1" t="e">
        <f>C8/((1+$B$37)^C10)</f>
        <v>#REF!</v>
      </c>
      <c r="D11" s="1" t="e">
        <f>D8/((1+$B$37)^D10)</f>
        <v>#REF!</v>
      </c>
      <c r="E11" s="1" t="e">
        <f>E8/((1+$B$37)^E10)</f>
        <v>#REF!</v>
      </c>
      <c r="F11" s="21" t="e">
        <f>F8/((1+$B$37)^F10)</f>
        <v>#REF!</v>
      </c>
      <c r="H11" s="5" t="s">
        <v>30</v>
      </c>
      <c r="I11" s="26" t="e">
        <f>#REF!</f>
        <v>#REF!</v>
      </c>
      <c r="J11" s="26" t="e">
        <f>#REF!</f>
        <v>#REF!</v>
      </c>
      <c r="K11" s="26" t="e">
        <f>#REF!</f>
        <v>#REF!</v>
      </c>
      <c r="L11" s="27" t="e">
        <f>SUM(I11:K11)</f>
        <v>#REF!</v>
      </c>
    </row>
    <row r="12" spans="1:12">
      <c r="A12" s="5"/>
      <c r="B12" s="1"/>
      <c r="C12" s="1"/>
      <c r="D12" s="1"/>
      <c r="E12" s="1"/>
      <c r="F12" s="21"/>
      <c r="H12" s="5" t="s">
        <v>6</v>
      </c>
      <c r="I12" s="26" t="e">
        <f>#REF!</f>
        <v>#REF!</v>
      </c>
      <c r="J12" s="26" t="e">
        <f>#REF!</f>
        <v>#REF!</v>
      </c>
      <c r="K12" s="26" t="e">
        <f>#REF!</f>
        <v>#REF!</v>
      </c>
      <c r="L12" s="27" t="e">
        <f>SUM(I12:K12)</f>
        <v>#REF!</v>
      </c>
    </row>
    <row r="13" spans="1:12">
      <c r="A13" s="5" t="s">
        <v>38</v>
      </c>
      <c r="B13" s="12" t="e">
        <f>#REF!</f>
        <v>#REF!</v>
      </c>
      <c r="C13" s="12" t="e">
        <f>#REF!</f>
        <v>#REF!</v>
      </c>
      <c r="D13" s="12" t="e">
        <f>D14*D2</f>
        <v>#REF!</v>
      </c>
      <c r="E13" s="12" t="e">
        <f>E14*E2</f>
        <v>#REF!</v>
      </c>
      <c r="F13" s="13" t="e">
        <f>F14*F2</f>
        <v>#REF!</v>
      </c>
      <c r="H13" s="5" t="s">
        <v>38</v>
      </c>
      <c r="I13" s="26" t="e">
        <f>#REF!</f>
        <v>#REF!</v>
      </c>
      <c r="J13" s="26" t="e">
        <f>#REF!</f>
        <v>#REF!</v>
      </c>
      <c r="K13" s="26" t="e">
        <f>#REF!</f>
        <v>#REF!</v>
      </c>
      <c r="L13" s="27" t="e">
        <f>SUM(I13:K13)</f>
        <v>#REF!</v>
      </c>
    </row>
    <row r="14" spans="1:12">
      <c r="A14" s="16" t="s">
        <v>39</v>
      </c>
      <c r="B14" s="2" t="e">
        <f>B13/B2</f>
        <v>#REF!</v>
      </c>
      <c r="C14" s="2" t="e">
        <f>C13/C2</f>
        <v>#REF!</v>
      </c>
      <c r="D14" s="17">
        <v>0.05</v>
      </c>
      <c r="E14" s="17">
        <v>0.1</v>
      </c>
      <c r="F14" s="18">
        <v>0.1</v>
      </c>
      <c r="H14" s="5" t="s">
        <v>40</v>
      </c>
      <c r="I14" s="28" t="e">
        <f>#REF!</f>
        <v>#REF!</v>
      </c>
      <c r="J14" s="28" t="e">
        <f>#REF!</f>
        <v>#REF!</v>
      </c>
      <c r="K14" s="28" t="e">
        <f>#REF!</f>
        <v>#REF!</v>
      </c>
      <c r="L14" s="27" t="e">
        <f>SUM(I14:K14)</f>
        <v>#REF!</v>
      </c>
    </row>
    <row r="15" spans="1:12">
      <c r="A15" s="5" t="s">
        <v>40</v>
      </c>
      <c r="B15" s="1" t="e">
        <f>#REF!</f>
        <v>#REF!</v>
      </c>
      <c r="C15" s="1" t="e">
        <f>#REF!</f>
        <v>#REF!</v>
      </c>
      <c r="D15" s="1" t="e">
        <f>D16*D2</f>
        <v>#REF!</v>
      </c>
      <c r="E15" s="1" t="e">
        <f>E16*E2</f>
        <v>#REF!</v>
      </c>
      <c r="F15" s="21" t="e">
        <f>F16*F2</f>
        <v>#REF!</v>
      </c>
      <c r="H15" s="19" t="s">
        <v>41</v>
      </c>
      <c r="I15" s="29" t="e">
        <f>#REF!</f>
        <v>#REF!</v>
      </c>
      <c r="J15" s="29" t="e">
        <f>#REF!</f>
        <v>#REF!</v>
      </c>
      <c r="K15" s="29" t="e">
        <f>#REF!</f>
        <v>#REF!</v>
      </c>
      <c r="L15" s="30" t="e">
        <f>K15</f>
        <v>#REF!</v>
      </c>
    </row>
    <row r="16" spans="1:12">
      <c r="A16" s="16" t="s">
        <v>16</v>
      </c>
      <c r="B16" s="2" t="e">
        <f>B15/B2</f>
        <v>#REF!</v>
      </c>
      <c r="C16" s="2" t="e">
        <f>C15/C2</f>
        <v>#REF!</v>
      </c>
      <c r="D16" s="17">
        <v>0.05</v>
      </c>
      <c r="E16" s="17">
        <v>0.1</v>
      </c>
      <c r="F16" s="18">
        <v>0.1</v>
      </c>
    </row>
    <row r="17" spans="1:8">
      <c r="A17" s="5" t="s">
        <v>15</v>
      </c>
      <c r="B17" s="31" t="e">
        <f>#REF!</f>
        <v>#REF!</v>
      </c>
      <c r="C17" s="31" t="e">
        <f>#REF!</f>
        <v>#REF!</v>
      </c>
      <c r="D17" s="31" t="e">
        <f>D15/D18</f>
        <v>#REF!</v>
      </c>
      <c r="E17" s="31" t="e">
        <f>E15/E18</f>
        <v>#REF!</v>
      </c>
      <c r="F17" s="32" t="e">
        <f>F15/F18</f>
        <v>#REF!</v>
      </c>
    </row>
    <row r="18" spans="1:8">
      <c r="A18" s="19" t="s">
        <v>42</v>
      </c>
      <c r="B18" s="33" t="e">
        <f>#REF!</f>
        <v>#REF!</v>
      </c>
      <c r="C18" s="33" t="e">
        <f>#REF!</f>
        <v>#REF!</v>
      </c>
      <c r="D18" s="33" t="e">
        <f>C18*1.01</f>
        <v>#REF!</v>
      </c>
      <c r="E18" s="33" t="e">
        <f>D18*1.01</f>
        <v>#REF!</v>
      </c>
      <c r="F18" s="34" t="e">
        <f>E18*1.01</f>
        <v>#REF!</v>
      </c>
    </row>
    <row r="19" spans="1:8">
      <c r="B19" s="35"/>
      <c r="C19" s="35"/>
      <c r="D19" s="35"/>
      <c r="E19" s="35"/>
      <c r="F19" s="35"/>
    </row>
    <row r="20" spans="1:8" ht="27">
      <c r="A20" s="36" t="s">
        <v>43</v>
      </c>
      <c r="B20" s="37" t="s">
        <v>44</v>
      </c>
      <c r="C20" s="37" t="s">
        <v>45</v>
      </c>
      <c r="D20" s="38" t="s">
        <v>46</v>
      </c>
    </row>
    <row r="21" spans="1:8">
      <c r="A21" s="5" t="s">
        <v>47</v>
      </c>
      <c r="B21" s="39" t="e">
        <f>SUM(B11:F11)</f>
        <v>#REF!</v>
      </c>
      <c r="C21" s="39" t="e">
        <f>B21</f>
        <v>#REF!</v>
      </c>
      <c r="D21" s="6" t="e">
        <f>C21</f>
        <v>#REF!</v>
      </c>
      <c r="G21" s="50"/>
    </row>
    <row r="22" spans="1:8">
      <c r="A22" s="5" t="s">
        <v>48</v>
      </c>
      <c r="B22" s="39" t="e">
        <f>(B26*F2)/((1+B37)^(F10))</f>
        <v>#REF!</v>
      </c>
      <c r="C22" s="39" t="e">
        <f>(C26*F15)/((1+B37)^F10)</f>
        <v>#REF!</v>
      </c>
      <c r="D22" s="6" t="e">
        <f>(D26*F8)/((1+B37)^F10)</f>
        <v>#REF!</v>
      </c>
      <c r="G22" s="48"/>
    </row>
    <row r="23" spans="1:8">
      <c r="A23" s="5" t="s">
        <v>20</v>
      </c>
      <c r="B23" s="39" t="e">
        <f>#REF!</f>
        <v>#REF!</v>
      </c>
      <c r="C23" s="39" t="e">
        <f>B23</f>
        <v>#REF!</v>
      </c>
      <c r="D23" s="6" t="e">
        <f>B23</f>
        <v>#REF!</v>
      </c>
      <c r="G23" s="49"/>
      <c r="H23" s="52"/>
    </row>
    <row r="24" spans="1:8">
      <c r="A24" s="5" t="s">
        <v>49</v>
      </c>
      <c r="B24" s="39" t="e">
        <f>SUM(B21:B23)</f>
        <v>#REF!</v>
      </c>
      <c r="C24" s="39" t="e">
        <f>SUM(C21:C23)</f>
        <v>#REF!</v>
      </c>
      <c r="D24" s="39" t="e">
        <f>SUM(D21:D23)</f>
        <v>#REF!</v>
      </c>
      <c r="G24" s="48"/>
    </row>
    <row r="25" spans="1:8">
      <c r="A25" s="5" t="s">
        <v>50</v>
      </c>
      <c r="B25" s="40" t="e">
        <f>B24/$B$18</f>
        <v>#REF!</v>
      </c>
      <c r="C25" s="40" t="e">
        <f>C24/$B$18</f>
        <v>#REF!</v>
      </c>
      <c r="D25" s="40" t="e">
        <f>D24/$B$18</f>
        <v>#REF!</v>
      </c>
      <c r="G25" s="49"/>
      <c r="H25" s="52"/>
    </row>
    <row r="26" spans="1:8">
      <c r="A26" s="41" t="s">
        <v>51</v>
      </c>
      <c r="B26" s="42">
        <v>5.8</v>
      </c>
      <c r="C26" s="42">
        <v>58</v>
      </c>
      <c r="D26" s="43">
        <v>35</v>
      </c>
      <c r="G26" s="49"/>
      <c r="H26" s="49"/>
    </row>
    <row r="27" spans="1:8">
      <c r="G27" s="51"/>
    </row>
    <row r="28" spans="1:8">
      <c r="A28" s="36" t="s">
        <v>52</v>
      </c>
      <c r="B28" s="37" t="s">
        <v>44</v>
      </c>
      <c r="C28" s="37" t="s">
        <v>45</v>
      </c>
      <c r="D28" s="38" t="s">
        <v>46</v>
      </c>
    </row>
    <row r="29" spans="1:8">
      <c r="A29" s="5" t="s">
        <v>47</v>
      </c>
      <c r="B29" s="44" t="e">
        <f>B21</f>
        <v>#REF!</v>
      </c>
      <c r="C29" s="44" t="e">
        <f>B29</f>
        <v>#REF!</v>
      </c>
      <c r="D29" s="45" t="e">
        <f>C29</f>
        <v>#REF!</v>
      </c>
      <c r="G29" s="48"/>
    </row>
    <row r="30" spans="1:8">
      <c r="A30" s="5" t="s">
        <v>53</v>
      </c>
      <c r="B30" s="44" t="e">
        <f>B34*F2</f>
        <v>#REF!</v>
      </c>
      <c r="C30" s="44" t="e">
        <f>C34*F15</f>
        <v>#REF!</v>
      </c>
      <c r="D30" s="45" t="e">
        <f>D34*F8</f>
        <v>#REF!</v>
      </c>
    </row>
    <row r="31" spans="1:8">
      <c r="A31" s="5" t="s">
        <v>20</v>
      </c>
      <c r="B31" s="39" t="e">
        <f>B23</f>
        <v>#REF!</v>
      </c>
      <c r="C31" s="39" t="e">
        <f>B31</f>
        <v>#REF!</v>
      </c>
      <c r="D31" s="6" t="e">
        <f>C31</f>
        <v>#REF!</v>
      </c>
    </row>
    <row r="32" spans="1:8">
      <c r="A32" s="5" t="s">
        <v>54</v>
      </c>
      <c r="B32" s="39" t="e">
        <f>SUM(B29:B31)</f>
        <v>#REF!</v>
      </c>
      <c r="C32" s="39" t="e">
        <f>SUM(C29:C31)</f>
        <v>#REF!</v>
      </c>
      <c r="D32" s="39" t="e">
        <f>SUM(D29:D31)</f>
        <v>#REF!</v>
      </c>
    </row>
    <row r="33" spans="1:4">
      <c r="A33" s="5" t="s">
        <v>50</v>
      </c>
      <c r="B33" s="40" t="e">
        <f>B32/$B$18</f>
        <v>#REF!</v>
      </c>
      <c r="C33" s="40" t="e">
        <f>C32/$B$18</f>
        <v>#REF!</v>
      </c>
      <c r="D33" s="40" t="e">
        <f>D32/$B$18</f>
        <v>#REF!</v>
      </c>
    </row>
    <row r="34" spans="1:4">
      <c r="A34" s="41" t="s">
        <v>51</v>
      </c>
      <c r="B34" s="42">
        <v>3.4</v>
      </c>
      <c r="C34" s="42">
        <v>34</v>
      </c>
      <c r="D34" s="43">
        <v>20</v>
      </c>
    </row>
    <row r="36" spans="1:4">
      <c r="A36" s="46" t="s">
        <v>55</v>
      </c>
      <c r="B36" s="47">
        <v>0.2</v>
      </c>
    </row>
    <row r="37" spans="1:4">
      <c r="A37" s="46" t="s">
        <v>56</v>
      </c>
      <c r="B37" s="47">
        <v>0.12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EB7F-5BF3-4D78-8630-E23785CD9D4A}">
  <sheetPr>
    <tabColor rgb="FF002060"/>
  </sheetPr>
  <dimension ref="B1:AL92"/>
  <sheetViews>
    <sheetView showGridLines="0" zoomScaleNormal="100" workbookViewId="0">
      <pane xSplit="3" ySplit="4" topLeftCell="D5" activePane="bottomRight" state="frozen"/>
      <selection pane="topRight" activeCell="C1" sqref="C1"/>
      <selection pane="bottomLeft" activeCell="A3" sqref="A3"/>
      <selection pane="bottomRight" activeCell="AF11" sqref="AF11"/>
    </sheetView>
  </sheetViews>
  <sheetFormatPr defaultColWidth="8.75" defaultRowHeight="12.75" outlineLevelCol="1"/>
  <cols>
    <col min="1" max="2" width="1.75" style="105" customWidth="1"/>
    <col min="3" max="3" width="29.25" style="105" bestFit="1" customWidth="1"/>
    <col min="4" max="7" width="8.25" style="105" hidden="1" customWidth="1" outlineLevel="1"/>
    <col min="8" max="8" width="8.25" style="105" customWidth="1" collapsed="1"/>
    <col min="9" max="23" width="8.25" style="105" hidden="1" customWidth="1" outlineLevel="1"/>
    <col min="24" max="24" width="8.25" style="105" customWidth="1" collapsed="1"/>
    <col min="25" max="38" width="8.25" style="105" customWidth="1"/>
    <col min="39" max="16384" width="8.75" style="105"/>
  </cols>
  <sheetData>
    <row r="1" spans="2:38" ht="10.15" customHeight="1"/>
    <row r="2" spans="2:38" ht="15">
      <c r="B2" s="159" t="str">
        <f>'Income Statement'!B2</f>
        <v>Five9, Inc (Nasdaq: FIVN)</v>
      </c>
      <c r="E2" s="122"/>
    </row>
    <row r="3" spans="2:38" ht="4.9000000000000004" customHeight="1" thickBot="1"/>
    <row r="4" spans="2:38" ht="13.5" thickBot="1">
      <c r="B4" s="837" t="s">
        <v>452</v>
      </c>
      <c r="C4" s="837"/>
      <c r="D4" s="870" t="str">
        <f>'Income Statement'!AS4</f>
        <v>1Q20</v>
      </c>
      <c r="E4" s="870" t="str">
        <f>'Income Statement'!AT4</f>
        <v>2Q20</v>
      </c>
      <c r="F4" s="870" t="str">
        <f>'Income Statement'!AU4</f>
        <v>3Q20</v>
      </c>
      <c r="G4" s="870" t="str">
        <f>'Income Statement'!AV4</f>
        <v>4Q20</v>
      </c>
      <c r="H4" s="839">
        <f>'Income Statement'!AW4</f>
        <v>2020</v>
      </c>
      <c r="I4" s="870" t="str">
        <f>'Income Statement'!AX4</f>
        <v>1Q21</v>
      </c>
      <c r="J4" s="870" t="str">
        <f>'Income Statement'!AY4</f>
        <v>2Q21</v>
      </c>
      <c r="K4" s="870" t="str">
        <f>'Income Statement'!AZ4</f>
        <v>3Q21</v>
      </c>
      <c r="L4" s="870" t="str">
        <f>'Income Statement'!BA4</f>
        <v>4Q21</v>
      </c>
      <c r="M4" s="839">
        <f>'Income Statement'!BB4</f>
        <v>2021</v>
      </c>
      <c r="N4" s="840" t="str">
        <f>'Income Statement'!BC4</f>
        <v>1Q22</v>
      </c>
      <c r="O4" s="840" t="str">
        <f>'Income Statement'!BD4</f>
        <v>2Q22</v>
      </c>
      <c r="P4" s="840" t="str">
        <f>'Income Statement'!BE4</f>
        <v>3Q22</v>
      </c>
      <c r="Q4" s="840" t="str">
        <f>'Income Statement'!BF4</f>
        <v>4Q22</v>
      </c>
      <c r="R4" s="839">
        <f>'Income Statement'!BG4</f>
        <v>2022</v>
      </c>
      <c r="S4" s="840" t="str">
        <f>'Income Statement'!BH4</f>
        <v>1Q23</v>
      </c>
      <c r="T4" s="840" t="str">
        <f>'Income Statement'!BI4</f>
        <v>2Q23</v>
      </c>
      <c r="U4" s="840" t="str">
        <f>'Income Statement'!BJ4</f>
        <v>3Q23</v>
      </c>
      <c r="V4" s="840" t="str">
        <f>'Income Statement'!BK4</f>
        <v>4Q23</v>
      </c>
      <c r="W4" s="839">
        <f>'Income Statement'!BL4</f>
        <v>2023</v>
      </c>
      <c r="X4" s="840" t="str">
        <f>'Income Statement'!BM4</f>
        <v>1Q24</v>
      </c>
      <c r="Y4" s="840" t="str">
        <f>'Income Statement'!BN4</f>
        <v>2Q24</v>
      </c>
      <c r="Z4" s="840" t="str">
        <f>'Income Statement'!BO4</f>
        <v>3Q24</v>
      </c>
      <c r="AA4" s="840" t="str">
        <f>'Income Statement'!BP4</f>
        <v>4Q24</v>
      </c>
      <c r="AB4" s="840">
        <f>'Income Statement'!BQ4</f>
        <v>2024</v>
      </c>
      <c r="AC4" s="840" t="str">
        <f>'Income Statement'!BR4</f>
        <v>1Q25</v>
      </c>
      <c r="AD4" s="840" t="str">
        <f>'Income Statement'!BS4</f>
        <v>2Q25</v>
      </c>
      <c r="AE4" s="840" t="str">
        <f>'Income Statement'!BT4</f>
        <v>3Q25</v>
      </c>
      <c r="AF4" s="840" t="str">
        <f>'Income Statement'!BU4</f>
        <v>4Q25</v>
      </c>
      <c r="AG4" s="840">
        <f>'Income Statement'!BV4</f>
        <v>2025</v>
      </c>
      <c r="AH4" s="840" t="str">
        <f>'Income Statement'!BW4</f>
        <v>1Q26E</v>
      </c>
      <c r="AI4" s="840" t="str">
        <f>'Income Statement'!BX4</f>
        <v>2Q26E</v>
      </c>
      <c r="AJ4" s="840" t="str">
        <f>'Income Statement'!BY4</f>
        <v>3Q26E</v>
      </c>
      <c r="AK4" s="840" t="str">
        <f>'Income Statement'!BZ4</f>
        <v>4Q26E</v>
      </c>
      <c r="AL4" s="840" t="str">
        <f>'Income Statement'!CA4</f>
        <v>2026E</v>
      </c>
    </row>
    <row r="5" spans="2:38" ht="20.100000000000001" customHeight="1">
      <c r="B5" s="112" t="s">
        <v>465</v>
      </c>
      <c r="C5" s="146"/>
      <c r="D5" s="96"/>
      <c r="E5" s="96"/>
      <c r="F5" s="96"/>
      <c r="G5" s="96"/>
      <c r="H5" s="95"/>
      <c r="I5" s="96"/>
      <c r="J5" s="96"/>
      <c r="K5" s="96">
        <v>123</v>
      </c>
      <c r="L5" s="96">
        <v>134</v>
      </c>
      <c r="M5" s="95"/>
      <c r="N5" s="96"/>
      <c r="O5" s="96"/>
      <c r="P5" s="96"/>
      <c r="Q5" s="96">
        <v>161</v>
      </c>
      <c r="R5" s="95"/>
      <c r="S5" s="96"/>
      <c r="T5" s="96"/>
      <c r="U5" s="96"/>
      <c r="V5" s="96"/>
      <c r="W5" s="95">
        <f>V5</f>
        <v>0</v>
      </c>
      <c r="X5" s="96"/>
      <c r="Y5" s="96"/>
      <c r="Z5" s="96"/>
      <c r="AA5" s="96"/>
      <c r="AB5" s="95">
        <f>AA5</f>
        <v>0</v>
      </c>
      <c r="AC5" s="96"/>
      <c r="AD5" s="96"/>
      <c r="AE5" s="96"/>
      <c r="AF5" s="96"/>
      <c r="AG5" s="95">
        <f>AF5</f>
        <v>0</v>
      </c>
      <c r="AH5" s="96"/>
      <c r="AI5" s="96"/>
      <c r="AJ5" s="96"/>
      <c r="AK5" s="96"/>
      <c r="AL5" s="95">
        <f>AK5</f>
        <v>0</v>
      </c>
    </row>
    <row r="6" spans="2:38" s="783" customFormat="1" ht="13.9" customHeight="1">
      <c r="B6" s="782"/>
      <c r="C6" s="783" t="s">
        <v>453</v>
      </c>
      <c r="H6" s="784"/>
      <c r="I6" s="785" t="str">
        <f>IF(AND(ISNUMBER(I5), ISNUMBER(D5)), I5/D5-1, "- ")</f>
        <v xml:space="preserve">- </v>
      </c>
      <c r="J6" s="785" t="str">
        <f>IF(AND(ISNUMBER(J5), ISNUMBER(E5)), J5/E5-1, "- ")</f>
        <v xml:space="preserve">- </v>
      </c>
      <c r="K6" s="785" t="str">
        <f>IF(AND(ISNUMBER(K5), ISNUMBER(F5)), K5/F5-1, "- ")</f>
        <v xml:space="preserve">- </v>
      </c>
      <c r="L6" s="785" t="str">
        <f>IF(AND(ISNUMBER(L5), ISNUMBER(G5)), L5/G5-1, "- ")</f>
        <v xml:space="preserve">- </v>
      </c>
      <c r="M6" s="784"/>
      <c r="N6" s="785" t="str">
        <f>IF(AND(ISNUMBER(N5), ISNUMBER(I5)), N5/I5-1, "- ")</f>
        <v xml:space="preserve">- </v>
      </c>
      <c r="O6" s="785" t="str">
        <f>IF(AND(ISNUMBER(O5), ISNUMBER(J5)), O5/J5-1, "- ")</f>
        <v xml:space="preserve">- </v>
      </c>
      <c r="P6" s="785" t="str">
        <f>IF(AND(ISNUMBER(P5), ISNUMBER(K5)), P5/K5-1, "- ")</f>
        <v xml:space="preserve">- </v>
      </c>
      <c r="Q6" s="785">
        <f>IF(AND(ISNUMBER(Q5), ISNUMBER(L5)), Q5/L5-1, "- ")</f>
        <v>0.20149253731343286</v>
      </c>
      <c r="R6" s="784"/>
      <c r="S6" s="785" t="str">
        <f>IF(AND(ISNUMBER(S5), ISNUMBER(N5)), S5/N5-1, "- ")</f>
        <v xml:space="preserve">- </v>
      </c>
      <c r="T6" s="785" t="str">
        <f>IF(AND(ISNUMBER(T5), ISNUMBER(O5)), T5/O5-1, "- ")</f>
        <v xml:space="preserve">- </v>
      </c>
      <c r="U6" s="785" t="str">
        <f>IF(AND(ISNUMBER(U5), ISNUMBER(P5)), U5/P5-1, "- ")</f>
        <v xml:space="preserve">- </v>
      </c>
      <c r="V6" s="785" t="str">
        <f>IF(AND(ISNUMBER(V5), ISNUMBER(Q5)), V5/Q5-1, "- ")</f>
        <v xml:space="preserve">- </v>
      </c>
      <c r="W6" s="784"/>
      <c r="X6" s="785" t="str">
        <f>IF(AND(ISNUMBER(X5), ISNUMBER(S5)), X5/S5-1, "- ")</f>
        <v xml:space="preserve">- </v>
      </c>
      <c r="Y6" s="785" t="str">
        <f>IF(AND(ISNUMBER(Y5), ISNUMBER(T5)), Y5/T5-1, "- ")</f>
        <v xml:space="preserve">- </v>
      </c>
      <c r="Z6" s="785" t="str">
        <f>IF(AND(ISNUMBER(Z5), ISNUMBER(U5)), Z5/U5-1, "- ")</f>
        <v xml:space="preserve">- </v>
      </c>
      <c r="AA6" s="785" t="str">
        <f>IF(AND(ISNUMBER(AA5), ISNUMBER(V5)), AA5/V5-1, "- ")</f>
        <v xml:space="preserve">- </v>
      </c>
      <c r="AB6" s="784"/>
      <c r="AC6" s="785" t="str">
        <f>IF(AND(ISNUMBER(AC5), ISNUMBER(X5)), AC5/X5-1, "- ")</f>
        <v xml:space="preserve">- </v>
      </c>
      <c r="AD6" s="785" t="str">
        <f>IF(AND(ISNUMBER(AD5), ISNUMBER(Y5)), AD5/Y5-1, "- ")</f>
        <v xml:space="preserve">- </v>
      </c>
      <c r="AE6" s="785" t="str">
        <f>IF(AND(ISNUMBER(AE5), ISNUMBER(Z5)), AE5/Z5-1, "- ")</f>
        <v xml:space="preserve">- </v>
      </c>
      <c r="AF6" s="785" t="str">
        <f>IF(AND(ISNUMBER(AF5), ISNUMBER(AA5)), AF5/AA5-1, "- ")</f>
        <v xml:space="preserve">- </v>
      </c>
      <c r="AG6" s="784"/>
      <c r="AH6" s="785" t="str">
        <f>IF(AND(ISNUMBER(AH5), ISNUMBER(AC5)), AH5/AC5-1, "- ")</f>
        <v xml:space="preserve">- </v>
      </c>
      <c r="AI6" s="785" t="str">
        <f>IF(AND(ISNUMBER(AI5), ISNUMBER(AD5)), AI5/AD5-1, "- ")</f>
        <v xml:space="preserve">- </v>
      </c>
      <c r="AJ6" s="785" t="str">
        <f>IF(AND(ISNUMBER(AJ5), ISNUMBER(AE5)), AJ5/AE5-1, "- ")</f>
        <v xml:space="preserve">- </v>
      </c>
      <c r="AK6" s="785" t="str">
        <f>IF(AND(ISNUMBER(AK5), ISNUMBER(AF5)), AK5/AF5-1, "- ")</f>
        <v xml:space="preserve">- </v>
      </c>
      <c r="AL6" s="784"/>
    </row>
    <row r="7" spans="2:38" s="787" customFormat="1" ht="13.9" customHeight="1">
      <c r="B7" s="786"/>
      <c r="C7" s="787" t="s">
        <v>454</v>
      </c>
      <c r="D7" s="788"/>
      <c r="E7" s="785" t="str">
        <f>IF(AND(ISNUMBER(E5), ISNUMBER(D5)), E5/D5-1, "- ")</f>
        <v xml:space="preserve">- </v>
      </c>
      <c r="F7" s="785" t="str">
        <f t="shared" ref="F7:L7" si="0">IF(AND(ISNUMBER(F5), ISNUMBER(E5)), F5/E5-1, "- ")</f>
        <v xml:space="preserve">- </v>
      </c>
      <c r="G7" s="785" t="str">
        <f t="shared" si="0"/>
        <v xml:space="preserve">- </v>
      </c>
      <c r="H7" s="784"/>
      <c r="I7" s="785" t="str">
        <f>IF(AND(ISNUMBER(I5), ISNUMBER(G5)), I5/G5-1, "- ")</f>
        <v xml:space="preserve">- </v>
      </c>
      <c r="J7" s="785" t="str">
        <f>IF(AND(ISNUMBER(J5), ISNUMBER(I5)), J5/I5-1, "- ")</f>
        <v xml:space="preserve">- </v>
      </c>
      <c r="K7" s="785" t="str">
        <f t="shared" si="0"/>
        <v xml:space="preserve">- </v>
      </c>
      <c r="L7" s="785">
        <f t="shared" si="0"/>
        <v>8.9430894308943021E-2</v>
      </c>
      <c r="M7" s="789"/>
      <c r="N7" s="785" t="str">
        <f>IF(AND(ISNUMBER(N5), ISNUMBER(L5)), N5/L5-1, "- ")</f>
        <v xml:space="preserve">- </v>
      </c>
      <c r="O7" s="785" t="str">
        <f>IF(AND(ISNUMBER(O5), ISNUMBER(N5)), O5/N5-1, "- ")</f>
        <v xml:space="preserve">- </v>
      </c>
      <c r="P7" s="785" t="str">
        <f>IF(AND(ISNUMBER(P5), ISNUMBER(O5)), P5/O5-1, "- ")</f>
        <v xml:space="preserve">- </v>
      </c>
      <c r="Q7" s="785" t="str">
        <f>IF(AND(ISNUMBER(Q5), ISNUMBER(P5)), Q5/P5-1, "- ")</f>
        <v xml:space="preserve">- </v>
      </c>
      <c r="R7" s="789"/>
      <c r="S7" s="785" t="str">
        <f>IF(AND(ISNUMBER(S5), ISNUMBER(Q5)), S5/Q5-1, "- ")</f>
        <v xml:space="preserve">- </v>
      </c>
      <c r="T7" s="785" t="str">
        <f>IF(AND(ISNUMBER(T5), ISNUMBER(S5)), T5/S5-1, "- ")</f>
        <v xml:space="preserve">- </v>
      </c>
      <c r="U7" s="785" t="str">
        <f>IF(AND(ISNUMBER(U5), ISNUMBER(T5)), U5/T5-1, "- ")</f>
        <v xml:space="preserve">- </v>
      </c>
      <c r="V7" s="785" t="str">
        <f>IF(AND(ISNUMBER(V5), ISNUMBER(U5)), V5/U5-1, "- ")</f>
        <v xml:space="preserve">- </v>
      </c>
      <c r="W7" s="789"/>
      <c r="X7" s="785" t="str">
        <f>IF(AND(ISNUMBER(X5), ISNUMBER(V5)), X5/V5-1, "- ")</f>
        <v xml:space="preserve">- </v>
      </c>
      <c r="Y7" s="785" t="str">
        <f>IF(AND(ISNUMBER(Y5), ISNUMBER(X5)), Y5/X5-1, "- ")</f>
        <v xml:space="preserve">- </v>
      </c>
      <c r="Z7" s="785" t="str">
        <f>IF(AND(ISNUMBER(Z5), ISNUMBER(Y5)), Z5/Y5-1, "- ")</f>
        <v xml:space="preserve">- </v>
      </c>
      <c r="AA7" s="785" t="str">
        <f>IF(AND(ISNUMBER(AA5), ISNUMBER(Z5)), AA5/Z5-1, "- ")</f>
        <v xml:space="preserve">- </v>
      </c>
      <c r="AB7" s="789"/>
      <c r="AC7" s="785" t="str">
        <f>IF(AND(ISNUMBER(AC5), ISNUMBER(AA5)), AC5/AA5-1, "- ")</f>
        <v xml:space="preserve">- </v>
      </c>
      <c r="AD7" s="785" t="str">
        <f>IF(AND(ISNUMBER(AD5), ISNUMBER(AC5)), AD5/AC5-1, "- ")</f>
        <v xml:space="preserve">- </v>
      </c>
      <c r="AE7" s="785" t="str">
        <f>IF(AND(ISNUMBER(AE5), ISNUMBER(AD5)), AE5/AD5-1, "- ")</f>
        <v xml:space="preserve">- </v>
      </c>
      <c r="AF7" s="785" t="str">
        <f>IF(AND(ISNUMBER(AF5), ISNUMBER(AE5)), AF5/AE5-1, "- ")</f>
        <v xml:space="preserve">- </v>
      </c>
      <c r="AG7" s="789"/>
      <c r="AH7" s="785" t="str">
        <f>IF(AND(ISNUMBER(AH5), ISNUMBER(AF5)), AH5/AF5-1, "- ")</f>
        <v xml:space="preserve">- </v>
      </c>
      <c r="AI7" s="785" t="str">
        <f>IF(AND(ISNUMBER(AI5), ISNUMBER(AH5)), AI5/AH5-1, "- ")</f>
        <v xml:space="preserve">- </v>
      </c>
      <c r="AJ7" s="785" t="str">
        <f>IF(AND(ISNUMBER(AJ5), ISNUMBER(AI5)), AJ5/AI5-1, "- ")</f>
        <v xml:space="preserve">- </v>
      </c>
      <c r="AK7" s="785" t="str">
        <f>IF(AND(ISNUMBER(AK5), ISNUMBER(AJ5)), AK5/AJ5-1, "- ")</f>
        <v xml:space="preserve">- </v>
      </c>
      <c r="AL7" s="789"/>
    </row>
    <row r="8" spans="2:38" ht="13.9" customHeight="1">
      <c r="B8" s="112" t="s">
        <v>455</v>
      </c>
      <c r="D8" s="790"/>
      <c r="E8" s="791" t="str">
        <f>IF(AND(ISNUMBER(E5), ISNUMBER(D5)), E5-D5, "- ")</f>
        <v xml:space="preserve">- </v>
      </c>
      <c r="F8" s="791" t="str">
        <f t="shared" ref="F8:L8" si="1">IF(AND(ISNUMBER(F5), ISNUMBER(E5)), F5-E5, "- ")</f>
        <v xml:space="preserve">- </v>
      </c>
      <c r="G8" s="791" t="str">
        <f t="shared" si="1"/>
        <v xml:space="preserve">- </v>
      </c>
      <c r="H8" s="95"/>
      <c r="I8" s="791" t="str">
        <f>IF(AND(ISNUMBER(I5), ISNUMBER(G5)), I5-G5, "- ")</f>
        <v xml:space="preserve">- </v>
      </c>
      <c r="J8" s="791" t="str">
        <f>IF(AND(ISNUMBER(J5), ISNUMBER(I5)), J5-I5, "- ")</f>
        <v xml:space="preserve">- </v>
      </c>
      <c r="K8" s="791" t="str">
        <f t="shared" si="1"/>
        <v xml:space="preserve">- </v>
      </c>
      <c r="L8" s="791">
        <f t="shared" si="1"/>
        <v>11</v>
      </c>
      <c r="M8" s="95" t="str">
        <f>IF(AND(ISNUMBER(M5), ISNUMBER(H5)), M5-H5, "- ")</f>
        <v xml:space="preserve">- </v>
      </c>
      <c r="N8" s="791" t="str">
        <f>IF(AND(ISNUMBER(N5), ISNUMBER(L5)), N5-L5, "- ")</f>
        <v xml:space="preserve">- </v>
      </c>
      <c r="O8" s="791" t="str">
        <f>IF(AND(ISNUMBER(O5), ISNUMBER(N5)), O5-N5, "- ")</f>
        <v xml:space="preserve">- </v>
      </c>
      <c r="P8" s="791" t="str">
        <f>IF(AND(ISNUMBER(P5), ISNUMBER(O5)), P5-O5, "- ")</f>
        <v xml:space="preserve">- </v>
      </c>
      <c r="Q8" s="791" t="str">
        <f>IF(AND(ISNUMBER(Q5), ISNUMBER(P5)), Q5-P5, "- ")</f>
        <v xml:space="preserve">- </v>
      </c>
      <c r="R8" s="95"/>
      <c r="S8" s="791" t="str">
        <f>IF(AND(ISNUMBER(S5), ISNUMBER(Q5)), S5-Q5, "- ")</f>
        <v xml:space="preserve">- </v>
      </c>
      <c r="T8" s="791" t="str">
        <f>IF(AND(ISNUMBER(T5), ISNUMBER(S5)), T5-S5, "- ")</f>
        <v xml:space="preserve">- </v>
      </c>
      <c r="U8" s="791" t="str">
        <f>IF(AND(ISNUMBER(U5), ISNUMBER(T5)), U5-T5, "- ")</f>
        <v xml:space="preserve">- </v>
      </c>
      <c r="V8" s="791" t="str">
        <f>IF(AND(ISNUMBER(V5), ISNUMBER(U5)), V5-U5, "- ")</f>
        <v xml:space="preserve">- </v>
      </c>
      <c r="W8" s="95"/>
      <c r="X8" s="791" t="str">
        <f>IF(AND(ISNUMBER(X5), ISNUMBER(V5)), X5-V5, "- ")</f>
        <v xml:space="preserve">- </v>
      </c>
      <c r="Y8" s="791" t="str">
        <f>IF(AND(ISNUMBER(Y5), ISNUMBER(X5)), Y5-X5, "- ")</f>
        <v xml:space="preserve">- </v>
      </c>
      <c r="Z8" s="791" t="str">
        <f>IF(AND(ISNUMBER(Z5), ISNUMBER(Y5)), Z5-Y5, "- ")</f>
        <v xml:space="preserve">- </v>
      </c>
      <c r="AA8" s="791" t="str">
        <f>IF(AND(ISNUMBER(AA5), ISNUMBER(Z5)), AA5-Z5, "- ")</f>
        <v xml:space="preserve">- </v>
      </c>
      <c r="AB8" s="95"/>
      <c r="AC8" s="791" t="str">
        <f>IF(AND(ISNUMBER(AC5), ISNUMBER(AA5)), AC5-AA5, "- ")</f>
        <v xml:space="preserve">- </v>
      </c>
      <c r="AD8" s="791" t="str">
        <f>IF(AND(ISNUMBER(AD5), ISNUMBER(AC5)), AD5-AC5, "- ")</f>
        <v xml:space="preserve">- </v>
      </c>
      <c r="AE8" s="791" t="str">
        <f>IF(AND(ISNUMBER(AE5), ISNUMBER(AD5)), AE5-AD5, "- ")</f>
        <v xml:space="preserve">- </v>
      </c>
      <c r="AF8" s="791" t="str">
        <f>IF(AND(ISNUMBER(AF5), ISNUMBER(AE5)), AF5-AE5, "- ")</f>
        <v xml:space="preserve">- </v>
      </c>
      <c r="AG8" s="95"/>
      <c r="AH8" s="791" t="str">
        <f>IF(AND(ISNUMBER(AH5), ISNUMBER(AF5)), AH5-AF5, "- ")</f>
        <v xml:space="preserve">- </v>
      </c>
      <c r="AI8" s="791" t="str">
        <f>IF(AND(ISNUMBER(AI5), ISNUMBER(AH5)), AI5-AH5, "- ")</f>
        <v xml:space="preserve">- </v>
      </c>
      <c r="AJ8" s="791" t="str">
        <f>IF(AND(ISNUMBER(AJ5), ISNUMBER(AI5)), AJ5-AI5, "- ")</f>
        <v xml:space="preserve">- </v>
      </c>
      <c r="AK8" s="791" t="str">
        <f>IF(AND(ISNUMBER(AK5), ISNUMBER(AJ5)), AK5-AJ5, "- ")</f>
        <v xml:space="preserve">- </v>
      </c>
      <c r="AL8" s="95"/>
    </row>
    <row r="9" spans="2:38" ht="13.9" customHeight="1">
      <c r="B9" s="112"/>
      <c r="D9" s="790"/>
      <c r="E9" s="791"/>
      <c r="F9" s="791"/>
      <c r="G9" s="791"/>
      <c r="H9" s="95"/>
      <c r="I9" s="791"/>
      <c r="J9" s="791"/>
      <c r="K9" s="791"/>
      <c r="L9" s="791"/>
      <c r="M9" s="95"/>
      <c r="N9" s="791"/>
      <c r="O9" s="791"/>
      <c r="P9" s="791"/>
      <c r="Q9" s="791"/>
      <c r="R9" s="95"/>
      <c r="S9" s="791"/>
      <c r="T9" s="791"/>
      <c r="U9" s="791"/>
      <c r="V9" s="791"/>
      <c r="W9" s="95"/>
      <c r="X9" s="791"/>
      <c r="Y9" s="791"/>
      <c r="Z9" s="791"/>
      <c r="AA9" s="791"/>
      <c r="AB9" s="95"/>
      <c r="AC9" s="791"/>
      <c r="AD9" s="791"/>
      <c r="AE9" s="791"/>
      <c r="AF9" s="791"/>
      <c r="AG9" s="95"/>
      <c r="AH9" s="791"/>
      <c r="AI9" s="791"/>
      <c r="AJ9" s="791"/>
      <c r="AK9" s="791"/>
      <c r="AL9" s="95"/>
    </row>
    <row r="10" spans="2:38" ht="13.9" customHeight="1">
      <c r="B10" s="138" t="s">
        <v>535</v>
      </c>
      <c r="C10" s="146"/>
      <c r="D10" s="790"/>
      <c r="E10" s="791"/>
      <c r="F10" s="791"/>
      <c r="G10" s="791"/>
      <c r="H10" s="95"/>
      <c r="I10" s="791"/>
      <c r="J10" s="791"/>
      <c r="K10" s="791"/>
      <c r="L10" s="791"/>
      <c r="M10" s="95"/>
      <c r="N10" s="791"/>
      <c r="O10" s="791"/>
      <c r="P10" s="791"/>
      <c r="Q10" s="791"/>
      <c r="R10" s="95"/>
      <c r="S10" s="791"/>
      <c r="T10" s="791"/>
      <c r="U10" s="791"/>
      <c r="V10" s="791"/>
      <c r="W10" s="95"/>
      <c r="X10" s="791"/>
      <c r="Y10" s="791"/>
      <c r="Z10" s="791"/>
      <c r="AA10" s="791"/>
      <c r="AB10" s="95"/>
      <c r="AC10" s="797">
        <v>0.32</v>
      </c>
      <c r="AD10" s="797">
        <v>0.42</v>
      </c>
      <c r="AE10" s="797">
        <v>0.41</v>
      </c>
      <c r="AF10" s="797">
        <v>0.5</v>
      </c>
      <c r="AG10" s="95"/>
      <c r="AH10" s="791"/>
      <c r="AI10" s="791"/>
      <c r="AJ10" s="791"/>
      <c r="AK10" s="791"/>
      <c r="AL10" s="95"/>
    </row>
    <row r="11" spans="2:38" ht="13.9" customHeight="1">
      <c r="B11" s="138" t="s">
        <v>536</v>
      </c>
      <c r="C11" s="146"/>
      <c r="D11" s="790"/>
      <c r="E11" s="791"/>
      <c r="F11" s="791"/>
      <c r="G11" s="791"/>
      <c r="H11" s="95"/>
      <c r="I11" s="791"/>
      <c r="J11" s="791"/>
      <c r="K11" s="791"/>
      <c r="L11" s="791"/>
      <c r="M11" s="95"/>
      <c r="N11" s="791"/>
      <c r="O11" s="791"/>
      <c r="P11" s="791"/>
      <c r="Q11" s="791"/>
      <c r="R11" s="95"/>
      <c r="S11" s="791"/>
      <c r="T11" s="791"/>
      <c r="U11" s="791"/>
      <c r="V11" s="791"/>
      <c r="W11" s="95"/>
      <c r="X11" s="791"/>
      <c r="Y11" s="791"/>
      <c r="Z11" s="791"/>
      <c r="AA11" s="791"/>
      <c r="AB11" s="95"/>
      <c r="AC11" s="797">
        <v>0.09</v>
      </c>
      <c r="AD11" s="797">
        <v>0.1</v>
      </c>
      <c r="AE11" s="797">
        <v>0.11</v>
      </c>
      <c r="AF11" s="797">
        <v>0.12</v>
      </c>
      <c r="AG11" s="95"/>
      <c r="AH11" s="791"/>
      <c r="AI11" s="791"/>
      <c r="AJ11" s="791"/>
      <c r="AK11" s="791"/>
      <c r="AL11" s="95"/>
    </row>
    <row r="12" spans="2:38" ht="13.9" customHeight="1">
      <c r="B12" s="138" t="s">
        <v>537</v>
      </c>
      <c r="C12" s="146"/>
      <c r="D12" s="790"/>
      <c r="E12" s="791"/>
      <c r="F12" s="791"/>
      <c r="G12" s="791"/>
      <c r="H12" s="95"/>
      <c r="I12" s="791"/>
      <c r="J12" s="791"/>
      <c r="K12" s="791"/>
      <c r="L12" s="791"/>
      <c r="M12" s="95"/>
      <c r="N12" s="791"/>
      <c r="O12" s="791"/>
      <c r="P12" s="791"/>
      <c r="Q12" s="791"/>
      <c r="R12" s="95"/>
      <c r="S12" s="791"/>
      <c r="T12" s="791"/>
      <c r="U12" s="791"/>
      <c r="V12" s="791"/>
      <c r="W12" s="95"/>
      <c r="X12" s="791"/>
      <c r="Y12" s="791"/>
      <c r="Z12" s="791"/>
      <c r="AA12" s="791"/>
      <c r="AB12" s="95"/>
      <c r="AC12" s="791"/>
      <c r="AD12" s="791" t="s">
        <v>539</v>
      </c>
      <c r="AE12" s="797">
        <v>0.8</v>
      </c>
      <c r="AF12" s="797">
        <v>1</v>
      </c>
      <c r="AG12" s="95"/>
      <c r="AH12" s="791"/>
      <c r="AI12" s="791"/>
      <c r="AJ12" s="791"/>
      <c r="AK12" s="791"/>
      <c r="AL12" s="95"/>
    </row>
    <row r="13" spans="2:38" ht="13.9" customHeight="1">
      <c r="B13" s="138" t="s">
        <v>538</v>
      </c>
      <c r="C13" s="146"/>
      <c r="D13" s="790"/>
      <c r="E13" s="791"/>
      <c r="F13" s="791"/>
      <c r="G13" s="791"/>
      <c r="H13" s="95"/>
      <c r="I13" s="791"/>
      <c r="J13" s="791"/>
      <c r="K13" s="791"/>
      <c r="L13" s="791"/>
      <c r="M13" s="95"/>
      <c r="N13" s="791"/>
      <c r="O13" s="791"/>
      <c r="P13" s="791"/>
      <c r="Q13" s="791"/>
      <c r="R13" s="95"/>
      <c r="S13" s="791"/>
      <c r="T13" s="791"/>
      <c r="U13" s="791"/>
      <c r="V13" s="791"/>
      <c r="W13" s="95"/>
      <c r="X13" s="791"/>
      <c r="Y13" s="791"/>
      <c r="Z13" s="791"/>
      <c r="AA13" s="791"/>
      <c r="AB13" s="95"/>
      <c r="AC13" s="791"/>
      <c r="AD13" s="797">
        <v>0.2</v>
      </c>
      <c r="AE13" s="797">
        <v>0.2</v>
      </c>
      <c r="AF13" s="797">
        <v>0.2</v>
      </c>
      <c r="AG13" s="95"/>
      <c r="AH13" s="791"/>
      <c r="AI13" s="791"/>
      <c r="AJ13" s="791"/>
      <c r="AK13" s="791"/>
      <c r="AL13" s="95"/>
    </row>
    <row r="14" spans="2:38" ht="13.9" customHeight="1">
      <c r="B14" s="112"/>
      <c r="D14" s="790"/>
      <c r="E14" s="791"/>
      <c r="F14" s="791"/>
      <c r="G14" s="791"/>
      <c r="H14" s="95"/>
      <c r="I14" s="791"/>
      <c r="J14" s="791"/>
      <c r="K14" s="791"/>
      <c r="L14" s="791"/>
      <c r="M14" s="95"/>
      <c r="N14" s="791"/>
      <c r="O14" s="791"/>
      <c r="P14" s="791"/>
      <c r="Q14" s="791"/>
      <c r="R14" s="95"/>
      <c r="S14" s="791"/>
      <c r="T14" s="791"/>
      <c r="U14" s="791"/>
      <c r="V14" s="791"/>
      <c r="W14" s="95"/>
      <c r="X14" s="791"/>
      <c r="Y14" s="791"/>
      <c r="Z14" s="791"/>
      <c r="AA14" s="791"/>
      <c r="AB14" s="95"/>
      <c r="AC14" s="791"/>
      <c r="AD14" s="791"/>
      <c r="AE14" s="797"/>
      <c r="AF14" s="791"/>
      <c r="AG14" s="95"/>
      <c r="AH14" s="791"/>
      <c r="AI14" s="791"/>
      <c r="AJ14" s="791"/>
      <c r="AK14" s="791"/>
      <c r="AL14" s="95"/>
    </row>
    <row r="15" spans="2:38" ht="13.9" customHeight="1">
      <c r="B15" s="112"/>
      <c r="D15" s="790"/>
      <c r="E15" s="791"/>
      <c r="F15" s="791"/>
      <c r="G15" s="791"/>
      <c r="H15" s="95"/>
      <c r="I15" s="791"/>
      <c r="J15" s="791"/>
      <c r="K15" s="791"/>
      <c r="L15" s="791"/>
      <c r="M15" s="95"/>
      <c r="N15" s="791"/>
      <c r="O15" s="791"/>
      <c r="P15" s="791"/>
      <c r="Q15" s="791"/>
      <c r="R15" s="95"/>
      <c r="S15" s="791"/>
      <c r="T15" s="791"/>
      <c r="U15" s="791"/>
      <c r="V15" s="791"/>
      <c r="W15" s="95"/>
      <c r="X15" s="791"/>
      <c r="Y15" s="791"/>
      <c r="Z15" s="791"/>
      <c r="AA15" s="791"/>
      <c r="AB15" s="95"/>
      <c r="AC15" s="791"/>
      <c r="AD15" s="791"/>
      <c r="AE15" s="797"/>
      <c r="AF15" s="791"/>
      <c r="AG15" s="95"/>
      <c r="AH15" s="791"/>
      <c r="AI15" s="791"/>
      <c r="AJ15" s="791"/>
      <c r="AK15" s="791"/>
      <c r="AL15" s="95"/>
    </row>
    <row r="16" spans="2:38" ht="20.100000000000001" customHeight="1">
      <c r="B16" s="112" t="s">
        <v>466</v>
      </c>
      <c r="D16" s="797">
        <v>0.33</v>
      </c>
      <c r="E16" s="797">
        <v>0.33</v>
      </c>
      <c r="F16" s="797">
        <v>0.35</v>
      </c>
      <c r="G16" s="797">
        <v>0.39</v>
      </c>
      <c r="H16" s="142"/>
      <c r="I16" s="797">
        <v>0.45</v>
      </c>
      <c r="J16" s="797">
        <v>0.5</v>
      </c>
      <c r="K16" s="797">
        <v>0.51</v>
      </c>
      <c r="L16" s="797">
        <v>0.51</v>
      </c>
      <c r="M16" s="142"/>
      <c r="N16" s="797">
        <v>0.46</v>
      </c>
      <c r="O16" s="797">
        <v>0.41</v>
      </c>
      <c r="P16" s="797">
        <v>0.37</v>
      </c>
      <c r="Q16" s="797">
        <v>0.32</v>
      </c>
      <c r="R16" s="142"/>
      <c r="S16" s="797">
        <v>0.31</v>
      </c>
      <c r="T16" s="797">
        <v>0.28000000000000003</v>
      </c>
      <c r="U16" s="797">
        <v>0.28000000000000003</v>
      </c>
      <c r="V16" s="797">
        <v>0.25</v>
      </c>
      <c r="W16" s="142"/>
      <c r="X16" s="797">
        <v>0.23</v>
      </c>
      <c r="Y16" s="797">
        <v>0.21</v>
      </c>
      <c r="Z16" s="797">
        <v>0.2</v>
      </c>
      <c r="AA16" s="797">
        <v>0.21</v>
      </c>
      <c r="AB16" s="142"/>
      <c r="AC16" s="797">
        <v>0.2</v>
      </c>
      <c r="AD16" s="797" t="str">
        <f>IF(AND(ISNUMBER([25]IS!AD13), ISNUMBER(Metrics!AD5)),([25]IS!AD13*1000)/Metrics!AD5, "- ")</f>
        <v xml:space="preserve">- </v>
      </c>
      <c r="AE16" s="797" t="str">
        <f>IF(AND(ISNUMBER([25]IS!AE13), ISNUMBER(Metrics!AE5)),([25]IS!AE13*1000)/Metrics!AE5, "- ")</f>
        <v xml:space="preserve">- </v>
      </c>
      <c r="AF16" s="797" t="str">
        <f>IF(AND(ISNUMBER([25]IS!AF13), ISNUMBER(Metrics!AF5)),([25]IS!AF13*1000)/Metrics!AF5, "- ")</f>
        <v xml:space="preserve">- </v>
      </c>
      <c r="AG16" s="142"/>
      <c r="AH16" s="797" t="str">
        <f>IF(AND(ISNUMBER([25]IS!AH13), ISNUMBER(Metrics!AH5)),([25]IS!AH13*1000)/Metrics!AH5, "- ")</f>
        <v xml:space="preserve">- </v>
      </c>
      <c r="AI16" s="797" t="str">
        <f>IF(AND(ISNUMBER([25]IS!AI13), ISNUMBER(Metrics!AI5)),([25]IS!AI13*1000)/Metrics!AI5, "- ")</f>
        <v xml:space="preserve">- </v>
      </c>
      <c r="AJ16" s="797" t="str">
        <f>IF(AND(ISNUMBER([25]IS!AJ13), ISNUMBER(Metrics!AJ5)),([25]IS!AJ13*1000)/Metrics!AJ5, "- ")</f>
        <v xml:space="preserve">- </v>
      </c>
      <c r="AK16" s="797" t="str">
        <f>IF(AND(ISNUMBER([25]IS!AK13), ISNUMBER(Metrics!AK5)),([25]IS!AK13*1000)/Metrics!AK5, "- ")</f>
        <v xml:space="preserve">- </v>
      </c>
      <c r="AL16" s="142"/>
    </row>
    <row r="17" spans="2:38" ht="21" customHeight="1">
      <c r="B17" s="112"/>
      <c r="C17" s="794"/>
      <c r="E17" s="794"/>
      <c r="F17" s="794"/>
      <c r="G17" s="794"/>
      <c r="H17" s="795"/>
      <c r="I17" s="794"/>
      <c r="J17" s="794"/>
      <c r="K17" s="794"/>
      <c r="L17" s="794"/>
      <c r="M17" s="796"/>
      <c r="N17" s="794"/>
      <c r="O17" s="794"/>
      <c r="R17" s="796"/>
      <c r="W17" s="796"/>
      <c r="AB17" s="796"/>
      <c r="AG17" s="796"/>
      <c r="AL17" s="796"/>
    </row>
    <row r="18" spans="2:38" ht="13.9" customHeight="1">
      <c r="B18" s="112" t="s">
        <v>456</v>
      </c>
      <c r="C18" s="388"/>
      <c r="D18" s="797">
        <v>1.1100000000000001</v>
      </c>
      <c r="E18" s="797">
        <v>1.1100000000000001</v>
      </c>
      <c r="F18" s="797">
        <v>1.1399999999999999</v>
      </c>
      <c r="G18" s="797">
        <v>1.17</v>
      </c>
      <c r="H18" s="142"/>
      <c r="I18" s="797">
        <v>1.21</v>
      </c>
      <c r="J18" s="797">
        <v>1.23</v>
      </c>
      <c r="K18" s="797">
        <v>1.23</v>
      </c>
      <c r="L18" s="797">
        <v>1.22</v>
      </c>
      <c r="M18" s="142"/>
      <c r="N18" s="797">
        <v>1.2</v>
      </c>
      <c r="O18" s="797">
        <v>1.18</v>
      </c>
      <c r="P18" s="797"/>
      <c r="Q18" s="797">
        <v>1.1499999999999999</v>
      </c>
      <c r="R18" s="142"/>
      <c r="S18" s="797">
        <v>1.1399999999999999</v>
      </c>
      <c r="T18" s="797">
        <v>1.1200000000000001</v>
      </c>
      <c r="U18" s="797">
        <v>1.1000000000000001</v>
      </c>
      <c r="V18" s="797">
        <v>1.1000000000000001</v>
      </c>
      <c r="W18" s="142"/>
      <c r="X18" s="797">
        <v>1.0900000000000001</v>
      </c>
      <c r="Y18" s="797">
        <v>1.08</v>
      </c>
      <c r="Z18" s="797">
        <v>1.08</v>
      </c>
      <c r="AA18" s="797">
        <v>1.08</v>
      </c>
      <c r="AB18" s="142"/>
      <c r="AC18" s="797">
        <v>1.07</v>
      </c>
      <c r="AD18" s="797">
        <v>1.08</v>
      </c>
      <c r="AE18" s="797">
        <v>1.07</v>
      </c>
      <c r="AF18" s="797">
        <v>1.05</v>
      </c>
      <c r="AG18" s="142"/>
      <c r="AH18" s="797"/>
      <c r="AI18" s="797"/>
      <c r="AJ18" s="797"/>
      <c r="AK18" s="797"/>
      <c r="AL18" s="142"/>
    </row>
    <row r="19" spans="2:38" ht="15.95" customHeight="1">
      <c r="B19" s="112"/>
      <c r="C19" s="388"/>
      <c r="D19" s="797"/>
      <c r="E19" s="797"/>
      <c r="F19" s="797"/>
      <c r="G19" s="797"/>
      <c r="H19" s="142"/>
      <c r="I19" s="797"/>
      <c r="J19" s="797"/>
      <c r="K19" s="797"/>
      <c r="L19" s="797"/>
      <c r="M19" s="142"/>
      <c r="N19" s="797"/>
      <c r="O19" s="797"/>
      <c r="P19" s="797"/>
      <c r="Q19" s="878" t="s">
        <v>482</v>
      </c>
      <c r="R19" s="142"/>
      <c r="S19" s="797"/>
      <c r="T19" s="797"/>
      <c r="U19" s="797"/>
      <c r="V19" s="797"/>
      <c r="W19" s="142"/>
      <c r="X19" s="797"/>
      <c r="Y19" s="797"/>
      <c r="Z19" s="797"/>
      <c r="AA19" s="797"/>
      <c r="AB19" s="142"/>
      <c r="AC19" s="797"/>
      <c r="AD19" s="797"/>
      <c r="AE19" s="797"/>
      <c r="AF19" s="797"/>
      <c r="AG19" s="142"/>
      <c r="AH19" s="797"/>
      <c r="AI19" s="797"/>
      <c r="AJ19" s="797"/>
      <c r="AK19" s="797"/>
      <c r="AL19" s="142"/>
    </row>
    <row r="20" spans="2:38" ht="15.95" customHeight="1">
      <c r="B20" s="112"/>
      <c r="C20" s="388"/>
      <c r="D20" s="797"/>
      <c r="E20" s="797"/>
      <c r="F20" s="797"/>
      <c r="G20" s="797"/>
      <c r="H20" s="142"/>
      <c r="I20" s="797"/>
      <c r="J20" s="797"/>
      <c r="K20" s="797"/>
      <c r="L20" s="797"/>
      <c r="M20" s="142"/>
      <c r="N20" s="797"/>
      <c r="O20" s="797"/>
      <c r="P20" s="797"/>
      <c r="Q20" s="878"/>
      <c r="R20" s="142"/>
      <c r="S20" s="797"/>
      <c r="T20" s="797"/>
      <c r="U20" s="797"/>
      <c r="V20" s="797"/>
      <c r="W20" s="142"/>
      <c r="X20" s="797"/>
      <c r="Y20" s="797"/>
      <c r="Z20" s="797"/>
      <c r="AA20" s="797"/>
      <c r="AB20" s="142"/>
      <c r="AC20" s="797"/>
      <c r="AD20" s="797"/>
      <c r="AE20" s="797"/>
      <c r="AF20" s="797"/>
      <c r="AG20" s="142"/>
      <c r="AH20" s="797"/>
      <c r="AI20" s="797"/>
      <c r="AJ20" s="797"/>
      <c r="AK20" s="797"/>
      <c r="AL20" s="142"/>
    </row>
    <row r="21" spans="2:38" ht="15.95" customHeight="1">
      <c r="B21" s="112" t="s">
        <v>483</v>
      </c>
      <c r="D21" s="797"/>
      <c r="E21" s="797"/>
      <c r="F21" s="797"/>
      <c r="G21" s="797"/>
      <c r="H21" s="142"/>
      <c r="I21" s="797"/>
      <c r="J21" s="797"/>
      <c r="K21" s="797"/>
      <c r="L21" s="797"/>
      <c r="M21" s="142"/>
      <c r="N21" s="797"/>
      <c r="O21" s="797"/>
      <c r="P21" s="797"/>
      <c r="Q21" s="878">
        <v>0.86</v>
      </c>
      <c r="R21" s="142"/>
      <c r="S21" s="797">
        <v>0.86</v>
      </c>
      <c r="T21" s="797">
        <v>0.87</v>
      </c>
      <c r="U21" s="797">
        <v>0.87</v>
      </c>
      <c r="V21" s="797">
        <v>0.87</v>
      </c>
      <c r="W21" s="142"/>
      <c r="X21" s="797">
        <v>0.88</v>
      </c>
      <c r="Y21" s="797">
        <v>0.88</v>
      </c>
      <c r="Z21" s="797">
        <v>0.88</v>
      </c>
      <c r="AA21" s="797">
        <v>0.89</v>
      </c>
      <c r="AB21" s="142"/>
      <c r="AC21" s="797">
        <v>0.9</v>
      </c>
      <c r="AD21" s="797"/>
      <c r="AE21" s="797"/>
      <c r="AF21" s="797"/>
      <c r="AG21" s="142"/>
      <c r="AH21" s="797"/>
      <c r="AI21" s="797"/>
      <c r="AJ21" s="797"/>
      <c r="AK21" s="797"/>
      <c r="AL21" s="142"/>
    </row>
    <row r="22" spans="2:38" ht="17.45" customHeight="1">
      <c r="B22" s="112"/>
      <c r="D22" s="798"/>
      <c r="E22" s="798"/>
      <c r="F22" s="798"/>
      <c r="G22" s="798"/>
      <c r="H22" s="799"/>
      <c r="I22" s="798"/>
      <c r="J22" s="798"/>
      <c r="K22" s="798"/>
      <c r="L22" s="798"/>
      <c r="M22" s="799"/>
      <c r="N22" s="798"/>
      <c r="O22" s="798"/>
      <c r="Q22" s="806" t="s">
        <v>482</v>
      </c>
      <c r="R22" s="799"/>
      <c r="W22" s="799"/>
      <c r="AB22" s="799"/>
      <c r="AG22" s="799"/>
      <c r="AL22" s="799"/>
    </row>
    <row r="23" spans="2:38" ht="13.9" customHeight="1">
      <c r="B23" s="112" t="s">
        <v>457</v>
      </c>
      <c r="H23" s="95">
        <v>18</v>
      </c>
      <c r="I23" s="96"/>
      <c r="J23" s="96"/>
      <c r="K23" s="96"/>
      <c r="L23" s="96"/>
      <c r="M23" s="95">
        <v>31</v>
      </c>
      <c r="N23" s="96"/>
      <c r="O23" s="96">
        <v>41</v>
      </c>
      <c r="P23" s="96"/>
      <c r="Q23" s="96"/>
      <c r="R23" s="95"/>
      <c r="S23" s="96"/>
      <c r="T23" s="96"/>
      <c r="U23" s="96"/>
      <c r="V23" s="96">
        <v>183</v>
      </c>
      <c r="W23" s="95"/>
      <c r="X23" s="96"/>
      <c r="Y23" s="96"/>
      <c r="Z23" s="96"/>
      <c r="AA23" s="96"/>
      <c r="AB23" s="95"/>
      <c r="AC23" s="96"/>
      <c r="AD23" s="96"/>
      <c r="AE23" s="96"/>
      <c r="AF23" s="96"/>
      <c r="AG23" s="95"/>
      <c r="AH23" s="96"/>
      <c r="AI23" s="96"/>
      <c r="AJ23" s="96"/>
      <c r="AK23" s="96"/>
      <c r="AL23" s="95"/>
    </row>
    <row r="24" spans="2:38" ht="13.9" customHeight="1">
      <c r="B24" s="782"/>
      <c r="C24" s="783" t="s">
        <v>453</v>
      </c>
      <c r="D24" s="783"/>
      <c r="E24" s="783"/>
      <c r="F24" s="783"/>
      <c r="G24" s="783"/>
      <c r="H24" s="784"/>
      <c r="I24" s="785" t="str">
        <f>IF(AND(ISNUMBER(I23), ISNUMBER(D23)), I23/D23-1, "- ")</f>
        <v xml:space="preserve">- </v>
      </c>
      <c r="J24" s="785" t="str">
        <f>IF(AND(ISNUMBER(J23), ISNUMBER(E23)), J23/E23-1, "- ")</f>
        <v xml:space="preserve">- </v>
      </c>
      <c r="K24" s="785" t="str">
        <f>IF(AND(ISNUMBER(K23), ISNUMBER(F23)), K23/F23-1, "- ")</f>
        <v xml:space="preserve">- </v>
      </c>
      <c r="L24" s="785" t="str">
        <f>IF(AND(ISNUMBER(L23), ISNUMBER(G23)), L23/G23-1, "- ")</f>
        <v xml:space="preserve">- </v>
      </c>
      <c r="M24" s="784"/>
      <c r="N24" s="785" t="str">
        <f>IF(AND(ISNUMBER(N23), ISNUMBER(I23)), N23/I23-1, "- ")</f>
        <v xml:space="preserve">- </v>
      </c>
      <c r="O24" s="785" t="str">
        <f>IF(AND(ISNUMBER(O23), ISNUMBER(J23)), O23/J23-1, "- ")</f>
        <v xml:space="preserve">- </v>
      </c>
      <c r="P24" s="785" t="str">
        <f>IF(AND(ISNUMBER(P23), ISNUMBER(K23)), P23/K23-1, "- ")</f>
        <v xml:space="preserve">- </v>
      </c>
      <c r="Q24" s="785" t="str">
        <f>IF(AND(ISNUMBER(Q23), ISNUMBER(L23)), Q23/L23-1, "- ")</f>
        <v xml:space="preserve">- </v>
      </c>
      <c r="R24" s="784"/>
      <c r="S24" s="785" t="str">
        <f>IF(AND(ISNUMBER(S23), ISNUMBER(N23)), S23/N23-1, "- ")</f>
        <v xml:space="preserve">- </v>
      </c>
      <c r="T24" s="785" t="str">
        <f>IF(AND(ISNUMBER(T23), ISNUMBER(O23)), T23/O23-1, "- ")</f>
        <v xml:space="preserve">- </v>
      </c>
      <c r="U24" s="785" t="str">
        <f>IF(AND(ISNUMBER(U23), ISNUMBER(P23)), U23/P23-1, "- ")</f>
        <v xml:space="preserve">- </v>
      </c>
      <c r="V24" s="785" t="str">
        <f>IF(AND(ISNUMBER(V23), ISNUMBER(Q23)), V23/Q23-1, "- ")</f>
        <v xml:space="preserve">- </v>
      </c>
      <c r="W24" s="784"/>
      <c r="X24" s="785" t="str">
        <f>IF(AND(ISNUMBER(X23), ISNUMBER(S23)), X23/S23-1, "- ")</f>
        <v xml:space="preserve">- </v>
      </c>
      <c r="Y24" s="785" t="str">
        <f>IF(AND(ISNUMBER(Y23), ISNUMBER(T23)), Y23/T23-1, "- ")</f>
        <v xml:space="preserve">- </v>
      </c>
      <c r="Z24" s="785" t="str">
        <f>IF(AND(ISNUMBER(Z23), ISNUMBER(U23)), Z23/U23-1, "- ")</f>
        <v xml:space="preserve">- </v>
      </c>
      <c r="AA24" s="785" t="str">
        <f>IF(AND(ISNUMBER(AA23), ISNUMBER(V23)), AA23/V23-1, "- ")</f>
        <v xml:space="preserve">- </v>
      </c>
      <c r="AB24" s="784"/>
      <c r="AC24" s="785" t="str">
        <f>IF(AND(ISNUMBER(AC23), ISNUMBER(X23)), AC23/X23-1, "- ")</f>
        <v xml:space="preserve">- </v>
      </c>
      <c r="AD24" s="785" t="str">
        <f>IF(AND(ISNUMBER(AD23), ISNUMBER(Y23)), AD23/Y23-1, "- ")</f>
        <v xml:space="preserve">- </v>
      </c>
      <c r="AE24" s="785" t="str">
        <f>IF(AND(ISNUMBER(AE23), ISNUMBER(Z23)), AE23/Z23-1, "- ")</f>
        <v xml:space="preserve">- </v>
      </c>
      <c r="AF24" s="785" t="str">
        <f>IF(AND(ISNUMBER(AF23), ISNUMBER(AA23)), AF23/AA23-1, "- ")</f>
        <v xml:space="preserve">- </v>
      </c>
      <c r="AG24" s="784"/>
      <c r="AH24" s="785" t="str">
        <f>IF(AND(ISNUMBER(AH23), ISNUMBER(AC23)), AH23/AC23-1, "- ")</f>
        <v xml:space="preserve">- </v>
      </c>
      <c r="AI24" s="785" t="str">
        <f>IF(AND(ISNUMBER(AI23), ISNUMBER(AD23)), AI23/AD23-1, "- ")</f>
        <v xml:space="preserve">- </v>
      </c>
      <c r="AJ24" s="785" t="str">
        <f>IF(AND(ISNUMBER(AJ23), ISNUMBER(AE23)), AJ23/AE23-1, "- ")</f>
        <v xml:space="preserve">- </v>
      </c>
      <c r="AK24" s="785" t="str">
        <f>IF(AND(ISNUMBER(AK23), ISNUMBER(AF23)), AK23/AF23-1, "- ")</f>
        <v xml:space="preserve">- </v>
      </c>
      <c r="AL24" s="784"/>
    </row>
    <row r="25" spans="2:38" ht="13.9" customHeight="1">
      <c r="B25" s="112" t="s">
        <v>458</v>
      </c>
      <c r="H25" s="799">
        <v>0.25</v>
      </c>
      <c r="L25" s="798"/>
      <c r="M25" s="799">
        <v>0.33</v>
      </c>
      <c r="N25" s="798"/>
      <c r="O25" s="798">
        <v>0.37</v>
      </c>
      <c r="R25" s="799"/>
      <c r="S25" s="798">
        <v>0.5</v>
      </c>
      <c r="T25" s="806" t="s">
        <v>491</v>
      </c>
      <c r="U25" s="806" t="s">
        <v>491</v>
      </c>
      <c r="V25" s="806" t="s">
        <v>491</v>
      </c>
      <c r="W25" s="799"/>
      <c r="AB25" s="799"/>
      <c r="AG25" s="799"/>
      <c r="AL25" s="799"/>
    </row>
    <row r="26" spans="2:38" ht="7.5" customHeight="1">
      <c r="B26" s="112"/>
      <c r="H26" s="142"/>
      <c r="I26" s="797"/>
      <c r="J26" s="797"/>
      <c r="K26" s="797"/>
      <c r="L26" s="797"/>
      <c r="M26" s="800"/>
      <c r="N26" s="797"/>
      <c r="O26" s="798"/>
      <c r="R26" s="142"/>
      <c r="W26" s="142"/>
      <c r="AB26" s="142"/>
      <c r="AG26" s="142"/>
      <c r="AL26" s="142"/>
    </row>
    <row r="27" spans="2:38" ht="13.9" customHeight="1">
      <c r="B27" s="112" t="s">
        <v>459</v>
      </c>
      <c r="H27" s="95">
        <v>45</v>
      </c>
      <c r="I27" s="96"/>
      <c r="J27" s="96"/>
      <c r="K27" s="96">
        <v>67</v>
      </c>
      <c r="L27" s="96">
        <v>71</v>
      </c>
      <c r="M27" s="95">
        <v>71</v>
      </c>
      <c r="N27" s="96"/>
      <c r="O27" s="96">
        <v>82</v>
      </c>
      <c r="P27" s="96">
        <v>97</v>
      </c>
      <c r="Q27" s="96"/>
      <c r="R27" s="95"/>
      <c r="S27" s="96"/>
      <c r="T27" s="96"/>
      <c r="U27" s="96"/>
      <c r="V27" s="96"/>
      <c r="W27" s="95"/>
      <c r="X27" s="96"/>
      <c r="Y27" s="96"/>
      <c r="Z27" s="96"/>
      <c r="AA27" s="96"/>
      <c r="AB27" s="95"/>
      <c r="AC27" s="96"/>
      <c r="AD27" s="96"/>
      <c r="AE27" s="96"/>
      <c r="AF27" s="96"/>
      <c r="AG27" s="95"/>
      <c r="AH27" s="96"/>
      <c r="AI27" s="96"/>
      <c r="AJ27" s="96"/>
      <c r="AK27" s="96"/>
      <c r="AL27" s="95"/>
    </row>
    <row r="28" spans="2:38" ht="13.9" customHeight="1">
      <c r="B28" s="782"/>
      <c r="C28" s="783" t="s">
        <v>453</v>
      </c>
      <c r="D28" s="783"/>
      <c r="E28" s="783"/>
      <c r="F28" s="783"/>
      <c r="G28" s="783"/>
      <c r="H28" s="784"/>
      <c r="I28" s="785" t="str">
        <f>IF(AND(ISNUMBER(I27), ISNUMBER(D27)), I27/D27-1, "- ")</f>
        <v xml:space="preserve">- </v>
      </c>
      <c r="J28" s="785" t="str">
        <f>IF(AND(ISNUMBER(J27), ISNUMBER(E27)), J27/E27-1, "- ")</f>
        <v xml:space="preserve">- </v>
      </c>
      <c r="K28" s="785" t="str">
        <f>IF(AND(ISNUMBER(K27), ISNUMBER(F27)), K27/F27-1, "- ")</f>
        <v xml:space="preserve">- </v>
      </c>
      <c r="L28" s="785" t="str">
        <f>IF(AND(ISNUMBER(L27), ISNUMBER(G27)), L27/G27-1, "- ")</f>
        <v xml:space="preserve">- </v>
      </c>
      <c r="M28" s="784"/>
      <c r="N28" s="785" t="str">
        <f>IF(AND(ISNUMBER(N27), ISNUMBER(I27)), N27/I27-1, "- ")</f>
        <v xml:space="preserve">- </v>
      </c>
      <c r="O28" s="785" t="str">
        <f>IF(AND(ISNUMBER(O27), ISNUMBER(J27)), O27/J27-1, "- ")</f>
        <v xml:space="preserve">- </v>
      </c>
      <c r="P28" s="785">
        <f>IF(AND(ISNUMBER(P27), ISNUMBER(K27)), P27/K27-1, "- ")</f>
        <v>0.44776119402985071</v>
      </c>
      <c r="Q28" s="785"/>
      <c r="R28" s="784"/>
      <c r="S28" s="785" t="str">
        <f>IF(AND(ISNUMBER(S27), ISNUMBER(N27)), S27/N27-1, "- ")</f>
        <v xml:space="preserve">- </v>
      </c>
      <c r="T28" s="785" t="str">
        <f>IF(AND(ISNUMBER(T27), ISNUMBER(O27)), T27/O27-1, "- ")</f>
        <v xml:space="preserve">- </v>
      </c>
      <c r="U28" s="785" t="str">
        <f>IF(AND(ISNUMBER(U27), ISNUMBER(P27)), U27/P27-1, "- ")</f>
        <v xml:space="preserve">- </v>
      </c>
      <c r="V28" s="785" t="str">
        <f>IF(AND(ISNUMBER(V27), ISNUMBER(Q27)), V27/Q27-1, "- ")</f>
        <v xml:space="preserve">- </v>
      </c>
      <c r="W28" s="784"/>
      <c r="X28" s="785" t="str">
        <f>IF(AND(ISNUMBER(X27), ISNUMBER(S27)), X27/S27-1, "- ")</f>
        <v xml:space="preserve">- </v>
      </c>
      <c r="Y28" s="785" t="str">
        <f>IF(AND(ISNUMBER(Y27), ISNUMBER(T27)), Y27/T27-1, "- ")</f>
        <v xml:space="preserve">- </v>
      </c>
      <c r="Z28" s="785" t="str">
        <f>IF(AND(ISNUMBER(Z27), ISNUMBER(U27)), Z27/U27-1, "- ")</f>
        <v xml:space="preserve">- </v>
      </c>
      <c r="AA28" s="785" t="str">
        <f>IF(AND(ISNUMBER(AA27), ISNUMBER(V27)), AA27/V27-1, "- ")</f>
        <v xml:space="preserve">- </v>
      </c>
      <c r="AB28" s="784"/>
      <c r="AC28" s="785" t="str">
        <f>IF(AND(ISNUMBER(AC27), ISNUMBER(X27)), AC27/X27-1, "- ")</f>
        <v xml:space="preserve">- </v>
      </c>
      <c r="AD28" s="785" t="str">
        <f>IF(AND(ISNUMBER(AD27), ISNUMBER(Y27)), AD27/Y27-1, "- ")</f>
        <v xml:space="preserve">- </v>
      </c>
      <c r="AE28" s="785" t="str">
        <f>IF(AND(ISNUMBER(AE27), ISNUMBER(Z27)), AE27/Z27-1, "- ")</f>
        <v xml:space="preserve">- </v>
      </c>
      <c r="AF28" s="785" t="str">
        <f>IF(AND(ISNUMBER(AF27), ISNUMBER(AA27)), AF27/AA27-1, "- ")</f>
        <v xml:space="preserve">- </v>
      </c>
      <c r="AG28" s="784"/>
      <c r="AH28" s="785" t="str">
        <f>IF(AND(ISNUMBER(AH27), ISNUMBER(AC27)), AH27/AC27-1, "- ")</f>
        <v xml:space="preserve">- </v>
      </c>
      <c r="AI28" s="785" t="str">
        <f>IF(AND(ISNUMBER(AI27), ISNUMBER(AD27)), AI27/AD27-1, "- ")</f>
        <v xml:space="preserve">- </v>
      </c>
      <c r="AJ28" s="785" t="str">
        <f>IF(AND(ISNUMBER(AJ27), ISNUMBER(AE27)), AJ27/AE27-1, "- ")</f>
        <v xml:space="preserve">- </v>
      </c>
      <c r="AK28" s="785" t="str">
        <f>IF(AND(ISNUMBER(AK27), ISNUMBER(AF27)), AK27/AF27-1, "- ")</f>
        <v xml:space="preserve">- </v>
      </c>
      <c r="AL28" s="784"/>
    </row>
    <row r="29" spans="2:38" ht="13.9" customHeight="1">
      <c r="B29" s="112" t="s">
        <v>460</v>
      </c>
      <c r="C29" s="794"/>
      <c r="H29" s="795">
        <v>0.41</v>
      </c>
      <c r="I29" s="802"/>
      <c r="J29" s="802"/>
      <c r="K29" s="802"/>
      <c r="L29" s="802"/>
      <c r="M29" s="796">
        <v>0.5</v>
      </c>
      <c r="N29" s="802"/>
      <c r="O29" s="802">
        <v>0.5</v>
      </c>
      <c r="R29" s="801"/>
      <c r="W29" s="801"/>
      <c r="AB29" s="801"/>
      <c r="AG29" s="801"/>
      <c r="AL29" s="801"/>
    </row>
    <row r="30" spans="2:38" ht="7.5" customHeight="1">
      <c r="B30" s="112"/>
      <c r="C30" s="794"/>
      <c r="E30" s="794"/>
      <c r="F30" s="794"/>
      <c r="G30" s="794"/>
      <c r="H30" s="795"/>
      <c r="I30" s="794"/>
      <c r="J30" s="794"/>
      <c r="K30" s="794"/>
      <c r="L30" s="794"/>
      <c r="M30" s="796"/>
      <c r="N30" s="794"/>
      <c r="O30" s="794"/>
      <c r="R30" s="801"/>
      <c r="W30" s="801"/>
      <c r="AB30" s="801"/>
      <c r="AG30" s="801"/>
      <c r="AL30" s="801"/>
    </row>
    <row r="31" spans="2:38" ht="13.9" customHeight="1">
      <c r="B31" s="112" t="s">
        <v>461</v>
      </c>
      <c r="H31" s="95">
        <f>H5-H27</f>
        <v>-45</v>
      </c>
      <c r="I31" s="96"/>
      <c r="J31" s="96"/>
      <c r="K31" s="96">
        <f>K5-K27</f>
        <v>56</v>
      </c>
      <c r="L31" s="96"/>
      <c r="M31" s="95">
        <f>M5-M27</f>
        <v>-71</v>
      </c>
      <c r="N31" s="96"/>
      <c r="O31" s="96">
        <f>O5-O27</f>
        <v>-82</v>
      </c>
      <c r="P31" s="96">
        <f>P5-P27</f>
        <v>-97</v>
      </c>
      <c r="Q31" s="96"/>
      <c r="R31" s="95"/>
      <c r="S31" s="96"/>
      <c r="T31" s="96"/>
      <c r="U31" s="96"/>
      <c r="V31" s="96"/>
      <c r="W31" s="95"/>
      <c r="X31" s="96"/>
      <c r="Y31" s="96"/>
      <c r="Z31" s="96"/>
      <c r="AA31" s="96"/>
      <c r="AB31" s="95"/>
      <c r="AC31" s="96"/>
      <c r="AD31" s="96"/>
      <c r="AE31" s="96"/>
      <c r="AF31" s="96"/>
      <c r="AG31" s="95"/>
      <c r="AH31" s="96"/>
      <c r="AI31" s="96"/>
      <c r="AJ31" s="96"/>
      <c r="AK31" s="96"/>
      <c r="AL31" s="95"/>
    </row>
    <row r="32" spans="2:38" ht="13.9" customHeight="1">
      <c r="B32" s="782"/>
      <c r="C32" s="783" t="s">
        <v>453</v>
      </c>
      <c r="D32" s="783"/>
      <c r="E32" s="783"/>
      <c r="F32" s="783"/>
      <c r="G32" s="783"/>
      <c r="H32" s="784"/>
      <c r="I32" s="785" t="str">
        <f>IF(AND(ISNUMBER(I31), ISNUMBER(D31)), I31/D31-1, "- ")</f>
        <v xml:space="preserve">- </v>
      </c>
      <c r="J32" s="785" t="str">
        <f>IF(AND(ISNUMBER(J31), ISNUMBER(E31)), J31/E31-1, "- ")</f>
        <v xml:space="preserve">- </v>
      </c>
      <c r="K32" s="785" t="str">
        <f>IF(AND(ISNUMBER(K31), ISNUMBER(F31)), K31/F31-1, "- ")</f>
        <v xml:space="preserve">- </v>
      </c>
      <c r="L32" s="785" t="str">
        <f>IF(AND(ISNUMBER(L31), ISNUMBER(G31)), L31/G31-1, "- ")</f>
        <v xml:space="preserve">- </v>
      </c>
      <c r="M32" s="784"/>
      <c r="N32" s="785" t="str">
        <f>IF(AND(ISNUMBER(N31), ISNUMBER(I31)), N31/I31-1, "- ")</f>
        <v xml:space="preserve">- </v>
      </c>
      <c r="O32" s="785" t="str">
        <f>IF(AND(ISNUMBER(O31), ISNUMBER(J31)), O31/J31-1, "- ")</f>
        <v xml:space="preserve">- </v>
      </c>
      <c r="P32" s="785">
        <f>IF(AND(ISNUMBER(P31), ISNUMBER(K31)), P31/K31-1, "- ")</f>
        <v>-2.7321428571428572</v>
      </c>
      <c r="Q32" s="785"/>
      <c r="R32" s="784"/>
      <c r="S32" s="785" t="str">
        <f>IF(AND(ISNUMBER(S31), ISNUMBER(N31)), S31/N31-1, "- ")</f>
        <v xml:space="preserve">- </v>
      </c>
      <c r="T32" s="785" t="str">
        <f>IF(AND(ISNUMBER(T31), ISNUMBER(O31)), T31/O31-1, "- ")</f>
        <v xml:space="preserve">- </v>
      </c>
      <c r="U32" s="785" t="str">
        <f>IF(AND(ISNUMBER(U31), ISNUMBER(P31)), U31/P31-1, "- ")</f>
        <v xml:space="preserve">- </v>
      </c>
      <c r="V32" s="785" t="str">
        <f>IF(AND(ISNUMBER(V31), ISNUMBER(Q31)), V31/Q31-1, "- ")</f>
        <v xml:space="preserve">- </v>
      </c>
      <c r="W32" s="784"/>
      <c r="X32" s="785" t="str">
        <f>IF(AND(ISNUMBER(X31), ISNUMBER(S31)), X31/S31-1, "- ")</f>
        <v xml:space="preserve">- </v>
      </c>
      <c r="Y32" s="785" t="str">
        <f>IF(AND(ISNUMBER(Y31), ISNUMBER(T31)), Y31/T31-1, "- ")</f>
        <v xml:space="preserve">- </v>
      </c>
      <c r="Z32" s="785" t="str">
        <f>IF(AND(ISNUMBER(Z31), ISNUMBER(U31)), Z31/U31-1, "- ")</f>
        <v xml:space="preserve">- </v>
      </c>
      <c r="AA32" s="785" t="str">
        <f>IF(AND(ISNUMBER(AA31), ISNUMBER(V31)), AA31/V31-1, "- ")</f>
        <v xml:space="preserve">- </v>
      </c>
      <c r="AB32" s="784"/>
      <c r="AC32" s="785" t="str">
        <f>IF(AND(ISNUMBER(AC31), ISNUMBER(X31)), AC31/X31-1, "- ")</f>
        <v xml:space="preserve">- </v>
      </c>
      <c r="AD32" s="785" t="str">
        <f>IF(AND(ISNUMBER(AD31), ISNUMBER(Y31)), AD31/Y31-1, "- ")</f>
        <v xml:space="preserve">- </v>
      </c>
      <c r="AE32" s="785" t="str">
        <f>IF(AND(ISNUMBER(AE31), ISNUMBER(Z31)), AE31/Z31-1, "- ")</f>
        <v xml:space="preserve">- </v>
      </c>
      <c r="AF32" s="785" t="str">
        <f>IF(AND(ISNUMBER(AF31), ISNUMBER(AA31)), AF31/AA31-1, "- ")</f>
        <v xml:space="preserve">- </v>
      </c>
      <c r="AG32" s="784"/>
      <c r="AH32" s="785" t="str">
        <f>IF(AND(ISNUMBER(AH31), ISNUMBER(AC31)), AH31/AC31-1, "- ")</f>
        <v xml:space="preserve">- </v>
      </c>
      <c r="AI32" s="785" t="str">
        <f>IF(AND(ISNUMBER(AI31), ISNUMBER(AD31)), AI31/AD31-1, "- ")</f>
        <v xml:space="preserve">- </v>
      </c>
      <c r="AJ32" s="785" t="str">
        <f>IF(AND(ISNUMBER(AJ31), ISNUMBER(AE31)), AJ31/AE31-1, "- ")</f>
        <v xml:space="preserve">- </v>
      </c>
      <c r="AK32" s="785" t="str">
        <f>IF(AND(ISNUMBER(AK31), ISNUMBER(AF31)), AK31/AF31-1, "- ")</f>
        <v xml:space="preserve">- </v>
      </c>
      <c r="AL32" s="784"/>
    </row>
    <row r="33" spans="2:38" ht="13.9" customHeight="1">
      <c r="B33" s="112" t="s">
        <v>462</v>
      </c>
      <c r="C33" s="794"/>
      <c r="D33" s="803"/>
      <c r="E33" s="803"/>
      <c r="F33" s="803"/>
      <c r="G33" s="803"/>
      <c r="H33" s="799">
        <v>0.59</v>
      </c>
      <c r="I33" s="802"/>
      <c r="J33" s="802"/>
      <c r="K33" s="802"/>
      <c r="L33" s="802"/>
      <c r="M33" s="796">
        <v>0.5</v>
      </c>
      <c r="N33" s="802"/>
      <c r="O33" s="802">
        <v>0.5</v>
      </c>
      <c r="R33" s="801"/>
      <c r="W33" s="801"/>
      <c r="AB33" s="801"/>
      <c r="AG33" s="801"/>
      <c r="AL33" s="801"/>
    </row>
    <row r="34" spans="2:38" ht="7.5" customHeight="1">
      <c r="B34" s="112"/>
      <c r="C34" s="794"/>
      <c r="E34" s="794"/>
      <c r="F34" s="794"/>
      <c r="G34" s="794"/>
      <c r="H34" s="795"/>
      <c r="I34" s="794"/>
      <c r="J34" s="794"/>
      <c r="K34" s="794"/>
      <c r="L34" s="794"/>
      <c r="M34" s="796"/>
      <c r="N34" s="794"/>
      <c r="O34" s="794"/>
      <c r="R34" s="801"/>
      <c r="W34" s="801"/>
      <c r="AB34" s="801"/>
      <c r="AG34" s="801"/>
      <c r="AL34" s="801"/>
    </row>
    <row r="35" spans="2:38" ht="13.9" customHeight="1">
      <c r="B35" s="112" t="s">
        <v>352</v>
      </c>
      <c r="D35" s="791"/>
      <c r="E35" s="791"/>
      <c r="F35" s="791"/>
      <c r="G35" s="791"/>
      <c r="H35" s="792"/>
      <c r="I35" s="791"/>
      <c r="J35" s="791"/>
      <c r="K35" s="791"/>
      <c r="L35" s="791">
        <v>234.2</v>
      </c>
      <c r="M35" s="792"/>
      <c r="N35" s="791">
        <v>249.6</v>
      </c>
      <c r="O35" s="791">
        <v>268.2</v>
      </c>
      <c r="P35" s="791">
        <v>304</v>
      </c>
      <c r="Q35" s="791"/>
      <c r="R35" s="792"/>
      <c r="S35" s="791"/>
      <c r="T35" s="791"/>
      <c r="U35" s="791"/>
      <c r="V35" s="791"/>
      <c r="W35" s="792"/>
      <c r="X35" s="791"/>
      <c r="Y35" s="791"/>
      <c r="Z35" s="791"/>
      <c r="AA35" s="791"/>
      <c r="AB35" s="792"/>
      <c r="AC35" s="791"/>
      <c r="AD35" s="791"/>
      <c r="AE35" s="791"/>
      <c r="AF35" s="791"/>
      <c r="AG35" s="792"/>
      <c r="AH35" s="791"/>
      <c r="AI35" s="791"/>
      <c r="AJ35" s="791"/>
      <c r="AK35" s="791"/>
      <c r="AL35" s="792"/>
    </row>
    <row r="36" spans="2:38" s="793" customFormat="1" ht="13.9" customHeight="1">
      <c r="B36" s="782"/>
      <c r="C36" s="783" t="s">
        <v>453</v>
      </c>
      <c r="D36" s="783"/>
      <c r="E36" s="783"/>
      <c r="F36" s="783"/>
      <c r="G36" s="783"/>
      <c r="H36" s="784"/>
      <c r="I36" s="785" t="str">
        <f>IF(AND(ISNUMBER(I35), ISNUMBER(D35)), I35/D35-1, "- ")</f>
        <v xml:space="preserve">- </v>
      </c>
      <c r="J36" s="785" t="str">
        <f>IF(AND(ISNUMBER(J35), ISNUMBER(E35)), J35/E35-1, "- ")</f>
        <v xml:space="preserve">- </v>
      </c>
      <c r="K36" s="785" t="str">
        <f>IF(AND(ISNUMBER(K35), ISNUMBER(F35)), K35/F35-1, "- ")</f>
        <v xml:space="preserve">- </v>
      </c>
      <c r="L36" s="785" t="str">
        <f>IF(AND(ISNUMBER(L35), ISNUMBER(G35)), L35/G35-1, "- ")</f>
        <v xml:space="preserve">- </v>
      </c>
      <c r="M36" s="784"/>
      <c r="N36" s="785" t="str">
        <f>IF(AND(ISNUMBER(N35), ISNUMBER(I35)), N35/I35-1, "- ")</f>
        <v xml:space="preserve">- </v>
      </c>
      <c r="O36" s="785" t="str">
        <f>IF(AND(ISNUMBER(O35), ISNUMBER(J35)), O35/J35-1, "- ")</f>
        <v xml:space="preserve">- </v>
      </c>
      <c r="P36" s="785" t="str">
        <f>IF(AND(ISNUMBER(P35), ISNUMBER(K35)), P35/K35-1, "- ")</f>
        <v xml:space="preserve">- </v>
      </c>
      <c r="Q36" s="785"/>
      <c r="R36" s="784"/>
      <c r="S36" s="785" t="str">
        <f>IF(AND(ISNUMBER(S35), ISNUMBER(N35)), S35/N35-1, "- ")</f>
        <v xml:space="preserve">- </v>
      </c>
      <c r="T36" s="785" t="str">
        <f>IF(AND(ISNUMBER(T35), ISNUMBER(O35)), T35/O35-1, "- ")</f>
        <v xml:space="preserve">- </v>
      </c>
      <c r="U36" s="785" t="str">
        <f>IF(AND(ISNUMBER(U35), ISNUMBER(P35)), U35/P35-1, "- ")</f>
        <v xml:space="preserve">- </v>
      </c>
      <c r="V36" s="785" t="str">
        <f>IF(AND(ISNUMBER(V35), ISNUMBER(Q35)), V35/Q35-1, "- ")</f>
        <v xml:space="preserve">- </v>
      </c>
      <c r="W36" s="784"/>
      <c r="X36" s="785" t="str">
        <f>IF(AND(ISNUMBER(X35), ISNUMBER(S35)), X35/S35-1, "- ")</f>
        <v xml:space="preserve">- </v>
      </c>
      <c r="Y36" s="785" t="str">
        <f>IF(AND(ISNUMBER(Y35), ISNUMBER(T35)), Y35/T35-1, "- ")</f>
        <v xml:space="preserve">- </v>
      </c>
      <c r="Z36" s="785" t="str">
        <f>IF(AND(ISNUMBER(Z35), ISNUMBER(U35)), Z35/U35-1, "- ")</f>
        <v xml:space="preserve">- </v>
      </c>
      <c r="AA36" s="785" t="str">
        <f>IF(AND(ISNUMBER(AA35), ISNUMBER(V35)), AA35/V35-1, "- ")</f>
        <v xml:space="preserve">- </v>
      </c>
      <c r="AB36" s="784"/>
      <c r="AC36" s="785" t="str">
        <f>IF(AND(ISNUMBER(AC35), ISNUMBER(X35)), AC35/X35-1, "- ")</f>
        <v xml:space="preserve">- </v>
      </c>
      <c r="AD36" s="785" t="str">
        <f>IF(AND(ISNUMBER(AD35), ISNUMBER(Y35)), AD35/Y35-1, "- ")</f>
        <v xml:space="preserve">- </v>
      </c>
      <c r="AE36" s="785" t="str">
        <f>IF(AND(ISNUMBER(AE35), ISNUMBER(Z35)), AE35/Z35-1, "- ")</f>
        <v xml:space="preserve">- </v>
      </c>
      <c r="AF36" s="785" t="str">
        <f>IF(AND(ISNUMBER(AF35), ISNUMBER(AA35)), AF35/AA35-1, "- ")</f>
        <v xml:space="preserve">- </v>
      </c>
      <c r="AG36" s="784"/>
      <c r="AH36" s="785" t="str">
        <f>IF(AND(ISNUMBER(AH35), ISNUMBER(AC35)), AH35/AC35-1, "- ")</f>
        <v xml:space="preserve">- </v>
      </c>
      <c r="AI36" s="785" t="str">
        <f>IF(AND(ISNUMBER(AI35), ISNUMBER(AD35)), AI35/AD35-1, "- ")</f>
        <v xml:space="preserve">- </v>
      </c>
      <c r="AJ36" s="785" t="str">
        <f>IF(AND(ISNUMBER(AJ35), ISNUMBER(AE35)), AJ35/AE35-1, "- ")</f>
        <v xml:space="preserve">- </v>
      </c>
      <c r="AK36" s="785" t="str">
        <f>IF(AND(ISNUMBER(AK35), ISNUMBER(AF35)), AK35/AF35-1, "- ")</f>
        <v xml:space="preserve">- </v>
      </c>
      <c r="AL36" s="784"/>
    </row>
    <row r="37" spans="2:38" s="793" customFormat="1" ht="13.9" customHeight="1">
      <c r="B37" s="786"/>
      <c r="C37" s="787" t="s">
        <v>454</v>
      </c>
      <c r="D37" s="788"/>
      <c r="E37" s="785" t="str">
        <f>IF(AND(ISNUMBER(E35), ISNUMBER(D35)), E35/D35-1, "- ")</f>
        <v xml:space="preserve">- </v>
      </c>
      <c r="F37" s="785" t="str">
        <f>IF(AND(ISNUMBER(F35), ISNUMBER(E35)), F35/E35-1, "- ")</f>
        <v xml:space="preserve">- </v>
      </c>
      <c r="G37" s="785" t="str">
        <f>IF(AND(ISNUMBER(G35), ISNUMBER(F35)), G35/F35-1, "- ")</f>
        <v xml:space="preserve">- </v>
      </c>
      <c r="H37" s="784"/>
      <c r="I37" s="785" t="str">
        <f>IF(AND(ISNUMBER(I35), ISNUMBER(G35)), I35/G35-1, "- ")</f>
        <v xml:space="preserve">- </v>
      </c>
      <c r="J37" s="785" t="str">
        <f>IF(AND(ISNUMBER(J35), ISNUMBER(I35)), J35/I35-1, "- ")</f>
        <v xml:space="preserve">- </v>
      </c>
      <c r="K37" s="785" t="str">
        <f>IF(AND(ISNUMBER(K35), ISNUMBER(J35)), K35/J35-1, "- ")</f>
        <v xml:space="preserve">- </v>
      </c>
      <c r="L37" s="785" t="str">
        <f>IF(AND(ISNUMBER(L35), ISNUMBER(K35)), L35/K35-1, "- ")</f>
        <v xml:space="preserve">- </v>
      </c>
      <c r="M37" s="789"/>
      <c r="N37" s="785">
        <f>IF(AND(ISNUMBER(N35), ISNUMBER(L35)), N35/L35-1, "- ")</f>
        <v>6.5755764304013642E-2</v>
      </c>
      <c r="O37" s="785">
        <f>IF(AND(ISNUMBER(O35), ISNUMBER(N35)), O35/N35-1, "- ")</f>
        <v>7.4519230769230838E-2</v>
      </c>
      <c r="P37" s="785">
        <f>IF(AND(ISNUMBER(P35), ISNUMBER(O35)), P35/O35-1, "- ")</f>
        <v>0.1334824757643549</v>
      </c>
      <c r="Q37" s="785"/>
      <c r="R37" s="789"/>
      <c r="S37" s="785" t="str">
        <f>IF(AND(ISNUMBER(S35), ISNUMBER(Q35)), S35/Q35-1, "- ")</f>
        <v xml:space="preserve">- </v>
      </c>
      <c r="T37" s="785" t="str">
        <f>IF(AND(ISNUMBER(T35), ISNUMBER(S35)), T35/S35-1, "- ")</f>
        <v xml:space="preserve">- </v>
      </c>
      <c r="U37" s="785" t="str">
        <f>IF(AND(ISNUMBER(U35), ISNUMBER(T35)), U35/T35-1, "- ")</f>
        <v xml:space="preserve">- </v>
      </c>
      <c r="V37" s="785" t="str">
        <f>IF(AND(ISNUMBER(V35), ISNUMBER(U35)), V35/U35-1, "- ")</f>
        <v xml:space="preserve">- </v>
      </c>
      <c r="W37" s="789"/>
      <c r="X37" s="785" t="str">
        <f>IF(AND(ISNUMBER(X35), ISNUMBER(V35)), X35/V35-1, "- ")</f>
        <v xml:space="preserve">- </v>
      </c>
      <c r="Y37" s="785" t="str">
        <f>IF(AND(ISNUMBER(Y35), ISNUMBER(X35)), Y35/X35-1, "- ")</f>
        <v xml:space="preserve">- </v>
      </c>
      <c r="Z37" s="785" t="str">
        <f>IF(AND(ISNUMBER(Z35), ISNUMBER(Y35)), Z35/Y35-1, "- ")</f>
        <v xml:space="preserve">- </v>
      </c>
      <c r="AA37" s="785" t="str">
        <f>IF(AND(ISNUMBER(AA35), ISNUMBER(Z35)), AA35/Z35-1, "- ")</f>
        <v xml:space="preserve">- </v>
      </c>
      <c r="AB37" s="789"/>
      <c r="AC37" s="785" t="str">
        <f>IF(AND(ISNUMBER(AC35), ISNUMBER(AA35)), AC35/AA35-1, "- ")</f>
        <v xml:space="preserve">- </v>
      </c>
      <c r="AD37" s="785" t="str">
        <f>IF(AND(ISNUMBER(AD35), ISNUMBER(AC35)), AD35/AC35-1, "- ")</f>
        <v xml:space="preserve">- </v>
      </c>
      <c r="AE37" s="785" t="str">
        <f>IF(AND(ISNUMBER(AE35), ISNUMBER(AD35)), AE35/AD35-1, "- ")</f>
        <v xml:space="preserve">- </v>
      </c>
      <c r="AF37" s="785" t="str">
        <f>IF(AND(ISNUMBER(AF35), ISNUMBER(AE35)), AF35/AE35-1, "- ")</f>
        <v xml:space="preserve">- </v>
      </c>
      <c r="AG37" s="789"/>
      <c r="AH37" s="785" t="str">
        <f>IF(AND(ISNUMBER(AH35), ISNUMBER(AF35)), AH35/AF35-1, "- ")</f>
        <v xml:space="preserve">- </v>
      </c>
      <c r="AI37" s="785" t="str">
        <f>IF(AND(ISNUMBER(AI35), ISNUMBER(AH35)), AI35/AH35-1, "- ")</f>
        <v xml:space="preserve">- </v>
      </c>
      <c r="AJ37" s="785" t="str">
        <f>IF(AND(ISNUMBER(AJ35), ISNUMBER(AI35)), AJ35/AI35-1, "- ")</f>
        <v xml:space="preserve">- </v>
      </c>
      <c r="AK37" s="785" t="str">
        <f>IF(AND(ISNUMBER(AK35), ISNUMBER(AJ35)), AK35/AJ35-1, "- ")</f>
        <v xml:space="preserve">- </v>
      </c>
      <c r="AL37" s="789"/>
    </row>
    <row r="38" spans="2:38" ht="20.100000000000001" customHeight="1">
      <c r="B38" s="112" t="s">
        <v>463</v>
      </c>
      <c r="D38" s="791"/>
      <c r="E38" s="791"/>
      <c r="F38" s="791"/>
      <c r="G38" s="791"/>
      <c r="H38" s="792"/>
      <c r="I38" s="791"/>
      <c r="J38" s="791"/>
      <c r="K38" s="791"/>
      <c r="L38" s="791">
        <v>150</v>
      </c>
      <c r="M38" s="792"/>
      <c r="N38" s="791">
        <v>163.69999999999999</v>
      </c>
      <c r="O38" s="791">
        <v>180.5</v>
      </c>
      <c r="P38" s="791">
        <v>199.1</v>
      </c>
      <c r="Q38" s="791"/>
      <c r="R38" s="792"/>
      <c r="S38" s="791"/>
      <c r="T38" s="791"/>
      <c r="U38" s="791"/>
      <c r="V38" s="791"/>
      <c r="W38" s="792"/>
      <c r="X38" s="791"/>
      <c r="Y38" s="791"/>
      <c r="Z38" s="791"/>
      <c r="AA38" s="791"/>
      <c r="AB38" s="792"/>
      <c r="AC38" s="791"/>
      <c r="AD38" s="791"/>
      <c r="AE38" s="791"/>
      <c r="AF38" s="791"/>
      <c r="AG38" s="792"/>
      <c r="AH38" s="791"/>
      <c r="AI38" s="791"/>
      <c r="AJ38" s="791"/>
      <c r="AK38" s="791"/>
      <c r="AL38" s="792"/>
    </row>
    <row r="39" spans="2:38" s="793" customFormat="1" ht="13.9" customHeight="1">
      <c r="B39" s="782"/>
      <c r="C39" s="783" t="s">
        <v>453</v>
      </c>
      <c r="D39" s="783"/>
      <c r="E39" s="783"/>
      <c r="F39" s="783"/>
      <c r="G39" s="783"/>
      <c r="H39" s="784"/>
      <c r="I39" s="785" t="str">
        <f>IF(AND(ISNUMBER(I38), ISNUMBER(D38)), I38/D38-1, "- ")</f>
        <v xml:space="preserve">- </v>
      </c>
      <c r="J39" s="785" t="str">
        <f>IF(AND(ISNUMBER(J38), ISNUMBER(E38)), J38/E38-1, "- ")</f>
        <v xml:space="preserve">- </v>
      </c>
      <c r="K39" s="785" t="str">
        <f>IF(AND(ISNUMBER(K38), ISNUMBER(F38)), K38/F38-1, "- ")</f>
        <v xml:space="preserve">- </v>
      </c>
      <c r="L39" s="785" t="str">
        <f>IF(AND(ISNUMBER(L38), ISNUMBER(G38)), L38/G38-1, "- ")</f>
        <v xml:space="preserve">- </v>
      </c>
      <c r="M39" s="784"/>
      <c r="N39" s="785" t="str">
        <f>IF(AND(ISNUMBER(N38), ISNUMBER(I38)), N38/I38-1, "- ")</f>
        <v xml:space="preserve">- </v>
      </c>
      <c r="O39" s="785" t="str">
        <f>IF(AND(ISNUMBER(O38), ISNUMBER(J38)), O38/J38-1, "- ")</f>
        <v xml:space="preserve">- </v>
      </c>
      <c r="P39" s="785" t="str">
        <f>IF(AND(ISNUMBER(P38), ISNUMBER(K38)), P38/K38-1, "- ")</f>
        <v xml:space="preserve">- </v>
      </c>
      <c r="Q39" s="785"/>
      <c r="R39" s="784"/>
      <c r="S39" s="785" t="str">
        <f>IF(AND(ISNUMBER(S38), ISNUMBER(N38)), S38/N38-1, "- ")</f>
        <v xml:space="preserve">- </v>
      </c>
      <c r="T39" s="785" t="str">
        <f>IF(AND(ISNUMBER(T38), ISNUMBER(O38)), T38/O38-1, "- ")</f>
        <v xml:space="preserve">- </v>
      </c>
      <c r="U39" s="785" t="str">
        <f>IF(AND(ISNUMBER(U38), ISNUMBER(P38)), U38/P38-1, "- ")</f>
        <v xml:space="preserve">- </v>
      </c>
      <c r="V39" s="785" t="str">
        <f>IF(AND(ISNUMBER(V38), ISNUMBER(Q38)), V38/Q38-1, "- ")</f>
        <v xml:space="preserve">- </v>
      </c>
      <c r="W39" s="784"/>
      <c r="X39" s="785" t="str">
        <f>IF(AND(ISNUMBER(X38), ISNUMBER(S38)), X38/S38-1, "- ")</f>
        <v xml:space="preserve">- </v>
      </c>
      <c r="Y39" s="785" t="str">
        <f>IF(AND(ISNUMBER(Y38), ISNUMBER(T38)), Y38/T38-1, "- ")</f>
        <v xml:space="preserve">- </v>
      </c>
      <c r="Z39" s="785" t="str">
        <f>IF(AND(ISNUMBER(Z38), ISNUMBER(U38)), Z38/U38-1, "- ")</f>
        <v xml:space="preserve">- </v>
      </c>
      <c r="AA39" s="785" t="str">
        <f>IF(AND(ISNUMBER(AA38), ISNUMBER(V38)), AA38/V38-1, "- ")</f>
        <v xml:space="preserve">- </v>
      </c>
      <c r="AB39" s="784"/>
      <c r="AC39" s="785" t="str">
        <f>IF(AND(ISNUMBER(AC38), ISNUMBER(X38)), AC38/X38-1, "- ")</f>
        <v xml:space="preserve">- </v>
      </c>
      <c r="AD39" s="785" t="str">
        <f>IF(AND(ISNUMBER(AD38), ISNUMBER(Y38)), AD38/Y38-1, "- ")</f>
        <v xml:space="preserve">- </v>
      </c>
      <c r="AE39" s="785" t="str">
        <f>IF(AND(ISNUMBER(AE38), ISNUMBER(Z38)), AE38/Z38-1, "- ")</f>
        <v xml:space="preserve">- </v>
      </c>
      <c r="AF39" s="785" t="str">
        <f>IF(AND(ISNUMBER(AF38), ISNUMBER(AA38)), AF38/AA38-1, "- ")</f>
        <v xml:space="preserve">- </v>
      </c>
      <c r="AG39" s="784"/>
      <c r="AH39" s="785" t="str">
        <f>IF(AND(ISNUMBER(AH38), ISNUMBER(AC38)), AH38/AC38-1, "- ")</f>
        <v xml:space="preserve">- </v>
      </c>
      <c r="AI39" s="785" t="str">
        <f>IF(AND(ISNUMBER(AI38), ISNUMBER(AD38)), AI38/AD38-1, "- ")</f>
        <v xml:space="preserve">- </v>
      </c>
      <c r="AJ39" s="785" t="str">
        <f>IF(AND(ISNUMBER(AJ38), ISNUMBER(AE38)), AJ38/AE38-1, "- ")</f>
        <v xml:space="preserve">- </v>
      </c>
      <c r="AK39" s="785" t="str">
        <f>IF(AND(ISNUMBER(AK38), ISNUMBER(AF38)), AK38/AF38-1, "- ")</f>
        <v xml:space="preserve">- </v>
      </c>
      <c r="AL39" s="784"/>
    </row>
    <row r="40" spans="2:38" s="793" customFormat="1" ht="13.9" customHeight="1">
      <c r="B40" s="786"/>
      <c r="C40" s="787" t="s">
        <v>454</v>
      </c>
      <c r="D40" s="788"/>
      <c r="E40" s="785" t="str">
        <f>IF(AND(ISNUMBER(E38), ISNUMBER(D38)), E38/D38-1, "- ")</f>
        <v xml:space="preserve">- </v>
      </c>
      <c r="F40" s="785" t="str">
        <f>IF(AND(ISNUMBER(F38), ISNUMBER(E38)), F38/E38-1, "- ")</f>
        <v xml:space="preserve">- </v>
      </c>
      <c r="G40" s="785" t="str">
        <f>IF(AND(ISNUMBER(G38), ISNUMBER(F38)), G38/F38-1, "- ")</f>
        <v xml:space="preserve">- </v>
      </c>
      <c r="H40" s="784"/>
      <c r="I40" s="785" t="str">
        <f>IF(AND(ISNUMBER(I38), ISNUMBER(G38)), I38/G38-1, "- ")</f>
        <v xml:space="preserve">- </v>
      </c>
      <c r="J40" s="785" t="str">
        <f>IF(AND(ISNUMBER(J38), ISNUMBER(I38)), J38/I38-1, "- ")</f>
        <v xml:space="preserve">- </v>
      </c>
      <c r="K40" s="785" t="str">
        <f>IF(AND(ISNUMBER(K38), ISNUMBER(J38)), K38/J38-1, "- ")</f>
        <v xml:space="preserve">- </v>
      </c>
      <c r="L40" s="785" t="str">
        <f>IF(AND(ISNUMBER(L38), ISNUMBER(K38)), L38/K38-1, "- ")</f>
        <v xml:space="preserve">- </v>
      </c>
      <c r="M40" s="789"/>
      <c r="N40" s="785">
        <f>IF(AND(ISNUMBER(N38), ISNUMBER(L38)), N38/L38-1, "- ")</f>
        <v>9.1333333333333266E-2</v>
      </c>
      <c r="O40" s="785">
        <f>IF(AND(ISNUMBER(O38), ISNUMBER(N38)), O38/N38-1, "- ")</f>
        <v>0.10262675626145401</v>
      </c>
      <c r="P40" s="785">
        <f>IF(AND(ISNUMBER(P38), ISNUMBER(O38)), P38/O38-1, "- ")</f>
        <v>0.10304709141274238</v>
      </c>
      <c r="Q40" s="785"/>
      <c r="R40" s="789"/>
      <c r="S40" s="785" t="str">
        <f>IF(AND(ISNUMBER(S38), ISNUMBER(Q38)), S38/Q38-1, "- ")</f>
        <v xml:space="preserve">- </v>
      </c>
      <c r="T40" s="785" t="str">
        <f>IF(AND(ISNUMBER(T38), ISNUMBER(S38)), T38/S38-1, "- ")</f>
        <v xml:space="preserve">- </v>
      </c>
      <c r="U40" s="785" t="str">
        <f>IF(AND(ISNUMBER(U38), ISNUMBER(T38)), U38/T38-1, "- ")</f>
        <v xml:space="preserve">- </v>
      </c>
      <c r="V40" s="785" t="str">
        <f>IF(AND(ISNUMBER(V38), ISNUMBER(U38)), V38/U38-1, "- ")</f>
        <v xml:space="preserve">- </v>
      </c>
      <c r="W40" s="789"/>
      <c r="X40" s="785" t="str">
        <f>IF(AND(ISNUMBER(X38), ISNUMBER(V38)), X38/V38-1, "- ")</f>
        <v xml:space="preserve">- </v>
      </c>
      <c r="Y40" s="785" t="str">
        <f>IF(AND(ISNUMBER(Y38), ISNUMBER(X38)), Y38/X38-1, "- ")</f>
        <v xml:space="preserve">- </v>
      </c>
      <c r="Z40" s="785" t="str">
        <f>IF(AND(ISNUMBER(Z38), ISNUMBER(Y38)), Z38/Y38-1, "- ")</f>
        <v xml:space="preserve">- </v>
      </c>
      <c r="AA40" s="785" t="str">
        <f>IF(AND(ISNUMBER(AA38), ISNUMBER(Z38)), AA38/Z38-1, "- ")</f>
        <v xml:space="preserve">- </v>
      </c>
      <c r="AB40" s="789"/>
      <c r="AC40" s="785" t="str">
        <f>IF(AND(ISNUMBER(AC38), ISNUMBER(AA38)), AC38/AA38-1, "- ")</f>
        <v xml:space="preserve">- </v>
      </c>
      <c r="AD40" s="785" t="str">
        <f>IF(AND(ISNUMBER(AD38), ISNUMBER(AC38)), AD38/AC38-1, "- ")</f>
        <v xml:space="preserve">- </v>
      </c>
      <c r="AE40" s="785" t="str">
        <f>IF(AND(ISNUMBER(AE38), ISNUMBER(AD38)), AE38/AD38-1, "- ")</f>
        <v xml:space="preserve">- </v>
      </c>
      <c r="AF40" s="785" t="str">
        <f>IF(AND(ISNUMBER(AF38), ISNUMBER(AE38)), AF38/AE38-1, "- ")</f>
        <v xml:space="preserve">- </v>
      </c>
      <c r="AG40" s="789"/>
      <c r="AH40" s="785" t="str">
        <f>IF(AND(ISNUMBER(AH38), ISNUMBER(AF38)), AH38/AF38-1, "- ")</f>
        <v xml:space="preserve">- </v>
      </c>
      <c r="AI40" s="785" t="str">
        <f>IF(AND(ISNUMBER(AI38), ISNUMBER(AH38)), AI38/AH38-1, "- ")</f>
        <v xml:space="preserve">- </v>
      </c>
      <c r="AJ40" s="785" t="str">
        <f>IF(AND(ISNUMBER(AJ38), ISNUMBER(AI38)), AJ38/AI38-1, "- ")</f>
        <v xml:space="preserve">- </v>
      </c>
      <c r="AK40" s="785" t="str">
        <f>IF(AND(ISNUMBER(AK38), ISNUMBER(AJ38)), AK38/AJ38-1, "- ")</f>
        <v xml:space="preserve">- </v>
      </c>
      <c r="AL40" s="789"/>
    </row>
    <row r="41" spans="2:38" ht="13.9" customHeight="1">
      <c r="B41" s="112"/>
      <c r="H41" s="158"/>
      <c r="M41" s="804"/>
      <c r="R41" s="158"/>
      <c r="W41" s="158"/>
      <c r="AB41" s="158"/>
      <c r="AG41" s="158"/>
      <c r="AL41" s="158"/>
    </row>
    <row r="42" spans="2:38" ht="13.9" customHeight="1">
      <c r="B42" s="112" t="s">
        <v>529</v>
      </c>
      <c r="H42" s="158"/>
      <c r="M42" s="804"/>
      <c r="R42" s="158"/>
      <c r="W42" s="158"/>
      <c r="AB42" s="158"/>
      <c r="AG42" s="158"/>
      <c r="AL42" s="158"/>
    </row>
    <row r="43" spans="2:38" ht="13.9" customHeight="1" thickBot="1">
      <c r="B43" s="108"/>
      <c r="C43" s="805"/>
      <c r="D43" s="805"/>
      <c r="E43" s="805"/>
      <c r="F43" s="805"/>
      <c r="G43" s="805"/>
      <c r="H43" s="171"/>
      <c r="I43" s="805"/>
      <c r="J43" s="805"/>
      <c r="K43" s="805"/>
      <c r="L43" s="805"/>
      <c r="M43" s="171"/>
      <c r="N43" s="805"/>
      <c r="O43" s="805"/>
      <c r="P43" s="805"/>
      <c r="Q43" s="805"/>
      <c r="R43" s="171"/>
      <c r="S43" s="805"/>
      <c r="T43" s="805"/>
      <c r="U43" s="805"/>
      <c r="V43" s="805"/>
      <c r="W43" s="171"/>
      <c r="X43" s="805"/>
      <c r="Y43" s="805"/>
      <c r="Z43" s="805"/>
      <c r="AA43" s="805"/>
      <c r="AB43" s="171"/>
      <c r="AC43" s="805"/>
      <c r="AD43" s="805"/>
      <c r="AE43" s="805"/>
      <c r="AF43" s="805"/>
      <c r="AG43" s="171"/>
      <c r="AH43" s="805"/>
      <c r="AI43" s="805"/>
      <c r="AJ43" s="805"/>
      <c r="AK43" s="805"/>
      <c r="AL43" s="171"/>
    </row>
    <row r="45" spans="2:38">
      <c r="G45" s="806"/>
      <c r="L45" s="806"/>
    </row>
    <row r="46" spans="2:38">
      <c r="I46" s="807"/>
      <c r="J46" s="808"/>
      <c r="K46" s="808"/>
      <c r="L46" s="808"/>
    </row>
    <row r="47" spans="2:38" ht="13.15">
      <c r="B47" s="809"/>
      <c r="C47" s="809"/>
      <c r="D47" s="809"/>
      <c r="E47" s="809"/>
      <c r="F47" s="809"/>
      <c r="G47" s="809"/>
      <c r="H47" s="809"/>
      <c r="I47" s="809"/>
      <c r="J47" s="809"/>
      <c r="K47" s="809"/>
      <c r="L47" s="809"/>
      <c r="N47" s="105">
        <v>118</v>
      </c>
    </row>
    <row r="48" spans="2:38">
      <c r="N48" s="105" t="s">
        <v>474</v>
      </c>
    </row>
    <row r="49" spans="4:15" ht="13.15">
      <c r="D49" s="810"/>
      <c r="E49" s="810"/>
      <c r="F49" s="810"/>
      <c r="G49" s="810"/>
      <c r="H49" s="810"/>
      <c r="I49" s="810"/>
      <c r="J49" s="810"/>
      <c r="K49" s="810"/>
      <c r="L49" s="811"/>
    </row>
    <row r="50" spans="4:15">
      <c r="D50" s="794"/>
      <c r="E50" s="794"/>
      <c r="F50" s="794"/>
      <c r="G50" s="794"/>
      <c r="H50" s="794"/>
      <c r="I50" s="794"/>
      <c r="J50" s="794"/>
      <c r="K50" s="794"/>
      <c r="L50" s="802"/>
    </row>
    <row r="55" spans="4:15">
      <c r="F55" s="388"/>
      <c r="G55" s="388"/>
      <c r="H55" s="388"/>
      <c r="I55" s="388"/>
      <c r="J55" s="388"/>
      <c r="K55" s="388"/>
      <c r="L55" s="388"/>
      <c r="M55" s="388"/>
      <c r="N55" s="388"/>
    </row>
    <row r="57" spans="4:15">
      <c r="O57" s="388"/>
    </row>
    <row r="58" spans="4:15">
      <c r="O58" s="388"/>
    </row>
    <row r="59" spans="4:15">
      <c r="O59" s="388"/>
    </row>
    <row r="64" spans="4:15">
      <c r="J64" s="124"/>
      <c r="K64" s="124"/>
      <c r="L64" s="124"/>
      <c r="M64" s="124"/>
      <c r="N64" s="124"/>
      <c r="O64" s="124"/>
    </row>
    <row r="65" spans="5:15">
      <c r="J65" s="812"/>
      <c r="K65" s="812"/>
      <c r="L65" s="812"/>
      <c r="M65" s="812"/>
      <c r="N65" s="812"/>
      <c r="O65" s="812"/>
    </row>
    <row r="71" spans="5:15">
      <c r="F71" s="812"/>
      <c r="G71" s="812"/>
      <c r="H71" s="812"/>
    </row>
    <row r="72" spans="5:15">
      <c r="F72" s="812"/>
      <c r="G72" s="812"/>
      <c r="H72" s="812"/>
      <c r="I72" s="812"/>
      <c r="J72" s="812"/>
    </row>
    <row r="73" spans="5:15">
      <c r="F73" s="812"/>
      <c r="G73" s="812"/>
      <c r="H73" s="812"/>
      <c r="I73" s="812"/>
      <c r="J73" s="812"/>
    </row>
    <row r="74" spans="5:15">
      <c r="F74" s="812"/>
      <c r="G74" s="812"/>
      <c r="H74" s="812"/>
      <c r="I74" s="812"/>
      <c r="J74" s="812"/>
    </row>
    <row r="75" spans="5:15">
      <c r="F75" s="812"/>
      <c r="G75" s="812"/>
      <c r="H75" s="812"/>
      <c r="I75" s="812"/>
      <c r="J75" s="812"/>
    </row>
    <row r="76" spans="5:15">
      <c r="E76" s="813"/>
      <c r="F76" s="813"/>
      <c r="G76" s="813"/>
      <c r="H76" s="813"/>
      <c r="I76" s="813"/>
      <c r="J76" s="813"/>
      <c r="K76" s="813"/>
      <c r="L76" s="813"/>
      <c r="M76" s="813"/>
    </row>
    <row r="79" spans="5:15">
      <c r="E79" s="814"/>
      <c r="F79" s="812"/>
      <c r="G79" s="812"/>
      <c r="H79" s="812"/>
      <c r="I79" s="812"/>
      <c r="J79" s="812"/>
    </row>
    <row r="80" spans="5:15">
      <c r="E80" s="814"/>
      <c r="F80" s="812"/>
      <c r="G80" s="812"/>
      <c r="H80" s="812"/>
      <c r="I80" s="812"/>
      <c r="J80" s="812"/>
    </row>
    <row r="81" spans="5:11">
      <c r="E81" s="814"/>
      <c r="F81" s="812"/>
      <c r="G81" s="812"/>
      <c r="H81" s="812"/>
      <c r="I81" s="812"/>
      <c r="J81" s="812"/>
    </row>
    <row r="82" spans="5:11">
      <c r="E82" s="814"/>
      <c r="F82" s="812"/>
      <c r="G82" s="812"/>
      <c r="H82" s="812"/>
      <c r="I82" s="812"/>
      <c r="J82" s="812"/>
    </row>
    <row r="83" spans="5:11">
      <c r="E83" s="814"/>
      <c r="F83" s="812"/>
      <c r="G83" s="812"/>
      <c r="H83" s="812"/>
      <c r="I83" s="812"/>
      <c r="J83" s="812"/>
    </row>
    <row r="85" spans="5:11">
      <c r="K85" s="193"/>
    </row>
    <row r="86" spans="5:11">
      <c r="F86" s="814"/>
      <c r="G86" s="814"/>
      <c r="H86" s="814"/>
      <c r="I86" s="814"/>
      <c r="J86" s="814"/>
      <c r="K86" s="814"/>
    </row>
    <row r="87" spans="5:11">
      <c r="F87" s="814"/>
      <c r="G87" s="814"/>
      <c r="H87" s="814"/>
      <c r="I87" s="814"/>
      <c r="J87" s="814"/>
      <c r="K87" s="814"/>
    </row>
    <row r="88" spans="5:11">
      <c r="G88" s="812"/>
      <c r="H88" s="812"/>
      <c r="I88" s="812"/>
      <c r="J88" s="193"/>
      <c r="K88" s="193"/>
    </row>
    <row r="90" spans="5:11">
      <c r="F90" s="814"/>
      <c r="G90" s="814"/>
      <c r="H90" s="814"/>
      <c r="I90" s="814"/>
      <c r="J90" s="814"/>
      <c r="K90" s="814"/>
    </row>
    <row r="91" spans="5:11">
      <c r="F91" s="814"/>
      <c r="G91" s="814"/>
      <c r="H91" s="814"/>
      <c r="I91" s="814"/>
      <c r="J91" s="814"/>
      <c r="K91" s="814"/>
    </row>
    <row r="92" spans="5:11">
      <c r="G92" s="812"/>
      <c r="H92" s="812"/>
      <c r="I92" s="812"/>
      <c r="J92" s="812"/>
      <c r="K92" s="812"/>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0717-5F4F-4CA8-8CD6-87A2910942F6}">
  <dimension ref="A1:AI43"/>
  <sheetViews>
    <sheetView zoomScale="115" zoomScaleNormal="115" workbookViewId="0">
      <selection activeCell="J16" sqref="J16"/>
    </sheetView>
  </sheetViews>
  <sheetFormatPr defaultColWidth="8.625" defaultRowHeight="14.25" outlineLevelCol="1"/>
  <cols>
    <col min="1" max="1" width="1.625" style="411" customWidth="1"/>
    <col min="2" max="2" width="18.125" style="411" customWidth="1" outlineLevel="1"/>
    <col min="3" max="3" width="8.625" style="411" customWidth="1" outlineLevel="1"/>
    <col min="4" max="4" width="8.625" style="411" customWidth="1"/>
    <col min="5" max="5" width="22.625" style="408" bestFit="1" customWidth="1"/>
    <col min="6" max="9" width="8.625" style="408" hidden="1" customWidth="1" outlineLevel="1"/>
    <col min="10" max="10" width="8.625" style="408" collapsed="1"/>
    <col min="11" max="14" width="8.625" style="408" hidden="1" customWidth="1" outlineLevel="1"/>
    <col min="15" max="15" width="8.625" style="408" collapsed="1"/>
    <col min="16" max="19" width="8.625" style="408" hidden="1" customWidth="1" outlineLevel="1"/>
    <col min="20" max="20" width="8.625" style="408" collapsed="1"/>
    <col min="21" max="24" width="8.625" style="408" hidden="1" customWidth="1" outlineLevel="1"/>
    <col min="25" max="25" width="8.625" style="408" collapsed="1"/>
    <col min="26" max="26" width="9.5" style="408" customWidth="1"/>
    <col min="27" max="16384" width="8.625" style="408"/>
  </cols>
  <sheetData>
    <row r="1" spans="1:35" ht="10.35" customHeight="1">
      <c r="E1" s="411"/>
      <c r="F1" s="411"/>
      <c r="G1" s="411"/>
      <c r="H1" s="411"/>
      <c r="I1" s="411"/>
      <c r="J1" s="411"/>
      <c r="K1" s="411"/>
      <c r="L1" s="411"/>
      <c r="M1" s="411"/>
      <c r="N1" s="411"/>
      <c r="O1" s="411"/>
      <c r="P1" s="411"/>
      <c r="Q1" s="411"/>
      <c r="R1" s="411"/>
      <c r="S1" s="411"/>
      <c r="T1" s="411"/>
      <c r="U1" s="411"/>
      <c r="V1" s="411"/>
      <c r="W1" s="411"/>
      <c r="X1" s="411"/>
      <c r="Y1" s="411"/>
      <c r="Z1" s="411"/>
      <c r="AA1" s="411"/>
      <c r="AB1" s="411"/>
      <c r="AC1" s="411"/>
      <c r="AD1" s="411"/>
      <c r="AE1" s="411"/>
      <c r="AF1" s="411"/>
      <c r="AG1" s="411"/>
      <c r="AH1" s="411"/>
    </row>
    <row r="2" spans="1:35" ht="14.45" customHeight="1">
      <c r="E2" s="411"/>
      <c r="F2" s="411"/>
      <c r="G2" s="411"/>
      <c r="H2" s="411"/>
      <c r="I2" s="411"/>
      <c r="J2" s="411"/>
      <c r="K2" s="411"/>
      <c r="L2" s="411"/>
      <c r="M2" s="411"/>
      <c r="N2" s="411"/>
      <c r="O2" s="411"/>
      <c r="P2" s="411"/>
      <c r="Q2" s="411"/>
      <c r="R2" s="411"/>
      <c r="S2" s="411"/>
      <c r="T2" s="411"/>
      <c r="U2" s="411"/>
      <c r="V2" s="411"/>
      <c r="W2" s="411"/>
      <c r="X2" s="411"/>
      <c r="Y2" s="411"/>
      <c r="Z2" s="411" t="s">
        <v>448</v>
      </c>
      <c r="AA2" s="411"/>
      <c r="AB2" s="411"/>
      <c r="AC2" s="411"/>
      <c r="AD2" s="411"/>
      <c r="AE2" s="411"/>
      <c r="AF2" s="411"/>
      <c r="AG2" s="411"/>
      <c r="AH2" s="411"/>
      <c r="AI2" s="411"/>
    </row>
    <row r="3" spans="1:35" ht="14.45" customHeight="1">
      <c r="B3" s="547" t="s">
        <v>340</v>
      </c>
      <c r="C3" s="548" t="s">
        <v>246</v>
      </c>
      <c r="E3" s="547" t="s">
        <v>331</v>
      </c>
      <c r="F3" s="549"/>
      <c r="G3" s="549"/>
      <c r="H3" s="549"/>
      <c r="I3" s="549"/>
      <c r="J3" s="549"/>
      <c r="K3" s="549"/>
      <c r="L3" s="549"/>
      <c r="M3" s="549"/>
      <c r="N3" s="549"/>
      <c r="O3" s="549"/>
      <c r="P3" s="549"/>
      <c r="Q3" s="549"/>
      <c r="R3" s="549"/>
      <c r="S3" s="549"/>
      <c r="T3" s="549"/>
      <c r="U3" s="549"/>
      <c r="V3" s="549"/>
      <c r="W3" s="549"/>
      <c r="X3" s="549"/>
      <c r="Y3" s="549"/>
      <c r="Z3" s="550"/>
      <c r="AA3" s="411"/>
      <c r="AB3" s="411"/>
      <c r="AC3" s="411"/>
      <c r="AD3" s="411"/>
      <c r="AE3" s="411"/>
      <c r="AF3" s="411"/>
      <c r="AG3" s="411"/>
      <c r="AH3" s="411"/>
      <c r="AI3" s="411"/>
    </row>
    <row r="4" spans="1:35" s="411" customFormat="1" ht="4.9000000000000004" customHeight="1">
      <c r="B4" s="422"/>
      <c r="C4" s="416"/>
      <c r="E4" s="415"/>
      <c r="Z4" s="416"/>
    </row>
    <row r="5" spans="1:35" ht="14.45" customHeight="1">
      <c r="B5" s="422" t="s">
        <v>276</v>
      </c>
      <c r="C5" s="551" t="e">
        <f ca="1">_xll.FDSZ(C3,"P_PRICE(NOW)")</f>
        <v>#NAME?</v>
      </c>
      <c r="E5" s="417" t="s">
        <v>321</v>
      </c>
      <c r="F5" s="418"/>
      <c r="G5" s="418"/>
      <c r="H5" s="418"/>
      <c r="I5" s="418"/>
      <c r="J5" s="418">
        <v>44196</v>
      </c>
      <c r="K5" s="418"/>
      <c r="L5" s="418"/>
      <c r="M5" s="418"/>
      <c r="N5" s="418"/>
      <c r="O5" s="419">
        <f>J5+365</f>
        <v>44561</v>
      </c>
      <c r="P5" s="418"/>
      <c r="Q5" s="418"/>
      <c r="R5" s="418"/>
      <c r="S5" s="418"/>
      <c r="T5" s="419">
        <f>O5+365</f>
        <v>44926</v>
      </c>
      <c r="U5" s="420"/>
      <c r="V5" s="420"/>
      <c r="W5" s="420"/>
      <c r="X5" s="420"/>
      <c r="Y5" s="419">
        <f>T5+365</f>
        <v>45291</v>
      </c>
      <c r="Z5" s="421" t="s">
        <v>328</v>
      </c>
      <c r="AA5" s="411"/>
      <c r="AB5" s="411"/>
      <c r="AC5" s="411"/>
      <c r="AD5" s="411"/>
      <c r="AE5" s="411"/>
      <c r="AF5" s="411"/>
      <c r="AG5" s="411"/>
      <c r="AH5" s="411"/>
      <c r="AI5" s="411"/>
    </row>
    <row r="6" spans="1:35" ht="14.45" customHeight="1">
      <c r="B6" s="422" t="s">
        <v>334</v>
      </c>
      <c r="C6" s="552">
        <v>1000</v>
      </c>
      <c r="E6" s="422" t="s">
        <v>57</v>
      </c>
      <c r="F6" s="423"/>
      <c r="G6" s="423"/>
      <c r="H6" s="423"/>
      <c r="I6" s="423"/>
      <c r="J6" s="423">
        <f>'Income Statement'!AW28/V!$C$6</f>
        <v>434.90800000000002</v>
      </c>
      <c r="K6" s="423"/>
      <c r="L6" s="423"/>
      <c r="M6" s="423"/>
      <c r="N6" s="423"/>
      <c r="O6" s="423">
        <f>'Income Statement'!BB28/V!$C$6</f>
        <v>609.59100000000001</v>
      </c>
      <c r="P6" s="423"/>
      <c r="Q6" s="423"/>
      <c r="R6" s="423"/>
      <c r="S6" s="423"/>
      <c r="T6" s="423">
        <f>'Income Statement'!BG28/V!$C$6</f>
        <v>778.846</v>
      </c>
      <c r="U6" s="411"/>
      <c r="V6" s="411"/>
      <c r="W6" s="411"/>
      <c r="X6" s="411"/>
      <c r="Y6" s="423">
        <f>'Income Statement'!BL28/V!$C$6</f>
        <v>910.48800000000006</v>
      </c>
      <c r="Z6" s="416"/>
      <c r="AA6" s="411"/>
      <c r="AB6" s="411"/>
      <c r="AC6" s="411"/>
      <c r="AD6" s="411"/>
      <c r="AE6" s="411"/>
      <c r="AF6" s="411"/>
      <c r="AG6" s="411"/>
      <c r="AH6" s="411"/>
      <c r="AI6" s="411"/>
    </row>
    <row r="7" spans="1:35">
      <c r="B7" s="444" t="s">
        <v>336</v>
      </c>
      <c r="C7" s="439">
        <f>C14</f>
        <v>7.4</v>
      </c>
      <c r="E7" s="422" t="s">
        <v>322</v>
      </c>
      <c r="F7" s="423"/>
      <c r="G7" s="423"/>
      <c r="H7" s="423"/>
      <c r="I7" s="423"/>
      <c r="J7" s="423">
        <f>'Income Statement'!AW37/V!$C$6</f>
        <v>271.51299999999998</v>
      </c>
      <c r="K7" s="423"/>
      <c r="L7" s="423"/>
      <c r="M7" s="423"/>
      <c r="N7" s="423"/>
      <c r="O7" s="423">
        <f>'Income Statement'!BB37/V!$C$6</f>
        <v>368.04399999999998</v>
      </c>
      <c r="P7" s="423"/>
      <c r="Q7" s="423"/>
      <c r="R7" s="423"/>
      <c r="S7" s="423"/>
      <c r="T7" s="423">
        <f>'Income Statement'!BG37/V!$C$6</f>
        <v>453.93700000000001</v>
      </c>
      <c r="U7" s="411"/>
      <c r="V7" s="411"/>
      <c r="W7" s="411"/>
      <c r="X7" s="411"/>
      <c r="Y7" s="423">
        <f>'Income Statement'!BL37/V!$C$6</f>
        <v>528.76900000000001</v>
      </c>
      <c r="Z7" s="416"/>
      <c r="AA7" s="411"/>
      <c r="AB7" s="411"/>
      <c r="AC7" s="411"/>
      <c r="AD7" s="411"/>
      <c r="AE7" s="411"/>
      <c r="AF7" s="411"/>
      <c r="AG7" s="411"/>
      <c r="AH7" s="411"/>
      <c r="AI7" s="411"/>
    </row>
    <row r="8" spans="1:35">
      <c r="B8" s="422" t="s">
        <v>338</v>
      </c>
      <c r="C8" s="442">
        <f>Z25</f>
        <v>92.065987318206652</v>
      </c>
      <c r="E8" s="422" t="s">
        <v>320</v>
      </c>
      <c r="F8" s="423"/>
      <c r="G8" s="423"/>
      <c r="H8" s="423"/>
      <c r="I8" s="423"/>
      <c r="J8" s="423">
        <f>'Income Statement'!AW49/V!$C$6</f>
        <v>67.442999999999998</v>
      </c>
      <c r="K8" s="423"/>
      <c r="L8" s="423"/>
      <c r="M8" s="423"/>
      <c r="N8" s="423"/>
      <c r="O8" s="423">
        <f>'Income Statement'!BB49/V!$C$6</f>
        <v>83.558999999999997</v>
      </c>
      <c r="P8" s="423"/>
      <c r="Q8" s="423"/>
      <c r="R8" s="423"/>
      <c r="S8" s="423"/>
      <c r="T8" s="423">
        <f>'Income Statement'!BG49/V!$C$6</f>
        <v>108.245</v>
      </c>
      <c r="U8" s="411"/>
      <c r="V8" s="411"/>
      <c r="W8" s="411"/>
      <c r="X8" s="411"/>
      <c r="Y8" s="423">
        <f>'Income Statement'!BL49/V!$C$6</f>
        <v>128.82900000000001</v>
      </c>
      <c r="Z8" s="416"/>
      <c r="AA8" s="411"/>
      <c r="AB8" s="411"/>
      <c r="AC8" s="411"/>
      <c r="AD8" s="411"/>
      <c r="AE8" s="411"/>
      <c r="AF8" s="411"/>
      <c r="AG8" s="411"/>
      <c r="AH8" s="411"/>
      <c r="AI8" s="411"/>
    </row>
    <row r="9" spans="1:35">
      <c r="B9" s="441" t="s">
        <v>339</v>
      </c>
      <c r="C9" s="443" t="e">
        <f ca="1">C8/C5-1</f>
        <v>#NAME?</v>
      </c>
      <c r="E9" s="422" t="s">
        <v>319</v>
      </c>
      <c r="F9" s="423"/>
      <c r="G9" s="423"/>
      <c r="H9" s="423"/>
      <c r="I9" s="423"/>
      <c r="J9" s="423">
        <f>'Income Statement'!AW83/V!$C$6</f>
        <v>84.793999999999997</v>
      </c>
      <c r="K9" s="423"/>
      <c r="L9" s="423"/>
      <c r="M9" s="423"/>
      <c r="N9" s="423"/>
      <c r="O9" s="423">
        <f>'Income Statement'!BB83/V!$C$6</f>
        <v>110.503</v>
      </c>
      <c r="P9" s="423"/>
      <c r="Q9" s="423"/>
      <c r="R9" s="423"/>
      <c r="S9" s="423"/>
      <c r="T9" s="423">
        <f>'Income Statement'!BG83/V!$C$6</f>
        <v>140.43600000000001</v>
      </c>
      <c r="U9" s="411"/>
      <c r="V9" s="411"/>
      <c r="W9" s="411"/>
      <c r="X9" s="411"/>
      <c r="Y9" s="423">
        <f>'Income Statement'!BL83/V!$C$6</f>
        <v>166.26599999999999</v>
      </c>
      <c r="Z9" s="416"/>
      <c r="AA9" s="411"/>
      <c r="AB9" s="411"/>
      <c r="AC9" s="411"/>
      <c r="AD9" s="411"/>
      <c r="AE9" s="411"/>
      <c r="AF9" s="411"/>
      <c r="AG9" s="411"/>
      <c r="AH9" s="411"/>
      <c r="AI9" s="411"/>
    </row>
    <row r="10" spans="1:35" s="414" customFormat="1" ht="14.45" customHeight="1">
      <c r="A10" s="413"/>
      <c r="B10" s="413"/>
      <c r="C10" s="413"/>
      <c r="D10" s="413"/>
      <c r="E10" s="424" t="s">
        <v>80</v>
      </c>
      <c r="F10" s="425"/>
      <c r="G10" s="425"/>
      <c r="H10" s="425"/>
      <c r="I10" s="425"/>
      <c r="J10" s="553">
        <f>'Income Statement'!AW98</f>
        <v>0.9907407407407407</v>
      </c>
      <c r="K10" s="425"/>
      <c r="L10" s="425"/>
      <c r="M10" s="425"/>
      <c r="N10" s="425"/>
      <c r="O10" s="553">
        <f>'Income Statement'!BB98</f>
        <v>1.160045587181957</v>
      </c>
      <c r="P10" s="425"/>
      <c r="Q10" s="425"/>
      <c r="R10" s="425"/>
      <c r="S10" s="425"/>
      <c r="T10" s="553">
        <f>'Income Statement'!BG98</f>
        <v>1.499206271160249</v>
      </c>
      <c r="U10" s="413"/>
      <c r="V10" s="413"/>
      <c r="W10" s="413"/>
      <c r="X10" s="413"/>
      <c r="Y10" s="553">
        <f>'Income Statement'!BL98</f>
        <v>2.0543426485958571</v>
      </c>
      <c r="Z10" s="426"/>
      <c r="AA10" s="413"/>
      <c r="AB10" s="413"/>
      <c r="AC10" s="413"/>
      <c r="AD10" s="413"/>
      <c r="AE10" s="413"/>
      <c r="AF10" s="413"/>
      <c r="AG10" s="413"/>
      <c r="AH10" s="413"/>
      <c r="AI10" s="413"/>
    </row>
    <row r="11" spans="1:35" s="414" customFormat="1" ht="19.899999999999999" customHeight="1">
      <c r="A11" s="413"/>
      <c r="B11" s="413"/>
      <c r="C11" s="413"/>
      <c r="D11" s="413"/>
      <c r="E11" s="424" t="s">
        <v>119</v>
      </c>
      <c r="F11" s="434"/>
      <c r="G11" s="434"/>
      <c r="H11" s="434"/>
      <c r="I11" s="434"/>
      <c r="J11" s="434">
        <f>'Cash Flows'!AW62/V!$C$6</f>
        <v>36.880000000000003</v>
      </c>
      <c r="K11" s="434"/>
      <c r="L11" s="434"/>
      <c r="M11" s="434"/>
      <c r="N11" s="434"/>
      <c r="O11" s="434">
        <f>'Cash Flows'!BB62/V!$C$6</f>
        <v>-13.731</v>
      </c>
      <c r="P11" s="434"/>
      <c r="Q11" s="434"/>
      <c r="R11" s="434"/>
      <c r="S11" s="434"/>
      <c r="T11" s="434">
        <f>'Cash Flows'!BG62/V!$C$6</f>
        <v>32.694000000000003</v>
      </c>
      <c r="U11" s="413"/>
      <c r="V11" s="413"/>
      <c r="W11" s="413"/>
      <c r="X11" s="413"/>
      <c r="Y11" s="434">
        <f>'Cash Flows'!BL62/V!$C$6</f>
        <v>88.067999999999998</v>
      </c>
      <c r="Z11" s="426"/>
      <c r="AA11" s="413"/>
      <c r="AB11" s="413"/>
      <c r="AC11" s="413"/>
      <c r="AD11" s="413"/>
      <c r="AE11" s="413"/>
      <c r="AF11" s="413"/>
      <c r="AG11" s="413"/>
      <c r="AH11" s="413"/>
      <c r="AI11" s="413"/>
    </row>
    <row r="12" spans="1:35">
      <c r="B12" s="547" t="s">
        <v>341</v>
      </c>
      <c r="C12" s="550"/>
      <c r="E12" s="417" t="s">
        <v>332</v>
      </c>
      <c r="F12" s="420"/>
      <c r="G12" s="420"/>
      <c r="H12" s="420"/>
      <c r="I12" s="420"/>
      <c r="J12" s="420"/>
      <c r="K12" s="420"/>
      <c r="L12" s="420"/>
      <c r="M12" s="420"/>
      <c r="N12" s="420"/>
      <c r="O12" s="420"/>
      <c r="P12" s="420"/>
      <c r="Q12" s="420"/>
      <c r="R12" s="420"/>
      <c r="S12" s="420"/>
      <c r="T12" s="420"/>
      <c r="U12" s="420"/>
      <c r="V12" s="420"/>
      <c r="W12" s="420"/>
      <c r="X12" s="420"/>
      <c r="Y12" s="420"/>
      <c r="Z12" s="427"/>
      <c r="AA12" s="411"/>
      <c r="AB12" s="411"/>
      <c r="AC12" s="411"/>
      <c r="AD12" s="411"/>
      <c r="AE12" s="411"/>
      <c r="AF12" s="411"/>
      <c r="AG12" s="411"/>
      <c r="AH12" s="411"/>
      <c r="AI12" s="411"/>
    </row>
    <row r="13" spans="1:35">
      <c r="B13" s="554" t="s">
        <v>335</v>
      </c>
      <c r="C13" s="555">
        <v>15</v>
      </c>
      <c r="E13" s="422" t="s">
        <v>323</v>
      </c>
      <c r="F13" s="435"/>
      <c r="G13" s="435"/>
      <c r="H13" s="435"/>
      <c r="I13" s="435"/>
      <c r="J13" s="435" t="e">
        <f ca="1">J24/J6</f>
        <v>#NAME?</v>
      </c>
      <c r="K13" s="435"/>
      <c r="L13" s="435"/>
      <c r="M13" s="435"/>
      <c r="N13" s="435"/>
      <c r="O13" s="435" t="e">
        <f ca="1">O24/O6</f>
        <v>#NAME?</v>
      </c>
      <c r="P13" s="435"/>
      <c r="Q13" s="435"/>
      <c r="R13" s="435"/>
      <c r="S13" s="435"/>
      <c r="T13" s="435" t="e">
        <f ca="1">T24/T6</f>
        <v>#NAME?</v>
      </c>
      <c r="U13" s="435"/>
      <c r="V13" s="435"/>
      <c r="W13" s="435"/>
      <c r="X13" s="435"/>
      <c r="Y13" s="435" t="e">
        <f ca="1">Y24/Y6</f>
        <v>#NAME?</v>
      </c>
      <c r="Z13" s="440">
        <f>C7</f>
        <v>7.4</v>
      </c>
      <c r="AA13" s="411"/>
      <c r="AB13" s="411"/>
      <c r="AC13" s="411"/>
      <c r="AD13" s="411"/>
      <c r="AE13" s="411"/>
      <c r="AF13" s="411"/>
      <c r="AG13" s="411"/>
      <c r="AH13" s="411"/>
      <c r="AI13" s="411"/>
    </row>
    <row r="14" spans="1:35">
      <c r="B14" s="422" t="s">
        <v>336</v>
      </c>
      <c r="C14" s="556">
        <v>7.4</v>
      </c>
      <c r="E14" s="422" t="s">
        <v>324</v>
      </c>
      <c r="F14" s="435"/>
      <c r="G14" s="435"/>
      <c r="H14" s="435"/>
      <c r="I14" s="435"/>
      <c r="J14" s="435" t="e">
        <f ca="1">J24/J7</f>
        <v>#NAME?</v>
      </c>
      <c r="K14" s="435"/>
      <c r="L14" s="435"/>
      <c r="M14" s="435"/>
      <c r="N14" s="435"/>
      <c r="O14" s="435" t="e">
        <f ca="1">O24/O7</f>
        <v>#NAME?</v>
      </c>
      <c r="P14" s="435"/>
      <c r="Q14" s="435"/>
      <c r="R14" s="435"/>
      <c r="S14" s="435"/>
      <c r="T14" s="435" t="e">
        <f ca="1">T24/T7</f>
        <v>#NAME?</v>
      </c>
      <c r="U14" s="435"/>
      <c r="V14" s="435"/>
      <c r="W14" s="435"/>
      <c r="X14" s="435"/>
      <c r="Y14" s="435" t="e">
        <f ca="1">Y24/Y7</f>
        <v>#NAME?</v>
      </c>
      <c r="Z14" s="436">
        <f>Z24/T7</f>
        <v>14.842612961710548</v>
      </c>
      <c r="AA14" s="411"/>
      <c r="AB14" s="411"/>
      <c r="AC14" s="411"/>
      <c r="AD14" s="411"/>
      <c r="AE14" s="411"/>
      <c r="AF14" s="411"/>
      <c r="AG14" s="411"/>
      <c r="AH14" s="411"/>
      <c r="AI14" s="411"/>
    </row>
    <row r="15" spans="1:35">
      <c r="B15" s="441" t="s">
        <v>337</v>
      </c>
      <c r="C15" s="557">
        <v>20</v>
      </c>
      <c r="E15" s="422" t="s">
        <v>325</v>
      </c>
      <c r="F15" s="435"/>
      <c r="G15" s="435"/>
      <c r="H15" s="435"/>
      <c r="I15" s="435"/>
      <c r="J15" s="435" t="e">
        <f ca="1">IF(J8&gt;0, J24/J8, "NM ")</f>
        <v>#NAME?</v>
      </c>
      <c r="K15" s="435"/>
      <c r="L15" s="435"/>
      <c r="M15" s="435"/>
      <c r="N15" s="435"/>
      <c r="O15" s="435" t="e">
        <f ca="1">IF(O8&gt;0, O24/O8, "NM ")</f>
        <v>#NAME?</v>
      </c>
      <c r="P15" s="435"/>
      <c r="Q15" s="435"/>
      <c r="R15" s="435"/>
      <c r="S15" s="435"/>
      <c r="T15" s="435" t="e">
        <f ca="1">IF(T8&gt;0, T24/T8, "NM ")</f>
        <v>#NAME?</v>
      </c>
      <c r="U15" s="435"/>
      <c r="V15" s="435"/>
      <c r="W15" s="435"/>
      <c r="X15" s="435"/>
      <c r="Y15" s="435" t="e">
        <f ca="1">IF(Y8&gt;0, Y24/Y8, "NM ")</f>
        <v>#NAME?</v>
      </c>
      <c r="Z15" s="436">
        <f>Z24/T8</f>
        <v>62.244087024804848</v>
      </c>
      <c r="AA15" s="411"/>
      <c r="AB15" s="411"/>
      <c r="AC15" s="411"/>
      <c r="AD15" s="411"/>
      <c r="AE15" s="411"/>
      <c r="AF15" s="411"/>
      <c r="AG15" s="411"/>
      <c r="AH15" s="411"/>
      <c r="AI15" s="411"/>
    </row>
    <row r="16" spans="1:35">
      <c r="E16" s="422" t="s">
        <v>326</v>
      </c>
      <c r="F16" s="435"/>
      <c r="G16" s="435"/>
      <c r="H16" s="435"/>
      <c r="I16" s="435"/>
      <c r="J16" s="435" t="e">
        <f ca="1">IF(J9&gt;0, J24/J9, "NM ")</f>
        <v>#NAME?</v>
      </c>
      <c r="K16" s="435"/>
      <c r="L16" s="435"/>
      <c r="M16" s="435"/>
      <c r="N16" s="435"/>
      <c r="O16" s="435" t="e">
        <f ca="1">IF(O9&gt;0, O24/O9, "NM ")</f>
        <v>#NAME?</v>
      </c>
      <c r="P16" s="435"/>
      <c r="Q16" s="435"/>
      <c r="R16" s="435"/>
      <c r="S16" s="435"/>
      <c r="T16" s="435" t="e">
        <f ca="1">IF(T9&gt;0, T24/T9, "NM ")</f>
        <v>#NAME?</v>
      </c>
      <c r="U16" s="435"/>
      <c r="V16" s="435"/>
      <c r="W16" s="435"/>
      <c r="X16" s="435"/>
      <c r="Y16" s="435" t="e">
        <f ca="1">IF(Y9&gt;0, Y24/Y9, "NM ")</f>
        <v>#NAME?</v>
      </c>
      <c r="Z16" s="436">
        <f>Z24/T9</f>
        <v>47.976382124241653</v>
      </c>
      <c r="AA16" s="411"/>
      <c r="AB16" s="411"/>
      <c r="AC16" s="411"/>
      <c r="AD16" s="411"/>
      <c r="AE16" s="411"/>
      <c r="AF16" s="411"/>
      <c r="AG16" s="411"/>
      <c r="AH16" s="411"/>
      <c r="AI16" s="411"/>
    </row>
    <row r="17" spans="1:35" s="414" customFormat="1" ht="14.45" customHeight="1">
      <c r="A17" s="413"/>
      <c r="B17" s="413"/>
      <c r="C17" s="413"/>
      <c r="D17" s="413"/>
      <c r="E17" s="424" t="s">
        <v>327</v>
      </c>
      <c r="F17" s="437"/>
      <c r="G17" s="437"/>
      <c r="H17" s="437"/>
      <c r="I17" s="437"/>
      <c r="J17" s="437" t="e">
        <f ca="1">IF(J10&gt;0, $C$5/J10, "NM ")</f>
        <v>#NAME?</v>
      </c>
      <c r="K17" s="437"/>
      <c r="L17" s="437"/>
      <c r="M17" s="437"/>
      <c r="N17" s="437"/>
      <c r="O17" s="437" t="e">
        <f ca="1">IF(O10&gt;0, $C$5/O10, "NM ")</f>
        <v>#NAME?</v>
      </c>
      <c r="P17" s="437"/>
      <c r="Q17" s="437"/>
      <c r="R17" s="437"/>
      <c r="S17" s="437"/>
      <c r="T17" s="437" t="e">
        <f ca="1">IF(T10&gt;0, $C$5/T10, "NM ")</f>
        <v>#NAME?</v>
      </c>
      <c r="U17" s="437"/>
      <c r="V17" s="437"/>
      <c r="W17" s="437"/>
      <c r="X17" s="437"/>
      <c r="Y17" s="437" t="e">
        <f ca="1">IF(Y10&gt;0, $C$5/Y10, "NM ")</f>
        <v>#NAME?</v>
      </c>
      <c r="Z17" s="438">
        <f>Z25/T10</f>
        <v>61.409820042278753</v>
      </c>
      <c r="AA17" s="413"/>
      <c r="AB17" s="413"/>
      <c r="AC17" s="413"/>
      <c r="AD17" s="413"/>
      <c r="AE17" s="413"/>
      <c r="AF17" s="413"/>
      <c r="AG17" s="413"/>
      <c r="AH17" s="413"/>
      <c r="AI17" s="413"/>
    </row>
    <row r="18" spans="1:35" s="414" customFormat="1" ht="19.899999999999999" customHeight="1">
      <c r="A18" s="413"/>
      <c r="B18" s="413"/>
      <c r="C18" s="413"/>
      <c r="D18" s="413"/>
      <c r="E18" s="424" t="s">
        <v>46</v>
      </c>
      <c r="F18" s="437"/>
      <c r="G18" s="437"/>
      <c r="H18" s="437"/>
      <c r="I18" s="437"/>
      <c r="J18" s="437" t="e">
        <f ca="1">IF(J11&gt;0, J24/J11, "NM ")</f>
        <v>#NAME?</v>
      </c>
      <c r="K18" s="437"/>
      <c r="L18" s="437"/>
      <c r="M18" s="437"/>
      <c r="N18" s="437"/>
      <c r="O18" s="437" t="str">
        <f>IF(O11&gt;0, O24/O11, "NM ")</f>
        <v xml:space="preserve">NM </v>
      </c>
      <c r="P18" s="437"/>
      <c r="Q18" s="437"/>
      <c r="R18" s="437"/>
      <c r="S18" s="437"/>
      <c r="T18" s="437" t="e">
        <f ca="1">IF(T11&gt;0, T24/T11, "NM ")</f>
        <v>#NAME?</v>
      </c>
      <c r="U18" s="437"/>
      <c r="V18" s="437"/>
      <c r="W18" s="437"/>
      <c r="X18" s="437"/>
      <c r="Y18" s="437" t="e">
        <f ca="1">IF(Y11&gt;0, Y24/Y11, "NM ")</f>
        <v>#NAME?</v>
      </c>
      <c r="Z18" s="438">
        <f>Z24/T11</f>
        <v>206.08096898513492</v>
      </c>
      <c r="AA18" s="413"/>
      <c r="AB18" s="413"/>
      <c r="AC18" s="413"/>
      <c r="AD18" s="413"/>
      <c r="AE18" s="413"/>
      <c r="AF18" s="413"/>
      <c r="AG18" s="413"/>
      <c r="AH18" s="413"/>
      <c r="AI18" s="413"/>
    </row>
    <row r="19" spans="1:35">
      <c r="B19" s="547" t="s">
        <v>342</v>
      </c>
      <c r="C19" s="550"/>
      <c r="E19" s="417" t="s">
        <v>333</v>
      </c>
      <c r="F19" s="420"/>
      <c r="G19" s="420"/>
      <c r="H19" s="420"/>
      <c r="I19" s="420"/>
      <c r="J19" s="420"/>
      <c r="K19" s="420"/>
      <c r="L19" s="420"/>
      <c r="M19" s="420"/>
      <c r="N19" s="420"/>
      <c r="O19" s="420"/>
      <c r="P19" s="420"/>
      <c r="Q19" s="420"/>
      <c r="R19" s="420"/>
      <c r="S19" s="420"/>
      <c r="T19" s="420"/>
      <c r="U19" s="420"/>
      <c r="V19" s="420"/>
      <c r="W19" s="420"/>
      <c r="X19" s="420"/>
      <c r="Y19" s="420"/>
      <c r="Z19" s="427"/>
      <c r="AA19" s="411"/>
      <c r="AB19" s="411"/>
      <c r="AC19" s="411"/>
      <c r="AD19" s="411"/>
      <c r="AE19" s="411"/>
      <c r="AF19" s="411"/>
      <c r="AG19" s="411"/>
      <c r="AH19" s="411"/>
      <c r="AI19" s="411"/>
    </row>
    <row r="20" spans="1:35">
      <c r="B20" s="422" t="s">
        <v>20</v>
      </c>
      <c r="C20" s="428">
        <f>('Balance Sheet '!BE6+'Balance Sheet '!BE7)/V!$C$6</f>
        <v>577.10400000000004</v>
      </c>
      <c r="E20" s="422" t="s">
        <v>20</v>
      </c>
      <c r="F20" s="423"/>
      <c r="G20" s="423"/>
      <c r="H20" s="423"/>
      <c r="I20" s="423"/>
      <c r="J20" s="412">
        <f>('Balance Sheet '!AW6+'Balance Sheet '!AW7)/V!$C$6</f>
        <v>766.34199999999998</v>
      </c>
      <c r="K20" s="423"/>
      <c r="L20" s="423"/>
      <c r="M20" s="423"/>
      <c r="N20" s="423"/>
      <c r="O20" s="412">
        <f>('Balance Sheet '!BB6+'Balance Sheet '!BB7)/V!$C$6</f>
        <v>469.858</v>
      </c>
      <c r="P20" s="423"/>
      <c r="Q20" s="423"/>
      <c r="R20" s="423"/>
      <c r="S20" s="423"/>
      <c r="T20" s="412">
        <f>('Balance Sheet '!BG6+'Balance Sheet '!BG7)/V!$C$6</f>
        <v>614.26300000000003</v>
      </c>
      <c r="U20" s="411"/>
      <c r="V20" s="411"/>
      <c r="W20" s="411"/>
      <c r="X20" s="411"/>
      <c r="Y20" s="412">
        <f>('Balance Sheet '!BL6+'Balance Sheet '!BL7)/V!$C$6</f>
        <v>730.29700000000003</v>
      </c>
      <c r="Z20" s="558">
        <f>C20</f>
        <v>577.10400000000004</v>
      </c>
      <c r="AA20" s="411"/>
      <c r="AB20" s="411"/>
      <c r="AC20" s="411"/>
      <c r="AD20" s="411"/>
      <c r="AE20" s="411"/>
      <c r="AF20" s="411"/>
      <c r="AG20" s="411"/>
      <c r="AH20" s="411"/>
      <c r="AI20" s="411"/>
    </row>
    <row r="21" spans="1:35">
      <c r="B21" s="422" t="s">
        <v>278</v>
      </c>
      <c r="C21" s="760">
        <f>('Balance Sheet '!BE27+'Balance Sheet '!BE35)/V!$C$6</f>
        <v>737.42899999999997</v>
      </c>
      <c r="E21" s="422" t="s">
        <v>278</v>
      </c>
      <c r="F21" s="423"/>
      <c r="G21" s="423"/>
      <c r="H21" s="423"/>
      <c r="I21" s="423"/>
      <c r="J21" s="559">
        <f>('Balance Sheet '!AW27+'Balance Sheet '!AW35)/V!$C$6</f>
        <v>643.31600000000003</v>
      </c>
      <c r="K21" s="560"/>
      <c r="L21" s="560"/>
      <c r="M21" s="560"/>
      <c r="N21" s="560"/>
      <c r="O21" s="559">
        <f>('Balance Sheet '!BB27+'Balance Sheet '!BB35)/V!$C$6</f>
        <v>768.59900000000005</v>
      </c>
      <c r="P21" s="560"/>
      <c r="Q21" s="560"/>
      <c r="R21" s="560"/>
      <c r="S21" s="560"/>
      <c r="T21" s="559">
        <f>('Balance Sheet '!BG27+'Balance Sheet '!BG35)/V!$C$6</f>
        <v>738.37599999999998</v>
      </c>
      <c r="U21" s="561"/>
      <c r="V21" s="561"/>
      <c r="W21" s="561"/>
      <c r="X21" s="561"/>
      <c r="Y21" s="559">
        <f>('Balance Sheet '!BL27+'Balance Sheet '!BL35)/V!$C$6</f>
        <v>742.125</v>
      </c>
      <c r="Z21" s="558">
        <f>C21</f>
        <v>737.42899999999997</v>
      </c>
      <c r="AA21" s="411"/>
      <c r="AB21" s="411"/>
      <c r="AC21" s="411"/>
      <c r="AD21" s="411"/>
      <c r="AE21" s="411"/>
      <c r="AF21" s="411"/>
      <c r="AG21" s="411"/>
      <c r="AH21" s="411"/>
      <c r="AI21" s="411"/>
    </row>
    <row r="22" spans="1:35" ht="14.45" customHeight="1">
      <c r="B22" s="422" t="s">
        <v>330</v>
      </c>
      <c r="C22" s="562">
        <f>'Income Statement'!BE104/V!$C$6</f>
        <v>71.441000000000003</v>
      </c>
      <c r="E22" s="422" t="s">
        <v>330</v>
      </c>
      <c r="F22" s="429"/>
      <c r="G22" s="429"/>
      <c r="H22" s="429"/>
      <c r="I22" s="429"/>
      <c r="J22" s="563">
        <f>'Income Statement'!AW104/V!$C$6</f>
        <v>68.040000000000006</v>
      </c>
      <c r="K22" s="429"/>
      <c r="L22" s="429"/>
      <c r="M22" s="429"/>
      <c r="N22" s="429"/>
      <c r="O22" s="563">
        <f>'Income Statement'!BB104/V!$C$6</f>
        <v>70.853250000000003</v>
      </c>
      <c r="P22" s="429"/>
      <c r="Q22" s="429"/>
      <c r="R22" s="429"/>
      <c r="S22" s="429"/>
      <c r="T22" s="563">
        <f>'Income Statement'!BG104/V!$C$6</f>
        <v>71.183000000000007</v>
      </c>
      <c r="U22" s="429"/>
      <c r="V22" s="429"/>
      <c r="W22" s="429"/>
      <c r="X22" s="429"/>
      <c r="Y22" s="563">
        <f>'Income Statement'!BL104/V!$C$6</f>
        <v>72.953749999999999</v>
      </c>
      <c r="Z22" s="564">
        <f>C22</f>
        <v>71.441000000000003</v>
      </c>
      <c r="AA22" s="411"/>
      <c r="AB22" s="411"/>
      <c r="AC22" s="411"/>
      <c r="AD22" s="411"/>
      <c r="AE22" s="411"/>
      <c r="AF22" s="411"/>
      <c r="AG22" s="411"/>
      <c r="AH22" s="411"/>
      <c r="AI22" s="411"/>
    </row>
    <row r="23" spans="1:35" ht="14.45" customHeight="1">
      <c r="B23" s="422" t="s">
        <v>370</v>
      </c>
      <c r="C23" s="428" t="e">
        <f ca="1">C22*C5</f>
        <v>#NAME?</v>
      </c>
      <c r="E23" s="422" t="s">
        <v>329</v>
      </c>
      <c r="F23" s="412"/>
      <c r="G23" s="412"/>
      <c r="H23" s="412"/>
      <c r="I23" s="412"/>
      <c r="J23" s="412" t="e">
        <f ca="1">J22*$C$5</f>
        <v>#NAME?</v>
      </c>
      <c r="K23" s="412"/>
      <c r="L23" s="412"/>
      <c r="M23" s="412"/>
      <c r="N23" s="412"/>
      <c r="O23" s="412" t="e">
        <f ca="1">O22*$C$5</f>
        <v>#NAME?</v>
      </c>
      <c r="P23" s="412"/>
      <c r="Q23" s="412"/>
      <c r="R23" s="412"/>
      <c r="S23" s="412"/>
      <c r="T23" s="412" t="e">
        <f ca="1">T22*$C$5</f>
        <v>#NAME?</v>
      </c>
      <c r="U23" s="412"/>
      <c r="V23" s="412"/>
      <c r="W23" s="412"/>
      <c r="X23" s="412"/>
      <c r="Y23" s="412" t="e">
        <f ca="1">Y22*$C$5</f>
        <v>#NAME?</v>
      </c>
      <c r="Z23" s="428">
        <f>Z24+Z20-Z21</f>
        <v>6577.2862000000014</v>
      </c>
      <c r="AA23" s="411"/>
      <c r="AB23" s="411"/>
      <c r="AC23" s="411"/>
      <c r="AD23" s="411"/>
      <c r="AE23" s="411"/>
      <c r="AF23" s="411"/>
      <c r="AG23" s="411"/>
      <c r="AH23" s="411"/>
      <c r="AI23" s="411"/>
    </row>
    <row r="24" spans="1:35" ht="14.45" customHeight="1">
      <c r="B24" s="441" t="s">
        <v>371</v>
      </c>
      <c r="C24" s="565" t="e">
        <f ca="1">C23-C20</f>
        <v>#NAME?</v>
      </c>
      <c r="E24" s="424" t="s">
        <v>248</v>
      </c>
      <c r="F24" s="430"/>
      <c r="G24" s="430"/>
      <c r="H24" s="430"/>
      <c r="I24" s="430"/>
      <c r="J24" s="430" t="e">
        <f ca="1">J23-J20+J21</f>
        <v>#NAME?</v>
      </c>
      <c r="K24" s="430"/>
      <c r="L24" s="430"/>
      <c r="M24" s="430"/>
      <c r="N24" s="430"/>
      <c r="O24" s="430" t="e">
        <f ca="1">O23-O20+O21</f>
        <v>#NAME?</v>
      </c>
      <c r="P24" s="430"/>
      <c r="Q24" s="430"/>
      <c r="R24" s="430"/>
      <c r="S24" s="430"/>
      <c r="T24" s="430" t="e">
        <f ca="1">T23-T20+T21</f>
        <v>#NAME?</v>
      </c>
      <c r="U24" s="430"/>
      <c r="V24" s="430"/>
      <c r="W24" s="430"/>
      <c r="X24" s="430"/>
      <c r="Y24" s="430" t="e">
        <f ca="1">Y23-Y20+Y21</f>
        <v>#NAME?</v>
      </c>
      <c r="Z24" s="431">
        <f>Z13*Y6</f>
        <v>6737.6112000000012</v>
      </c>
      <c r="AA24" s="411"/>
      <c r="AB24" s="411"/>
      <c r="AC24" s="411"/>
      <c r="AD24" s="411"/>
      <c r="AE24" s="411"/>
      <c r="AF24" s="411"/>
      <c r="AG24" s="411"/>
      <c r="AH24" s="411"/>
      <c r="AI24" s="411"/>
    </row>
    <row r="25" spans="1:35" ht="14.65" thickBot="1">
      <c r="E25" s="432" t="s">
        <v>277</v>
      </c>
      <c r="F25" s="433"/>
      <c r="G25" s="433"/>
      <c r="H25" s="433"/>
      <c r="I25" s="433"/>
      <c r="J25" s="433"/>
      <c r="K25" s="433"/>
      <c r="L25" s="433"/>
      <c r="M25" s="433"/>
      <c r="N25" s="433"/>
      <c r="O25" s="433"/>
      <c r="P25" s="433"/>
      <c r="Q25" s="433"/>
      <c r="R25" s="433"/>
      <c r="S25" s="433"/>
      <c r="T25" s="433"/>
      <c r="U25" s="433"/>
      <c r="V25" s="433"/>
      <c r="W25" s="433"/>
      <c r="X25" s="433"/>
      <c r="Y25" s="433"/>
      <c r="Z25" s="831">
        <f>Z23/Z22</f>
        <v>92.065987318206652</v>
      </c>
      <c r="AA25" s="411"/>
      <c r="AB25" s="411"/>
      <c r="AC25" s="411"/>
      <c r="AD25" s="411"/>
      <c r="AE25" s="411"/>
      <c r="AF25" s="411"/>
      <c r="AG25" s="411"/>
      <c r="AH25" s="411"/>
      <c r="AI25" s="411"/>
    </row>
    <row r="26" spans="1:35">
      <c r="C26" s="412">
        <f>C20-C21</f>
        <v>-160.32499999999993</v>
      </c>
      <c r="E26" s="411"/>
      <c r="F26" s="412"/>
      <c r="G26" s="412"/>
      <c r="H26" s="412"/>
      <c r="I26" s="412"/>
      <c r="J26" s="412"/>
      <c r="K26" s="412"/>
      <c r="L26" s="412"/>
      <c r="M26" s="412"/>
      <c r="N26" s="412"/>
      <c r="O26" s="412"/>
      <c r="P26" s="412"/>
      <c r="Q26" s="412"/>
      <c r="R26" s="412"/>
      <c r="S26" s="412"/>
      <c r="T26" s="412"/>
      <c r="U26" s="412"/>
      <c r="V26" s="412"/>
      <c r="W26" s="412"/>
      <c r="X26" s="412"/>
      <c r="Y26" s="412"/>
      <c r="Z26" s="411"/>
      <c r="AA26" s="411"/>
      <c r="AB26" s="411"/>
      <c r="AC26" s="411"/>
      <c r="AD26" s="411"/>
      <c r="AE26" s="411"/>
      <c r="AF26" s="411"/>
      <c r="AG26" s="411"/>
      <c r="AH26" s="411"/>
      <c r="AI26" s="411"/>
    </row>
    <row r="27" spans="1:35">
      <c r="E27" s="411"/>
      <c r="F27" s="412"/>
      <c r="G27" s="412"/>
      <c r="H27" s="412"/>
      <c r="I27" s="412"/>
      <c r="J27" s="412"/>
      <c r="K27" s="412"/>
      <c r="L27" s="412"/>
      <c r="M27" s="412"/>
      <c r="N27" s="412"/>
      <c r="O27" s="412"/>
      <c r="P27" s="412"/>
      <c r="Q27" s="412"/>
      <c r="R27" s="412"/>
      <c r="S27" s="412"/>
      <c r="T27" s="412"/>
      <c r="U27" s="412"/>
      <c r="V27" s="412"/>
      <c r="W27" s="412"/>
      <c r="X27" s="412"/>
      <c r="Y27" s="412"/>
      <c r="Z27" s="411"/>
      <c r="AA27" s="411"/>
      <c r="AB27" s="411"/>
      <c r="AC27" s="411"/>
      <c r="AD27" s="411"/>
      <c r="AE27" s="411"/>
      <c r="AF27" s="411"/>
      <c r="AG27" s="411"/>
      <c r="AH27" s="411"/>
      <c r="AI27" s="411"/>
    </row>
    <row r="28" spans="1:35">
      <c r="B28" s="408"/>
      <c r="C28" s="408"/>
      <c r="E28" s="411" t="s">
        <v>57</v>
      </c>
      <c r="F28" s="411"/>
      <c r="G28" s="411"/>
      <c r="H28" s="411"/>
      <c r="I28" s="411"/>
      <c r="J28" s="412">
        <f>J6</f>
        <v>434.90800000000002</v>
      </c>
      <c r="K28" s="412"/>
      <c r="L28" s="412"/>
      <c r="M28" s="412"/>
      <c r="N28" s="412"/>
      <c r="O28" s="412">
        <f>O6</f>
        <v>609.59100000000001</v>
      </c>
      <c r="P28" s="412"/>
      <c r="Q28" s="412"/>
      <c r="R28" s="412"/>
      <c r="S28" s="412"/>
      <c r="T28" s="412">
        <f>T6</f>
        <v>778.846</v>
      </c>
      <c r="U28" s="412"/>
      <c r="V28" s="412"/>
      <c r="W28" s="412"/>
      <c r="X28" s="412"/>
      <c r="Y28" s="412">
        <f>Y6</f>
        <v>910.48800000000006</v>
      </c>
      <c r="Z28" s="411"/>
      <c r="AA28" s="411"/>
      <c r="AB28" s="411"/>
      <c r="AC28" s="411"/>
      <c r="AD28" s="411"/>
      <c r="AE28" s="411"/>
      <c r="AF28" s="411"/>
      <c r="AG28" s="411"/>
      <c r="AH28" s="411"/>
      <c r="AI28" s="411"/>
    </row>
    <row r="29" spans="1:35">
      <c r="B29" s="408"/>
      <c r="C29" s="408"/>
      <c r="E29" s="408" t="s">
        <v>372</v>
      </c>
      <c r="F29" s="411"/>
      <c r="G29" s="411"/>
      <c r="H29" s="411"/>
      <c r="I29" s="411"/>
      <c r="J29" s="566" t="e">
        <f ca="1">$C$24/J28</f>
        <v>#NAME?</v>
      </c>
      <c r="K29" s="411"/>
      <c r="L29" s="411"/>
      <c r="M29" s="411"/>
      <c r="N29" s="411"/>
      <c r="O29" s="566" t="e">
        <f ca="1">$C$24/O28</f>
        <v>#NAME?</v>
      </c>
      <c r="P29" s="411"/>
      <c r="Q29" s="411"/>
      <c r="R29" s="411"/>
      <c r="S29" s="411"/>
      <c r="T29" s="566" t="e">
        <f ca="1">$C$24/T28</f>
        <v>#NAME?</v>
      </c>
      <c r="U29" s="411"/>
      <c r="V29" s="411"/>
      <c r="W29" s="411"/>
      <c r="X29" s="411"/>
      <c r="Y29" s="566" t="e">
        <f ca="1">$C$24/Y28</f>
        <v>#NAME?</v>
      </c>
      <c r="Z29" s="411"/>
      <c r="AA29" s="411"/>
      <c r="AB29" s="411"/>
      <c r="AC29" s="411"/>
      <c r="AD29" s="411"/>
      <c r="AE29" s="411"/>
      <c r="AF29" s="411"/>
      <c r="AG29" s="411"/>
      <c r="AH29" s="411"/>
      <c r="AI29" s="411"/>
    </row>
    <row r="30" spans="1:35">
      <c r="B30" s="408"/>
      <c r="C30" s="408"/>
      <c r="E30" s="411"/>
      <c r="F30" s="411"/>
      <c r="G30" s="411"/>
      <c r="H30" s="411"/>
      <c r="I30" s="411"/>
      <c r="J30" s="411"/>
      <c r="K30" s="411"/>
      <c r="L30" s="411"/>
      <c r="M30" s="411"/>
      <c r="N30" s="411"/>
      <c r="O30" s="411"/>
      <c r="P30" s="411"/>
      <c r="Q30" s="411"/>
      <c r="R30" s="411"/>
      <c r="S30" s="411"/>
      <c r="T30" s="411"/>
      <c r="U30" s="411"/>
      <c r="V30" s="411"/>
      <c r="W30" s="411"/>
      <c r="X30" s="411"/>
      <c r="Y30" s="411"/>
      <c r="Z30" s="411"/>
      <c r="AA30" s="411"/>
      <c r="AB30" s="411"/>
      <c r="AC30" s="411"/>
      <c r="AD30" s="411"/>
      <c r="AE30" s="411"/>
      <c r="AF30" s="411"/>
      <c r="AG30" s="411"/>
      <c r="AH30" s="411"/>
      <c r="AI30" s="411"/>
    </row>
    <row r="31" spans="1:35">
      <c r="E31" s="411"/>
      <c r="F31" s="411"/>
      <c r="G31" s="411"/>
      <c r="H31" s="411"/>
      <c r="I31" s="411"/>
      <c r="J31" s="411"/>
      <c r="K31" s="411"/>
      <c r="L31" s="411"/>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row>
    <row r="32" spans="1:35">
      <c r="E32" s="411"/>
      <c r="F32" s="411"/>
      <c r="G32" s="411"/>
      <c r="H32" s="411"/>
      <c r="I32" s="411"/>
      <c r="J32" s="411"/>
      <c r="K32" s="411"/>
      <c r="L32" s="411"/>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row>
    <row r="33" spans="5:35">
      <c r="E33" s="411"/>
      <c r="F33" s="411"/>
      <c r="G33" s="411"/>
      <c r="H33" s="411"/>
      <c r="I33" s="411"/>
      <c r="J33" s="411"/>
      <c r="K33" s="411"/>
      <c r="L33" s="411"/>
      <c r="M33" s="411"/>
      <c r="N33" s="411"/>
      <c r="O33" s="411"/>
      <c r="P33" s="411"/>
      <c r="Q33" s="411"/>
      <c r="R33" s="411"/>
      <c r="S33" s="411"/>
      <c r="T33" s="411"/>
      <c r="U33" s="411"/>
      <c r="V33" s="411"/>
      <c r="W33" s="411"/>
      <c r="X33" s="411"/>
      <c r="Y33" s="411"/>
      <c r="Z33" s="411"/>
      <c r="AA33" s="411"/>
      <c r="AB33" s="411"/>
      <c r="AC33" s="411"/>
      <c r="AD33" s="411"/>
      <c r="AE33" s="411"/>
      <c r="AF33" s="411"/>
      <c r="AG33" s="411"/>
      <c r="AH33" s="411"/>
      <c r="AI33" s="411"/>
    </row>
    <row r="34" spans="5:35">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row>
    <row r="35" spans="5:35">
      <c r="E35" s="411"/>
      <c r="F35" s="411"/>
      <c r="G35" s="411"/>
      <c r="H35" s="411"/>
      <c r="I35" s="411"/>
      <c r="J35" s="411"/>
      <c r="K35" s="411"/>
      <c r="L35" s="411"/>
      <c r="M35" s="411"/>
      <c r="N35" s="411"/>
      <c r="O35" s="411"/>
      <c r="P35" s="411"/>
      <c r="Q35" s="411"/>
      <c r="R35" s="411"/>
      <c r="S35" s="411"/>
      <c r="T35" s="411"/>
      <c r="U35" s="411"/>
      <c r="V35" s="411"/>
      <c r="W35" s="411"/>
      <c r="X35" s="411"/>
      <c r="Y35" s="411"/>
      <c r="Z35" s="411"/>
      <c r="AA35" s="411"/>
      <c r="AB35" s="411"/>
      <c r="AC35" s="411"/>
      <c r="AD35" s="411"/>
      <c r="AE35" s="411"/>
      <c r="AF35" s="411"/>
      <c r="AG35" s="411"/>
      <c r="AH35" s="411"/>
      <c r="AI35" s="411"/>
    </row>
    <row r="36" spans="5:35">
      <c r="E36" s="411"/>
      <c r="F36" s="411"/>
      <c r="G36" s="411"/>
      <c r="H36" s="411"/>
      <c r="I36" s="411"/>
      <c r="J36" s="411"/>
      <c r="K36" s="411"/>
      <c r="L36" s="411"/>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row>
    <row r="37" spans="5:35">
      <c r="E37" s="411"/>
      <c r="F37" s="411"/>
      <c r="G37" s="411"/>
      <c r="H37" s="411"/>
      <c r="I37" s="411"/>
      <c r="J37" s="411"/>
      <c r="K37" s="411"/>
      <c r="L37" s="411"/>
      <c r="M37" s="411"/>
      <c r="N37" s="411"/>
      <c r="O37" s="411"/>
      <c r="P37" s="411"/>
      <c r="Q37" s="411"/>
      <c r="R37" s="411"/>
      <c r="S37" s="411"/>
      <c r="T37" s="411"/>
      <c r="U37" s="411"/>
      <c r="V37" s="411"/>
      <c r="W37" s="411"/>
      <c r="X37" s="411"/>
      <c r="Y37" s="411"/>
      <c r="Z37" s="411"/>
      <c r="AA37" s="411"/>
      <c r="AB37" s="411"/>
      <c r="AC37" s="411"/>
      <c r="AD37" s="411"/>
      <c r="AE37" s="411"/>
      <c r="AF37" s="411"/>
      <c r="AG37" s="411"/>
      <c r="AH37" s="411"/>
      <c r="AI37" s="411"/>
    </row>
    <row r="38" spans="5:35">
      <c r="E38" s="411"/>
      <c r="F38" s="411"/>
      <c r="G38" s="411"/>
      <c r="H38" s="411"/>
      <c r="I38" s="411"/>
      <c r="J38" s="411"/>
      <c r="K38" s="411"/>
      <c r="L38" s="411"/>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row>
    <row r="39" spans="5:35">
      <c r="E39" s="411"/>
      <c r="F39" s="411"/>
      <c r="G39" s="411"/>
      <c r="H39" s="411"/>
      <c r="I39" s="411"/>
      <c r="J39" s="411"/>
      <c r="K39" s="411"/>
      <c r="L39" s="411"/>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row>
    <row r="40" spans="5:35">
      <c r="E40" s="411"/>
      <c r="F40" s="411"/>
      <c r="G40" s="411"/>
      <c r="H40" s="411"/>
      <c r="I40" s="411"/>
      <c r="J40" s="411"/>
      <c r="K40" s="411"/>
      <c r="L40" s="411"/>
      <c r="M40" s="411"/>
      <c r="N40" s="411"/>
      <c r="O40" s="411"/>
      <c r="P40" s="411"/>
      <c r="Q40" s="411"/>
      <c r="R40" s="411"/>
      <c r="S40" s="411"/>
      <c r="T40" s="411"/>
      <c r="U40" s="411"/>
      <c r="V40" s="411"/>
      <c r="W40" s="411"/>
      <c r="X40" s="411"/>
      <c r="Y40" s="411"/>
      <c r="Z40" s="411"/>
      <c r="AA40" s="411"/>
      <c r="AB40" s="411"/>
      <c r="AC40" s="411"/>
      <c r="AD40" s="411"/>
      <c r="AE40" s="411"/>
      <c r="AF40" s="411"/>
      <c r="AG40" s="411"/>
      <c r="AH40" s="411"/>
      <c r="AI40" s="411"/>
    </row>
    <row r="41" spans="5:35">
      <c r="E41" s="411"/>
      <c r="F41" s="411"/>
      <c r="G41" s="411"/>
      <c r="H41" s="411"/>
      <c r="I41" s="411"/>
      <c r="J41" s="411"/>
      <c r="K41" s="411"/>
      <c r="L41" s="411"/>
      <c r="M41" s="411"/>
      <c r="N41" s="411"/>
      <c r="O41" s="411"/>
      <c r="P41" s="411"/>
      <c r="Q41" s="411"/>
      <c r="R41" s="411"/>
      <c r="S41" s="411"/>
      <c r="T41" s="411"/>
      <c r="U41" s="411"/>
      <c r="V41" s="411"/>
      <c r="W41" s="411"/>
      <c r="X41" s="411"/>
      <c r="Y41" s="411"/>
      <c r="Z41" s="411"/>
      <c r="AA41" s="411"/>
      <c r="AB41" s="411"/>
      <c r="AC41" s="411"/>
      <c r="AD41" s="411"/>
      <c r="AE41" s="411"/>
      <c r="AF41" s="411"/>
      <c r="AG41" s="411"/>
      <c r="AH41" s="411"/>
      <c r="AI41" s="411"/>
    </row>
    <row r="42" spans="5:35">
      <c r="E42" s="411"/>
      <c r="F42" s="411"/>
      <c r="G42" s="411"/>
      <c r="H42" s="411"/>
      <c r="I42" s="411"/>
      <c r="J42" s="411"/>
      <c r="K42" s="411"/>
      <c r="L42" s="411"/>
      <c r="M42" s="411"/>
      <c r="N42" s="411"/>
      <c r="O42" s="411"/>
      <c r="P42" s="411"/>
      <c r="Q42" s="411"/>
      <c r="R42" s="411"/>
      <c r="S42" s="411"/>
      <c r="T42" s="411"/>
      <c r="U42" s="411"/>
      <c r="V42" s="411"/>
      <c r="W42" s="411"/>
      <c r="X42" s="411"/>
      <c r="Y42" s="411"/>
      <c r="Z42" s="411"/>
      <c r="AA42" s="411"/>
      <c r="AB42" s="411"/>
      <c r="AC42" s="411"/>
      <c r="AD42" s="411"/>
      <c r="AE42" s="411"/>
      <c r="AF42" s="411"/>
      <c r="AG42" s="411"/>
      <c r="AH42" s="411"/>
      <c r="AI42" s="411"/>
    </row>
    <row r="43" spans="5:35">
      <c r="E43" s="411"/>
      <c r="F43" s="411"/>
      <c r="G43" s="411"/>
      <c r="H43" s="411"/>
      <c r="I43" s="411"/>
      <c r="J43" s="411"/>
      <c r="K43" s="411"/>
      <c r="L43" s="411"/>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row>
  </sheetData>
  <dataValidations disablePrompts="1" count="1">
    <dataValidation type="list" allowBlank="1" showInputMessage="1" showErrorMessage="1" sqref="B7" xr:uid="{C15F0160-38BA-40E3-9875-ED897122FD3F}">
      <formula1>$B$13:$B$15</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CB32-24A0-4577-B98F-5F3CED7E8F4D}">
  <dimension ref="A1:IV48"/>
  <sheetViews>
    <sheetView zoomScale="90" zoomScaleNormal="90" workbookViewId="0">
      <selection activeCell="A17" sqref="A17"/>
    </sheetView>
  </sheetViews>
  <sheetFormatPr defaultColWidth="15.125" defaultRowHeight="15" outlineLevelCol="1"/>
  <cols>
    <col min="1" max="1" width="53.375" style="692" customWidth="1"/>
    <col min="2" max="2" width="17.875" style="692" bestFit="1" customWidth="1"/>
    <col min="3" max="3" width="19.625" style="701" customWidth="1"/>
    <col min="4" max="7" width="12.125" style="682" customWidth="1" outlineLevel="1"/>
    <col min="8" max="8" width="12.125" style="682" customWidth="1"/>
    <col min="9" max="12" width="12.125" style="682" customWidth="1" outlineLevel="1"/>
    <col min="13" max="13" width="12.125" style="682" customWidth="1"/>
    <col min="14" max="17" width="12.125" style="682" customWidth="1" outlineLevel="1"/>
    <col min="18" max="18" width="12.125" style="682" customWidth="1"/>
    <col min="19" max="22" width="12.125" style="682" customWidth="1" outlineLevel="1"/>
    <col min="23" max="23" width="12.125" style="682" customWidth="1"/>
    <col min="24" max="27" width="15.125" style="682"/>
    <col min="28" max="28" width="11.625" style="682" bestFit="1" customWidth="1"/>
    <col min="29" max="29" width="18.375" style="682" bestFit="1" customWidth="1"/>
    <col min="30" max="30" width="1.875" style="682" bestFit="1" customWidth="1"/>
    <col min="31" max="31" width="16.375" style="682" bestFit="1" customWidth="1"/>
    <col min="32" max="202" width="15.125" style="682"/>
    <col min="203" max="203" width="53.625" style="682" customWidth="1"/>
    <col min="204" max="204" width="58.5" style="682" customWidth="1"/>
    <col min="205" max="205" width="13" style="682" customWidth="1"/>
    <col min="206" max="206" width="12.125" style="682" customWidth="1"/>
    <col min="207" max="210" width="0" style="682" hidden="1" customWidth="1"/>
    <col min="211" max="211" width="12.125" style="682" bestFit="1" customWidth="1"/>
    <col min="212" max="215" width="0" style="682" hidden="1" customWidth="1"/>
    <col min="216" max="216" width="12.375" style="682" bestFit="1" customWidth="1"/>
    <col min="217" max="220" width="0" style="682" hidden="1" customWidth="1"/>
    <col min="221" max="221" width="12.375" style="682" bestFit="1" customWidth="1"/>
    <col min="222" max="225" width="11.125" style="682" bestFit="1" customWidth="1"/>
    <col min="226" max="226" width="13.5" style="682" bestFit="1" customWidth="1"/>
    <col min="227" max="256" width="15.125" style="682"/>
    <col min="257" max="257" width="53.375" style="682" customWidth="1"/>
    <col min="258" max="258" width="17.875" style="682" bestFit="1" customWidth="1"/>
    <col min="259" max="259" width="19.625" style="682" customWidth="1"/>
    <col min="260" max="279" width="12.125" style="682" customWidth="1"/>
    <col min="280" max="283" width="15.125" style="682"/>
    <col min="284" max="284" width="1.625" style="682" bestFit="1" customWidth="1"/>
    <col min="285" max="285" width="18.375" style="682" bestFit="1" customWidth="1"/>
    <col min="286" max="286" width="1.875" style="682" bestFit="1" customWidth="1"/>
    <col min="287" max="287" width="16.375" style="682" bestFit="1" customWidth="1"/>
    <col min="288" max="458" width="15.125" style="682"/>
    <col min="459" max="459" width="53.625" style="682" customWidth="1"/>
    <col min="460" max="460" width="58.5" style="682" customWidth="1"/>
    <col min="461" max="461" width="13" style="682" customWidth="1"/>
    <col min="462" max="462" width="12.125" style="682" customWidth="1"/>
    <col min="463" max="466" width="0" style="682" hidden="1" customWidth="1"/>
    <col min="467" max="467" width="12.125" style="682" bestFit="1" customWidth="1"/>
    <col min="468" max="471" width="0" style="682" hidden="1" customWidth="1"/>
    <col min="472" max="472" width="12.375" style="682" bestFit="1" customWidth="1"/>
    <col min="473" max="476" width="0" style="682" hidden="1" customWidth="1"/>
    <col min="477" max="477" width="12.375" style="682" bestFit="1" customWidth="1"/>
    <col min="478" max="481" width="11.125" style="682" bestFit="1" customWidth="1"/>
    <col min="482" max="482" width="13.5" style="682" bestFit="1" customWidth="1"/>
    <col min="483" max="512" width="15.125" style="682"/>
    <col min="513" max="513" width="53.375" style="682" customWidth="1"/>
    <col min="514" max="514" width="17.875" style="682" bestFit="1" customWidth="1"/>
    <col min="515" max="515" width="19.625" style="682" customWidth="1"/>
    <col min="516" max="535" width="12.125" style="682" customWidth="1"/>
    <col min="536" max="539" width="15.125" style="682"/>
    <col min="540" max="540" width="1.625" style="682" bestFit="1" customWidth="1"/>
    <col min="541" max="541" width="18.375" style="682" bestFit="1" customWidth="1"/>
    <col min="542" max="542" width="1.875" style="682" bestFit="1" customWidth="1"/>
    <col min="543" max="543" width="16.375" style="682" bestFit="1" customWidth="1"/>
    <col min="544" max="714" width="15.125" style="682"/>
    <col min="715" max="715" width="53.625" style="682" customWidth="1"/>
    <col min="716" max="716" width="58.5" style="682" customWidth="1"/>
    <col min="717" max="717" width="13" style="682" customWidth="1"/>
    <col min="718" max="718" width="12.125" style="682" customWidth="1"/>
    <col min="719" max="722" width="0" style="682" hidden="1" customWidth="1"/>
    <col min="723" max="723" width="12.125" style="682" bestFit="1" customWidth="1"/>
    <col min="724" max="727" width="0" style="682" hidden="1" customWidth="1"/>
    <col min="728" max="728" width="12.375" style="682" bestFit="1" customWidth="1"/>
    <col min="729" max="732" width="0" style="682" hidden="1" customWidth="1"/>
    <col min="733" max="733" width="12.375" style="682" bestFit="1" customWidth="1"/>
    <col min="734" max="737" width="11.125" style="682" bestFit="1" customWidth="1"/>
    <col min="738" max="738" width="13.5" style="682" bestFit="1" customWidth="1"/>
    <col min="739" max="768" width="15.125" style="682"/>
    <col min="769" max="769" width="53.375" style="682" customWidth="1"/>
    <col min="770" max="770" width="17.875" style="682" bestFit="1" customWidth="1"/>
    <col min="771" max="771" width="19.625" style="682" customWidth="1"/>
    <col min="772" max="791" width="12.125" style="682" customWidth="1"/>
    <col min="792" max="795" width="15.125" style="682"/>
    <col min="796" max="796" width="1.625" style="682" bestFit="1" customWidth="1"/>
    <col min="797" max="797" width="18.375" style="682" bestFit="1" customWidth="1"/>
    <col min="798" max="798" width="1.875" style="682" bestFit="1" customWidth="1"/>
    <col min="799" max="799" width="16.375" style="682" bestFit="1" customWidth="1"/>
    <col min="800" max="970" width="15.125" style="682"/>
    <col min="971" max="971" width="53.625" style="682" customWidth="1"/>
    <col min="972" max="972" width="58.5" style="682" customWidth="1"/>
    <col min="973" max="973" width="13" style="682" customWidth="1"/>
    <col min="974" max="974" width="12.125" style="682" customWidth="1"/>
    <col min="975" max="978" width="0" style="682" hidden="1" customWidth="1"/>
    <col min="979" max="979" width="12.125" style="682" bestFit="1" customWidth="1"/>
    <col min="980" max="983" width="0" style="682" hidden="1" customWidth="1"/>
    <col min="984" max="984" width="12.375" style="682" bestFit="1" customWidth="1"/>
    <col min="985" max="988" width="0" style="682" hidden="1" customWidth="1"/>
    <col min="989" max="989" width="12.375" style="682" bestFit="1" customWidth="1"/>
    <col min="990" max="993" width="11.125" style="682" bestFit="1" customWidth="1"/>
    <col min="994" max="994" width="13.5" style="682" bestFit="1" customWidth="1"/>
    <col min="995" max="1024" width="15.125" style="682"/>
    <col min="1025" max="1025" width="53.375" style="682" customWidth="1"/>
    <col min="1026" max="1026" width="17.875" style="682" bestFit="1" customWidth="1"/>
    <col min="1027" max="1027" width="19.625" style="682" customWidth="1"/>
    <col min="1028" max="1047" width="12.125" style="682" customWidth="1"/>
    <col min="1048" max="1051" width="15.125" style="682"/>
    <col min="1052" max="1052" width="1.625" style="682" bestFit="1" customWidth="1"/>
    <col min="1053" max="1053" width="18.375" style="682" bestFit="1" customWidth="1"/>
    <col min="1054" max="1054" width="1.875" style="682" bestFit="1" customWidth="1"/>
    <col min="1055" max="1055" width="16.375" style="682" bestFit="1" customWidth="1"/>
    <col min="1056" max="1226" width="15.125" style="682"/>
    <col min="1227" max="1227" width="53.625" style="682" customWidth="1"/>
    <col min="1228" max="1228" width="58.5" style="682" customWidth="1"/>
    <col min="1229" max="1229" width="13" style="682" customWidth="1"/>
    <col min="1230" max="1230" width="12.125" style="682" customWidth="1"/>
    <col min="1231" max="1234" width="0" style="682" hidden="1" customWidth="1"/>
    <col min="1235" max="1235" width="12.125" style="682" bestFit="1" customWidth="1"/>
    <col min="1236" max="1239" width="0" style="682" hidden="1" customWidth="1"/>
    <col min="1240" max="1240" width="12.375" style="682" bestFit="1" customWidth="1"/>
    <col min="1241" max="1244" width="0" style="682" hidden="1" customWidth="1"/>
    <col min="1245" max="1245" width="12.375" style="682" bestFit="1" customWidth="1"/>
    <col min="1246" max="1249" width="11.125" style="682" bestFit="1" customWidth="1"/>
    <col min="1250" max="1250" width="13.5" style="682" bestFit="1" customWidth="1"/>
    <col min="1251" max="1280" width="15.125" style="682"/>
    <col min="1281" max="1281" width="53.375" style="682" customWidth="1"/>
    <col min="1282" max="1282" width="17.875" style="682" bestFit="1" customWidth="1"/>
    <col min="1283" max="1283" width="19.625" style="682" customWidth="1"/>
    <col min="1284" max="1303" width="12.125" style="682" customWidth="1"/>
    <col min="1304" max="1307" width="15.125" style="682"/>
    <col min="1308" max="1308" width="1.625" style="682" bestFit="1" customWidth="1"/>
    <col min="1309" max="1309" width="18.375" style="682" bestFit="1" customWidth="1"/>
    <col min="1310" max="1310" width="1.875" style="682" bestFit="1" customWidth="1"/>
    <col min="1311" max="1311" width="16.375" style="682" bestFit="1" customWidth="1"/>
    <col min="1312" max="1482" width="15.125" style="682"/>
    <col min="1483" max="1483" width="53.625" style="682" customWidth="1"/>
    <col min="1484" max="1484" width="58.5" style="682" customWidth="1"/>
    <col min="1485" max="1485" width="13" style="682" customWidth="1"/>
    <col min="1486" max="1486" width="12.125" style="682" customWidth="1"/>
    <col min="1487" max="1490" width="0" style="682" hidden="1" customWidth="1"/>
    <col min="1491" max="1491" width="12.125" style="682" bestFit="1" customWidth="1"/>
    <col min="1492" max="1495" width="0" style="682" hidden="1" customWidth="1"/>
    <col min="1496" max="1496" width="12.375" style="682" bestFit="1" customWidth="1"/>
    <col min="1497" max="1500" width="0" style="682" hidden="1" customWidth="1"/>
    <col min="1501" max="1501" width="12.375" style="682" bestFit="1" customWidth="1"/>
    <col min="1502" max="1505" width="11.125" style="682" bestFit="1" customWidth="1"/>
    <col min="1506" max="1506" width="13.5" style="682" bestFit="1" customWidth="1"/>
    <col min="1507" max="1536" width="15.125" style="682"/>
    <col min="1537" max="1537" width="53.375" style="682" customWidth="1"/>
    <col min="1538" max="1538" width="17.875" style="682" bestFit="1" customWidth="1"/>
    <col min="1539" max="1539" width="19.625" style="682" customWidth="1"/>
    <col min="1540" max="1559" width="12.125" style="682" customWidth="1"/>
    <col min="1560" max="1563" width="15.125" style="682"/>
    <col min="1564" max="1564" width="1.625" style="682" bestFit="1" customWidth="1"/>
    <col min="1565" max="1565" width="18.375" style="682" bestFit="1" customWidth="1"/>
    <col min="1566" max="1566" width="1.875" style="682" bestFit="1" customWidth="1"/>
    <col min="1567" max="1567" width="16.375" style="682" bestFit="1" customWidth="1"/>
    <col min="1568" max="1738" width="15.125" style="682"/>
    <col min="1739" max="1739" width="53.625" style="682" customWidth="1"/>
    <col min="1740" max="1740" width="58.5" style="682" customWidth="1"/>
    <col min="1741" max="1741" width="13" style="682" customWidth="1"/>
    <col min="1742" max="1742" width="12.125" style="682" customWidth="1"/>
    <col min="1743" max="1746" width="0" style="682" hidden="1" customWidth="1"/>
    <col min="1747" max="1747" width="12.125" style="682" bestFit="1" customWidth="1"/>
    <col min="1748" max="1751" width="0" style="682" hidden="1" customWidth="1"/>
    <col min="1752" max="1752" width="12.375" style="682" bestFit="1" customWidth="1"/>
    <col min="1753" max="1756" width="0" style="682" hidden="1" customWidth="1"/>
    <col min="1757" max="1757" width="12.375" style="682" bestFit="1" customWidth="1"/>
    <col min="1758" max="1761" width="11.125" style="682" bestFit="1" customWidth="1"/>
    <col min="1762" max="1762" width="13.5" style="682" bestFit="1" customWidth="1"/>
    <col min="1763" max="1792" width="15.125" style="682"/>
    <col min="1793" max="1793" width="53.375" style="682" customWidth="1"/>
    <col min="1794" max="1794" width="17.875" style="682" bestFit="1" customWidth="1"/>
    <col min="1795" max="1795" width="19.625" style="682" customWidth="1"/>
    <col min="1796" max="1815" width="12.125" style="682" customWidth="1"/>
    <col min="1816" max="1819" width="15.125" style="682"/>
    <col min="1820" max="1820" width="1.625" style="682" bestFit="1" customWidth="1"/>
    <col min="1821" max="1821" width="18.375" style="682" bestFit="1" customWidth="1"/>
    <col min="1822" max="1822" width="1.875" style="682" bestFit="1" customWidth="1"/>
    <col min="1823" max="1823" width="16.375" style="682" bestFit="1" customWidth="1"/>
    <col min="1824" max="1994" width="15.125" style="682"/>
    <col min="1995" max="1995" width="53.625" style="682" customWidth="1"/>
    <col min="1996" max="1996" width="58.5" style="682" customWidth="1"/>
    <col min="1997" max="1997" width="13" style="682" customWidth="1"/>
    <col min="1998" max="1998" width="12.125" style="682" customWidth="1"/>
    <col min="1999" max="2002" width="0" style="682" hidden="1" customWidth="1"/>
    <col min="2003" max="2003" width="12.125" style="682" bestFit="1" customWidth="1"/>
    <col min="2004" max="2007" width="0" style="682" hidden="1" customWidth="1"/>
    <col min="2008" max="2008" width="12.375" style="682" bestFit="1" customWidth="1"/>
    <col min="2009" max="2012" width="0" style="682" hidden="1" customWidth="1"/>
    <col min="2013" max="2013" width="12.375" style="682" bestFit="1" customWidth="1"/>
    <col min="2014" max="2017" width="11.125" style="682" bestFit="1" customWidth="1"/>
    <col min="2018" max="2018" width="13.5" style="682" bestFit="1" customWidth="1"/>
    <col min="2019" max="2048" width="15.125" style="682"/>
    <col min="2049" max="2049" width="53.375" style="682" customWidth="1"/>
    <col min="2050" max="2050" width="17.875" style="682" bestFit="1" customWidth="1"/>
    <col min="2051" max="2051" width="19.625" style="682" customWidth="1"/>
    <col min="2052" max="2071" width="12.125" style="682" customWidth="1"/>
    <col min="2072" max="2075" width="15.125" style="682"/>
    <col min="2076" max="2076" width="1.625" style="682" bestFit="1" customWidth="1"/>
    <col min="2077" max="2077" width="18.375" style="682" bestFit="1" customWidth="1"/>
    <col min="2078" max="2078" width="1.875" style="682" bestFit="1" customWidth="1"/>
    <col min="2079" max="2079" width="16.375" style="682" bestFit="1" customWidth="1"/>
    <col min="2080" max="2250" width="15.125" style="682"/>
    <col min="2251" max="2251" width="53.625" style="682" customWidth="1"/>
    <col min="2252" max="2252" width="58.5" style="682" customWidth="1"/>
    <col min="2253" max="2253" width="13" style="682" customWidth="1"/>
    <col min="2254" max="2254" width="12.125" style="682" customWidth="1"/>
    <col min="2255" max="2258" width="0" style="682" hidden="1" customWidth="1"/>
    <col min="2259" max="2259" width="12.125" style="682" bestFit="1" customWidth="1"/>
    <col min="2260" max="2263" width="0" style="682" hidden="1" customWidth="1"/>
    <col min="2264" max="2264" width="12.375" style="682" bestFit="1" customWidth="1"/>
    <col min="2265" max="2268" width="0" style="682" hidden="1" customWidth="1"/>
    <col min="2269" max="2269" width="12.375" style="682" bestFit="1" customWidth="1"/>
    <col min="2270" max="2273" width="11.125" style="682" bestFit="1" customWidth="1"/>
    <col min="2274" max="2274" width="13.5" style="682" bestFit="1" customWidth="1"/>
    <col min="2275" max="2304" width="15.125" style="682"/>
    <col min="2305" max="2305" width="53.375" style="682" customWidth="1"/>
    <col min="2306" max="2306" width="17.875" style="682" bestFit="1" customWidth="1"/>
    <col min="2307" max="2307" width="19.625" style="682" customWidth="1"/>
    <col min="2308" max="2327" width="12.125" style="682" customWidth="1"/>
    <col min="2328" max="2331" width="15.125" style="682"/>
    <col min="2332" max="2332" width="1.625" style="682" bestFit="1" customWidth="1"/>
    <col min="2333" max="2333" width="18.375" style="682" bestFit="1" customWidth="1"/>
    <col min="2334" max="2334" width="1.875" style="682" bestFit="1" customWidth="1"/>
    <col min="2335" max="2335" width="16.375" style="682" bestFit="1" customWidth="1"/>
    <col min="2336" max="2506" width="15.125" style="682"/>
    <col min="2507" max="2507" width="53.625" style="682" customWidth="1"/>
    <col min="2508" max="2508" width="58.5" style="682" customWidth="1"/>
    <col min="2509" max="2509" width="13" style="682" customWidth="1"/>
    <col min="2510" max="2510" width="12.125" style="682" customWidth="1"/>
    <col min="2511" max="2514" width="0" style="682" hidden="1" customWidth="1"/>
    <col min="2515" max="2515" width="12.125" style="682" bestFit="1" customWidth="1"/>
    <col min="2516" max="2519" width="0" style="682" hidden="1" customWidth="1"/>
    <col min="2520" max="2520" width="12.375" style="682" bestFit="1" customWidth="1"/>
    <col min="2521" max="2524" width="0" style="682" hidden="1" customWidth="1"/>
    <col min="2525" max="2525" width="12.375" style="682" bestFit="1" customWidth="1"/>
    <col min="2526" max="2529" width="11.125" style="682" bestFit="1" customWidth="1"/>
    <col min="2530" max="2530" width="13.5" style="682" bestFit="1" customWidth="1"/>
    <col min="2531" max="2560" width="15.125" style="682"/>
    <col min="2561" max="2561" width="53.375" style="682" customWidth="1"/>
    <col min="2562" max="2562" width="17.875" style="682" bestFit="1" customWidth="1"/>
    <col min="2563" max="2563" width="19.625" style="682" customWidth="1"/>
    <col min="2564" max="2583" width="12.125" style="682" customWidth="1"/>
    <col min="2584" max="2587" width="15.125" style="682"/>
    <col min="2588" max="2588" width="1.625" style="682" bestFit="1" customWidth="1"/>
    <col min="2589" max="2589" width="18.375" style="682" bestFit="1" customWidth="1"/>
    <col min="2590" max="2590" width="1.875" style="682" bestFit="1" customWidth="1"/>
    <col min="2591" max="2591" width="16.375" style="682" bestFit="1" customWidth="1"/>
    <col min="2592" max="2762" width="15.125" style="682"/>
    <col min="2763" max="2763" width="53.625" style="682" customWidth="1"/>
    <col min="2764" max="2764" width="58.5" style="682" customWidth="1"/>
    <col min="2765" max="2765" width="13" style="682" customWidth="1"/>
    <col min="2766" max="2766" width="12.125" style="682" customWidth="1"/>
    <col min="2767" max="2770" width="0" style="682" hidden="1" customWidth="1"/>
    <col min="2771" max="2771" width="12.125" style="682" bestFit="1" customWidth="1"/>
    <col min="2772" max="2775" width="0" style="682" hidden="1" customWidth="1"/>
    <col min="2776" max="2776" width="12.375" style="682" bestFit="1" customWidth="1"/>
    <col min="2777" max="2780" width="0" style="682" hidden="1" customWidth="1"/>
    <col min="2781" max="2781" width="12.375" style="682" bestFit="1" customWidth="1"/>
    <col min="2782" max="2785" width="11.125" style="682" bestFit="1" customWidth="1"/>
    <col min="2786" max="2786" width="13.5" style="682" bestFit="1" customWidth="1"/>
    <col min="2787" max="2816" width="15.125" style="682"/>
    <col min="2817" max="2817" width="53.375" style="682" customWidth="1"/>
    <col min="2818" max="2818" width="17.875" style="682" bestFit="1" customWidth="1"/>
    <col min="2819" max="2819" width="19.625" style="682" customWidth="1"/>
    <col min="2820" max="2839" width="12.125" style="682" customWidth="1"/>
    <col min="2840" max="2843" width="15.125" style="682"/>
    <col min="2844" max="2844" width="1.625" style="682" bestFit="1" customWidth="1"/>
    <col min="2845" max="2845" width="18.375" style="682" bestFit="1" customWidth="1"/>
    <col min="2846" max="2846" width="1.875" style="682" bestFit="1" customWidth="1"/>
    <col min="2847" max="2847" width="16.375" style="682" bestFit="1" customWidth="1"/>
    <col min="2848" max="3018" width="15.125" style="682"/>
    <col min="3019" max="3019" width="53.625" style="682" customWidth="1"/>
    <col min="3020" max="3020" width="58.5" style="682" customWidth="1"/>
    <col min="3021" max="3021" width="13" style="682" customWidth="1"/>
    <col min="3022" max="3022" width="12.125" style="682" customWidth="1"/>
    <col min="3023" max="3026" width="0" style="682" hidden="1" customWidth="1"/>
    <col min="3027" max="3027" width="12.125" style="682" bestFit="1" customWidth="1"/>
    <col min="3028" max="3031" width="0" style="682" hidden="1" customWidth="1"/>
    <col min="3032" max="3032" width="12.375" style="682" bestFit="1" customWidth="1"/>
    <col min="3033" max="3036" width="0" style="682" hidden="1" customWidth="1"/>
    <col min="3037" max="3037" width="12.375" style="682" bestFit="1" customWidth="1"/>
    <col min="3038" max="3041" width="11.125" style="682" bestFit="1" customWidth="1"/>
    <col min="3042" max="3042" width="13.5" style="682" bestFit="1" customWidth="1"/>
    <col min="3043" max="3072" width="15.125" style="682"/>
    <col min="3073" max="3073" width="53.375" style="682" customWidth="1"/>
    <col min="3074" max="3074" width="17.875" style="682" bestFit="1" customWidth="1"/>
    <col min="3075" max="3075" width="19.625" style="682" customWidth="1"/>
    <col min="3076" max="3095" width="12.125" style="682" customWidth="1"/>
    <col min="3096" max="3099" width="15.125" style="682"/>
    <col min="3100" max="3100" width="1.625" style="682" bestFit="1" customWidth="1"/>
    <col min="3101" max="3101" width="18.375" style="682" bestFit="1" customWidth="1"/>
    <col min="3102" max="3102" width="1.875" style="682" bestFit="1" customWidth="1"/>
    <col min="3103" max="3103" width="16.375" style="682" bestFit="1" customWidth="1"/>
    <col min="3104" max="3274" width="15.125" style="682"/>
    <col min="3275" max="3275" width="53.625" style="682" customWidth="1"/>
    <col min="3276" max="3276" width="58.5" style="682" customWidth="1"/>
    <col min="3277" max="3277" width="13" style="682" customWidth="1"/>
    <col min="3278" max="3278" width="12.125" style="682" customWidth="1"/>
    <col min="3279" max="3282" width="0" style="682" hidden="1" customWidth="1"/>
    <col min="3283" max="3283" width="12.125" style="682" bestFit="1" customWidth="1"/>
    <col min="3284" max="3287" width="0" style="682" hidden="1" customWidth="1"/>
    <col min="3288" max="3288" width="12.375" style="682" bestFit="1" customWidth="1"/>
    <col min="3289" max="3292" width="0" style="682" hidden="1" customWidth="1"/>
    <col min="3293" max="3293" width="12.375" style="682" bestFit="1" customWidth="1"/>
    <col min="3294" max="3297" width="11.125" style="682" bestFit="1" customWidth="1"/>
    <col min="3298" max="3298" width="13.5" style="682" bestFit="1" customWidth="1"/>
    <col min="3299" max="3328" width="15.125" style="682"/>
    <col min="3329" max="3329" width="53.375" style="682" customWidth="1"/>
    <col min="3330" max="3330" width="17.875" style="682" bestFit="1" customWidth="1"/>
    <col min="3331" max="3331" width="19.625" style="682" customWidth="1"/>
    <col min="3332" max="3351" width="12.125" style="682" customWidth="1"/>
    <col min="3352" max="3355" width="15.125" style="682"/>
    <col min="3356" max="3356" width="1.625" style="682" bestFit="1" customWidth="1"/>
    <col min="3357" max="3357" width="18.375" style="682" bestFit="1" customWidth="1"/>
    <col min="3358" max="3358" width="1.875" style="682" bestFit="1" customWidth="1"/>
    <col min="3359" max="3359" width="16.375" style="682" bestFit="1" customWidth="1"/>
    <col min="3360" max="3530" width="15.125" style="682"/>
    <col min="3531" max="3531" width="53.625" style="682" customWidth="1"/>
    <col min="3532" max="3532" width="58.5" style="682" customWidth="1"/>
    <col min="3533" max="3533" width="13" style="682" customWidth="1"/>
    <col min="3534" max="3534" width="12.125" style="682" customWidth="1"/>
    <col min="3535" max="3538" width="0" style="682" hidden="1" customWidth="1"/>
    <col min="3539" max="3539" width="12.125" style="682" bestFit="1" customWidth="1"/>
    <col min="3540" max="3543" width="0" style="682" hidden="1" customWidth="1"/>
    <col min="3544" max="3544" width="12.375" style="682" bestFit="1" customWidth="1"/>
    <col min="3545" max="3548" width="0" style="682" hidden="1" customWidth="1"/>
    <col min="3549" max="3549" width="12.375" style="682" bestFit="1" customWidth="1"/>
    <col min="3550" max="3553" width="11.125" style="682" bestFit="1" customWidth="1"/>
    <col min="3554" max="3554" width="13.5" style="682" bestFit="1" customWidth="1"/>
    <col min="3555" max="3584" width="15.125" style="682"/>
    <col min="3585" max="3585" width="53.375" style="682" customWidth="1"/>
    <col min="3586" max="3586" width="17.875" style="682" bestFit="1" customWidth="1"/>
    <col min="3587" max="3587" width="19.625" style="682" customWidth="1"/>
    <col min="3588" max="3607" width="12.125" style="682" customWidth="1"/>
    <col min="3608" max="3611" width="15.125" style="682"/>
    <col min="3612" max="3612" width="1.625" style="682" bestFit="1" customWidth="1"/>
    <col min="3613" max="3613" width="18.375" style="682" bestFit="1" customWidth="1"/>
    <col min="3614" max="3614" width="1.875" style="682" bestFit="1" customWidth="1"/>
    <col min="3615" max="3615" width="16.375" style="682" bestFit="1" customWidth="1"/>
    <col min="3616" max="3786" width="15.125" style="682"/>
    <col min="3787" max="3787" width="53.625" style="682" customWidth="1"/>
    <col min="3788" max="3788" width="58.5" style="682" customWidth="1"/>
    <col min="3789" max="3789" width="13" style="682" customWidth="1"/>
    <col min="3790" max="3790" width="12.125" style="682" customWidth="1"/>
    <col min="3791" max="3794" width="0" style="682" hidden="1" customWidth="1"/>
    <col min="3795" max="3795" width="12.125" style="682" bestFit="1" customWidth="1"/>
    <col min="3796" max="3799" width="0" style="682" hidden="1" customWidth="1"/>
    <col min="3800" max="3800" width="12.375" style="682" bestFit="1" customWidth="1"/>
    <col min="3801" max="3804" width="0" style="682" hidden="1" customWidth="1"/>
    <col min="3805" max="3805" width="12.375" style="682" bestFit="1" customWidth="1"/>
    <col min="3806" max="3809" width="11.125" style="682" bestFit="1" customWidth="1"/>
    <col min="3810" max="3810" width="13.5" style="682" bestFit="1" customWidth="1"/>
    <col min="3811" max="3840" width="15.125" style="682"/>
    <col min="3841" max="3841" width="53.375" style="682" customWidth="1"/>
    <col min="3842" max="3842" width="17.875" style="682" bestFit="1" customWidth="1"/>
    <col min="3843" max="3843" width="19.625" style="682" customWidth="1"/>
    <col min="3844" max="3863" width="12.125" style="682" customWidth="1"/>
    <col min="3864" max="3867" width="15.125" style="682"/>
    <col min="3868" max="3868" width="1.625" style="682" bestFit="1" customWidth="1"/>
    <col min="3869" max="3869" width="18.375" style="682" bestFit="1" customWidth="1"/>
    <col min="3870" max="3870" width="1.875" style="682" bestFit="1" customWidth="1"/>
    <col min="3871" max="3871" width="16.375" style="682" bestFit="1" customWidth="1"/>
    <col min="3872" max="4042" width="15.125" style="682"/>
    <col min="4043" max="4043" width="53.625" style="682" customWidth="1"/>
    <col min="4044" max="4044" width="58.5" style="682" customWidth="1"/>
    <col min="4045" max="4045" width="13" style="682" customWidth="1"/>
    <col min="4046" max="4046" width="12.125" style="682" customWidth="1"/>
    <col min="4047" max="4050" width="0" style="682" hidden="1" customWidth="1"/>
    <col min="4051" max="4051" width="12.125" style="682" bestFit="1" customWidth="1"/>
    <col min="4052" max="4055" width="0" style="682" hidden="1" customWidth="1"/>
    <col min="4056" max="4056" width="12.375" style="682" bestFit="1" customWidth="1"/>
    <col min="4057" max="4060" width="0" style="682" hidden="1" customWidth="1"/>
    <col min="4061" max="4061" width="12.375" style="682" bestFit="1" customWidth="1"/>
    <col min="4062" max="4065" width="11.125" style="682" bestFit="1" customWidth="1"/>
    <col min="4066" max="4066" width="13.5" style="682" bestFit="1" customWidth="1"/>
    <col min="4067" max="4096" width="15.125" style="682"/>
    <col min="4097" max="4097" width="53.375" style="682" customWidth="1"/>
    <col min="4098" max="4098" width="17.875" style="682" bestFit="1" customWidth="1"/>
    <col min="4099" max="4099" width="19.625" style="682" customWidth="1"/>
    <col min="4100" max="4119" width="12.125" style="682" customWidth="1"/>
    <col min="4120" max="4123" width="15.125" style="682"/>
    <col min="4124" max="4124" width="1.625" style="682" bestFit="1" customWidth="1"/>
    <col min="4125" max="4125" width="18.375" style="682" bestFit="1" customWidth="1"/>
    <col min="4126" max="4126" width="1.875" style="682" bestFit="1" customWidth="1"/>
    <col min="4127" max="4127" width="16.375" style="682" bestFit="1" customWidth="1"/>
    <col min="4128" max="4298" width="15.125" style="682"/>
    <col min="4299" max="4299" width="53.625" style="682" customWidth="1"/>
    <col min="4300" max="4300" width="58.5" style="682" customWidth="1"/>
    <col min="4301" max="4301" width="13" style="682" customWidth="1"/>
    <col min="4302" max="4302" width="12.125" style="682" customWidth="1"/>
    <col min="4303" max="4306" width="0" style="682" hidden="1" customWidth="1"/>
    <col min="4307" max="4307" width="12.125" style="682" bestFit="1" customWidth="1"/>
    <col min="4308" max="4311" width="0" style="682" hidden="1" customWidth="1"/>
    <col min="4312" max="4312" width="12.375" style="682" bestFit="1" customWidth="1"/>
    <col min="4313" max="4316" width="0" style="682" hidden="1" customWidth="1"/>
    <col min="4317" max="4317" width="12.375" style="682" bestFit="1" customWidth="1"/>
    <col min="4318" max="4321" width="11.125" style="682" bestFit="1" customWidth="1"/>
    <col min="4322" max="4322" width="13.5" style="682" bestFit="1" customWidth="1"/>
    <col min="4323" max="4352" width="15.125" style="682"/>
    <col min="4353" max="4353" width="53.375" style="682" customWidth="1"/>
    <col min="4354" max="4354" width="17.875" style="682" bestFit="1" customWidth="1"/>
    <col min="4355" max="4355" width="19.625" style="682" customWidth="1"/>
    <col min="4356" max="4375" width="12.125" style="682" customWidth="1"/>
    <col min="4376" max="4379" width="15.125" style="682"/>
    <col min="4380" max="4380" width="1.625" style="682" bestFit="1" customWidth="1"/>
    <col min="4381" max="4381" width="18.375" style="682" bestFit="1" customWidth="1"/>
    <col min="4382" max="4382" width="1.875" style="682" bestFit="1" customWidth="1"/>
    <col min="4383" max="4383" width="16.375" style="682" bestFit="1" customWidth="1"/>
    <col min="4384" max="4554" width="15.125" style="682"/>
    <col min="4555" max="4555" width="53.625" style="682" customWidth="1"/>
    <col min="4556" max="4556" width="58.5" style="682" customWidth="1"/>
    <col min="4557" max="4557" width="13" style="682" customWidth="1"/>
    <col min="4558" max="4558" width="12.125" style="682" customWidth="1"/>
    <col min="4559" max="4562" width="0" style="682" hidden="1" customWidth="1"/>
    <col min="4563" max="4563" width="12.125" style="682" bestFit="1" customWidth="1"/>
    <col min="4564" max="4567" width="0" style="682" hidden="1" customWidth="1"/>
    <col min="4568" max="4568" width="12.375" style="682" bestFit="1" customWidth="1"/>
    <col min="4569" max="4572" width="0" style="682" hidden="1" customWidth="1"/>
    <col min="4573" max="4573" width="12.375" style="682" bestFit="1" customWidth="1"/>
    <col min="4574" max="4577" width="11.125" style="682" bestFit="1" customWidth="1"/>
    <col min="4578" max="4578" width="13.5" style="682" bestFit="1" customWidth="1"/>
    <col min="4579" max="4608" width="15.125" style="682"/>
    <col min="4609" max="4609" width="53.375" style="682" customWidth="1"/>
    <col min="4610" max="4610" width="17.875" style="682" bestFit="1" customWidth="1"/>
    <col min="4611" max="4611" width="19.625" style="682" customWidth="1"/>
    <col min="4612" max="4631" width="12.125" style="682" customWidth="1"/>
    <col min="4632" max="4635" width="15.125" style="682"/>
    <col min="4636" max="4636" width="1.625" style="682" bestFit="1" customWidth="1"/>
    <col min="4637" max="4637" width="18.375" style="682" bestFit="1" customWidth="1"/>
    <col min="4638" max="4638" width="1.875" style="682" bestFit="1" customWidth="1"/>
    <col min="4639" max="4639" width="16.375" style="682" bestFit="1" customWidth="1"/>
    <col min="4640" max="4810" width="15.125" style="682"/>
    <col min="4811" max="4811" width="53.625" style="682" customWidth="1"/>
    <col min="4812" max="4812" width="58.5" style="682" customWidth="1"/>
    <col min="4813" max="4813" width="13" style="682" customWidth="1"/>
    <col min="4814" max="4814" width="12.125" style="682" customWidth="1"/>
    <col min="4815" max="4818" width="0" style="682" hidden="1" customWidth="1"/>
    <col min="4819" max="4819" width="12.125" style="682" bestFit="1" customWidth="1"/>
    <col min="4820" max="4823" width="0" style="682" hidden="1" customWidth="1"/>
    <col min="4824" max="4824" width="12.375" style="682" bestFit="1" customWidth="1"/>
    <col min="4825" max="4828" width="0" style="682" hidden="1" customWidth="1"/>
    <col min="4829" max="4829" width="12.375" style="682" bestFit="1" customWidth="1"/>
    <col min="4830" max="4833" width="11.125" style="682" bestFit="1" customWidth="1"/>
    <col min="4834" max="4834" width="13.5" style="682" bestFit="1" customWidth="1"/>
    <col min="4835" max="4864" width="15.125" style="682"/>
    <col min="4865" max="4865" width="53.375" style="682" customWidth="1"/>
    <col min="4866" max="4866" width="17.875" style="682" bestFit="1" customWidth="1"/>
    <col min="4867" max="4867" width="19.625" style="682" customWidth="1"/>
    <col min="4868" max="4887" width="12.125" style="682" customWidth="1"/>
    <col min="4888" max="4891" width="15.125" style="682"/>
    <col min="4892" max="4892" width="1.625" style="682" bestFit="1" customWidth="1"/>
    <col min="4893" max="4893" width="18.375" style="682" bestFit="1" customWidth="1"/>
    <col min="4894" max="4894" width="1.875" style="682" bestFit="1" customWidth="1"/>
    <col min="4895" max="4895" width="16.375" style="682" bestFit="1" customWidth="1"/>
    <col min="4896" max="5066" width="15.125" style="682"/>
    <col min="5067" max="5067" width="53.625" style="682" customWidth="1"/>
    <col min="5068" max="5068" width="58.5" style="682" customWidth="1"/>
    <col min="5069" max="5069" width="13" style="682" customWidth="1"/>
    <col min="5070" max="5070" width="12.125" style="682" customWidth="1"/>
    <col min="5071" max="5074" width="0" style="682" hidden="1" customWidth="1"/>
    <col min="5075" max="5075" width="12.125" style="682" bestFit="1" customWidth="1"/>
    <col min="5076" max="5079" width="0" style="682" hidden="1" customWidth="1"/>
    <col min="5080" max="5080" width="12.375" style="682" bestFit="1" customWidth="1"/>
    <col min="5081" max="5084" width="0" style="682" hidden="1" customWidth="1"/>
    <col min="5085" max="5085" width="12.375" style="682" bestFit="1" customWidth="1"/>
    <col min="5086" max="5089" width="11.125" style="682" bestFit="1" customWidth="1"/>
    <col min="5090" max="5090" width="13.5" style="682" bestFit="1" customWidth="1"/>
    <col min="5091" max="5120" width="15.125" style="682"/>
    <col min="5121" max="5121" width="53.375" style="682" customWidth="1"/>
    <col min="5122" max="5122" width="17.875" style="682" bestFit="1" customWidth="1"/>
    <col min="5123" max="5123" width="19.625" style="682" customWidth="1"/>
    <col min="5124" max="5143" width="12.125" style="682" customWidth="1"/>
    <col min="5144" max="5147" width="15.125" style="682"/>
    <col min="5148" max="5148" width="1.625" style="682" bestFit="1" customWidth="1"/>
    <col min="5149" max="5149" width="18.375" style="682" bestFit="1" customWidth="1"/>
    <col min="5150" max="5150" width="1.875" style="682" bestFit="1" customWidth="1"/>
    <col min="5151" max="5151" width="16.375" style="682" bestFit="1" customWidth="1"/>
    <col min="5152" max="5322" width="15.125" style="682"/>
    <col min="5323" max="5323" width="53.625" style="682" customWidth="1"/>
    <col min="5324" max="5324" width="58.5" style="682" customWidth="1"/>
    <col min="5325" max="5325" width="13" style="682" customWidth="1"/>
    <col min="5326" max="5326" width="12.125" style="682" customWidth="1"/>
    <col min="5327" max="5330" width="0" style="682" hidden="1" customWidth="1"/>
    <col min="5331" max="5331" width="12.125" style="682" bestFit="1" customWidth="1"/>
    <col min="5332" max="5335" width="0" style="682" hidden="1" customWidth="1"/>
    <col min="5336" max="5336" width="12.375" style="682" bestFit="1" customWidth="1"/>
    <col min="5337" max="5340" width="0" style="682" hidden="1" customWidth="1"/>
    <col min="5341" max="5341" width="12.375" style="682" bestFit="1" customWidth="1"/>
    <col min="5342" max="5345" width="11.125" style="682" bestFit="1" customWidth="1"/>
    <col min="5346" max="5346" width="13.5" style="682" bestFit="1" customWidth="1"/>
    <col min="5347" max="5376" width="15.125" style="682"/>
    <col min="5377" max="5377" width="53.375" style="682" customWidth="1"/>
    <col min="5378" max="5378" width="17.875" style="682" bestFit="1" customWidth="1"/>
    <col min="5379" max="5379" width="19.625" style="682" customWidth="1"/>
    <col min="5380" max="5399" width="12.125" style="682" customWidth="1"/>
    <col min="5400" max="5403" width="15.125" style="682"/>
    <col min="5404" max="5404" width="1.625" style="682" bestFit="1" customWidth="1"/>
    <col min="5405" max="5405" width="18.375" style="682" bestFit="1" customWidth="1"/>
    <col min="5406" max="5406" width="1.875" style="682" bestFit="1" customWidth="1"/>
    <col min="5407" max="5407" width="16.375" style="682" bestFit="1" customWidth="1"/>
    <col min="5408" max="5578" width="15.125" style="682"/>
    <col min="5579" max="5579" width="53.625" style="682" customWidth="1"/>
    <col min="5580" max="5580" width="58.5" style="682" customWidth="1"/>
    <col min="5581" max="5581" width="13" style="682" customWidth="1"/>
    <col min="5582" max="5582" width="12.125" style="682" customWidth="1"/>
    <col min="5583" max="5586" width="0" style="682" hidden="1" customWidth="1"/>
    <col min="5587" max="5587" width="12.125" style="682" bestFit="1" customWidth="1"/>
    <col min="5588" max="5591" width="0" style="682" hidden="1" customWidth="1"/>
    <col min="5592" max="5592" width="12.375" style="682" bestFit="1" customWidth="1"/>
    <col min="5593" max="5596" width="0" style="682" hidden="1" customWidth="1"/>
    <col min="5597" max="5597" width="12.375" style="682" bestFit="1" customWidth="1"/>
    <col min="5598" max="5601" width="11.125" style="682" bestFit="1" customWidth="1"/>
    <col min="5602" max="5602" width="13.5" style="682" bestFit="1" customWidth="1"/>
    <col min="5603" max="5632" width="15.125" style="682"/>
    <col min="5633" max="5633" width="53.375" style="682" customWidth="1"/>
    <col min="5634" max="5634" width="17.875" style="682" bestFit="1" customWidth="1"/>
    <col min="5635" max="5635" width="19.625" style="682" customWidth="1"/>
    <col min="5636" max="5655" width="12.125" style="682" customWidth="1"/>
    <col min="5656" max="5659" width="15.125" style="682"/>
    <col min="5660" max="5660" width="1.625" style="682" bestFit="1" customWidth="1"/>
    <col min="5661" max="5661" width="18.375" style="682" bestFit="1" customWidth="1"/>
    <col min="5662" max="5662" width="1.875" style="682" bestFit="1" customWidth="1"/>
    <col min="5663" max="5663" width="16.375" style="682" bestFit="1" customWidth="1"/>
    <col min="5664" max="5834" width="15.125" style="682"/>
    <col min="5835" max="5835" width="53.625" style="682" customWidth="1"/>
    <col min="5836" max="5836" width="58.5" style="682" customWidth="1"/>
    <col min="5837" max="5837" width="13" style="682" customWidth="1"/>
    <col min="5838" max="5838" width="12.125" style="682" customWidth="1"/>
    <col min="5839" max="5842" width="0" style="682" hidden="1" customWidth="1"/>
    <col min="5843" max="5843" width="12.125" style="682" bestFit="1" customWidth="1"/>
    <col min="5844" max="5847" width="0" style="682" hidden="1" customWidth="1"/>
    <col min="5848" max="5848" width="12.375" style="682" bestFit="1" customWidth="1"/>
    <col min="5849" max="5852" width="0" style="682" hidden="1" customWidth="1"/>
    <col min="5853" max="5853" width="12.375" style="682" bestFit="1" customWidth="1"/>
    <col min="5854" max="5857" width="11.125" style="682" bestFit="1" customWidth="1"/>
    <col min="5858" max="5858" width="13.5" style="682" bestFit="1" customWidth="1"/>
    <col min="5859" max="5888" width="15.125" style="682"/>
    <col min="5889" max="5889" width="53.375" style="682" customWidth="1"/>
    <col min="5890" max="5890" width="17.875" style="682" bestFit="1" customWidth="1"/>
    <col min="5891" max="5891" width="19.625" style="682" customWidth="1"/>
    <col min="5892" max="5911" width="12.125" style="682" customWidth="1"/>
    <col min="5912" max="5915" width="15.125" style="682"/>
    <col min="5916" max="5916" width="1.625" style="682" bestFit="1" customWidth="1"/>
    <col min="5917" max="5917" width="18.375" style="682" bestFit="1" customWidth="1"/>
    <col min="5918" max="5918" width="1.875" style="682" bestFit="1" customWidth="1"/>
    <col min="5919" max="5919" width="16.375" style="682" bestFit="1" customWidth="1"/>
    <col min="5920" max="6090" width="15.125" style="682"/>
    <col min="6091" max="6091" width="53.625" style="682" customWidth="1"/>
    <col min="6092" max="6092" width="58.5" style="682" customWidth="1"/>
    <col min="6093" max="6093" width="13" style="682" customWidth="1"/>
    <col min="6094" max="6094" width="12.125" style="682" customWidth="1"/>
    <col min="6095" max="6098" width="0" style="682" hidden="1" customWidth="1"/>
    <col min="6099" max="6099" width="12.125" style="682" bestFit="1" customWidth="1"/>
    <col min="6100" max="6103" width="0" style="682" hidden="1" customWidth="1"/>
    <col min="6104" max="6104" width="12.375" style="682" bestFit="1" customWidth="1"/>
    <col min="6105" max="6108" width="0" style="682" hidden="1" customWidth="1"/>
    <col min="6109" max="6109" width="12.375" style="682" bestFit="1" customWidth="1"/>
    <col min="6110" max="6113" width="11.125" style="682" bestFit="1" customWidth="1"/>
    <col min="6114" max="6114" width="13.5" style="682" bestFit="1" customWidth="1"/>
    <col min="6115" max="6144" width="15.125" style="682"/>
    <col min="6145" max="6145" width="53.375" style="682" customWidth="1"/>
    <col min="6146" max="6146" width="17.875" style="682" bestFit="1" customWidth="1"/>
    <col min="6147" max="6147" width="19.625" style="682" customWidth="1"/>
    <col min="6148" max="6167" width="12.125" style="682" customWidth="1"/>
    <col min="6168" max="6171" width="15.125" style="682"/>
    <col min="6172" max="6172" width="1.625" style="682" bestFit="1" customWidth="1"/>
    <col min="6173" max="6173" width="18.375" style="682" bestFit="1" customWidth="1"/>
    <col min="6174" max="6174" width="1.875" style="682" bestFit="1" customWidth="1"/>
    <col min="6175" max="6175" width="16.375" style="682" bestFit="1" customWidth="1"/>
    <col min="6176" max="6346" width="15.125" style="682"/>
    <col min="6347" max="6347" width="53.625" style="682" customWidth="1"/>
    <col min="6348" max="6348" width="58.5" style="682" customWidth="1"/>
    <col min="6349" max="6349" width="13" style="682" customWidth="1"/>
    <col min="6350" max="6350" width="12.125" style="682" customWidth="1"/>
    <col min="6351" max="6354" width="0" style="682" hidden="1" customWidth="1"/>
    <col min="6355" max="6355" width="12.125" style="682" bestFit="1" customWidth="1"/>
    <col min="6356" max="6359" width="0" style="682" hidden="1" customWidth="1"/>
    <col min="6360" max="6360" width="12.375" style="682" bestFit="1" customWidth="1"/>
    <col min="6361" max="6364" width="0" style="682" hidden="1" customWidth="1"/>
    <col min="6365" max="6365" width="12.375" style="682" bestFit="1" customWidth="1"/>
    <col min="6366" max="6369" width="11.125" style="682" bestFit="1" customWidth="1"/>
    <col min="6370" max="6370" width="13.5" style="682" bestFit="1" customWidth="1"/>
    <col min="6371" max="6400" width="15.125" style="682"/>
    <col min="6401" max="6401" width="53.375" style="682" customWidth="1"/>
    <col min="6402" max="6402" width="17.875" style="682" bestFit="1" customWidth="1"/>
    <col min="6403" max="6403" width="19.625" style="682" customWidth="1"/>
    <col min="6404" max="6423" width="12.125" style="682" customWidth="1"/>
    <col min="6424" max="6427" width="15.125" style="682"/>
    <col min="6428" max="6428" width="1.625" style="682" bestFit="1" customWidth="1"/>
    <col min="6429" max="6429" width="18.375" style="682" bestFit="1" customWidth="1"/>
    <col min="6430" max="6430" width="1.875" style="682" bestFit="1" customWidth="1"/>
    <col min="6431" max="6431" width="16.375" style="682" bestFit="1" customWidth="1"/>
    <col min="6432" max="6602" width="15.125" style="682"/>
    <col min="6603" max="6603" width="53.625" style="682" customWidth="1"/>
    <col min="6604" max="6604" width="58.5" style="682" customWidth="1"/>
    <col min="6605" max="6605" width="13" style="682" customWidth="1"/>
    <col min="6606" max="6606" width="12.125" style="682" customWidth="1"/>
    <col min="6607" max="6610" width="0" style="682" hidden="1" customWidth="1"/>
    <col min="6611" max="6611" width="12.125" style="682" bestFit="1" customWidth="1"/>
    <col min="6612" max="6615" width="0" style="682" hidden="1" customWidth="1"/>
    <col min="6616" max="6616" width="12.375" style="682" bestFit="1" customWidth="1"/>
    <col min="6617" max="6620" width="0" style="682" hidden="1" customWidth="1"/>
    <col min="6621" max="6621" width="12.375" style="682" bestFit="1" customWidth="1"/>
    <col min="6622" max="6625" width="11.125" style="682" bestFit="1" customWidth="1"/>
    <col min="6626" max="6626" width="13.5" style="682" bestFit="1" customWidth="1"/>
    <col min="6627" max="6656" width="15.125" style="682"/>
    <col min="6657" max="6657" width="53.375" style="682" customWidth="1"/>
    <col min="6658" max="6658" width="17.875" style="682" bestFit="1" customWidth="1"/>
    <col min="6659" max="6659" width="19.625" style="682" customWidth="1"/>
    <col min="6660" max="6679" width="12.125" style="682" customWidth="1"/>
    <col min="6680" max="6683" width="15.125" style="682"/>
    <col min="6684" max="6684" width="1.625" style="682" bestFit="1" customWidth="1"/>
    <col min="6685" max="6685" width="18.375" style="682" bestFit="1" customWidth="1"/>
    <col min="6686" max="6686" width="1.875" style="682" bestFit="1" customWidth="1"/>
    <col min="6687" max="6687" width="16.375" style="682" bestFit="1" customWidth="1"/>
    <col min="6688" max="6858" width="15.125" style="682"/>
    <col min="6859" max="6859" width="53.625" style="682" customWidth="1"/>
    <col min="6860" max="6860" width="58.5" style="682" customWidth="1"/>
    <col min="6861" max="6861" width="13" style="682" customWidth="1"/>
    <col min="6862" max="6862" width="12.125" style="682" customWidth="1"/>
    <col min="6863" max="6866" width="0" style="682" hidden="1" customWidth="1"/>
    <col min="6867" max="6867" width="12.125" style="682" bestFit="1" customWidth="1"/>
    <col min="6868" max="6871" width="0" style="682" hidden="1" customWidth="1"/>
    <col min="6872" max="6872" width="12.375" style="682" bestFit="1" customWidth="1"/>
    <col min="6873" max="6876" width="0" style="682" hidden="1" customWidth="1"/>
    <col min="6877" max="6877" width="12.375" style="682" bestFit="1" customWidth="1"/>
    <col min="6878" max="6881" width="11.125" style="682" bestFit="1" customWidth="1"/>
    <col min="6882" max="6882" width="13.5" style="682" bestFit="1" customWidth="1"/>
    <col min="6883" max="6912" width="15.125" style="682"/>
    <col min="6913" max="6913" width="53.375" style="682" customWidth="1"/>
    <col min="6914" max="6914" width="17.875" style="682" bestFit="1" customWidth="1"/>
    <col min="6915" max="6915" width="19.625" style="682" customWidth="1"/>
    <col min="6916" max="6935" width="12.125" style="682" customWidth="1"/>
    <col min="6936" max="6939" width="15.125" style="682"/>
    <col min="6940" max="6940" width="1.625" style="682" bestFit="1" customWidth="1"/>
    <col min="6941" max="6941" width="18.375" style="682" bestFit="1" customWidth="1"/>
    <col min="6942" max="6942" width="1.875" style="682" bestFit="1" customWidth="1"/>
    <col min="6943" max="6943" width="16.375" style="682" bestFit="1" customWidth="1"/>
    <col min="6944" max="7114" width="15.125" style="682"/>
    <col min="7115" max="7115" width="53.625" style="682" customWidth="1"/>
    <col min="7116" max="7116" width="58.5" style="682" customWidth="1"/>
    <col min="7117" max="7117" width="13" style="682" customWidth="1"/>
    <col min="7118" max="7118" width="12.125" style="682" customWidth="1"/>
    <col min="7119" max="7122" width="0" style="682" hidden="1" customWidth="1"/>
    <col min="7123" max="7123" width="12.125" style="682" bestFit="1" customWidth="1"/>
    <col min="7124" max="7127" width="0" style="682" hidden="1" customWidth="1"/>
    <col min="7128" max="7128" width="12.375" style="682" bestFit="1" customWidth="1"/>
    <col min="7129" max="7132" width="0" style="682" hidden="1" customWidth="1"/>
    <col min="7133" max="7133" width="12.375" style="682" bestFit="1" customWidth="1"/>
    <col min="7134" max="7137" width="11.125" style="682" bestFit="1" customWidth="1"/>
    <col min="7138" max="7138" width="13.5" style="682" bestFit="1" customWidth="1"/>
    <col min="7139" max="7168" width="15.125" style="682"/>
    <col min="7169" max="7169" width="53.375" style="682" customWidth="1"/>
    <col min="7170" max="7170" width="17.875" style="682" bestFit="1" customWidth="1"/>
    <col min="7171" max="7171" width="19.625" style="682" customWidth="1"/>
    <col min="7172" max="7191" width="12.125" style="682" customWidth="1"/>
    <col min="7192" max="7195" width="15.125" style="682"/>
    <col min="7196" max="7196" width="1.625" style="682" bestFit="1" customWidth="1"/>
    <col min="7197" max="7197" width="18.375" style="682" bestFit="1" customWidth="1"/>
    <col min="7198" max="7198" width="1.875" style="682" bestFit="1" customWidth="1"/>
    <col min="7199" max="7199" width="16.375" style="682" bestFit="1" customWidth="1"/>
    <col min="7200" max="7370" width="15.125" style="682"/>
    <col min="7371" max="7371" width="53.625" style="682" customWidth="1"/>
    <col min="7372" max="7372" width="58.5" style="682" customWidth="1"/>
    <col min="7373" max="7373" width="13" style="682" customWidth="1"/>
    <col min="7374" max="7374" width="12.125" style="682" customWidth="1"/>
    <col min="7375" max="7378" width="0" style="682" hidden="1" customWidth="1"/>
    <col min="7379" max="7379" width="12.125" style="682" bestFit="1" customWidth="1"/>
    <col min="7380" max="7383" width="0" style="682" hidden="1" customWidth="1"/>
    <col min="7384" max="7384" width="12.375" style="682" bestFit="1" customWidth="1"/>
    <col min="7385" max="7388" width="0" style="682" hidden="1" customWidth="1"/>
    <col min="7389" max="7389" width="12.375" style="682" bestFit="1" customWidth="1"/>
    <col min="7390" max="7393" width="11.125" style="682" bestFit="1" customWidth="1"/>
    <col min="7394" max="7394" width="13.5" style="682" bestFit="1" customWidth="1"/>
    <col min="7395" max="7424" width="15.125" style="682"/>
    <col min="7425" max="7425" width="53.375" style="682" customWidth="1"/>
    <col min="7426" max="7426" width="17.875" style="682" bestFit="1" customWidth="1"/>
    <col min="7427" max="7427" width="19.625" style="682" customWidth="1"/>
    <col min="7428" max="7447" width="12.125" style="682" customWidth="1"/>
    <col min="7448" max="7451" width="15.125" style="682"/>
    <col min="7452" max="7452" width="1.625" style="682" bestFit="1" customWidth="1"/>
    <col min="7453" max="7453" width="18.375" style="682" bestFit="1" customWidth="1"/>
    <col min="7454" max="7454" width="1.875" style="682" bestFit="1" customWidth="1"/>
    <col min="7455" max="7455" width="16.375" style="682" bestFit="1" customWidth="1"/>
    <col min="7456" max="7626" width="15.125" style="682"/>
    <col min="7627" max="7627" width="53.625" style="682" customWidth="1"/>
    <col min="7628" max="7628" width="58.5" style="682" customWidth="1"/>
    <col min="7629" max="7629" width="13" style="682" customWidth="1"/>
    <col min="7630" max="7630" width="12.125" style="682" customWidth="1"/>
    <col min="7631" max="7634" width="0" style="682" hidden="1" customWidth="1"/>
    <col min="7635" max="7635" width="12.125" style="682" bestFit="1" customWidth="1"/>
    <col min="7636" max="7639" width="0" style="682" hidden="1" customWidth="1"/>
    <col min="7640" max="7640" width="12.375" style="682" bestFit="1" customWidth="1"/>
    <col min="7641" max="7644" width="0" style="682" hidden="1" customWidth="1"/>
    <col min="7645" max="7645" width="12.375" style="682" bestFit="1" customWidth="1"/>
    <col min="7646" max="7649" width="11.125" style="682" bestFit="1" customWidth="1"/>
    <col min="7650" max="7650" width="13.5" style="682" bestFit="1" customWidth="1"/>
    <col min="7651" max="7680" width="15.125" style="682"/>
    <col min="7681" max="7681" width="53.375" style="682" customWidth="1"/>
    <col min="7682" max="7682" width="17.875" style="682" bestFit="1" customWidth="1"/>
    <col min="7683" max="7683" width="19.625" style="682" customWidth="1"/>
    <col min="7684" max="7703" width="12.125" style="682" customWidth="1"/>
    <col min="7704" max="7707" width="15.125" style="682"/>
    <col min="7708" max="7708" width="1.625" style="682" bestFit="1" customWidth="1"/>
    <col min="7709" max="7709" width="18.375" style="682" bestFit="1" customWidth="1"/>
    <col min="7710" max="7710" width="1.875" style="682" bestFit="1" customWidth="1"/>
    <col min="7711" max="7711" width="16.375" style="682" bestFit="1" customWidth="1"/>
    <col min="7712" max="7882" width="15.125" style="682"/>
    <col min="7883" max="7883" width="53.625" style="682" customWidth="1"/>
    <col min="7884" max="7884" width="58.5" style="682" customWidth="1"/>
    <col min="7885" max="7885" width="13" style="682" customWidth="1"/>
    <col min="7886" max="7886" width="12.125" style="682" customWidth="1"/>
    <col min="7887" max="7890" width="0" style="682" hidden="1" customWidth="1"/>
    <col min="7891" max="7891" width="12.125" style="682" bestFit="1" customWidth="1"/>
    <col min="7892" max="7895" width="0" style="682" hidden="1" customWidth="1"/>
    <col min="7896" max="7896" width="12.375" style="682" bestFit="1" customWidth="1"/>
    <col min="7897" max="7900" width="0" style="682" hidden="1" customWidth="1"/>
    <col min="7901" max="7901" width="12.375" style="682" bestFit="1" customWidth="1"/>
    <col min="7902" max="7905" width="11.125" style="682" bestFit="1" customWidth="1"/>
    <col min="7906" max="7906" width="13.5" style="682" bestFit="1" customWidth="1"/>
    <col min="7907" max="7936" width="15.125" style="682"/>
    <col min="7937" max="7937" width="53.375" style="682" customWidth="1"/>
    <col min="7938" max="7938" width="17.875" style="682" bestFit="1" customWidth="1"/>
    <col min="7939" max="7939" width="19.625" style="682" customWidth="1"/>
    <col min="7940" max="7959" width="12.125" style="682" customWidth="1"/>
    <col min="7960" max="7963" width="15.125" style="682"/>
    <col min="7964" max="7964" width="1.625" style="682" bestFit="1" customWidth="1"/>
    <col min="7965" max="7965" width="18.375" style="682" bestFit="1" customWidth="1"/>
    <col min="7966" max="7966" width="1.875" style="682" bestFit="1" customWidth="1"/>
    <col min="7967" max="7967" width="16.375" style="682" bestFit="1" customWidth="1"/>
    <col min="7968" max="8138" width="15.125" style="682"/>
    <col min="8139" max="8139" width="53.625" style="682" customWidth="1"/>
    <col min="8140" max="8140" width="58.5" style="682" customWidth="1"/>
    <col min="8141" max="8141" width="13" style="682" customWidth="1"/>
    <col min="8142" max="8142" width="12.125" style="682" customWidth="1"/>
    <col min="8143" max="8146" width="0" style="682" hidden="1" customWidth="1"/>
    <col min="8147" max="8147" width="12.125" style="682" bestFit="1" customWidth="1"/>
    <col min="8148" max="8151" width="0" style="682" hidden="1" customWidth="1"/>
    <col min="8152" max="8152" width="12.375" style="682" bestFit="1" customWidth="1"/>
    <col min="8153" max="8156" width="0" style="682" hidden="1" customWidth="1"/>
    <col min="8157" max="8157" width="12.375" style="682" bestFit="1" customWidth="1"/>
    <col min="8158" max="8161" width="11.125" style="682" bestFit="1" customWidth="1"/>
    <col min="8162" max="8162" width="13.5" style="682" bestFit="1" customWidth="1"/>
    <col min="8163" max="8192" width="15.125" style="682"/>
    <col min="8193" max="8193" width="53.375" style="682" customWidth="1"/>
    <col min="8194" max="8194" width="17.875" style="682" bestFit="1" customWidth="1"/>
    <col min="8195" max="8195" width="19.625" style="682" customWidth="1"/>
    <col min="8196" max="8215" width="12.125" style="682" customWidth="1"/>
    <col min="8216" max="8219" width="15.125" style="682"/>
    <col min="8220" max="8220" width="1.625" style="682" bestFit="1" customWidth="1"/>
    <col min="8221" max="8221" width="18.375" style="682" bestFit="1" customWidth="1"/>
    <col min="8222" max="8222" width="1.875" style="682" bestFit="1" customWidth="1"/>
    <col min="8223" max="8223" width="16.375" style="682" bestFit="1" customWidth="1"/>
    <col min="8224" max="8394" width="15.125" style="682"/>
    <col min="8395" max="8395" width="53.625" style="682" customWidth="1"/>
    <col min="8396" max="8396" width="58.5" style="682" customWidth="1"/>
    <col min="8397" max="8397" width="13" style="682" customWidth="1"/>
    <col min="8398" max="8398" width="12.125" style="682" customWidth="1"/>
    <col min="8399" max="8402" width="0" style="682" hidden="1" customWidth="1"/>
    <col min="8403" max="8403" width="12.125" style="682" bestFit="1" customWidth="1"/>
    <col min="8404" max="8407" width="0" style="682" hidden="1" customWidth="1"/>
    <col min="8408" max="8408" width="12.375" style="682" bestFit="1" customWidth="1"/>
    <col min="8409" max="8412" width="0" style="682" hidden="1" customWidth="1"/>
    <col min="8413" max="8413" width="12.375" style="682" bestFit="1" customWidth="1"/>
    <col min="8414" max="8417" width="11.125" style="682" bestFit="1" customWidth="1"/>
    <col min="8418" max="8418" width="13.5" style="682" bestFit="1" customWidth="1"/>
    <col min="8419" max="8448" width="15.125" style="682"/>
    <col min="8449" max="8449" width="53.375" style="682" customWidth="1"/>
    <col min="8450" max="8450" width="17.875" style="682" bestFit="1" customWidth="1"/>
    <col min="8451" max="8451" width="19.625" style="682" customWidth="1"/>
    <col min="8452" max="8471" width="12.125" style="682" customWidth="1"/>
    <col min="8472" max="8475" width="15.125" style="682"/>
    <col min="8476" max="8476" width="1.625" style="682" bestFit="1" customWidth="1"/>
    <col min="8477" max="8477" width="18.375" style="682" bestFit="1" customWidth="1"/>
    <col min="8478" max="8478" width="1.875" style="682" bestFit="1" customWidth="1"/>
    <col min="8479" max="8479" width="16.375" style="682" bestFit="1" customWidth="1"/>
    <col min="8480" max="8650" width="15.125" style="682"/>
    <col min="8651" max="8651" width="53.625" style="682" customWidth="1"/>
    <col min="8652" max="8652" width="58.5" style="682" customWidth="1"/>
    <col min="8653" max="8653" width="13" style="682" customWidth="1"/>
    <col min="8654" max="8654" width="12.125" style="682" customWidth="1"/>
    <col min="8655" max="8658" width="0" style="682" hidden="1" customWidth="1"/>
    <col min="8659" max="8659" width="12.125" style="682" bestFit="1" customWidth="1"/>
    <col min="8660" max="8663" width="0" style="682" hidden="1" customWidth="1"/>
    <col min="8664" max="8664" width="12.375" style="682" bestFit="1" customWidth="1"/>
    <col min="8665" max="8668" width="0" style="682" hidden="1" customWidth="1"/>
    <col min="8669" max="8669" width="12.375" style="682" bestFit="1" customWidth="1"/>
    <col min="8670" max="8673" width="11.125" style="682" bestFit="1" customWidth="1"/>
    <col min="8674" max="8674" width="13.5" style="682" bestFit="1" customWidth="1"/>
    <col min="8675" max="8704" width="15.125" style="682"/>
    <col min="8705" max="8705" width="53.375" style="682" customWidth="1"/>
    <col min="8706" max="8706" width="17.875" style="682" bestFit="1" customWidth="1"/>
    <col min="8707" max="8707" width="19.625" style="682" customWidth="1"/>
    <col min="8708" max="8727" width="12.125" style="682" customWidth="1"/>
    <col min="8728" max="8731" width="15.125" style="682"/>
    <col min="8732" max="8732" width="1.625" style="682" bestFit="1" customWidth="1"/>
    <col min="8733" max="8733" width="18.375" style="682" bestFit="1" customWidth="1"/>
    <col min="8734" max="8734" width="1.875" style="682" bestFit="1" customWidth="1"/>
    <col min="8735" max="8735" width="16.375" style="682" bestFit="1" customWidth="1"/>
    <col min="8736" max="8906" width="15.125" style="682"/>
    <col min="8907" max="8907" width="53.625" style="682" customWidth="1"/>
    <col min="8908" max="8908" width="58.5" style="682" customWidth="1"/>
    <col min="8909" max="8909" width="13" style="682" customWidth="1"/>
    <col min="8910" max="8910" width="12.125" style="682" customWidth="1"/>
    <col min="8911" max="8914" width="0" style="682" hidden="1" customWidth="1"/>
    <col min="8915" max="8915" width="12.125" style="682" bestFit="1" customWidth="1"/>
    <col min="8916" max="8919" width="0" style="682" hidden="1" customWidth="1"/>
    <col min="8920" max="8920" width="12.375" style="682" bestFit="1" customWidth="1"/>
    <col min="8921" max="8924" width="0" style="682" hidden="1" customWidth="1"/>
    <col min="8925" max="8925" width="12.375" style="682" bestFit="1" customWidth="1"/>
    <col min="8926" max="8929" width="11.125" style="682" bestFit="1" customWidth="1"/>
    <col min="8930" max="8930" width="13.5" style="682" bestFit="1" customWidth="1"/>
    <col min="8931" max="8960" width="15.125" style="682"/>
    <col min="8961" max="8961" width="53.375" style="682" customWidth="1"/>
    <col min="8962" max="8962" width="17.875" style="682" bestFit="1" customWidth="1"/>
    <col min="8963" max="8963" width="19.625" style="682" customWidth="1"/>
    <col min="8964" max="8983" width="12.125" style="682" customWidth="1"/>
    <col min="8984" max="8987" width="15.125" style="682"/>
    <col min="8988" max="8988" width="1.625" style="682" bestFit="1" customWidth="1"/>
    <col min="8989" max="8989" width="18.375" style="682" bestFit="1" customWidth="1"/>
    <col min="8990" max="8990" width="1.875" style="682" bestFit="1" customWidth="1"/>
    <col min="8991" max="8991" width="16.375" style="682" bestFit="1" customWidth="1"/>
    <col min="8992" max="9162" width="15.125" style="682"/>
    <col min="9163" max="9163" width="53.625" style="682" customWidth="1"/>
    <col min="9164" max="9164" width="58.5" style="682" customWidth="1"/>
    <col min="9165" max="9165" width="13" style="682" customWidth="1"/>
    <col min="9166" max="9166" width="12.125" style="682" customWidth="1"/>
    <col min="9167" max="9170" width="0" style="682" hidden="1" customWidth="1"/>
    <col min="9171" max="9171" width="12.125" style="682" bestFit="1" customWidth="1"/>
    <col min="9172" max="9175" width="0" style="682" hidden="1" customWidth="1"/>
    <col min="9176" max="9176" width="12.375" style="682" bestFit="1" customWidth="1"/>
    <col min="9177" max="9180" width="0" style="682" hidden="1" customWidth="1"/>
    <col min="9181" max="9181" width="12.375" style="682" bestFit="1" customWidth="1"/>
    <col min="9182" max="9185" width="11.125" style="682" bestFit="1" customWidth="1"/>
    <col min="9186" max="9186" width="13.5" style="682" bestFit="1" customWidth="1"/>
    <col min="9187" max="9216" width="15.125" style="682"/>
    <col min="9217" max="9217" width="53.375" style="682" customWidth="1"/>
    <col min="9218" max="9218" width="17.875" style="682" bestFit="1" customWidth="1"/>
    <col min="9219" max="9219" width="19.625" style="682" customWidth="1"/>
    <col min="9220" max="9239" width="12.125" style="682" customWidth="1"/>
    <col min="9240" max="9243" width="15.125" style="682"/>
    <col min="9244" max="9244" width="1.625" style="682" bestFit="1" customWidth="1"/>
    <col min="9245" max="9245" width="18.375" style="682" bestFit="1" customWidth="1"/>
    <col min="9246" max="9246" width="1.875" style="682" bestFit="1" customWidth="1"/>
    <col min="9247" max="9247" width="16.375" style="682" bestFit="1" customWidth="1"/>
    <col min="9248" max="9418" width="15.125" style="682"/>
    <col min="9419" max="9419" width="53.625" style="682" customWidth="1"/>
    <col min="9420" max="9420" width="58.5" style="682" customWidth="1"/>
    <col min="9421" max="9421" width="13" style="682" customWidth="1"/>
    <col min="9422" max="9422" width="12.125" style="682" customWidth="1"/>
    <col min="9423" max="9426" width="0" style="682" hidden="1" customWidth="1"/>
    <col min="9427" max="9427" width="12.125" style="682" bestFit="1" customWidth="1"/>
    <col min="9428" max="9431" width="0" style="682" hidden="1" customWidth="1"/>
    <col min="9432" max="9432" width="12.375" style="682" bestFit="1" customWidth="1"/>
    <col min="9433" max="9436" width="0" style="682" hidden="1" customWidth="1"/>
    <col min="9437" max="9437" width="12.375" style="682" bestFit="1" customWidth="1"/>
    <col min="9438" max="9441" width="11.125" style="682" bestFit="1" customWidth="1"/>
    <col min="9442" max="9442" width="13.5" style="682" bestFit="1" customWidth="1"/>
    <col min="9443" max="9472" width="15.125" style="682"/>
    <col min="9473" max="9473" width="53.375" style="682" customWidth="1"/>
    <col min="9474" max="9474" width="17.875" style="682" bestFit="1" customWidth="1"/>
    <col min="9475" max="9475" width="19.625" style="682" customWidth="1"/>
    <col min="9476" max="9495" width="12.125" style="682" customWidth="1"/>
    <col min="9496" max="9499" width="15.125" style="682"/>
    <col min="9500" max="9500" width="1.625" style="682" bestFit="1" customWidth="1"/>
    <col min="9501" max="9501" width="18.375" style="682" bestFit="1" customWidth="1"/>
    <col min="9502" max="9502" width="1.875" style="682" bestFit="1" customWidth="1"/>
    <col min="9503" max="9503" width="16.375" style="682" bestFit="1" customWidth="1"/>
    <col min="9504" max="9674" width="15.125" style="682"/>
    <col min="9675" max="9675" width="53.625" style="682" customWidth="1"/>
    <col min="9676" max="9676" width="58.5" style="682" customWidth="1"/>
    <col min="9677" max="9677" width="13" style="682" customWidth="1"/>
    <col min="9678" max="9678" width="12.125" style="682" customWidth="1"/>
    <col min="9679" max="9682" width="0" style="682" hidden="1" customWidth="1"/>
    <col min="9683" max="9683" width="12.125" style="682" bestFit="1" customWidth="1"/>
    <col min="9684" max="9687" width="0" style="682" hidden="1" customWidth="1"/>
    <col min="9688" max="9688" width="12.375" style="682" bestFit="1" customWidth="1"/>
    <col min="9689" max="9692" width="0" style="682" hidden="1" customWidth="1"/>
    <col min="9693" max="9693" width="12.375" style="682" bestFit="1" customWidth="1"/>
    <col min="9694" max="9697" width="11.125" style="682" bestFit="1" customWidth="1"/>
    <col min="9698" max="9698" width="13.5" style="682" bestFit="1" customWidth="1"/>
    <col min="9699" max="9728" width="15.125" style="682"/>
    <col min="9729" max="9729" width="53.375" style="682" customWidth="1"/>
    <col min="9730" max="9730" width="17.875" style="682" bestFit="1" customWidth="1"/>
    <col min="9731" max="9731" width="19.625" style="682" customWidth="1"/>
    <col min="9732" max="9751" width="12.125" style="682" customWidth="1"/>
    <col min="9752" max="9755" width="15.125" style="682"/>
    <col min="9756" max="9756" width="1.625" style="682" bestFit="1" customWidth="1"/>
    <col min="9757" max="9757" width="18.375" style="682" bestFit="1" customWidth="1"/>
    <col min="9758" max="9758" width="1.875" style="682" bestFit="1" customWidth="1"/>
    <col min="9759" max="9759" width="16.375" style="682" bestFit="1" customWidth="1"/>
    <col min="9760" max="9930" width="15.125" style="682"/>
    <col min="9931" max="9931" width="53.625" style="682" customWidth="1"/>
    <col min="9932" max="9932" width="58.5" style="682" customWidth="1"/>
    <col min="9933" max="9933" width="13" style="682" customWidth="1"/>
    <col min="9934" max="9934" width="12.125" style="682" customWidth="1"/>
    <col min="9935" max="9938" width="0" style="682" hidden="1" customWidth="1"/>
    <col min="9939" max="9939" width="12.125" style="682" bestFit="1" customWidth="1"/>
    <col min="9940" max="9943" width="0" style="682" hidden="1" customWidth="1"/>
    <col min="9944" max="9944" width="12.375" style="682" bestFit="1" customWidth="1"/>
    <col min="9945" max="9948" width="0" style="682" hidden="1" customWidth="1"/>
    <col min="9949" max="9949" width="12.375" style="682" bestFit="1" customWidth="1"/>
    <col min="9950" max="9953" width="11.125" style="682" bestFit="1" customWidth="1"/>
    <col min="9954" max="9954" width="13.5" style="682" bestFit="1" customWidth="1"/>
    <col min="9955" max="9984" width="15.125" style="682"/>
    <col min="9985" max="9985" width="53.375" style="682" customWidth="1"/>
    <col min="9986" max="9986" width="17.875" style="682" bestFit="1" customWidth="1"/>
    <col min="9987" max="9987" width="19.625" style="682" customWidth="1"/>
    <col min="9988" max="10007" width="12.125" style="682" customWidth="1"/>
    <col min="10008" max="10011" width="15.125" style="682"/>
    <col min="10012" max="10012" width="1.625" style="682" bestFit="1" customWidth="1"/>
    <col min="10013" max="10013" width="18.375" style="682" bestFit="1" customWidth="1"/>
    <col min="10014" max="10014" width="1.875" style="682" bestFit="1" customWidth="1"/>
    <col min="10015" max="10015" width="16.375" style="682" bestFit="1" customWidth="1"/>
    <col min="10016" max="10186" width="15.125" style="682"/>
    <col min="10187" max="10187" width="53.625" style="682" customWidth="1"/>
    <col min="10188" max="10188" width="58.5" style="682" customWidth="1"/>
    <col min="10189" max="10189" width="13" style="682" customWidth="1"/>
    <col min="10190" max="10190" width="12.125" style="682" customWidth="1"/>
    <col min="10191" max="10194" width="0" style="682" hidden="1" customWidth="1"/>
    <col min="10195" max="10195" width="12.125" style="682" bestFit="1" customWidth="1"/>
    <col min="10196" max="10199" width="0" style="682" hidden="1" customWidth="1"/>
    <col min="10200" max="10200" width="12.375" style="682" bestFit="1" customWidth="1"/>
    <col min="10201" max="10204" width="0" style="682" hidden="1" customWidth="1"/>
    <col min="10205" max="10205" width="12.375" style="682" bestFit="1" customWidth="1"/>
    <col min="10206" max="10209" width="11.125" style="682" bestFit="1" customWidth="1"/>
    <col min="10210" max="10210" width="13.5" style="682" bestFit="1" customWidth="1"/>
    <col min="10211" max="10240" width="15.125" style="682"/>
    <col min="10241" max="10241" width="53.375" style="682" customWidth="1"/>
    <col min="10242" max="10242" width="17.875" style="682" bestFit="1" customWidth="1"/>
    <col min="10243" max="10243" width="19.625" style="682" customWidth="1"/>
    <col min="10244" max="10263" width="12.125" style="682" customWidth="1"/>
    <col min="10264" max="10267" width="15.125" style="682"/>
    <col min="10268" max="10268" width="1.625" style="682" bestFit="1" customWidth="1"/>
    <col min="10269" max="10269" width="18.375" style="682" bestFit="1" customWidth="1"/>
    <col min="10270" max="10270" width="1.875" style="682" bestFit="1" customWidth="1"/>
    <col min="10271" max="10271" width="16.375" style="682" bestFit="1" customWidth="1"/>
    <col min="10272" max="10442" width="15.125" style="682"/>
    <col min="10443" max="10443" width="53.625" style="682" customWidth="1"/>
    <col min="10444" max="10444" width="58.5" style="682" customWidth="1"/>
    <col min="10445" max="10445" width="13" style="682" customWidth="1"/>
    <col min="10446" max="10446" width="12.125" style="682" customWidth="1"/>
    <col min="10447" max="10450" width="0" style="682" hidden="1" customWidth="1"/>
    <col min="10451" max="10451" width="12.125" style="682" bestFit="1" customWidth="1"/>
    <col min="10452" max="10455" width="0" style="682" hidden="1" customWidth="1"/>
    <col min="10456" max="10456" width="12.375" style="682" bestFit="1" customWidth="1"/>
    <col min="10457" max="10460" width="0" style="682" hidden="1" customWidth="1"/>
    <col min="10461" max="10461" width="12.375" style="682" bestFit="1" customWidth="1"/>
    <col min="10462" max="10465" width="11.125" style="682" bestFit="1" customWidth="1"/>
    <col min="10466" max="10466" width="13.5" style="682" bestFit="1" customWidth="1"/>
    <col min="10467" max="10496" width="15.125" style="682"/>
    <col min="10497" max="10497" width="53.375" style="682" customWidth="1"/>
    <col min="10498" max="10498" width="17.875" style="682" bestFit="1" customWidth="1"/>
    <col min="10499" max="10499" width="19.625" style="682" customWidth="1"/>
    <col min="10500" max="10519" width="12.125" style="682" customWidth="1"/>
    <col min="10520" max="10523" width="15.125" style="682"/>
    <col min="10524" max="10524" width="1.625" style="682" bestFit="1" customWidth="1"/>
    <col min="10525" max="10525" width="18.375" style="682" bestFit="1" customWidth="1"/>
    <col min="10526" max="10526" width="1.875" style="682" bestFit="1" customWidth="1"/>
    <col min="10527" max="10527" width="16.375" style="682" bestFit="1" customWidth="1"/>
    <col min="10528" max="10698" width="15.125" style="682"/>
    <col min="10699" max="10699" width="53.625" style="682" customWidth="1"/>
    <col min="10700" max="10700" width="58.5" style="682" customWidth="1"/>
    <col min="10701" max="10701" width="13" style="682" customWidth="1"/>
    <col min="10702" max="10702" width="12.125" style="682" customWidth="1"/>
    <col min="10703" max="10706" width="0" style="682" hidden="1" customWidth="1"/>
    <col min="10707" max="10707" width="12.125" style="682" bestFit="1" customWidth="1"/>
    <col min="10708" max="10711" width="0" style="682" hidden="1" customWidth="1"/>
    <col min="10712" max="10712" width="12.375" style="682" bestFit="1" customWidth="1"/>
    <col min="10713" max="10716" width="0" style="682" hidden="1" customWidth="1"/>
    <col min="10717" max="10717" width="12.375" style="682" bestFit="1" customWidth="1"/>
    <col min="10718" max="10721" width="11.125" style="682" bestFit="1" customWidth="1"/>
    <col min="10722" max="10722" width="13.5" style="682" bestFit="1" customWidth="1"/>
    <col min="10723" max="10752" width="15.125" style="682"/>
    <col min="10753" max="10753" width="53.375" style="682" customWidth="1"/>
    <col min="10754" max="10754" width="17.875" style="682" bestFit="1" customWidth="1"/>
    <col min="10755" max="10755" width="19.625" style="682" customWidth="1"/>
    <col min="10756" max="10775" width="12.125" style="682" customWidth="1"/>
    <col min="10776" max="10779" width="15.125" style="682"/>
    <col min="10780" max="10780" width="1.625" style="682" bestFit="1" customWidth="1"/>
    <col min="10781" max="10781" width="18.375" style="682" bestFit="1" customWidth="1"/>
    <col min="10782" max="10782" width="1.875" style="682" bestFit="1" customWidth="1"/>
    <col min="10783" max="10783" width="16.375" style="682" bestFit="1" customWidth="1"/>
    <col min="10784" max="10954" width="15.125" style="682"/>
    <col min="10955" max="10955" width="53.625" style="682" customWidth="1"/>
    <col min="10956" max="10956" width="58.5" style="682" customWidth="1"/>
    <col min="10957" max="10957" width="13" style="682" customWidth="1"/>
    <col min="10958" max="10958" width="12.125" style="682" customWidth="1"/>
    <col min="10959" max="10962" width="0" style="682" hidden="1" customWidth="1"/>
    <col min="10963" max="10963" width="12.125" style="682" bestFit="1" customWidth="1"/>
    <col min="10964" max="10967" width="0" style="682" hidden="1" customWidth="1"/>
    <col min="10968" max="10968" width="12.375" style="682" bestFit="1" customWidth="1"/>
    <col min="10969" max="10972" width="0" style="682" hidden="1" customWidth="1"/>
    <col min="10973" max="10973" width="12.375" style="682" bestFit="1" customWidth="1"/>
    <col min="10974" max="10977" width="11.125" style="682" bestFit="1" customWidth="1"/>
    <col min="10978" max="10978" width="13.5" style="682" bestFit="1" customWidth="1"/>
    <col min="10979" max="11008" width="15.125" style="682"/>
    <col min="11009" max="11009" width="53.375" style="682" customWidth="1"/>
    <col min="11010" max="11010" width="17.875" style="682" bestFit="1" customWidth="1"/>
    <col min="11011" max="11011" width="19.625" style="682" customWidth="1"/>
    <col min="11012" max="11031" width="12.125" style="682" customWidth="1"/>
    <col min="11032" max="11035" width="15.125" style="682"/>
    <col min="11036" max="11036" width="1.625" style="682" bestFit="1" customWidth="1"/>
    <col min="11037" max="11037" width="18.375" style="682" bestFit="1" customWidth="1"/>
    <col min="11038" max="11038" width="1.875" style="682" bestFit="1" customWidth="1"/>
    <col min="11039" max="11039" width="16.375" style="682" bestFit="1" customWidth="1"/>
    <col min="11040" max="11210" width="15.125" style="682"/>
    <col min="11211" max="11211" width="53.625" style="682" customWidth="1"/>
    <col min="11212" max="11212" width="58.5" style="682" customWidth="1"/>
    <col min="11213" max="11213" width="13" style="682" customWidth="1"/>
    <col min="11214" max="11214" width="12.125" style="682" customWidth="1"/>
    <col min="11215" max="11218" width="0" style="682" hidden="1" customWidth="1"/>
    <col min="11219" max="11219" width="12.125" style="682" bestFit="1" customWidth="1"/>
    <col min="11220" max="11223" width="0" style="682" hidden="1" customWidth="1"/>
    <col min="11224" max="11224" width="12.375" style="682" bestFit="1" customWidth="1"/>
    <col min="11225" max="11228" width="0" style="682" hidden="1" customWidth="1"/>
    <col min="11229" max="11229" width="12.375" style="682" bestFit="1" customWidth="1"/>
    <col min="11230" max="11233" width="11.125" style="682" bestFit="1" customWidth="1"/>
    <col min="11234" max="11234" width="13.5" style="682" bestFit="1" customWidth="1"/>
    <col min="11235" max="11264" width="15.125" style="682"/>
    <col min="11265" max="11265" width="53.375" style="682" customWidth="1"/>
    <col min="11266" max="11266" width="17.875" style="682" bestFit="1" customWidth="1"/>
    <col min="11267" max="11267" width="19.625" style="682" customWidth="1"/>
    <col min="11268" max="11287" width="12.125" style="682" customWidth="1"/>
    <col min="11288" max="11291" width="15.125" style="682"/>
    <col min="11292" max="11292" width="1.625" style="682" bestFit="1" customWidth="1"/>
    <col min="11293" max="11293" width="18.375" style="682" bestFit="1" customWidth="1"/>
    <col min="11294" max="11294" width="1.875" style="682" bestFit="1" customWidth="1"/>
    <col min="11295" max="11295" width="16.375" style="682" bestFit="1" customWidth="1"/>
    <col min="11296" max="11466" width="15.125" style="682"/>
    <col min="11467" max="11467" width="53.625" style="682" customWidth="1"/>
    <col min="11468" max="11468" width="58.5" style="682" customWidth="1"/>
    <col min="11469" max="11469" width="13" style="682" customWidth="1"/>
    <col min="11470" max="11470" width="12.125" style="682" customWidth="1"/>
    <col min="11471" max="11474" width="0" style="682" hidden="1" customWidth="1"/>
    <col min="11475" max="11475" width="12.125" style="682" bestFit="1" customWidth="1"/>
    <col min="11476" max="11479" width="0" style="682" hidden="1" customWidth="1"/>
    <col min="11480" max="11480" width="12.375" style="682" bestFit="1" customWidth="1"/>
    <col min="11481" max="11484" width="0" style="682" hidden="1" customWidth="1"/>
    <col min="11485" max="11485" width="12.375" style="682" bestFit="1" customWidth="1"/>
    <col min="11486" max="11489" width="11.125" style="682" bestFit="1" customWidth="1"/>
    <col min="11490" max="11490" width="13.5" style="682" bestFit="1" customWidth="1"/>
    <col min="11491" max="11520" width="15.125" style="682"/>
    <col min="11521" max="11521" width="53.375" style="682" customWidth="1"/>
    <col min="11522" max="11522" width="17.875" style="682" bestFit="1" customWidth="1"/>
    <col min="11523" max="11523" width="19.625" style="682" customWidth="1"/>
    <col min="11524" max="11543" width="12.125" style="682" customWidth="1"/>
    <col min="11544" max="11547" width="15.125" style="682"/>
    <col min="11548" max="11548" width="1.625" style="682" bestFit="1" customWidth="1"/>
    <col min="11549" max="11549" width="18.375" style="682" bestFit="1" customWidth="1"/>
    <col min="11550" max="11550" width="1.875" style="682" bestFit="1" customWidth="1"/>
    <col min="11551" max="11551" width="16.375" style="682" bestFit="1" customWidth="1"/>
    <col min="11552" max="11722" width="15.125" style="682"/>
    <col min="11723" max="11723" width="53.625" style="682" customWidth="1"/>
    <col min="11724" max="11724" width="58.5" style="682" customWidth="1"/>
    <col min="11725" max="11725" width="13" style="682" customWidth="1"/>
    <col min="11726" max="11726" width="12.125" style="682" customWidth="1"/>
    <col min="11727" max="11730" width="0" style="682" hidden="1" customWidth="1"/>
    <col min="11731" max="11731" width="12.125" style="682" bestFit="1" customWidth="1"/>
    <col min="11732" max="11735" width="0" style="682" hidden="1" customWidth="1"/>
    <col min="11736" max="11736" width="12.375" style="682" bestFit="1" customWidth="1"/>
    <col min="11737" max="11740" width="0" style="682" hidden="1" customWidth="1"/>
    <col min="11741" max="11741" width="12.375" style="682" bestFit="1" customWidth="1"/>
    <col min="11742" max="11745" width="11.125" style="682" bestFit="1" customWidth="1"/>
    <col min="11746" max="11746" width="13.5" style="682" bestFit="1" customWidth="1"/>
    <col min="11747" max="11776" width="15.125" style="682"/>
    <col min="11777" max="11777" width="53.375" style="682" customWidth="1"/>
    <col min="11778" max="11778" width="17.875" style="682" bestFit="1" customWidth="1"/>
    <col min="11779" max="11779" width="19.625" style="682" customWidth="1"/>
    <col min="11780" max="11799" width="12.125" style="682" customWidth="1"/>
    <col min="11800" max="11803" width="15.125" style="682"/>
    <col min="11804" max="11804" width="1.625" style="682" bestFit="1" customWidth="1"/>
    <col min="11805" max="11805" width="18.375" style="682" bestFit="1" customWidth="1"/>
    <col min="11806" max="11806" width="1.875" style="682" bestFit="1" customWidth="1"/>
    <col min="11807" max="11807" width="16.375" style="682" bestFit="1" customWidth="1"/>
    <col min="11808" max="11978" width="15.125" style="682"/>
    <col min="11979" max="11979" width="53.625" style="682" customWidth="1"/>
    <col min="11980" max="11980" width="58.5" style="682" customWidth="1"/>
    <col min="11981" max="11981" width="13" style="682" customWidth="1"/>
    <col min="11982" max="11982" width="12.125" style="682" customWidth="1"/>
    <col min="11983" max="11986" width="0" style="682" hidden="1" customWidth="1"/>
    <col min="11987" max="11987" width="12.125" style="682" bestFit="1" customWidth="1"/>
    <col min="11988" max="11991" width="0" style="682" hidden="1" customWidth="1"/>
    <col min="11992" max="11992" width="12.375" style="682" bestFit="1" customWidth="1"/>
    <col min="11993" max="11996" width="0" style="682" hidden="1" customWidth="1"/>
    <col min="11997" max="11997" width="12.375" style="682" bestFit="1" customWidth="1"/>
    <col min="11998" max="12001" width="11.125" style="682" bestFit="1" customWidth="1"/>
    <col min="12002" max="12002" width="13.5" style="682" bestFit="1" customWidth="1"/>
    <col min="12003" max="12032" width="15.125" style="682"/>
    <col min="12033" max="12033" width="53.375" style="682" customWidth="1"/>
    <col min="12034" max="12034" width="17.875" style="682" bestFit="1" customWidth="1"/>
    <col min="12035" max="12035" width="19.625" style="682" customWidth="1"/>
    <col min="12036" max="12055" width="12.125" style="682" customWidth="1"/>
    <col min="12056" max="12059" width="15.125" style="682"/>
    <col min="12060" max="12060" width="1.625" style="682" bestFit="1" customWidth="1"/>
    <col min="12061" max="12061" width="18.375" style="682" bestFit="1" customWidth="1"/>
    <col min="12062" max="12062" width="1.875" style="682" bestFit="1" customWidth="1"/>
    <col min="12063" max="12063" width="16.375" style="682" bestFit="1" customWidth="1"/>
    <col min="12064" max="12234" width="15.125" style="682"/>
    <col min="12235" max="12235" width="53.625" style="682" customWidth="1"/>
    <col min="12236" max="12236" width="58.5" style="682" customWidth="1"/>
    <col min="12237" max="12237" width="13" style="682" customWidth="1"/>
    <col min="12238" max="12238" width="12.125" style="682" customWidth="1"/>
    <col min="12239" max="12242" width="0" style="682" hidden="1" customWidth="1"/>
    <col min="12243" max="12243" width="12.125" style="682" bestFit="1" customWidth="1"/>
    <col min="12244" max="12247" width="0" style="682" hidden="1" customWidth="1"/>
    <col min="12248" max="12248" width="12.375" style="682" bestFit="1" customWidth="1"/>
    <col min="12249" max="12252" width="0" style="682" hidden="1" customWidth="1"/>
    <col min="12253" max="12253" width="12.375" style="682" bestFit="1" customWidth="1"/>
    <col min="12254" max="12257" width="11.125" style="682" bestFit="1" customWidth="1"/>
    <col min="12258" max="12258" width="13.5" style="682" bestFit="1" customWidth="1"/>
    <col min="12259" max="12288" width="15.125" style="682"/>
    <col min="12289" max="12289" width="53.375" style="682" customWidth="1"/>
    <col min="12290" max="12290" width="17.875" style="682" bestFit="1" customWidth="1"/>
    <col min="12291" max="12291" width="19.625" style="682" customWidth="1"/>
    <col min="12292" max="12311" width="12.125" style="682" customWidth="1"/>
    <col min="12312" max="12315" width="15.125" style="682"/>
    <col min="12316" max="12316" width="1.625" style="682" bestFit="1" customWidth="1"/>
    <col min="12317" max="12317" width="18.375" style="682" bestFit="1" customWidth="1"/>
    <col min="12318" max="12318" width="1.875" style="682" bestFit="1" customWidth="1"/>
    <col min="12319" max="12319" width="16.375" style="682" bestFit="1" customWidth="1"/>
    <col min="12320" max="12490" width="15.125" style="682"/>
    <col min="12491" max="12491" width="53.625" style="682" customWidth="1"/>
    <col min="12492" max="12492" width="58.5" style="682" customWidth="1"/>
    <col min="12493" max="12493" width="13" style="682" customWidth="1"/>
    <col min="12494" max="12494" width="12.125" style="682" customWidth="1"/>
    <col min="12495" max="12498" width="0" style="682" hidden="1" customWidth="1"/>
    <col min="12499" max="12499" width="12.125" style="682" bestFit="1" customWidth="1"/>
    <col min="12500" max="12503" width="0" style="682" hidden="1" customWidth="1"/>
    <col min="12504" max="12504" width="12.375" style="682" bestFit="1" customWidth="1"/>
    <col min="12505" max="12508" width="0" style="682" hidden="1" customWidth="1"/>
    <col min="12509" max="12509" width="12.375" style="682" bestFit="1" customWidth="1"/>
    <col min="12510" max="12513" width="11.125" style="682" bestFit="1" customWidth="1"/>
    <col min="12514" max="12514" width="13.5" style="682" bestFit="1" customWidth="1"/>
    <col min="12515" max="12544" width="15.125" style="682"/>
    <col min="12545" max="12545" width="53.375" style="682" customWidth="1"/>
    <col min="12546" max="12546" width="17.875" style="682" bestFit="1" customWidth="1"/>
    <col min="12547" max="12547" width="19.625" style="682" customWidth="1"/>
    <col min="12548" max="12567" width="12.125" style="682" customWidth="1"/>
    <col min="12568" max="12571" width="15.125" style="682"/>
    <col min="12572" max="12572" width="1.625" style="682" bestFit="1" customWidth="1"/>
    <col min="12573" max="12573" width="18.375" style="682" bestFit="1" customWidth="1"/>
    <col min="12574" max="12574" width="1.875" style="682" bestFit="1" customWidth="1"/>
    <col min="12575" max="12575" width="16.375" style="682" bestFit="1" customWidth="1"/>
    <col min="12576" max="12746" width="15.125" style="682"/>
    <col min="12747" max="12747" width="53.625" style="682" customWidth="1"/>
    <col min="12748" max="12748" width="58.5" style="682" customWidth="1"/>
    <col min="12749" max="12749" width="13" style="682" customWidth="1"/>
    <col min="12750" max="12750" width="12.125" style="682" customWidth="1"/>
    <col min="12751" max="12754" width="0" style="682" hidden="1" customWidth="1"/>
    <col min="12755" max="12755" width="12.125" style="682" bestFit="1" customWidth="1"/>
    <col min="12756" max="12759" width="0" style="682" hidden="1" customWidth="1"/>
    <col min="12760" max="12760" width="12.375" style="682" bestFit="1" customWidth="1"/>
    <col min="12761" max="12764" width="0" style="682" hidden="1" customWidth="1"/>
    <col min="12765" max="12765" width="12.375" style="682" bestFit="1" customWidth="1"/>
    <col min="12766" max="12769" width="11.125" style="682" bestFit="1" customWidth="1"/>
    <col min="12770" max="12770" width="13.5" style="682" bestFit="1" customWidth="1"/>
    <col min="12771" max="12800" width="15.125" style="682"/>
    <col min="12801" max="12801" width="53.375" style="682" customWidth="1"/>
    <col min="12802" max="12802" width="17.875" style="682" bestFit="1" customWidth="1"/>
    <col min="12803" max="12803" width="19.625" style="682" customWidth="1"/>
    <col min="12804" max="12823" width="12.125" style="682" customWidth="1"/>
    <col min="12824" max="12827" width="15.125" style="682"/>
    <col min="12828" max="12828" width="1.625" style="682" bestFit="1" customWidth="1"/>
    <col min="12829" max="12829" width="18.375" style="682" bestFit="1" customWidth="1"/>
    <col min="12830" max="12830" width="1.875" style="682" bestFit="1" customWidth="1"/>
    <col min="12831" max="12831" width="16.375" style="682" bestFit="1" customWidth="1"/>
    <col min="12832" max="13002" width="15.125" style="682"/>
    <col min="13003" max="13003" width="53.625" style="682" customWidth="1"/>
    <col min="13004" max="13004" width="58.5" style="682" customWidth="1"/>
    <col min="13005" max="13005" width="13" style="682" customWidth="1"/>
    <col min="13006" max="13006" width="12.125" style="682" customWidth="1"/>
    <col min="13007" max="13010" width="0" style="682" hidden="1" customWidth="1"/>
    <col min="13011" max="13011" width="12.125" style="682" bestFit="1" customWidth="1"/>
    <col min="13012" max="13015" width="0" style="682" hidden="1" customWidth="1"/>
    <col min="13016" max="13016" width="12.375" style="682" bestFit="1" customWidth="1"/>
    <col min="13017" max="13020" width="0" style="682" hidden="1" customWidth="1"/>
    <col min="13021" max="13021" width="12.375" style="682" bestFit="1" customWidth="1"/>
    <col min="13022" max="13025" width="11.125" style="682" bestFit="1" customWidth="1"/>
    <col min="13026" max="13026" width="13.5" style="682" bestFit="1" customWidth="1"/>
    <col min="13027" max="13056" width="15.125" style="682"/>
    <col min="13057" max="13057" width="53.375" style="682" customWidth="1"/>
    <col min="13058" max="13058" width="17.875" style="682" bestFit="1" customWidth="1"/>
    <col min="13059" max="13059" width="19.625" style="682" customWidth="1"/>
    <col min="13060" max="13079" width="12.125" style="682" customWidth="1"/>
    <col min="13080" max="13083" width="15.125" style="682"/>
    <col min="13084" max="13084" width="1.625" style="682" bestFit="1" customWidth="1"/>
    <col min="13085" max="13085" width="18.375" style="682" bestFit="1" customWidth="1"/>
    <col min="13086" max="13086" width="1.875" style="682" bestFit="1" customWidth="1"/>
    <col min="13087" max="13087" width="16.375" style="682" bestFit="1" customWidth="1"/>
    <col min="13088" max="13258" width="15.125" style="682"/>
    <col min="13259" max="13259" width="53.625" style="682" customWidth="1"/>
    <col min="13260" max="13260" width="58.5" style="682" customWidth="1"/>
    <col min="13261" max="13261" width="13" style="682" customWidth="1"/>
    <col min="13262" max="13262" width="12.125" style="682" customWidth="1"/>
    <col min="13263" max="13266" width="0" style="682" hidden="1" customWidth="1"/>
    <col min="13267" max="13267" width="12.125" style="682" bestFit="1" customWidth="1"/>
    <col min="13268" max="13271" width="0" style="682" hidden="1" customWidth="1"/>
    <col min="13272" max="13272" width="12.375" style="682" bestFit="1" customWidth="1"/>
    <col min="13273" max="13276" width="0" style="682" hidden="1" customWidth="1"/>
    <col min="13277" max="13277" width="12.375" style="682" bestFit="1" customWidth="1"/>
    <col min="13278" max="13281" width="11.125" style="682" bestFit="1" customWidth="1"/>
    <col min="13282" max="13282" width="13.5" style="682" bestFit="1" customWidth="1"/>
    <col min="13283" max="13312" width="15.125" style="682"/>
    <col min="13313" max="13313" width="53.375" style="682" customWidth="1"/>
    <col min="13314" max="13314" width="17.875" style="682" bestFit="1" customWidth="1"/>
    <col min="13315" max="13315" width="19.625" style="682" customWidth="1"/>
    <col min="13316" max="13335" width="12.125" style="682" customWidth="1"/>
    <col min="13336" max="13339" width="15.125" style="682"/>
    <col min="13340" max="13340" width="1.625" style="682" bestFit="1" customWidth="1"/>
    <col min="13341" max="13341" width="18.375" style="682" bestFit="1" customWidth="1"/>
    <col min="13342" max="13342" width="1.875" style="682" bestFit="1" customWidth="1"/>
    <col min="13343" max="13343" width="16.375" style="682" bestFit="1" customWidth="1"/>
    <col min="13344" max="13514" width="15.125" style="682"/>
    <col min="13515" max="13515" width="53.625" style="682" customWidth="1"/>
    <col min="13516" max="13516" width="58.5" style="682" customWidth="1"/>
    <col min="13517" max="13517" width="13" style="682" customWidth="1"/>
    <col min="13518" max="13518" width="12.125" style="682" customWidth="1"/>
    <col min="13519" max="13522" width="0" style="682" hidden="1" customWidth="1"/>
    <col min="13523" max="13523" width="12.125" style="682" bestFit="1" customWidth="1"/>
    <col min="13524" max="13527" width="0" style="682" hidden="1" customWidth="1"/>
    <col min="13528" max="13528" width="12.375" style="682" bestFit="1" customWidth="1"/>
    <col min="13529" max="13532" width="0" style="682" hidden="1" customWidth="1"/>
    <col min="13533" max="13533" width="12.375" style="682" bestFit="1" customWidth="1"/>
    <col min="13534" max="13537" width="11.125" style="682" bestFit="1" customWidth="1"/>
    <col min="13538" max="13538" width="13.5" style="682" bestFit="1" customWidth="1"/>
    <col min="13539" max="13568" width="15.125" style="682"/>
    <col min="13569" max="13569" width="53.375" style="682" customWidth="1"/>
    <col min="13570" max="13570" width="17.875" style="682" bestFit="1" customWidth="1"/>
    <col min="13571" max="13571" width="19.625" style="682" customWidth="1"/>
    <col min="13572" max="13591" width="12.125" style="682" customWidth="1"/>
    <col min="13592" max="13595" width="15.125" style="682"/>
    <col min="13596" max="13596" width="1.625" style="682" bestFit="1" customWidth="1"/>
    <col min="13597" max="13597" width="18.375" style="682" bestFit="1" customWidth="1"/>
    <col min="13598" max="13598" width="1.875" style="682" bestFit="1" customWidth="1"/>
    <col min="13599" max="13599" width="16.375" style="682" bestFit="1" customWidth="1"/>
    <col min="13600" max="13770" width="15.125" style="682"/>
    <col min="13771" max="13771" width="53.625" style="682" customWidth="1"/>
    <col min="13772" max="13772" width="58.5" style="682" customWidth="1"/>
    <col min="13773" max="13773" width="13" style="682" customWidth="1"/>
    <col min="13774" max="13774" width="12.125" style="682" customWidth="1"/>
    <col min="13775" max="13778" width="0" style="682" hidden="1" customWidth="1"/>
    <col min="13779" max="13779" width="12.125" style="682" bestFit="1" customWidth="1"/>
    <col min="13780" max="13783" width="0" style="682" hidden="1" customWidth="1"/>
    <col min="13784" max="13784" width="12.375" style="682" bestFit="1" customWidth="1"/>
    <col min="13785" max="13788" width="0" style="682" hidden="1" customWidth="1"/>
    <col min="13789" max="13789" width="12.375" style="682" bestFit="1" customWidth="1"/>
    <col min="13790" max="13793" width="11.125" style="682" bestFit="1" customWidth="1"/>
    <col min="13794" max="13794" width="13.5" style="682" bestFit="1" customWidth="1"/>
    <col min="13795" max="13824" width="15.125" style="682"/>
    <col min="13825" max="13825" width="53.375" style="682" customWidth="1"/>
    <col min="13826" max="13826" width="17.875" style="682" bestFit="1" customWidth="1"/>
    <col min="13827" max="13827" width="19.625" style="682" customWidth="1"/>
    <col min="13828" max="13847" width="12.125" style="682" customWidth="1"/>
    <col min="13848" max="13851" width="15.125" style="682"/>
    <col min="13852" max="13852" width="1.625" style="682" bestFit="1" customWidth="1"/>
    <col min="13853" max="13853" width="18.375" style="682" bestFit="1" customWidth="1"/>
    <col min="13854" max="13854" width="1.875" style="682" bestFit="1" customWidth="1"/>
    <col min="13855" max="13855" width="16.375" style="682" bestFit="1" customWidth="1"/>
    <col min="13856" max="14026" width="15.125" style="682"/>
    <col min="14027" max="14027" width="53.625" style="682" customWidth="1"/>
    <col min="14028" max="14028" width="58.5" style="682" customWidth="1"/>
    <col min="14029" max="14029" width="13" style="682" customWidth="1"/>
    <col min="14030" max="14030" width="12.125" style="682" customWidth="1"/>
    <col min="14031" max="14034" width="0" style="682" hidden="1" customWidth="1"/>
    <col min="14035" max="14035" width="12.125" style="682" bestFit="1" customWidth="1"/>
    <col min="14036" max="14039" width="0" style="682" hidden="1" customWidth="1"/>
    <col min="14040" max="14040" width="12.375" style="682" bestFit="1" customWidth="1"/>
    <col min="14041" max="14044" width="0" style="682" hidden="1" customWidth="1"/>
    <col min="14045" max="14045" width="12.375" style="682" bestFit="1" customWidth="1"/>
    <col min="14046" max="14049" width="11.125" style="682" bestFit="1" customWidth="1"/>
    <col min="14050" max="14050" width="13.5" style="682" bestFit="1" customWidth="1"/>
    <col min="14051" max="14080" width="15.125" style="682"/>
    <col min="14081" max="14081" width="53.375" style="682" customWidth="1"/>
    <col min="14082" max="14082" width="17.875" style="682" bestFit="1" customWidth="1"/>
    <col min="14083" max="14083" width="19.625" style="682" customWidth="1"/>
    <col min="14084" max="14103" width="12.125" style="682" customWidth="1"/>
    <col min="14104" max="14107" width="15.125" style="682"/>
    <col min="14108" max="14108" width="1.625" style="682" bestFit="1" customWidth="1"/>
    <col min="14109" max="14109" width="18.375" style="682" bestFit="1" customWidth="1"/>
    <col min="14110" max="14110" width="1.875" style="682" bestFit="1" customWidth="1"/>
    <col min="14111" max="14111" width="16.375" style="682" bestFit="1" customWidth="1"/>
    <col min="14112" max="14282" width="15.125" style="682"/>
    <col min="14283" max="14283" width="53.625" style="682" customWidth="1"/>
    <col min="14284" max="14284" width="58.5" style="682" customWidth="1"/>
    <col min="14285" max="14285" width="13" style="682" customWidth="1"/>
    <col min="14286" max="14286" width="12.125" style="682" customWidth="1"/>
    <col min="14287" max="14290" width="0" style="682" hidden="1" customWidth="1"/>
    <col min="14291" max="14291" width="12.125" style="682" bestFit="1" customWidth="1"/>
    <col min="14292" max="14295" width="0" style="682" hidden="1" customWidth="1"/>
    <col min="14296" max="14296" width="12.375" style="682" bestFit="1" customWidth="1"/>
    <col min="14297" max="14300" width="0" style="682" hidden="1" customWidth="1"/>
    <col min="14301" max="14301" width="12.375" style="682" bestFit="1" customWidth="1"/>
    <col min="14302" max="14305" width="11.125" style="682" bestFit="1" customWidth="1"/>
    <col min="14306" max="14306" width="13.5" style="682" bestFit="1" customWidth="1"/>
    <col min="14307" max="14336" width="15.125" style="682"/>
    <col min="14337" max="14337" width="53.375" style="682" customWidth="1"/>
    <col min="14338" max="14338" width="17.875" style="682" bestFit="1" customWidth="1"/>
    <col min="14339" max="14339" width="19.625" style="682" customWidth="1"/>
    <col min="14340" max="14359" width="12.125" style="682" customWidth="1"/>
    <col min="14360" max="14363" width="15.125" style="682"/>
    <col min="14364" max="14364" width="1.625" style="682" bestFit="1" customWidth="1"/>
    <col min="14365" max="14365" width="18.375" style="682" bestFit="1" customWidth="1"/>
    <col min="14366" max="14366" width="1.875" style="682" bestFit="1" customWidth="1"/>
    <col min="14367" max="14367" width="16.375" style="682" bestFit="1" customWidth="1"/>
    <col min="14368" max="14538" width="15.125" style="682"/>
    <col min="14539" max="14539" width="53.625" style="682" customWidth="1"/>
    <col min="14540" max="14540" width="58.5" style="682" customWidth="1"/>
    <col min="14541" max="14541" width="13" style="682" customWidth="1"/>
    <col min="14542" max="14542" width="12.125" style="682" customWidth="1"/>
    <col min="14543" max="14546" width="0" style="682" hidden="1" customWidth="1"/>
    <col min="14547" max="14547" width="12.125" style="682" bestFit="1" customWidth="1"/>
    <col min="14548" max="14551" width="0" style="682" hidden="1" customWidth="1"/>
    <col min="14552" max="14552" width="12.375" style="682" bestFit="1" customWidth="1"/>
    <col min="14553" max="14556" width="0" style="682" hidden="1" customWidth="1"/>
    <col min="14557" max="14557" width="12.375" style="682" bestFit="1" customWidth="1"/>
    <col min="14558" max="14561" width="11.125" style="682" bestFit="1" customWidth="1"/>
    <col min="14562" max="14562" width="13.5" style="682" bestFit="1" customWidth="1"/>
    <col min="14563" max="14592" width="15.125" style="682"/>
    <col min="14593" max="14593" width="53.375" style="682" customWidth="1"/>
    <col min="14594" max="14594" width="17.875" style="682" bestFit="1" customWidth="1"/>
    <col min="14595" max="14595" width="19.625" style="682" customWidth="1"/>
    <col min="14596" max="14615" width="12.125" style="682" customWidth="1"/>
    <col min="14616" max="14619" width="15.125" style="682"/>
    <col min="14620" max="14620" width="1.625" style="682" bestFit="1" customWidth="1"/>
    <col min="14621" max="14621" width="18.375" style="682" bestFit="1" customWidth="1"/>
    <col min="14622" max="14622" width="1.875" style="682" bestFit="1" customWidth="1"/>
    <col min="14623" max="14623" width="16.375" style="682" bestFit="1" customWidth="1"/>
    <col min="14624" max="14794" width="15.125" style="682"/>
    <col min="14795" max="14795" width="53.625" style="682" customWidth="1"/>
    <col min="14796" max="14796" width="58.5" style="682" customWidth="1"/>
    <col min="14797" max="14797" width="13" style="682" customWidth="1"/>
    <col min="14798" max="14798" width="12.125" style="682" customWidth="1"/>
    <col min="14799" max="14802" width="0" style="682" hidden="1" customWidth="1"/>
    <col min="14803" max="14803" width="12.125" style="682" bestFit="1" customWidth="1"/>
    <col min="14804" max="14807" width="0" style="682" hidden="1" customWidth="1"/>
    <col min="14808" max="14808" width="12.375" style="682" bestFit="1" customWidth="1"/>
    <col min="14809" max="14812" width="0" style="682" hidden="1" customWidth="1"/>
    <col min="14813" max="14813" width="12.375" style="682" bestFit="1" customWidth="1"/>
    <col min="14814" max="14817" width="11.125" style="682" bestFit="1" customWidth="1"/>
    <col min="14818" max="14818" width="13.5" style="682" bestFit="1" customWidth="1"/>
    <col min="14819" max="14848" width="15.125" style="682"/>
    <col min="14849" max="14849" width="53.375" style="682" customWidth="1"/>
    <col min="14850" max="14850" width="17.875" style="682" bestFit="1" customWidth="1"/>
    <col min="14851" max="14851" width="19.625" style="682" customWidth="1"/>
    <col min="14852" max="14871" width="12.125" style="682" customWidth="1"/>
    <col min="14872" max="14875" width="15.125" style="682"/>
    <col min="14876" max="14876" width="1.625" style="682" bestFit="1" customWidth="1"/>
    <col min="14877" max="14877" width="18.375" style="682" bestFit="1" customWidth="1"/>
    <col min="14878" max="14878" width="1.875" style="682" bestFit="1" customWidth="1"/>
    <col min="14879" max="14879" width="16.375" style="682" bestFit="1" customWidth="1"/>
    <col min="14880" max="15050" width="15.125" style="682"/>
    <col min="15051" max="15051" width="53.625" style="682" customWidth="1"/>
    <col min="15052" max="15052" width="58.5" style="682" customWidth="1"/>
    <col min="15053" max="15053" width="13" style="682" customWidth="1"/>
    <col min="15054" max="15054" width="12.125" style="682" customWidth="1"/>
    <col min="15055" max="15058" width="0" style="682" hidden="1" customWidth="1"/>
    <col min="15059" max="15059" width="12.125" style="682" bestFit="1" customWidth="1"/>
    <col min="15060" max="15063" width="0" style="682" hidden="1" customWidth="1"/>
    <col min="15064" max="15064" width="12.375" style="682" bestFit="1" customWidth="1"/>
    <col min="15065" max="15068" width="0" style="682" hidden="1" customWidth="1"/>
    <col min="15069" max="15069" width="12.375" style="682" bestFit="1" customWidth="1"/>
    <col min="15070" max="15073" width="11.125" style="682" bestFit="1" customWidth="1"/>
    <col min="15074" max="15074" width="13.5" style="682" bestFit="1" customWidth="1"/>
    <col min="15075" max="15104" width="15.125" style="682"/>
    <col min="15105" max="15105" width="53.375" style="682" customWidth="1"/>
    <col min="15106" max="15106" width="17.875" style="682" bestFit="1" customWidth="1"/>
    <col min="15107" max="15107" width="19.625" style="682" customWidth="1"/>
    <col min="15108" max="15127" width="12.125" style="682" customWidth="1"/>
    <col min="15128" max="15131" width="15.125" style="682"/>
    <col min="15132" max="15132" width="1.625" style="682" bestFit="1" customWidth="1"/>
    <col min="15133" max="15133" width="18.375" style="682" bestFit="1" customWidth="1"/>
    <col min="15134" max="15134" width="1.875" style="682" bestFit="1" customWidth="1"/>
    <col min="15135" max="15135" width="16.375" style="682" bestFit="1" customWidth="1"/>
    <col min="15136" max="15306" width="15.125" style="682"/>
    <col min="15307" max="15307" width="53.625" style="682" customWidth="1"/>
    <col min="15308" max="15308" width="58.5" style="682" customWidth="1"/>
    <col min="15309" max="15309" width="13" style="682" customWidth="1"/>
    <col min="15310" max="15310" width="12.125" style="682" customWidth="1"/>
    <col min="15311" max="15314" width="0" style="682" hidden="1" customWidth="1"/>
    <col min="15315" max="15315" width="12.125" style="682" bestFit="1" customWidth="1"/>
    <col min="15316" max="15319" width="0" style="682" hidden="1" customWidth="1"/>
    <col min="15320" max="15320" width="12.375" style="682" bestFit="1" customWidth="1"/>
    <col min="15321" max="15324" width="0" style="682" hidden="1" customWidth="1"/>
    <col min="15325" max="15325" width="12.375" style="682" bestFit="1" customWidth="1"/>
    <col min="15326" max="15329" width="11.125" style="682" bestFit="1" customWidth="1"/>
    <col min="15330" max="15330" width="13.5" style="682" bestFit="1" customWidth="1"/>
    <col min="15331" max="15360" width="15.125" style="682"/>
    <col min="15361" max="15361" width="53.375" style="682" customWidth="1"/>
    <col min="15362" max="15362" width="17.875" style="682" bestFit="1" customWidth="1"/>
    <col min="15363" max="15363" width="19.625" style="682" customWidth="1"/>
    <col min="15364" max="15383" width="12.125" style="682" customWidth="1"/>
    <col min="15384" max="15387" width="15.125" style="682"/>
    <col min="15388" max="15388" width="1.625" style="682" bestFit="1" customWidth="1"/>
    <col min="15389" max="15389" width="18.375" style="682" bestFit="1" customWidth="1"/>
    <col min="15390" max="15390" width="1.875" style="682" bestFit="1" customWidth="1"/>
    <col min="15391" max="15391" width="16.375" style="682" bestFit="1" customWidth="1"/>
    <col min="15392" max="15562" width="15.125" style="682"/>
    <col min="15563" max="15563" width="53.625" style="682" customWidth="1"/>
    <col min="15564" max="15564" width="58.5" style="682" customWidth="1"/>
    <col min="15565" max="15565" width="13" style="682" customWidth="1"/>
    <col min="15566" max="15566" width="12.125" style="682" customWidth="1"/>
    <col min="15567" max="15570" width="0" style="682" hidden="1" customWidth="1"/>
    <col min="15571" max="15571" width="12.125" style="682" bestFit="1" customWidth="1"/>
    <col min="15572" max="15575" width="0" style="682" hidden="1" customWidth="1"/>
    <col min="15576" max="15576" width="12.375" style="682" bestFit="1" customWidth="1"/>
    <col min="15577" max="15580" width="0" style="682" hidden="1" customWidth="1"/>
    <col min="15581" max="15581" width="12.375" style="682" bestFit="1" customWidth="1"/>
    <col min="15582" max="15585" width="11.125" style="682" bestFit="1" customWidth="1"/>
    <col min="15586" max="15586" width="13.5" style="682" bestFit="1" customWidth="1"/>
    <col min="15587" max="15616" width="15.125" style="682"/>
    <col min="15617" max="15617" width="53.375" style="682" customWidth="1"/>
    <col min="15618" max="15618" width="17.875" style="682" bestFit="1" customWidth="1"/>
    <col min="15619" max="15619" width="19.625" style="682" customWidth="1"/>
    <col min="15620" max="15639" width="12.125" style="682" customWidth="1"/>
    <col min="15640" max="15643" width="15.125" style="682"/>
    <col min="15644" max="15644" width="1.625" style="682" bestFit="1" customWidth="1"/>
    <col min="15645" max="15645" width="18.375" style="682" bestFit="1" customWidth="1"/>
    <col min="15646" max="15646" width="1.875" style="682" bestFit="1" customWidth="1"/>
    <col min="15647" max="15647" width="16.375" style="682" bestFit="1" customWidth="1"/>
    <col min="15648" max="15818" width="15.125" style="682"/>
    <col min="15819" max="15819" width="53.625" style="682" customWidth="1"/>
    <col min="15820" max="15820" width="58.5" style="682" customWidth="1"/>
    <col min="15821" max="15821" width="13" style="682" customWidth="1"/>
    <col min="15822" max="15822" width="12.125" style="682" customWidth="1"/>
    <col min="15823" max="15826" width="0" style="682" hidden="1" customWidth="1"/>
    <col min="15827" max="15827" width="12.125" style="682" bestFit="1" customWidth="1"/>
    <col min="15828" max="15831" width="0" style="682" hidden="1" customWidth="1"/>
    <col min="15832" max="15832" width="12.375" style="682" bestFit="1" customWidth="1"/>
    <col min="15833" max="15836" width="0" style="682" hidden="1" customWidth="1"/>
    <col min="15837" max="15837" width="12.375" style="682" bestFit="1" customWidth="1"/>
    <col min="15838" max="15841" width="11.125" style="682" bestFit="1" customWidth="1"/>
    <col min="15842" max="15842" width="13.5" style="682" bestFit="1" customWidth="1"/>
    <col min="15843" max="15872" width="15.125" style="682"/>
    <col min="15873" max="15873" width="53.375" style="682" customWidth="1"/>
    <col min="15874" max="15874" width="17.875" style="682" bestFit="1" customWidth="1"/>
    <col min="15875" max="15875" width="19.625" style="682" customWidth="1"/>
    <col min="15876" max="15895" width="12.125" style="682" customWidth="1"/>
    <col min="15896" max="15899" width="15.125" style="682"/>
    <col min="15900" max="15900" width="1.625" style="682" bestFit="1" customWidth="1"/>
    <col min="15901" max="15901" width="18.375" style="682" bestFit="1" customWidth="1"/>
    <col min="15902" max="15902" width="1.875" style="682" bestFit="1" customWidth="1"/>
    <col min="15903" max="15903" width="16.375" style="682" bestFit="1" customWidth="1"/>
    <col min="15904" max="16074" width="15.125" style="682"/>
    <col min="16075" max="16075" width="53.625" style="682" customWidth="1"/>
    <col min="16076" max="16076" width="58.5" style="682" customWidth="1"/>
    <col min="16077" max="16077" width="13" style="682" customWidth="1"/>
    <col min="16078" max="16078" width="12.125" style="682" customWidth="1"/>
    <col min="16079" max="16082" width="0" style="682" hidden="1" customWidth="1"/>
    <col min="16083" max="16083" width="12.125" style="682" bestFit="1" customWidth="1"/>
    <col min="16084" max="16087" width="0" style="682" hidden="1" customWidth="1"/>
    <col min="16088" max="16088" width="12.375" style="682" bestFit="1" customWidth="1"/>
    <col min="16089" max="16092" width="0" style="682" hidden="1" customWidth="1"/>
    <col min="16093" max="16093" width="12.375" style="682" bestFit="1" customWidth="1"/>
    <col min="16094" max="16097" width="11.125" style="682" bestFit="1" customWidth="1"/>
    <col min="16098" max="16098" width="13.5" style="682" bestFit="1" customWidth="1"/>
    <col min="16099" max="16128" width="15.125" style="682"/>
    <col min="16129" max="16129" width="53.375" style="682" customWidth="1"/>
    <col min="16130" max="16130" width="17.875" style="682" bestFit="1" customWidth="1"/>
    <col min="16131" max="16131" width="19.625" style="682" customWidth="1"/>
    <col min="16132" max="16151" width="12.125" style="682" customWidth="1"/>
    <col min="16152" max="16155" width="15.125" style="682"/>
    <col min="16156" max="16156" width="1.625" style="682" bestFit="1" customWidth="1"/>
    <col min="16157" max="16157" width="18.375" style="682" bestFit="1" customWidth="1"/>
    <col min="16158" max="16158" width="1.875" style="682" bestFit="1" customWidth="1"/>
    <col min="16159" max="16159" width="16.375" style="682" bestFit="1" customWidth="1"/>
    <col min="16160" max="16330" width="15.125" style="682"/>
    <col min="16331" max="16331" width="53.625" style="682" customWidth="1"/>
    <col min="16332" max="16332" width="58.5" style="682" customWidth="1"/>
    <col min="16333" max="16333" width="13" style="682" customWidth="1"/>
    <col min="16334" max="16334" width="12.125" style="682" customWidth="1"/>
    <col min="16335" max="16338" width="0" style="682" hidden="1" customWidth="1"/>
    <col min="16339" max="16339" width="12.125" style="682" bestFit="1" customWidth="1"/>
    <col min="16340" max="16343" width="0" style="682" hidden="1" customWidth="1"/>
    <col min="16344" max="16344" width="12.375" style="682" bestFit="1" customWidth="1"/>
    <col min="16345" max="16348" width="0" style="682" hidden="1" customWidth="1"/>
    <col min="16349" max="16349" width="12.375" style="682" bestFit="1" customWidth="1"/>
    <col min="16350" max="16353" width="11.125" style="682" bestFit="1" customWidth="1"/>
    <col min="16354" max="16354" width="13.5" style="682" bestFit="1" customWidth="1"/>
    <col min="16355" max="16384" width="15.125" style="682"/>
  </cols>
  <sheetData>
    <row r="1" spans="1:256">
      <c r="A1" s="677" t="s">
        <v>375</v>
      </c>
      <c r="B1" s="678"/>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c r="AE1" s="680" t="s">
        <v>376</v>
      </c>
      <c r="AF1" s="681"/>
      <c r="AG1" s="679"/>
      <c r="AH1" s="679"/>
      <c r="AI1" s="679"/>
      <c r="AJ1" s="679"/>
      <c r="AK1" s="679"/>
      <c r="AL1" s="679"/>
      <c r="AM1" s="679"/>
      <c r="AN1" s="679"/>
      <c r="AO1" s="679"/>
      <c r="AP1" s="679"/>
      <c r="AQ1" s="679"/>
      <c r="AR1" s="679"/>
      <c r="AS1" s="679"/>
      <c r="AT1" s="679"/>
      <c r="AU1" s="679"/>
      <c r="AV1" s="679"/>
      <c r="AW1" s="679"/>
      <c r="AX1" s="679"/>
      <c r="AY1" s="679"/>
      <c r="AZ1" s="679"/>
      <c r="BA1" s="679"/>
      <c r="BB1" s="679"/>
      <c r="BC1" s="679"/>
      <c r="BD1" s="679"/>
      <c r="BE1" s="679"/>
      <c r="BF1" s="679"/>
      <c r="BG1" s="679"/>
      <c r="BH1" s="679"/>
      <c r="BI1" s="679"/>
      <c r="BJ1" s="679"/>
      <c r="BK1" s="679"/>
      <c r="BL1" s="679"/>
      <c r="BM1" s="679"/>
      <c r="BN1" s="679"/>
      <c r="BO1" s="679"/>
      <c r="BP1" s="679"/>
      <c r="BQ1" s="679"/>
      <c r="BR1" s="679"/>
      <c r="BS1" s="679"/>
      <c r="BT1" s="679"/>
      <c r="BU1" s="679"/>
      <c r="BV1" s="679"/>
      <c r="BW1" s="679"/>
      <c r="BX1" s="679"/>
      <c r="BY1" s="679"/>
      <c r="BZ1" s="679"/>
      <c r="CA1" s="679"/>
      <c r="CB1" s="679"/>
      <c r="CC1" s="679"/>
      <c r="CD1" s="679"/>
      <c r="CE1" s="679"/>
      <c r="CF1" s="679"/>
      <c r="CG1" s="679"/>
      <c r="CH1" s="679"/>
      <c r="CI1" s="679"/>
      <c r="CJ1" s="679"/>
      <c r="CK1" s="679"/>
      <c r="CL1" s="679"/>
      <c r="CM1" s="679"/>
      <c r="CN1" s="679"/>
      <c r="CO1" s="679"/>
      <c r="CP1" s="679"/>
      <c r="CQ1" s="679"/>
      <c r="CR1" s="679"/>
      <c r="CS1" s="679"/>
      <c r="CT1" s="679"/>
      <c r="CU1" s="679"/>
      <c r="CV1" s="679"/>
      <c r="CW1" s="679"/>
      <c r="CX1" s="679"/>
      <c r="CY1" s="679"/>
      <c r="CZ1" s="679"/>
      <c r="DA1" s="679"/>
      <c r="DB1" s="679"/>
      <c r="DC1" s="679"/>
      <c r="DD1" s="679"/>
      <c r="DE1" s="679"/>
      <c r="DF1" s="679"/>
      <c r="DG1" s="679"/>
      <c r="DH1" s="679"/>
      <c r="DI1" s="679"/>
      <c r="DJ1" s="679"/>
      <c r="DK1" s="679"/>
      <c r="DL1" s="679"/>
      <c r="DM1" s="679"/>
      <c r="DN1" s="679"/>
      <c r="DO1" s="679"/>
      <c r="DP1" s="679"/>
      <c r="DQ1" s="679"/>
      <c r="DR1" s="679"/>
      <c r="DS1" s="679"/>
      <c r="DT1" s="679"/>
      <c r="DU1" s="679"/>
      <c r="DV1" s="679"/>
      <c r="DW1" s="679"/>
      <c r="DX1" s="679"/>
      <c r="DY1" s="679"/>
      <c r="DZ1" s="679"/>
      <c r="EA1" s="679"/>
      <c r="EB1" s="679"/>
      <c r="EC1" s="679"/>
      <c r="ED1" s="679"/>
      <c r="EE1" s="679"/>
      <c r="EF1" s="679"/>
      <c r="EG1" s="679"/>
      <c r="EH1" s="679"/>
      <c r="EI1" s="679"/>
      <c r="EJ1" s="679"/>
      <c r="EK1" s="679"/>
      <c r="EL1" s="679"/>
      <c r="EM1" s="679"/>
      <c r="EN1" s="679"/>
      <c r="EO1" s="679"/>
      <c r="EP1" s="679"/>
      <c r="EQ1" s="679"/>
      <c r="ER1" s="679"/>
      <c r="ES1" s="679"/>
      <c r="ET1" s="679"/>
      <c r="EU1" s="679"/>
      <c r="EV1" s="679"/>
      <c r="EW1" s="679"/>
      <c r="EX1" s="679"/>
      <c r="EY1" s="679"/>
      <c r="EZ1" s="679"/>
      <c r="FA1" s="679"/>
      <c r="FB1" s="679"/>
      <c r="FC1" s="679"/>
      <c r="FD1" s="679"/>
      <c r="FE1" s="679"/>
      <c r="FF1" s="679"/>
      <c r="FG1" s="679"/>
      <c r="FH1" s="679"/>
      <c r="FI1" s="679"/>
      <c r="FJ1" s="679"/>
      <c r="FK1" s="679"/>
      <c r="FL1" s="679"/>
      <c r="FM1" s="679"/>
      <c r="FN1" s="679"/>
      <c r="FO1" s="679"/>
      <c r="FP1" s="679"/>
      <c r="FQ1" s="679"/>
      <c r="FR1" s="679"/>
      <c r="FS1" s="679"/>
      <c r="FT1" s="679"/>
      <c r="FU1" s="679"/>
      <c r="FV1" s="679"/>
      <c r="FW1" s="679"/>
      <c r="FX1" s="679"/>
      <c r="FY1" s="679"/>
      <c r="FZ1" s="679"/>
      <c r="GA1" s="679"/>
      <c r="GB1" s="679"/>
      <c r="GC1" s="679"/>
      <c r="GD1" s="679"/>
      <c r="GE1" s="679"/>
      <c r="GF1" s="679"/>
      <c r="GG1" s="679"/>
      <c r="GH1" s="679"/>
      <c r="GI1" s="679"/>
      <c r="GJ1" s="679"/>
      <c r="GK1" s="679"/>
      <c r="GL1" s="679"/>
      <c r="GM1" s="679"/>
      <c r="GN1" s="679"/>
      <c r="GO1" s="679"/>
      <c r="GP1" s="679"/>
      <c r="GQ1" s="679"/>
      <c r="GR1" s="679"/>
      <c r="GS1" s="679"/>
      <c r="GT1" s="679"/>
      <c r="GU1" s="679"/>
      <c r="GV1" s="679"/>
      <c r="GW1" s="679"/>
      <c r="GX1" s="679"/>
      <c r="GY1" s="679"/>
      <c r="GZ1" s="679"/>
      <c r="HA1" s="679"/>
      <c r="HB1" s="679"/>
      <c r="HC1" s="679"/>
      <c r="HD1" s="679"/>
      <c r="HE1" s="679"/>
      <c r="HF1" s="679"/>
      <c r="HG1" s="679"/>
      <c r="HH1" s="679"/>
      <c r="HI1" s="679"/>
      <c r="HJ1" s="679"/>
      <c r="HK1" s="679"/>
      <c r="HL1" s="679"/>
      <c r="HM1" s="679"/>
      <c r="HN1" s="679"/>
      <c r="HO1" s="679"/>
      <c r="HP1" s="679"/>
      <c r="HQ1" s="679"/>
      <c r="HR1" s="679"/>
      <c r="HS1" s="679"/>
      <c r="HT1" s="679"/>
      <c r="HU1" s="679"/>
      <c r="HV1" s="679"/>
      <c r="HW1" s="679"/>
      <c r="HX1" s="679"/>
      <c r="HY1" s="679"/>
      <c r="HZ1" s="679"/>
      <c r="IA1" s="679"/>
      <c r="IB1" s="679"/>
      <c r="IC1" s="679"/>
      <c r="ID1" s="679"/>
      <c r="IE1" s="679"/>
      <c r="IF1" s="679"/>
      <c r="IG1" s="679"/>
      <c r="IH1" s="679"/>
      <c r="II1" s="679"/>
      <c r="IJ1" s="679"/>
      <c r="IK1" s="679"/>
      <c r="IL1" s="679"/>
      <c r="IM1" s="679"/>
      <c r="IN1" s="679"/>
      <c r="IO1" s="679"/>
      <c r="IP1" s="679"/>
      <c r="IQ1" s="679"/>
      <c r="IR1" s="679"/>
      <c r="IS1" s="679"/>
      <c r="IT1" s="679"/>
      <c r="IU1" s="679"/>
      <c r="IV1" s="679"/>
    </row>
    <row r="2" spans="1:256">
      <c r="A2" s="677" t="s">
        <v>377</v>
      </c>
      <c r="B2" s="678"/>
      <c r="C2" s="679"/>
      <c r="D2" s="679"/>
      <c r="E2" s="679"/>
      <c r="F2" s="679"/>
      <c r="G2" s="679"/>
      <c r="H2" s="679"/>
      <c r="I2" s="679"/>
      <c r="J2" s="679"/>
      <c r="K2" s="679"/>
      <c r="L2" s="679"/>
      <c r="M2" s="679"/>
      <c r="N2" s="679"/>
      <c r="O2" s="679"/>
      <c r="P2" s="679"/>
      <c r="Q2" s="679"/>
      <c r="R2" s="679"/>
      <c r="S2" s="679"/>
      <c r="T2" s="679"/>
      <c r="U2" s="679"/>
      <c r="V2" s="679"/>
      <c r="W2" s="679"/>
      <c r="X2" s="679"/>
      <c r="Y2" s="679"/>
      <c r="Z2" s="679"/>
      <c r="AA2" s="679"/>
      <c r="AB2" s="679"/>
      <c r="AC2" s="679"/>
      <c r="AD2" s="679"/>
      <c r="AE2" s="680" t="s">
        <v>378</v>
      </c>
      <c r="AF2" s="681"/>
      <c r="AG2" s="679"/>
      <c r="AH2" s="679"/>
      <c r="AI2" s="679"/>
      <c r="AJ2" s="679"/>
      <c r="AK2" s="679"/>
      <c r="AL2" s="679"/>
      <c r="AM2" s="679"/>
      <c r="AN2" s="679"/>
      <c r="AO2" s="679"/>
      <c r="AP2" s="679"/>
      <c r="AQ2" s="679"/>
      <c r="AR2" s="679"/>
      <c r="AS2" s="679"/>
      <c r="AT2" s="679"/>
      <c r="AU2" s="679"/>
      <c r="AV2" s="679"/>
      <c r="AW2" s="679"/>
      <c r="AX2" s="679"/>
      <c r="AY2" s="679"/>
      <c r="AZ2" s="679"/>
      <c r="BA2" s="679"/>
      <c r="BB2" s="679"/>
      <c r="BC2" s="679"/>
      <c r="BD2" s="679"/>
      <c r="BE2" s="679"/>
      <c r="BF2" s="679"/>
      <c r="BG2" s="679"/>
      <c r="BH2" s="679"/>
      <c r="BI2" s="679"/>
      <c r="BJ2" s="679"/>
      <c r="BK2" s="679"/>
      <c r="BL2" s="679"/>
      <c r="BM2" s="679"/>
      <c r="BN2" s="679"/>
      <c r="BO2" s="679"/>
      <c r="BP2" s="679"/>
      <c r="BQ2" s="679"/>
      <c r="BR2" s="679"/>
      <c r="BS2" s="679"/>
      <c r="BT2" s="679"/>
      <c r="BU2" s="679"/>
      <c r="BV2" s="679"/>
      <c r="BW2" s="679"/>
      <c r="BX2" s="679"/>
      <c r="BY2" s="679"/>
      <c r="BZ2" s="679"/>
      <c r="CA2" s="679"/>
      <c r="CB2" s="679"/>
      <c r="CC2" s="679"/>
      <c r="CD2" s="679"/>
      <c r="CE2" s="679"/>
      <c r="CF2" s="679"/>
      <c r="CG2" s="679"/>
      <c r="CH2" s="679"/>
      <c r="CI2" s="679"/>
      <c r="CJ2" s="679"/>
      <c r="CK2" s="679"/>
      <c r="CL2" s="679"/>
      <c r="CM2" s="679"/>
      <c r="CN2" s="679"/>
      <c r="CO2" s="679"/>
      <c r="CP2" s="679"/>
      <c r="CQ2" s="679"/>
      <c r="CR2" s="679"/>
      <c r="CS2" s="679"/>
      <c r="CT2" s="679"/>
      <c r="CU2" s="679"/>
      <c r="CV2" s="679"/>
      <c r="CW2" s="679"/>
      <c r="CX2" s="679"/>
      <c r="CY2" s="679"/>
      <c r="CZ2" s="679"/>
      <c r="DA2" s="679"/>
      <c r="DB2" s="679"/>
      <c r="DC2" s="679"/>
      <c r="DD2" s="679"/>
      <c r="DE2" s="679"/>
      <c r="DF2" s="679"/>
      <c r="DG2" s="679"/>
      <c r="DH2" s="679"/>
      <c r="DI2" s="679"/>
      <c r="DJ2" s="679"/>
      <c r="DK2" s="679"/>
      <c r="DL2" s="679"/>
      <c r="DM2" s="679"/>
      <c r="DN2" s="679"/>
      <c r="DO2" s="679"/>
      <c r="DP2" s="679"/>
      <c r="DQ2" s="679"/>
      <c r="DR2" s="679"/>
      <c r="DS2" s="679"/>
      <c r="DT2" s="679"/>
      <c r="DU2" s="679"/>
      <c r="DV2" s="679"/>
      <c r="DW2" s="679"/>
      <c r="DX2" s="679"/>
      <c r="DY2" s="679"/>
      <c r="DZ2" s="679"/>
      <c r="EA2" s="679"/>
      <c r="EB2" s="679"/>
      <c r="EC2" s="679"/>
      <c r="ED2" s="679"/>
      <c r="EE2" s="679"/>
      <c r="EF2" s="679"/>
      <c r="EG2" s="679"/>
      <c r="EH2" s="679"/>
      <c r="EI2" s="679"/>
      <c r="EJ2" s="679"/>
      <c r="EK2" s="679"/>
      <c r="EL2" s="679"/>
      <c r="EM2" s="679"/>
      <c r="EN2" s="679"/>
      <c r="EO2" s="679"/>
      <c r="EP2" s="679"/>
      <c r="EQ2" s="679"/>
      <c r="ER2" s="679"/>
      <c r="ES2" s="679"/>
      <c r="ET2" s="679"/>
      <c r="EU2" s="679"/>
      <c r="EV2" s="679"/>
      <c r="EW2" s="679"/>
      <c r="EX2" s="679"/>
      <c r="EY2" s="679"/>
      <c r="EZ2" s="679"/>
      <c r="FA2" s="679"/>
      <c r="FB2" s="679"/>
      <c r="FC2" s="679"/>
      <c r="FD2" s="679"/>
      <c r="FE2" s="679"/>
      <c r="FF2" s="679"/>
      <c r="FG2" s="679"/>
      <c r="FH2" s="679"/>
      <c r="FI2" s="679"/>
      <c r="FJ2" s="679"/>
      <c r="FK2" s="679"/>
      <c r="FL2" s="679"/>
      <c r="FM2" s="679"/>
      <c r="FN2" s="679"/>
      <c r="FO2" s="679"/>
      <c r="FP2" s="679"/>
      <c r="FQ2" s="679"/>
      <c r="FR2" s="679"/>
      <c r="FS2" s="679"/>
      <c r="FT2" s="679"/>
      <c r="FU2" s="679"/>
      <c r="FV2" s="679"/>
      <c r="FW2" s="679"/>
      <c r="FX2" s="679"/>
      <c r="FY2" s="679"/>
      <c r="FZ2" s="679"/>
      <c r="GA2" s="679"/>
      <c r="GB2" s="679"/>
      <c r="GC2" s="679"/>
      <c r="GD2" s="679"/>
      <c r="GE2" s="679"/>
      <c r="GF2" s="679"/>
      <c r="GG2" s="679"/>
      <c r="GH2" s="679"/>
      <c r="GI2" s="679"/>
      <c r="GJ2" s="679"/>
      <c r="GK2" s="679"/>
      <c r="GL2" s="679"/>
      <c r="GM2" s="679"/>
      <c r="GN2" s="679"/>
      <c r="GO2" s="679"/>
      <c r="GP2" s="679"/>
      <c r="GQ2" s="679"/>
      <c r="GR2" s="679"/>
      <c r="GS2" s="679"/>
      <c r="GT2" s="679"/>
      <c r="GU2" s="679"/>
      <c r="GV2" s="679"/>
      <c r="GW2" s="679"/>
      <c r="GX2" s="679"/>
      <c r="GY2" s="679"/>
      <c r="GZ2" s="679"/>
      <c r="HA2" s="679"/>
      <c r="HB2" s="679"/>
      <c r="HC2" s="679"/>
      <c r="HD2" s="679"/>
      <c r="HE2" s="679"/>
      <c r="HF2" s="679"/>
      <c r="HG2" s="679"/>
      <c r="HH2" s="679"/>
      <c r="HI2" s="679"/>
      <c r="HJ2" s="679"/>
      <c r="HK2" s="679"/>
      <c r="HL2" s="679"/>
      <c r="HM2" s="679"/>
      <c r="HN2" s="679"/>
      <c r="HO2" s="679"/>
      <c r="HP2" s="679"/>
      <c r="HQ2" s="679"/>
      <c r="HR2" s="679"/>
      <c r="HS2" s="679"/>
      <c r="HT2" s="679"/>
      <c r="HU2" s="679"/>
      <c r="HV2" s="679"/>
      <c r="HW2" s="679"/>
      <c r="HX2" s="679"/>
      <c r="HY2" s="679"/>
      <c r="HZ2" s="679"/>
      <c r="IA2" s="679"/>
      <c r="IB2" s="679"/>
      <c r="IC2" s="679"/>
      <c r="ID2" s="679"/>
      <c r="IE2" s="679"/>
      <c r="IF2" s="679"/>
      <c r="IG2" s="679"/>
      <c r="IH2" s="679"/>
      <c r="II2" s="679"/>
      <c r="IJ2" s="679"/>
      <c r="IK2" s="679"/>
      <c r="IL2" s="679"/>
      <c r="IM2" s="679"/>
      <c r="IN2" s="679"/>
      <c r="IO2" s="679"/>
      <c r="IP2" s="679"/>
      <c r="IQ2" s="679"/>
      <c r="IR2" s="679"/>
      <c r="IS2" s="679"/>
      <c r="IT2" s="679"/>
      <c r="IU2" s="679"/>
      <c r="IV2" s="679"/>
    </row>
    <row r="3" spans="1:256">
      <c r="A3" s="677" t="s">
        <v>379</v>
      </c>
      <c r="B3" s="678"/>
      <c r="C3" s="679"/>
      <c r="D3" s="679"/>
      <c r="E3" s="679"/>
      <c r="F3" s="679"/>
      <c r="G3" s="679"/>
      <c r="H3" s="679"/>
      <c r="I3" s="679"/>
      <c r="J3" s="679"/>
      <c r="K3" s="679"/>
      <c r="L3" s="679"/>
      <c r="M3" s="679"/>
      <c r="N3" s="679"/>
      <c r="O3" s="679"/>
      <c r="P3" s="679"/>
      <c r="Q3" s="679"/>
      <c r="R3" s="679"/>
      <c r="S3" s="679"/>
      <c r="T3" s="679"/>
      <c r="U3" s="679"/>
      <c r="V3" s="679"/>
      <c r="W3" s="679"/>
      <c r="X3" s="679"/>
      <c r="Y3" s="679"/>
      <c r="Z3" s="679"/>
      <c r="AA3" s="679"/>
      <c r="AB3" s="679"/>
      <c r="AC3" s="679"/>
      <c r="AD3" s="679"/>
      <c r="AE3" s="680" t="s">
        <v>380</v>
      </c>
      <c r="AF3" s="681"/>
      <c r="AG3" s="679"/>
      <c r="AH3" s="679"/>
      <c r="AI3" s="679"/>
      <c r="AJ3" s="679"/>
      <c r="AK3" s="679"/>
      <c r="AL3" s="679"/>
      <c r="AM3" s="679"/>
      <c r="AN3" s="679"/>
      <c r="AO3" s="679"/>
      <c r="AP3" s="679"/>
      <c r="AQ3" s="679"/>
      <c r="AR3" s="679"/>
      <c r="AS3" s="679"/>
      <c r="AT3" s="679"/>
      <c r="AU3" s="679"/>
      <c r="AV3" s="679"/>
      <c r="AW3" s="679"/>
      <c r="AX3" s="679"/>
      <c r="AY3" s="679"/>
      <c r="AZ3" s="679"/>
      <c r="BA3" s="679"/>
      <c r="BB3" s="679"/>
      <c r="BC3" s="679"/>
      <c r="BD3" s="679"/>
      <c r="BE3" s="679"/>
      <c r="BF3" s="679"/>
      <c r="BG3" s="679"/>
      <c r="BH3" s="679"/>
      <c r="BI3" s="679"/>
      <c r="BJ3" s="679"/>
      <c r="BK3" s="679"/>
      <c r="BL3" s="679"/>
      <c r="BM3" s="679"/>
      <c r="BN3" s="679"/>
      <c r="BO3" s="679"/>
      <c r="BP3" s="679"/>
      <c r="BQ3" s="679"/>
      <c r="BR3" s="679"/>
      <c r="BS3" s="679"/>
      <c r="BT3" s="679"/>
      <c r="BU3" s="679"/>
      <c r="BV3" s="679"/>
      <c r="BW3" s="679"/>
      <c r="BX3" s="679"/>
      <c r="BY3" s="679"/>
      <c r="BZ3" s="679"/>
      <c r="CA3" s="679"/>
      <c r="CB3" s="679"/>
      <c r="CC3" s="679"/>
      <c r="CD3" s="679"/>
      <c r="CE3" s="679"/>
      <c r="CF3" s="679"/>
      <c r="CG3" s="679"/>
      <c r="CH3" s="679"/>
      <c r="CI3" s="679"/>
      <c r="CJ3" s="679"/>
      <c r="CK3" s="679"/>
      <c r="CL3" s="679"/>
      <c r="CM3" s="679"/>
      <c r="CN3" s="679"/>
      <c r="CO3" s="679"/>
      <c r="CP3" s="679"/>
      <c r="CQ3" s="679"/>
      <c r="CR3" s="679"/>
      <c r="CS3" s="679"/>
      <c r="CT3" s="679"/>
      <c r="CU3" s="679"/>
      <c r="CV3" s="679"/>
      <c r="CW3" s="679"/>
      <c r="CX3" s="679"/>
      <c r="CY3" s="679"/>
      <c r="CZ3" s="679"/>
      <c r="DA3" s="679"/>
      <c r="DB3" s="679"/>
      <c r="DC3" s="679"/>
      <c r="DD3" s="679"/>
      <c r="DE3" s="679"/>
      <c r="DF3" s="679"/>
      <c r="DG3" s="679"/>
      <c r="DH3" s="679"/>
      <c r="DI3" s="679"/>
      <c r="DJ3" s="679"/>
      <c r="DK3" s="679"/>
      <c r="DL3" s="679"/>
      <c r="DM3" s="679"/>
      <c r="DN3" s="679"/>
      <c r="DO3" s="679"/>
      <c r="DP3" s="679"/>
      <c r="DQ3" s="679"/>
      <c r="DR3" s="679"/>
      <c r="DS3" s="679"/>
      <c r="DT3" s="679"/>
      <c r="DU3" s="679"/>
      <c r="DV3" s="679"/>
      <c r="DW3" s="679"/>
      <c r="DX3" s="679"/>
      <c r="DY3" s="679"/>
      <c r="DZ3" s="679"/>
      <c r="EA3" s="679"/>
      <c r="EB3" s="679"/>
      <c r="EC3" s="679"/>
      <c r="ED3" s="679"/>
      <c r="EE3" s="679"/>
      <c r="EF3" s="679"/>
      <c r="EG3" s="679"/>
      <c r="EH3" s="679"/>
      <c r="EI3" s="679"/>
      <c r="EJ3" s="679"/>
      <c r="EK3" s="679"/>
      <c r="EL3" s="679"/>
      <c r="EM3" s="679"/>
      <c r="EN3" s="679"/>
      <c r="EO3" s="679"/>
      <c r="EP3" s="679"/>
      <c r="EQ3" s="679"/>
      <c r="ER3" s="679"/>
      <c r="ES3" s="679"/>
      <c r="ET3" s="679"/>
      <c r="EU3" s="679"/>
      <c r="EV3" s="679"/>
      <c r="EW3" s="679"/>
      <c r="EX3" s="679"/>
      <c r="EY3" s="679"/>
      <c r="EZ3" s="679"/>
      <c r="FA3" s="679"/>
      <c r="FB3" s="679"/>
      <c r="FC3" s="679"/>
      <c r="FD3" s="679"/>
      <c r="FE3" s="679"/>
      <c r="FF3" s="679"/>
      <c r="FG3" s="679"/>
      <c r="FH3" s="679"/>
      <c r="FI3" s="679"/>
      <c r="FJ3" s="679"/>
      <c r="FK3" s="679"/>
      <c r="FL3" s="679"/>
      <c r="FM3" s="679"/>
      <c r="FN3" s="679"/>
      <c r="FO3" s="679"/>
      <c r="FP3" s="679"/>
      <c r="FQ3" s="679"/>
      <c r="FR3" s="679"/>
      <c r="FS3" s="679"/>
      <c r="FT3" s="679"/>
      <c r="FU3" s="679"/>
      <c r="FV3" s="679"/>
      <c r="FW3" s="679"/>
      <c r="FX3" s="679"/>
      <c r="FY3" s="679"/>
      <c r="FZ3" s="679"/>
      <c r="GA3" s="679"/>
      <c r="GB3" s="679"/>
      <c r="GC3" s="679"/>
      <c r="GD3" s="679"/>
      <c r="GE3" s="679"/>
      <c r="GF3" s="679"/>
      <c r="GG3" s="679"/>
      <c r="GH3" s="679"/>
      <c r="GI3" s="679"/>
      <c r="GJ3" s="679"/>
      <c r="GK3" s="679"/>
      <c r="GL3" s="679"/>
      <c r="GM3" s="679"/>
      <c r="GN3" s="679"/>
      <c r="GO3" s="679"/>
      <c r="GP3" s="679"/>
      <c r="GQ3" s="679"/>
      <c r="GR3" s="679"/>
      <c r="GS3" s="679"/>
      <c r="GT3" s="679"/>
      <c r="GU3" s="679"/>
      <c r="GV3" s="679"/>
      <c r="GW3" s="679"/>
      <c r="GX3" s="679"/>
      <c r="GY3" s="679"/>
      <c r="GZ3" s="679"/>
      <c r="HA3" s="679"/>
      <c r="HB3" s="679"/>
      <c r="HC3" s="679"/>
      <c r="HD3" s="679"/>
      <c r="HE3" s="679"/>
      <c r="HF3" s="679"/>
      <c r="HG3" s="679"/>
      <c r="HH3" s="679"/>
      <c r="HI3" s="679"/>
      <c r="HJ3" s="679"/>
      <c r="HK3" s="679"/>
      <c r="HL3" s="679"/>
      <c r="HM3" s="679"/>
      <c r="HN3" s="679"/>
      <c r="HO3" s="679"/>
      <c r="HP3" s="679"/>
      <c r="HQ3" s="679"/>
      <c r="HR3" s="679"/>
      <c r="HS3" s="679"/>
      <c r="HT3" s="679"/>
      <c r="HU3" s="679"/>
      <c r="HV3" s="679"/>
      <c r="HW3" s="679"/>
      <c r="HX3" s="679"/>
      <c r="HY3" s="679"/>
      <c r="HZ3" s="679"/>
      <c r="IA3" s="679"/>
      <c r="IB3" s="679"/>
      <c r="IC3" s="679"/>
      <c r="ID3" s="679"/>
      <c r="IE3" s="679"/>
      <c r="IF3" s="679"/>
      <c r="IG3" s="679"/>
      <c r="IH3" s="679"/>
      <c r="II3" s="679"/>
      <c r="IJ3" s="679"/>
      <c r="IK3" s="679"/>
      <c r="IL3" s="679"/>
      <c r="IM3" s="679"/>
      <c r="IN3" s="679"/>
      <c r="IO3" s="679"/>
      <c r="IP3" s="679"/>
      <c r="IQ3" s="679"/>
      <c r="IR3" s="679"/>
      <c r="IS3" s="679"/>
      <c r="IT3" s="679"/>
      <c r="IU3" s="679"/>
      <c r="IV3" s="679"/>
    </row>
    <row r="4" spans="1:256" ht="21">
      <c r="A4" s="683" t="s">
        <v>381</v>
      </c>
      <c r="B4" s="678"/>
      <c r="C4" s="684"/>
      <c r="D4" s="679"/>
      <c r="E4" s="679"/>
      <c r="F4" s="679"/>
      <c r="G4" s="679"/>
      <c r="H4" s="679"/>
      <c r="I4" s="679"/>
      <c r="J4" s="679"/>
      <c r="K4" s="679"/>
      <c r="L4" s="679"/>
      <c r="M4" s="679"/>
      <c r="N4" s="679"/>
      <c r="O4" s="679"/>
      <c r="P4" s="679"/>
      <c r="Q4" s="679"/>
      <c r="R4" s="679"/>
      <c r="S4" s="679"/>
      <c r="T4" s="679"/>
      <c r="U4" s="679"/>
      <c r="V4" s="679"/>
      <c r="W4" s="679"/>
      <c r="X4" s="679"/>
      <c r="Y4" s="679"/>
      <c r="Z4" s="679"/>
      <c r="AA4" s="679"/>
      <c r="AB4" s="679"/>
      <c r="AC4" s="679"/>
      <c r="AD4" s="679"/>
      <c r="AE4" s="680" t="s">
        <v>382</v>
      </c>
      <c r="AF4" s="681"/>
      <c r="AG4" s="679"/>
      <c r="AH4" s="679"/>
      <c r="AI4" s="679"/>
      <c r="AJ4" s="679"/>
      <c r="AK4" s="679"/>
      <c r="AL4" s="679"/>
      <c r="AM4" s="679"/>
      <c r="AN4" s="679"/>
      <c r="AO4" s="679"/>
      <c r="AP4" s="679"/>
      <c r="AQ4" s="679"/>
      <c r="AR4" s="679"/>
      <c r="AS4" s="679"/>
      <c r="AT4" s="679"/>
      <c r="AU4" s="679"/>
      <c r="AV4" s="679"/>
      <c r="AW4" s="679"/>
      <c r="AX4" s="679"/>
      <c r="AY4" s="679"/>
      <c r="AZ4" s="679"/>
      <c r="BA4" s="679"/>
      <c r="BB4" s="679"/>
      <c r="BC4" s="679"/>
      <c r="BD4" s="679"/>
      <c r="BE4" s="679"/>
      <c r="BF4" s="679"/>
      <c r="BG4" s="679"/>
      <c r="BH4" s="679"/>
      <c r="BI4" s="679"/>
      <c r="BJ4" s="679"/>
      <c r="BK4" s="679"/>
      <c r="BL4" s="679"/>
      <c r="BM4" s="679"/>
      <c r="BN4" s="679"/>
      <c r="BO4" s="679"/>
      <c r="BP4" s="679"/>
      <c r="BQ4" s="679"/>
      <c r="BR4" s="679"/>
      <c r="BS4" s="679"/>
      <c r="BT4" s="679"/>
      <c r="BU4" s="679"/>
      <c r="BV4" s="679"/>
      <c r="BW4" s="679"/>
      <c r="BX4" s="679"/>
      <c r="BY4" s="679"/>
      <c r="BZ4" s="679"/>
      <c r="CA4" s="679"/>
      <c r="CB4" s="679"/>
      <c r="CC4" s="679"/>
      <c r="CD4" s="679"/>
      <c r="CE4" s="679"/>
      <c r="CF4" s="679"/>
      <c r="CG4" s="679"/>
      <c r="CH4" s="679"/>
      <c r="CI4" s="679"/>
      <c r="CJ4" s="679"/>
      <c r="CK4" s="679"/>
      <c r="CL4" s="679"/>
      <c r="CM4" s="679"/>
      <c r="CN4" s="679"/>
      <c r="CO4" s="679"/>
      <c r="CP4" s="679"/>
      <c r="CQ4" s="679"/>
      <c r="CR4" s="679"/>
      <c r="CS4" s="679"/>
      <c r="CT4" s="679"/>
      <c r="CU4" s="679"/>
      <c r="CV4" s="679"/>
      <c r="CW4" s="679"/>
      <c r="CX4" s="679"/>
      <c r="CY4" s="679"/>
      <c r="CZ4" s="679"/>
      <c r="DA4" s="679"/>
      <c r="DB4" s="679"/>
      <c r="DC4" s="679"/>
      <c r="DD4" s="679"/>
      <c r="DE4" s="679"/>
      <c r="DF4" s="679"/>
      <c r="DG4" s="679"/>
      <c r="DH4" s="679"/>
      <c r="DI4" s="679"/>
      <c r="DJ4" s="679"/>
      <c r="DK4" s="679"/>
      <c r="DL4" s="679"/>
      <c r="DM4" s="679"/>
      <c r="DN4" s="679"/>
      <c r="DO4" s="679"/>
      <c r="DP4" s="679"/>
      <c r="DQ4" s="679"/>
      <c r="DR4" s="679"/>
      <c r="DS4" s="679"/>
      <c r="DT4" s="679"/>
      <c r="DU4" s="679"/>
      <c r="DV4" s="679"/>
      <c r="DW4" s="679"/>
      <c r="DX4" s="679"/>
      <c r="DY4" s="679"/>
      <c r="DZ4" s="679"/>
      <c r="EA4" s="679"/>
      <c r="EB4" s="679"/>
      <c r="EC4" s="679"/>
      <c r="ED4" s="679"/>
      <c r="EE4" s="679"/>
      <c r="EF4" s="679"/>
      <c r="EG4" s="679"/>
      <c r="EH4" s="679"/>
      <c r="EI4" s="679"/>
      <c r="EJ4" s="679"/>
      <c r="EK4" s="679"/>
      <c r="EL4" s="679"/>
      <c r="EM4" s="679"/>
      <c r="EN4" s="679"/>
      <c r="EO4" s="679"/>
      <c r="EP4" s="679"/>
      <c r="EQ4" s="679"/>
      <c r="ER4" s="679"/>
      <c r="ES4" s="679"/>
      <c r="ET4" s="679"/>
      <c r="EU4" s="679"/>
      <c r="EV4" s="679"/>
      <c r="EW4" s="679"/>
      <c r="EX4" s="679"/>
      <c r="EY4" s="679"/>
      <c r="EZ4" s="679"/>
      <c r="FA4" s="679"/>
      <c r="FB4" s="679"/>
      <c r="FC4" s="679"/>
      <c r="FD4" s="679"/>
      <c r="FE4" s="679"/>
      <c r="FF4" s="679"/>
      <c r="FG4" s="679"/>
      <c r="FH4" s="679"/>
      <c r="FI4" s="679"/>
      <c r="FJ4" s="679"/>
      <c r="FK4" s="679"/>
      <c r="FL4" s="679"/>
      <c r="FM4" s="679"/>
      <c r="FN4" s="679"/>
      <c r="FO4" s="679"/>
      <c r="FP4" s="679"/>
      <c r="FQ4" s="679"/>
      <c r="FR4" s="679"/>
      <c r="FS4" s="679"/>
      <c r="FT4" s="679"/>
      <c r="FU4" s="679"/>
      <c r="FV4" s="679"/>
      <c r="FW4" s="679"/>
      <c r="FX4" s="679"/>
      <c r="FY4" s="679"/>
      <c r="FZ4" s="679"/>
      <c r="GA4" s="679"/>
      <c r="GB4" s="679"/>
      <c r="GC4" s="679"/>
      <c r="GD4" s="679"/>
      <c r="GE4" s="679"/>
      <c r="GF4" s="679"/>
      <c r="GG4" s="679"/>
      <c r="GH4" s="679"/>
      <c r="GI4" s="679"/>
      <c r="GJ4" s="679"/>
      <c r="GK4" s="679"/>
      <c r="GL4" s="679"/>
      <c r="GM4" s="679"/>
      <c r="GN4" s="679"/>
      <c r="GO4" s="679"/>
      <c r="GP4" s="679"/>
      <c r="GQ4" s="679"/>
      <c r="GR4" s="679"/>
      <c r="GS4" s="679"/>
      <c r="GT4" s="679"/>
      <c r="GU4" s="679"/>
      <c r="GV4" s="679"/>
      <c r="GW4" s="679"/>
      <c r="GX4" s="679"/>
      <c r="GY4" s="679"/>
      <c r="GZ4" s="679"/>
      <c r="HA4" s="679"/>
      <c r="HB4" s="679"/>
      <c r="HC4" s="679"/>
      <c r="HD4" s="679"/>
      <c r="HE4" s="679"/>
      <c r="HF4" s="679"/>
      <c r="HG4" s="679"/>
      <c r="HH4" s="679"/>
      <c r="HI4" s="679"/>
      <c r="HJ4" s="679"/>
      <c r="HK4" s="679"/>
      <c r="HL4" s="679"/>
      <c r="HM4" s="679"/>
      <c r="HN4" s="679"/>
      <c r="HO4" s="679"/>
      <c r="HP4" s="679"/>
      <c r="HQ4" s="679"/>
      <c r="HR4" s="679"/>
      <c r="HS4" s="679"/>
      <c r="HT4" s="679"/>
      <c r="HU4" s="679"/>
      <c r="HV4" s="679"/>
      <c r="HW4" s="679"/>
      <c r="HX4" s="679"/>
      <c r="HY4" s="679"/>
      <c r="HZ4" s="679"/>
      <c r="IA4" s="679"/>
      <c r="IB4" s="679"/>
      <c r="IC4" s="679"/>
      <c r="ID4" s="679"/>
      <c r="IE4" s="679"/>
      <c r="IF4" s="679"/>
      <c r="IG4" s="679"/>
      <c r="IH4" s="679"/>
      <c r="II4" s="679"/>
      <c r="IJ4" s="679"/>
      <c r="IK4" s="679"/>
      <c r="IL4" s="679"/>
      <c r="IM4" s="679"/>
      <c r="IN4" s="679"/>
      <c r="IO4" s="679"/>
      <c r="IP4" s="679"/>
      <c r="IQ4" s="679"/>
      <c r="IR4" s="679"/>
      <c r="IS4" s="679"/>
      <c r="IT4" s="679"/>
      <c r="IU4" s="679"/>
      <c r="IV4" s="679"/>
    </row>
    <row r="5" spans="1:256" ht="21">
      <c r="A5" s="683"/>
      <c r="B5" s="678"/>
      <c r="C5" s="684"/>
      <c r="D5" s="679"/>
      <c r="E5" s="679"/>
      <c r="F5" s="679"/>
      <c r="G5" s="679"/>
      <c r="H5" s="679"/>
      <c r="I5" s="678"/>
      <c r="J5" s="679"/>
      <c r="K5" s="679"/>
      <c r="L5" s="679"/>
      <c r="M5" s="679"/>
      <c r="N5" s="679"/>
      <c r="O5" s="679"/>
      <c r="P5" s="679"/>
      <c r="Q5" s="679"/>
      <c r="R5" s="679"/>
      <c r="S5" s="679"/>
      <c r="T5" s="679"/>
      <c r="U5" s="679"/>
      <c r="V5" s="679"/>
      <c r="W5" s="679"/>
      <c r="X5" s="678"/>
      <c r="Y5" s="678"/>
      <c r="Z5" s="678"/>
      <c r="AA5" s="678"/>
      <c r="AB5" s="678"/>
      <c r="AC5" s="685" t="s">
        <v>383</v>
      </c>
      <c r="AD5" s="678"/>
      <c r="AE5" s="680" t="s">
        <v>384</v>
      </c>
      <c r="AF5" s="681"/>
      <c r="AG5" s="678"/>
      <c r="AH5" s="678"/>
      <c r="AI5" s="678"/>
      <c r="AJ5" s="678"/>
      <c r="AK5" s="678"/>
      <c r="AL5" s="678"/>
      <c r="AM5" s="678"/>
      <c r="AN5" s="678"/>
      <c r="AO5" s="678"/>
      <c r="AP5" s="678"/>
      <c r="AQ5" s="678"/>
      <c r="AR5" s="678"/>
      <c r="AS5" s="678"/>
      <c r="AT5" s="678"/>
      <c r="AU5" s="678"/>
      <c r="AV5" s="678"/>
      <c r="AW5" s="678"/>
      <c r="AX5" s="678"/>
      <c r="AY5" s="678"/>
      <c r="AZ5" s="678"/>
      <c r="BA5" s="678"/>
      <c r="BB5" s="678"/>
      <c r="BC5" s="678"/>
      <c r="BD5" s="678"/>
      <c r="BE5" s="678"/>
      <c r="BF5" s="678"/>
      <c r="BG5" s="678"/>
      <c r="BH5" s="678"/>
      <c r="BI5" s="678"/>
      <c r="BJ5" s="678"/>
      <c r="BK5" s="678"/>
      <c r="BL5" s="678"/>
      <c r="BM5" s="678"/>
      <c r="BN5" s="678"/>
      <c r="BO5" s="678"/>
      <c r="BP5" s="678"/>
      <c r="BQ5" s="678"/>
      <c r="BR5" s="678"/>
      <c r="BS5" s="678"/>
      <c r="BT5" s="678"/>
      <c r="BU5" s="678"/>
      <c r="BV5" s="678"/>
      <c r="BW5" s="678"/>
      <c r="BX5" s="678"/>
      <c r="BY5" s="678"/>
      <c r="BZ5" s="678"/>
      <c r="CA5" s="678"/>
      <c r="CB5" s="678"/>
      <c r="CC5" s="678"/>
      <c r="CD5" s="678"/>
      <c r="CE5" s="678"/>
      <c r="CF5" s="678"/>
      <c r="CG5" s="678"/>
      <c r="CH5" s="678"/>
      <c r="CI5" s="678"/>
      <c r="CJ5" s="678"/>
      <c r="CK5" s="678"/>
      <c r="CL5" s="678"/>
      <c r="CM5" s="678"/>
      <c r="CN5" s="678"/>
      <c r="CO5" s="678"/>
      <c r="CP5" s="678"/>
      <c r="CQ5" s="678"/>
      <c r="CR5" s="678"/>
      <c r="CS5" s="678"/>
      <c r="CT5" s="678"/>
      <c r="CU5" s="678"/>
      <c r="CV5" s="678"/>
      <c r="CW5" s="678"/>
      <c r="CX5" s="678"/>
      <c r="CY5" s="678"/>
      <c r="CZ5" s="678"/>
      <c r="DA5" s="678"/>
      <c r="DB5" s="678"/>
      <c r="DC5" s="678"/>
      <c r="DD5" s="678"/>
      <c r="DE5" s="678"/>
      <c r="DF5" s="678"/>
      <c r="DG5" s="678"/>
      <c r="DH5" s="678"/>
      <c r="DI5" s="678"/>
      <c r="DJ5" s="678"/>
      <c r="DK5" s="678"/>
      <c r="DL5" s="678"/>
      <c r="DM5" s="678"/>
      <c r="DN5" s="678"/>
      <c r="DO5" s="678"/>
      <c r="DP5" s="678"/>
      <c r="DQ5" s="678"/>
      <c r="DR5" s="678"/>
      <c r="DS5" s="678"/>
      <c r="DT5" s="678"/>
      <c r="DU5" s="678"/>
      <c r="DV5" s="678"/>
      <c r="DW5" s="678"/>
      <c r="DX5" s="678"/>
      <c r="DY5" s="678"/>
      <c r="DZ5" s="678"/>
      <c r="EA5" s="678"/>
      <c r="EB5" s="678"/>
      <c r="EC5" s="678"/>
      <c r="ED5" s="678"/>
      <c r="EE5" s="678"/>
      <c r="EF5" s="678"/>
      <c r="EG5" s="678"/>
      <c r="EH5" s="678"/>
      <c r="EI5" s="678"/>
      <c r="EJ5" s="678"/>
      <c r="EK5" s="678"/>
      <c r="EL5" s="678"/>
      <c r="EM5" s="678"/>
      <c r="EN5" s="678"/>
      <c r="EO5" s="678"/>
      <c r="EP5" s="678"/>
      <c r="EQ5" s="678"/>
      <c r="ER5" s="678"/>
      <c r="ES5" s="678"/>
      <c r="ET5" s="678"/>
      <c r="EU5" s="678"/>
      <c r="EV5" s="678"/>
      <c r="EW5" s="678"/>
      <c r="EX5" s="678"/>
      <c r="EY5" s="678"/>
      <c r="EZ5" s="678"/>
      <c r="FA5" s="678"/>
      <c r="FB5" s="678"/>
      <c r="FC5" s="678"/>
      <c r="FD5" s="678"/>
      <c r="FE5" s="678"/>
      <c r="FF5" s="678"/>
      <c r="FG5" s="678"/>
      <c r="FH5" s="678"/>
      <c r="FI5" s="678"/>
      <c r="FJ5" s="678"/>
      <c r="FK5" s="678"/>
      <c r="FL5" s="678"/>
      <c r="FM5" s="678"/>
      <c r="FN5" s="678"/>
      <c r="FO5" s="678"/>
      <c r="FP5" s="678"/>
      <c r="FQ5" s="678"/>
      <c r="FR5" s="678"/>
      <c r="FS5" s="678"/>
      <c r="FT5" s="678"/>
      <c r="FU5" s="678"/>
      <c r="FV5" s="678"/>
      <c r="FW5" s="678"/>
      <c r="FX5" s="678"/>
      <c r="FY5" s="678"/>
      <c r="FZ5" s="678"/>
      <c r="GA5" s="678"/>
      <c r="GB5" s="678"/>
      <c r="GC5" s="678"/>
      <c r="GD5" s="678"/>
      <c r="GE5" s="678"/>
      <c r="GF5" s="678"/>
      <c r="GG5" s="678"/>
      <c r="GH5" s="678"/>
      <c r="GI5" s="678"/>
      <c r="GJ5" s="678"/>
      <c r="GK5" s="678"/>
      <c r="GL5" s="678"/>
      <c r="GM5" s="678"/>
      <c r="GN5" s="678"/>
      <c r="GO5" s="678"/>
      <c r="GP5" s="678"/>
      <c r="GQ5" s="678"/>
      <c r="GR5" s="678"/>
      <c r="GS5" s="678"/>
      <c r="GT5" s="678"/>
      <c r="GU5" s="678"/>
      <c r="GV5" s="678"/>
      <c r="GW5" s="678"/>
      <c r="GX5" s="678"/>
      <c r="GY5" s="678"/>
      <c r="GZ5" s="678"/>
      <c r="HA5" s="678"/>
      <c r="HB5" s="678"/>
      <c r="HC5" s="678"/>
      <c r="HD5" s="678"/>
      <c r="HE5" s="678"/>
      <c r="HF5" s="678"/>
      <c r="HG5" s="678"/>
      <c r="HH5" s="678"/>
      <c r="HI5" s="678"/>
      <c r="HJ5" s="678"/>
      <c r="HK5" s="678"/>
      <c r="HL5" s="678"/>
      <c r="HM5" s="678"/>
      <c r="HN5" s="678"/>
      <c r="HO5" s="678"/>
      <c r="HP5" s="678"/>
      <c r="HQ5" s="678"/>
      <c r="HR5" s="678"/>
      <c r="HS5" s="678"/>
      <c r="HT5" s="678"/>
      <c r="HU5" s="678"/>
      <c r="HV5" s="678"/>
      <c r="HW5" s="678"/>
      <c r="HX5" s="678"/>
      <c r="HY5" s="678"/>
      <c r="HZ5" s="678"/>
      <c r="IA5" s="678"/>
      <c r="IB5" s="678"/>
      <c r="IC5" s="678"/>
      <c r="ID5" s="678"/>
      <c r="IE5" s="678"/>
      <c r="IF5" s="678"/>
      <c r="IG5" s="678"/>
      <c r="IH5" s="678"/>
      <c r="II5" s="678"/>
      <c r="IJ5" s="678"/>
      <c r="IK5" s="678"/>
      <c r="IL5" s="678"/>
      <c r="IM5" s="678"/>
      <c r="IN5" s="678"/>
      <c r="IO5" s="678"/>
      <c r="IP5" s="678"/>
      <c r="IQ5" s="678"/>
      <c r="IR5" s="678"/>
      <c r="IS5" s="678"/>
      <c r="IT5" s="678"/>
      <c r="IU5" s="678"/>
      <c r="IV5" s="678"/>
    </row>
    <row r="6" spans="1:256" ht="21">
      <c r="A6" s="683"/>
      <c r="B6" s="678"/>
      <c r="C6" s="684"/>
      <c r="D6" s="679"/>
      <c r="E6" s="679"/>
      <c r="F6" s="679"/>
      <c r="G6" s="679"/>
      <c r="H6" s="679"/>
      <c r="I6" s="679"/>
      <c r="J6" s="679"/>
      <c r="K6" s="679"/>
      <c r="L6" s="679"/>
      <c r="M6" s="679"/>
      <c r="N6" s="679"/>
      <c r="O6" s="679"/>
      <c r="P6" s="679"/>
      <c r="Q6" s="679"/>
      <c r="R6" s="679"/>
      <c r="S6" s="679"/>
      <c r="T6" s="679"/>
      <c r="U6" s="679"/>
      <c r="V6" s="679"/>
      <c r="W6" s="679"/>
      <c r="X6" s="679"/>
      <c r="Y6" s="679"/>
      <c r="Z6" s="679"/>
      <c r="AA6" s="679"/>
      <c r="AB6" s="679"/>
      <c r="AC6" s="685" t="s">
        <v>385</v>
      </c>
      <c r="AD6" s="679"/>
      <c r="AE6" s="680" t="s">
        <v>386</v>
      </c>
      <c r="AF6" s="681"/>
      <c r="AG6" s="679"/>
      <c r="AH6" s="679"/>
      <c r="AI6" s="679"/>
      <c r="AJ6" s="679"/>
      <c r="AK6" s="679"/>
      <c r="AL6" s="679"/>
      <c r="AM6" s="679"/>
      <c r="AN6" s="679"/>
      <c r="AO6" s="679"/>
      <c r="AP6" s="679"/>
      <c r="AQ6" s="679"/>
      <c r="AR6" s="679"/>
      <c r="AS6" s="679"/>
      <c r="AT6" s="679"/>
      <c r="AU6" s="679"/>
      <c r="AV6" s="679"/>
      <c r="AW6" s="679"/>
      <c r="AX6" s="679"/>
      <c r="AY6" s="679"/>
      <c r="AZ6" s="679"/>
      <c r="BA6" s="679"/>
      <c r="BB6" s="679"/>
      <c r="BC6" s="679"/>
      <c r="BD6" s="679"/>
      <c r="BE6" s="679"/>
      <c r="BF6" s="679"/>
      <c r="BG6" s="679"/>
      <c r="BH6" s="679"/>
      <c r="BI6" s="679"/>
      <c r="BJ6" s="679"/>
      <c r="BK6" s="679"/>
      <c r="BL6" s="679"/>
      <c r="BM6" s="679"/>
      <c r="BN6" s="679"/>
      <c r="BO6" s="679"/>
      <c r="BP6" s="679"/>
      <c r="BQ6" s="679"/>
      <c r="BR6" s="679"/>
      <c r="BS6" s="679"/>
      <c r="BT6" s="679"/>
      <c r="BU6" s="679"/>
      <c r="BV6" s="679"/>
      <c r="BW6" s="679"/>
      <c r="BX6" s="679"/>
      <c r="BY6" s="679"/>
      <c r="BZ6" s="679"/>
      <c r="CA6" s="679"/>
      <c r="CB6" s="679"/>
      <c r="CC6" s="679"/>
      <c r="CD6" s="679"/>
      <c r="CE6" s="679"/>
      <c r="CF6" s="679"/>
      <c r="CG6" s="679"/>
      <c r="CH6" s="679"/>
      <c r="CI6" s="679"/>
      <c r="CJ6" s="679"/>
      <c r="CK6" s="679"/>
      <c r="CL6" s="679"/>
      <c r="CM6" s="679"/>
      <c r="CN6" s="679"/>
      <c r="CO6" s="679"/>
      <c r="CP6" s="679"/>
      <c r="CQ6" s="679"/>
      <c r="CR6" s="679"/>
      <c r="CS6" s="679"/>
      <c r="CT6" s="679"/>
      <c r="CU6" s="679"/>
      <c r="CV6" s="679"/>
      <c r="CW6" s="679"/>
      <c r="CX6" s="679"/>
      <c r="CY6" s="679"/>
      <c r="CZ6" s="679"/>
      <c r="DA6" s="679"/>
      <c r="DB6" s="679"/>
      <c r="DC6" s="679"/>
      <c r="DD6" s="679"/>
      <c r="DE6" s="679"/>
      <c r="DF6" s="679"/>
      <c r="DG6" s="679"/>
      <c r="DH6" s="679"/>
      <c r="DI6" s="679"/>
      <c r="DJ6" s="679"/>
      <c r="DK6" s="679"/>
      <c r="DL6" s="679"/>
      <c r="DM6" s="679"/>
      <c r="DN6" s="679"/>
      <c r="DO6" s="679"/>
      <c r="DP6" s="679"/>
      <c r="DQ6" s="679"/>
      <c r="DR6" s="679"/>
      <c r="DS6" s="679"/>
      <c r="DT6" s="679"/>
      <c r="DU6" s="679"/>
      <c r="DV6" s="679"/>
      <c r="DW6" s="679"/>
      <c r="DX6" s="679"/>
      <c r="DY6" s="679"/>
      <c r="DZ6" s="679"/>
      <c r="EA6" s="679"/>
      <c r="EB6" s="679"/>
      <c r="EC6" s="679"/>
      <c r="ED6" s="679"/>
      <c r="EE6" s="679"/>
      <c r="EF6" s="679"/>
      <c r="EG6" s="679"/>
      <c r="EH6" s="679"/>
      <c r="EI6" s="679"/>
      <c r="EJ6" s="679"/>
      <c r="EK6" s="679"/>
      <c r="EL6" s="679"/>
      <c r="EM6" s="679"/>
      <c r="EN6" s="679"/>
      <c r="EO6" s="679"/>
      <c r="EP6" s="679"/>
      <c r="EQ6" s="679"/>
      <c r="ER6" s="679"/>
      <c r="ES6" s="679"/>
      <c r="ET6" s="679"/>
      <c r="EU6" s="679"/>
      <c r="EV6" s="679"/>
      <c r="EW6" s="679"/>
      <c r="EX6" s="679"/>
      <c r="EY6" s="679"/>
      <c r="EZ6" s="679"/>
      <c r="FA6" s="679"/>
      <c r="FB6" s="679"/>
      <c r="FC6" s="679"/>
      <c r="FD6" s="679"/>
      <c r="FE6" s="679"/>
      <c r="FF6" s="679"/>
      <c r="FG6" s="679"/>
      <c r="FH6" s="679"/>
      <c r="FI6" s="679"/>
      <c r="FJ6" s="679"/>
      <c r="FK6" s="679"/>
      <c r="FL6" s="679"/>
      <c r="FM6" s="679"/>
      <c r="FN6" s="679"/>
      <c r="FO6" s="679"/>
      <c r="FP6" s="679"/>
      <c r="FQ6" s="679"/>
      <c r="FR6" s="679"/>
      <c r="FS6" s="679"/>
      <c r="FT6" s="679"/>
      <c r="FU6" s="679"/>
      <c r="FV6" s="679"/>
      <c r="FW6" s="679"/>
      <c r="FX6" s="679"/>
      <c r="FY6" s="679"/>
      <c r="FZ6" s="679"/>
      <c r="GA6" s="679"/>
      <c r="GB6" s="679"/>
      <c r="GC6" s="679"/>
      <c r="GD6" s="679"/>
      <c r="GE6" s="679"/>
      <c r="GF6" s="679"/>
      <c r="GG6" s="679"/>
      <c r="GH6" s="679"/>
      <c r="GI6" s="679"/>
      <c r="GJ6" s="679"/>
      <c r="GK6" s="679"/>
      <c r="GL6" s="679"/>
      <c r="GM6" s="679"/>
      <c r="GN6" s="679"/>
      <c r="GO6" s="679"/>
      <c r="GP6" s="679"/>
      <c r="GQ6" s="679"/>
      <c r="GR6" s="679"/>
      <c r="GS6" s="679"/>
      <c r="GT6" s="679"/>
      <c r="GU6" s="679"/>
      <c r="GV6" s="679"/>
      <c r="GW6" s="679"/>
      <c r="GX6" s="679"/>
      <c r="GY6" s="679"/>
      <c r="GZ6" s="679"/>
      <c r="HA6" s="679"/>
      <c r="HB6" s="679"/>
      <c r="HC6" s="679"/>
      <c r="HD6" s="679"/>
      <c r="HE6" s="679"/>
      <c r="HF6" s="679"/>
      <c r="HG6" s="679"/>
      <c r="HH6" s="679"/>
      <c r="HI6" s="679"/>
      <c r="HJ6" s="679"/>
      <c r="HK6" s="679"/>
      <c r="HL6" s="679"/>
      <c r="HM6" s="679"/>
      <c r="HN6" s="679"/>
      <c r="HO6" s="679"/>
      <c r="HP6" s="679"/>
      <c r="HQ6" s="679"/>
      <c r="HR6" s="679"/>
      <c r="HS6" s="679"/>
      <c r="HT6" s="679"/>
      <c r="HU6" s="679"/>
      <c r="HV6" s="679"/>
      <c r="HW6" s="679"/>
      <c r="HX6" s="679"/>
      <c r="HY6" s="679"/>
      <c r="HZ6" s="679"/>
      <c r="IA6" s="679"/>
      <c r="IB6" s="679"/>
      <c r="IC6" s="679"/>
      <c r="ID6" s="679"/>
      <c r="IE6" s="679"/>
      <c r="IF6" s="679"/>
      <c r="IG6" s="679"/>
      <c r="IH6" s="679"/>
      <c r="II6" s="679"/>
      <c r="IJ6" s="679"/>
      <c r="IK6" s="679"/>
      <c r="IL6" s="679"/>
      <c r="IM6" s="679"/>
      <c r="IN6" s="679"/>
      <c r="IO6" s="679"/>
      <c r="IP6" s="679"/>
      <c r="IQ6" s="679"/>
      <c r="IR6" s="679"/>
      <c r="IS6" s="679"/>
      <c r="IT6" s="679"/>
      <c r="IU6" s="679"/>
      <c r="IV6" s="679"/>
    </row>
    <row r="7" spans="1:256" ht="21">
      <c r="A7" s="683"/>
      <c r="B7" s="678"/>
      <c r="C7" s="684"/>
      <c r="D7" s="679"/>
      <c r="E7" s="679"/>
      <c r="F7" s="679"/>
      <c r="G7" s="679"/>
      <c r="H7" s="679"/>
      <c r="I7" s="679"/>
      <c r="J7" s="679"/>
      <c r="K7" s="679"/>
      <c r="L7" s="679"/>
      <c r="M7" s="679"/>
      <c r="N7" s="679"/>
      <c r="O7" s="679"/>
      <c r="P7" s="679"/>
      <c r="Q7" s="679"/>
      <c r="R7" s="679"/>
      <c r="S7" s="679"/>
      <c r="T7" s="679"/>
      <c r="U7" s="679"/>
      <c r="V7" s="679"/>
      <c r="W7" s="679"/>
      <c r="X7" s="679"/>
      <c r="Y7" s="679"/>
      <c r="Z7" s="679"/>
      <c r="AA7" s="679"/>
      <c r="AB7" s="679"/>
      <c r="AC7" s="685" t="s">
        <v>387</v>
      </c>
      <c r="AD7" s="679"/>
      <c r="AE7" s="680" t="s">
        <v>388</v>
      </c>
      <c r="AF7" s="681"/>
      <c r="AG7" s="679"/>
      <c r="AH7" s="679"/>
      <c r="AI7" s="679"/>
      <c r="AJ7" s="679"/>
      <c r="AK7" s="679"/>
      <c r="AL7" s="679"/>
      <c r="AM7" s="679"/>
      <c r="AN7" s="679"/>
      <c r="AO7" s="679"/>
      <c r="AP7" s="679"/>
      <c r="AQ7" s="679"/>
      <c r="AR7" s="679"/>
      <c r="AS7" s="679"/>
      <c r="AT7" s="679"/>
      <c r="AU7" s="679"/>
      <c r="AV7" s="679"/>
      <c r="AW7" s="679"/>
      <c r="AX7" s="679"/>
      <c r="AY7" s="679"/>
      <c r="AZ7" s="679"/>
      <c r="BA7" s="679"/>
      <c r="BB7" s="679"/>
      <c r="BC7" s="679"/>
      <c r="BD7" s="679"/>
      <c r="BE7" s="679"/>
      <c r="BF7" s="679"/>
      <c r="BG7" s="679"/>
      <c r="BH7" s="679"/>
      <c r="BI7" s="679"/>
      <c r="BJ7" s="679"/>
      <c r="BK7" s="679"/>
      <c r="BL7" s="679"/>
      <c r="BM7" s="679"/>
      <c r="BN7" s="679"/>
      <c r="BO7" s="679"/>
      <c r="BP7" s="679"/>
      <c r="BQ7" s="679"/>
      <c r="BR7" s="679"/>
      <c r="BS7" s="679"/>
      <c r="BT7" s="679"/>
      <c r="BU7" s="679"/>
      <c r="BV7" s="679"/>
      <c r="BW7" s="679"/>
      <c r="BX7" s="679"/>
      <c r="BY7" s="679"/>
      <c r="BZ7" s="679"/>
      <c r="CA7" s="679"/>
      <c r="CB7" s="679"/>
      <c r="CC7" s="679"/>
      <c r="CD7" s="679"/>
      <c r="CE7" s="679"/>
      <c r="CF7" s="679"/>
      <c r="CG7" s="679"/>
      <c r="CH7" s="679"/>
      <c r="CI7" s="679"/>
      <c r="CJ7" s="679"/>
      <c r="CK7" s="679"/>
      <c r="CL7" s="679"/>
      <c r="CM7" s="679"/>
      <c r="CN7" s="679"/>
      <c r="CO7" s="679"/>
      <c r="CP7" s="679"/>
      <c r="CQ7" s="679"/>
      <c r="CR7" s="679"/>
      <c r="CS7" s="679"/>
      <c r="CT7" s="679"/>
      <c r="CU7" s="679"/>
      <c r="CV7" s="679"/>
      <c r="CW7" s="679"/>
      <c r="CX7" s="679"/>
      <c r="CY7" s="679"/>
      <c r="CZ7" s="679"/>
      <c r="DA7" s="679"/>
      <c r="DB7" s="679"/>
      <c r="DC7" s="679"/>
      <c r="DD7" s="679"/>
      <c r="DE7" s="679"/>
      <c r="DF7" s="679"/>
      <c r="DG7" s="679"/>
      <c r="DH7" s="679"/>
      <c r="DI7" s="679"/>
      <c r="DJ7" s="679"/>
      <c r="DK7" s="679"/>
      <c r="DL7" s="679"/>
      <c r="DM7" s="679"/>
      <c r="DN7" s="679"/>
      <c r="DO7" s="679"/>
      <c r="DP7" s="679"/>
      <c r="DQ7" s="679"/>
      <c r="DR7" s="679"/>
      <c r="DS7" s="679"/>
      <c r="DT7" s="679"/>
      <c r="DU7" s="679"/>
      <c r="DV7" s="679"/>
      <c r="DW7" s="679"/>
      <c r="DX7" s="679"/>
      <c r="DY7" s="679"/>
      <c r="DZ7" s="679"/>
      <c r="EA7" s="679"/>
      <c r="EB7" s="679"/>
      <c r="EC7" s="679"/>
      <c r="ED7" s="679"/>
      <c r="EE7" s="679"/>
      <c r="EF7" s="679"/>
      <c r="EG7" s="679"/>
      <c r="EH7" s="679"/>
      <c r="EI7" s="679"/>
      <c r="EJ7" s="679"/>
      <c r="EK7" s="679"/>
      <c r="EL7" s="679"/>
      <c r="EM7" s="679"/>
      <c r="EN7" s="679"/>
      <c r="EO7" s="679"/>
      <c r="EP7" s="679"/>
      <c r="EQ7" s="679"/>
      <c r="ER7" s="679"/>
      <c r="ES7" s="679"/>
      <c r="ET7" s="679"/>
      <c r="EU7" s="679"/>
      <c r="EV7" s="679"/>
      <c r="EW7" s="679"/>
      <c r="EX7" s="679"/>
      <c r="EY7" s="679"/>
      <c r="EZ7" s="679"/>
      <c r="FA7" s="679"/>
      <c r="FB7" s="679"/>
      <c r="FC7" s="679"/>
      <c r="FD7" s="679"/>
      <c r="FE7" s="679"/>
      <c r="FF7" s="679"/>
      <c r="FG7" s="679"/>
      <c r="FH7" s="679"/>
      <c r="FI7" s="679"/>
      <c r="FJ7" s="679"/>
      <c r="FK7" s="679"/>
      <c r="FL7" s="679"/>
      <c r="FM7" s="679"/>
      <c r="FN7" s="679"/>
      <c r="FO7" s="679"/>
      <c r="FP7" s="679"/>
      <c r="FQ7" s="679"/>
      <c r="FR7" s="679"/>
      <c r="FS7" s="679"/>
      <c r="FT7" s="679"/>
      <c r="FU7" s="679"/>
      <c r="FV7" s="679"/>
      <c r="FW7" s="679"/>
      <c r="FX7" s="679"/>
      <c r="FY7" s="679"/>
      <c r="FZ7" s="679"/>
      <c r="GA7" s="679"/>
      <c r="GB7" s="679"/>
      <c r="GC7" s="679"/>
      <c r="GD7" s="679"/>
      <c r="GE7" s="679"/>
      <c r="GF7" s="679"/>
      <c r="GG7" s="679"/>
      <c r="GH7" s="679"/>
      <c r="GI7" s="679"/>
      <c r="GJ7" s="679"/>
      <c r="GK7" s="679"/>
      <c r="GL7" s="679"/>
      <c r="GM7" s="679"/>
      <c r="GN7" s="679"/>
      <c r="GO7" s="679"/>
      <c r="GP7" s="679"/>
      <c r="GQ7" s="679"/>
      <c r="GR7" s="679"/>
      <c r="GS7" s="679"/>
      <c r="GT7" s="679"/>
      <c r="GU7" s="679"/>
      <c r="GV7" s="679"/>
      <c r="GW7" s="679"/>
      <c r="GX7" s="679"/>
      <c r="GY7" s="679"/>
      <c r="GZ7" s="679"/>
      <c r="HA7" s="679"/>
      <c r="HB7" s="679"/>
      <c r="HC7" s="679"/>
      <c r="HD7" s="679"/>
      <c r="HE7" s="679"/>
      <c r="HF7" s="679"/>
      <c r="HG7" s="679"/>
      <c r="HH7" s="679"/>
      <c r="HI7" s="679"/>
      <c r="HJ7" s="679"/>
      <c r="HK7" s="679"/>
      <c r="HL7" s="679"/>
      <c r="HM7" s="679"/>
      <c r="HN7" s="679"/>
      <c r="HO7" s="679"/>
      <c r="HP7" s="679"/>
      <c r="HQ7" s="679"/>
      <c r="HR7" s="679"/>
      <c r="HS7" s="679"/>
      <c r="HT7" s="679"/>
      <c r="HU7" s="679"/>
      <c r="HV7" s="679"/>
      <c r="HW7" s="679"/>
      <c r="HX7" s="679"/>
      <c r="HY7" s="679"/>
      <c r="HZ7" s="679"/>
      <c r="IA7" s="679"/>
      <c r="IB7" s="679"/>
      <c r="IC7" s="679"/>
      <c r="ID7" s="679"/>
      <c r="IE7" s="679"/>
      <c r="IF7" s="679"/>
      <c r="IG7" s="679"/>
      <c r="IH7" s="679"/>
      <c r="II7" s="679"/>
      <c r="IJ7" s="679"/>
      <c r="IK7" s="679"/>
      <c r="IL7" s="679"/>
      <c r="IM7" s="679"/>
      <c r="IN7" s="679"/>
      <c r="IO7" s="679"/>
      <c r="IP7" s="679"/>
      <c r="IQ7" s="679"/>
      <c r="IR7" s="679"/>
      <c r="IS7" s="679"/>
      <c r="IT7" s="679"/>
      <c r="IU7" s="679"/>
      <c r="IV7" s="679"/>
    </row>
    <row r="8" spans="1:256" ht="21">
      <c r="A8" s="683"/>
      <c r="B8" s="678"/>
      <c r="C8" s="684"/>
      <c r="D8" s="679"/>
      <c r="E8" s="679"/>
      <c r="F8" s="679"/>
      <c r="G8" s="679"/>
      <c r="H8" s="679"/>
      <c r="I8" s="679"/>
      <c r="J8" s="679"/>
      <c r="K8" s="679"/>
      <c r="L8" s="679"/>
      <c r="M8" s="679"/>
      <c r="N8" s="679"/>
      <c r="O8" s="679"/>
      <c r="P8" s="679"/>
      <c r="Q8" s="679"/>
      <c r="R8" s="679"/>
      <c r="S8" s="679"/>
      <c r="T8" s="679"/>
      <c r="U8" s="679"/>
      <c r="V8" s="679"/>
      <c r="W8" s="679"/>
      <c r="X8" s="679"/>
      <c r="Y8" s="679"/>
      <c r="Z8" s="679"/>
      <c r="AA8" s="679"/>
      <c r="AB8" s="679"/>
      <c r="AC8" s="685" t="s">
        <v>389</v>
      </c>
      <c r="AD8" s="679"/>
      <c r="AE8" s="680" t="s">
        <v>390</v>
      </c>
      <c r="AF8" s="681"/>
      <c r="AG8" s="679"/>
      <c r="AH8" s="679"/>
      <c r="AI8" s="679"/>
      <c r="AJ8" s="679"/>
      <c r="AK8" s="679"/>
      <c r="AL8" s="679"/>
      <c r="AM8" s="679"/>
      <c r="AN8" s="679"/>
      <c r="AO8" s="679"/>
      <c r="AP8" s="679"/>
      <c r="AQ8" s="679"/>
      <c r="AR8" s="679"/>
      <c r="AS8" s="679"/>
      <c r="AT8" s="679"/>
      <c r="AU8" s="679"/>
      <c r="AV8" s="679"/>
      <c r="AW8" s="679"/>
      <c r="AX8" s="679"/>
      <c r="AY8" s="679"/>
      <c r="AZ8" s="679"/>
      <c r="BA8" s="679"/>
      <c r="BB8" s="679"/>
      <c r="BC8" s="679"/>
      <c r="BD8" s="679"/>
      <c r="BE8" s="679"/>
      <c r="BF8" s="679"/>
      <c r="BG8" s="679"/>
      <c r="BH8" s="679"/>
      <c r="BI8" s="679"/>
      <c r="BJ8" s="679"/>
      <c r="BK8" s="679"/>
      <c r="BL8" s="679"/>
      <c r="BM8" s="679"/>
      <c r="BN8" s="679"/>
      <c r="BO8" s="679"/>
      <c r="BP8" s="679"/>
      <c r="BQ8" s="679"/>
      <c r="BR8" s="679"/>
      <c r="BS8" s="679"/>
      <c r="BT8" s="679"/>
      <c r="BU8" s="679"/>
      <c r="BV8" s="679"/>
      <c r="BW8" s="679"/>
      <c r="BX8" s="679"/>
      <c r="BY8" s="679"/>
      <c r="BZ8" s="679"/>
      <c r="CA8" s="679"/>
      <c r="CB8" s="679"/>
      <c r="CC8" s="679"/>
      <c r="CD8" s="679"/>
      <c r="CE8" s="679"/>
      <c r="CF8" s="679"/>
      <c r="CG8" s="679"/>
      <c r="CH8" s="679"/>
      <c r="CI8" s="679"/>
      <c r="CJ8" s="679"/>
      <c r="CK8" s="679"/>
      <c r="CL8" s="679"/>
      <c r="CM8" s="679"/>
      <c r="CN8" s="679"/>
      <c r="CO8" s="679"/>
      <c r="CP8" s="679"/>
      <c r="CQ8" s="679"/>
      <c r="CR8" s="679"/>
      <c r="CS8" s="679"/>
      <c r="CT8" s="679"/>
      <c r="CU8" s="679"/>
      <c r="CV8" s="679"/>
      <c r="CW8" s="679"/>
      <c r="CX8" s="679"/>
      <c r="CY8" s="679"/>
      <c r="CZ8" s="679"/>
      <c r="DA8" s="679"/>
      <c r="DB8" s="679"/>
      <c r="DC8" s="679"/>
      <c r="DD8" s="679"/>
      <c r="DE8" s="679"/>
      <c r="DF8" s="679"/>
      <c r="DG8" s="679"/>
      <c r="DH8" s="679"/>
      <c r="DI8" s="679"/>
      <c r="DJ8" s="679"/>
      <c r="DK8" s="679"/>
      <c r="DL8" s="679"/>
      <c r="DM8" s="679"/>
      <c r="DN8" s="679"/>
      <c r="DO8" s="679"/>
      <c r="DP8" s="679"/>
      <c r="DQ8" s="679"/>
      <c r="DR8" s="679"/>
      <c r="DS8" s="679"/>
      <c r="DT8" s="679"/>
      <c r="DU8" s="679"/>
      <c r="DV8" s="679"/>
      <c r="DW8" s="679"/>
      <c r="DX8" s="679"/>
      <c r="DY8" s="679"/>
      <c r="DZ8" s="679"/>
      <c r="EA8" s="679"/>
      <c r="EB8" s="679"/>
      <c r="EC8" s="679"/>
      <c r="ED8" s="679"/>
      <c r="EE8" s="679"/>
      <c r="EF8" s="679"/>
      <c r="EG8" s="679"/>
      <c r="EH8" s="679"/>
      <c r="EI8" s="679"/>
      <c r="EJ8" s="679"/>
      <c r="EK8" s="679"/>
      <c r="EL8" s="679"/>
      <c r="EM8" s="679"/>
      <c r="EN8" s="679"/>
      <c r="EO8" s="679"/>
      <c r="EP8" s="679"/>
      <c r="EQ8" s="679"/>
      <c r="ER8" s="679"/>
      <c r="ES8" s="679"/>
      <c r="ET8" s="679"/>
      <c r="EU8" s="679"/>
      <c r="EV8" s="679"/>
      <c r="EW8" s="679"/>
      <c r="EX8" s="679"/>
      <c r="EY8" s="679"/>
      <c r="EZ8" s="679"/>
      <c r="FA8" s="679"/>
      <c r="FB8" s="679"/>
      <c r="FC8" s="679"/>
      <c r="FD8" s="679"/>
      <c r="FE8" s="679"/>
      <c r="FF8" s="679"/>
      <c r="FG8" s="679"/>
      <c r="FH8" s="679"/>
      <c r="FI8" s="679"/>
      <c r="FJ8" s="679"/>
      <c r="FK8" s="679"/>
      <c r="FL8" s="679"/>
      <c r="FM8" s="679"/>
      <c r="FN8" s="679"/>
      <c r="FO8" s="679"/>
      <c r="FP8" s="679"/>
      <c r="FQ8" s="679"/>
      <c r="FR8" s="679"/>
      <c r="FS8" s="679"/>
      <c r="FT8" s="679"/>
      <c r="FU8" s="679"/>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79"/>
      <c r="IC8" s="679"/>
      <c r="ID8" s="679"/>
      <c r="IE8" s="679"/>
      <c r="IF8" s="679"/>
      <c r="IG8" s="679"/>
      <c r="IH8" s="679"/>
      <c r="II8" s="679"/>
      <c r="IJ8" s="679"/>
      <c r="IK8" s="679"/>
      <c r="IL8" s="679"/>
      <c r="IM8" s="679"/>
      <c r="IN8" s="679"/>
      <c r="IO8" s="679"/>
      <c r="IP8" s="679"/>
      <c r="IQ8" s="679"/>
      <c r="IR8" s="679"/>
      <c r="IS8" s="679"/>
      <c r="IT8" s="679"/>
      <c r="IU8" s="679"/>
      <c r="IV8" s="679"/>
    </row>
    <row r="9" spans="1:256" ht="17.649999999999999">
      <c r="A9" s="686" t="s">
        <v>391</v>
      </c>
      <c r="B9" s="687"/>
      <c r="C9" s="688" t="s">
        <v>443</v>
      </c>
      <c r="D9" s="678"/>
      <c r="E9" s="678"/>
      <c r="F9" s="678"/>
      <c r="G9" s="678"/>
      <c r="H9" s="678"/>
      <c r="I9" s="678"/>
      <c r="J9" s="678"/>
      <c r="K9" s="678"/>
      <c r="L9" s="678"/>
      <c r="M9" s="678"/>
      <c r="N9" s="678"/>
      <c r="O9" s="678"/>
      <c r="P9" s="678"/>
      <c r="Q9" s="678"/>
      <c r="R9" s="678"/>
      <c r="S9" s="678"/>
      <c r="T9" s="678"/>
      <c r="U9" s="678"/>
      <c r="V9" s="678"/>
      <c r="W9" s="678"/>
      <c r="X9" s="679"/>
      <c r="Y9" s="679"/>
      <c r="Z9" s="679"/>
      <c r="AA9" s="679"/>
      <c r="AB9" s="679"/>
      <c r="AC9" s="685" t="s">
        <v>392</v>
      </c>
      <c r="AD9" s="679"/>
      <c r="AE9" s="680" t="s">
        <v>393</v>
      </c>
      <c r="AF9" s="681"/>
      <c r="AG9" s="679"/>
      <c r="AH9" s="679"/>
      <c r="AI9" s="679"/>
      <c r="AJ9" s="679"/>
      <c r="AK9" s="679"/>
      <c r="AL9" s="679"/>
      <c r="AM9" s="679"/>
      <c r="AN9" s="679"/>
      <c r="AO9" s="679"/>
      <c r="AP9" s="679"/>
      <c r="AQ9" s="679"/>
      <c r="AR9" s="679"/>
      <c r="AS9" s="679"/>
      <c r="AT9" s="679"/>
      <c r="AU9" s="679"/>
      <c r="AV9" s="679"/>
      <c r="AW9" s="679"/>
      <c r="AX9" s="679"/>
      <c r="AY9" s="679"/>
      <c r="AZ9" s="679"/>
      <c r="BA9" s="679"/>
      <c r="BB9" s="679"/>
      <c r="BC9" s="679"/>
      <c r="BD9" s="679"/>
      <c r="BE9" s="679"/>
      <c r="BF9" s="679"/>
      <c r="BG9" s="679"/>
      <c r="BH9" s="679"/>
      <c r="BI9" s="679"/>
      <c r="BJ9" s="679"/>
      <c r="BK9" s="679"/>
      <c r="BL9" s="679"/>
      <c r="BM9" s="679"/>
      <c r="BN9" s="679"/>
      <c r="BO9" s="679"/>
      <c r="BP9" s="679"/>
      <c r="BQ9" s="679"/>
      <c r="BR9" s="679"/>
      <c r="BS9" s="679"/>
      <c r="BT9" s="679"/>
      <c r="BU9" s="679"/>
      <c r="BV9" s="679"/>
      <c r="BW9" s="679"/>
      <c r="BX9" s="679"/>
      <c r="BY9" s="679"/>
      <c r="BZ9" s="679"/>
      <c r="CA9" s="679"/>
      <c r="CB9" s="679"/>
      <c r="CC9" s="679"/>
      <c r="CD9" s="679"/>
      <c r="CE9" s="679"/>
      <c r="CF9" s="679"/>
      <c r="CG9" s="679"/>
      <c r="CH9" s="679"/>
      <c r="CI9" s="679"/>
      <c r="CJ9" s="679"/>
      <c r="CK9" s="679"/>
      <c r="CL9" s="679"/>
      <c r="CM9" s="679"/>
      <c r="CN9" s="679"/>
      <c r="CO9" s="679"/>
      <c r="CP9" s="679"/>
      <c r="CQ9" s="679"/>
      <c r="CR9" s="679"/>
      <c r="CS9" s="679"/>
      <c r="CT9" s="679"/>
      <c r="CU9" s="679"/>
      <c r="CV9" s="679"/>
      <c r="CW9" s="679"/>
      <c r="CX9" s="679"/>
      <c r="CY9" s="679"/>
      <c r="CZ9" s="679"/>
      <c r="DA9" s="679"/>
      <c r="DB9" s="679"/>
      <c r="DC9" s="679"/>
      <c r="DD9" s="679"/>
      <c r="DE9" s="679"/>
      <c r="DF9" s="679"/>
      <c r="DG9" s="679"/>
      <c r="DH9" s="679"/>
      <c r="DI9" s="679"/>
      <c r="DJ9" s="679"/>
      <c r="DK9" s="679"/>
      <c r="DL9" s="679"/>
      <c r="DM9" s="679"/>
      <c r="DN9" s="679"/>
      <c r="DO9" s="679"/>
      <c r="DP9" s="679"/>
      <c r="DQ9" s="679"/>
      <c r="DR9" s="679"/>
      <c r="DS9" s="679"/>
      <c r="DT9" s="679"/>
      <c r="DU9" s="679"/>
      <c r="DV9" s="679"/>
      <c r="DW9" s="679"/>
      <c r="DX9" s="679"/>
      <c r="DY9" s="679"/>
      <c r="DZ9" s="679"/>
      <c r="EA9" s="679"/>
      <c r="EB9" s="679"/>
      <c r="EC9" s="679"/>
      <c r="ED9" s="679"/>
      <c r="EE9" s="679"/>
      <c r="EF9" s="679"/>
      <c r="EG9" s="679"/>
      <c r="EH9" s="679"/>
      <c r="EI9" s="679"/>
      <c r="EJ9" s="679"/>
      <c r="EK9" s="679"/>
      <c r="EL9" s="679"/>
      <c r="EM9" s="679"/>
      <c r="EN9" s="679"/>
      <c r="EO9" s="679"/>
      <c r="EP9" s="679"/>
      <c r="EQ9" s="679"/>
      <c r="ER9" s="679"/>
      <c r="ES9" s="679"/>
      <c r="ET9" s="679"/>
      <c r="EU9" s="679"/>
      <c r="EV9" s="679"/>
      <c r="EW9" s="679"/>
      <c r="EX9" s="679"/>
      <c r="EY9" s="679"/>
      <c r="EZ9" s="679"/>
      <c r="FA9" s="679"/>
      <c r="FB9" s="679"/>
      <c r="FC9" s="679"/>
      <c r="FD9" s="679"/>
      <c r="FE9" s="679"/>
      <c r="FF9" s="679"/>
      <c r="FG9" s="679"/>
      <c r="FH9" s="679"/>
      <c r="FI9" s="679"/>
      <c r="FJ9" s="679"/>
      <c r="FK9" s="679"/>
      <c r="FL9" s="679"/>
      <c r="FM9" s="679"/>
      <c r="FN9" s="679"/>
      <c r="FO9" s="679"/>
      <c r="FP9" s="679"/>
      <c r="FQ9" s="679"/>
      <c r="FR9" s="679"/>
      <c r="FS9" s="679"/>
      <c r="FT9" s="679"/>
      <c r="FU9" s="679"/>
      <c r="FV9" s="679"/>
      <c r="FW9" s="679"/>
      <c r="FX9" s="679"/>
      <c r="FY9" s="679"/>
      <c r="FZ9" s="679"/>
      <c r="GA9" s="679"/>
      <c r="GB9" s="679"/>
      <c r="GC9" s="679"/>
      <c r="GD9" s="679"/>
      <c r="GE9" s="679"/>
      <c r="GF9" s="679"/>
      <c r="GG9" s="679"/>
      <c r="GH9" s="679"/>
      <c r="GI9" s="679"/>
      <c r="GJ9" s="679"/>
      <c r="GK9" s="679"/>
      <c r="GL9" s="679"/>
      <c r="GM9" s="679"/>
      <c r="GN9" s="679"/>
      <c r="GO9" s="679"/>
      <c r="GP9" s="679"/>
      <c r="GQ9" s="679"/>
      <c r="GR9" s="679"/>
      <c r="GS9" s="679"/>
      <c r="GT9" s="679"/>
      <c r="GU9" s="679"/>
      <c r="GV9" s="679"/>
      <c r="GW9" s="679"/>
      <c r="GX9" s="679"/>
      <c r="GY9" s="679"/>
      <c r="GZ9" s="679"/>
      <c r="HA9" s="679"/>
      <c r="HB9" s="679"/>
      <c r="HC9" s="679"/>
      <c r="HD9" s="679"/>
      <c r="HE9" s="679"/>
      <c r="HF9" s="679"/>
      <c r="HG9" s="679"/>
      <c r="HH9" s="679"/>
      <c r="HI9" s="679"/>
      <c r="HJ9" s="679"/>
      <c r="HK9" s="679"/>
      <c r="HL9" s="679"/>
      <c r="HM9" s="679"/>
      <c r="HN9" s="679"/>
      <c r="HO9" s="679"/>
      <c r="HP9" s="679"/>
      <c r="HQ9" s="679"/>
      <c r="HR9" s="679"/>
      <c r="HS9" s="679"/>
      <c r="HT9" s="679"/>
      <c r="HU9" s="679"/>
      <c r="HV9" s="679"/>
      <c r="HW9" s="679"/>
      <c r="HX9" s="679"/>
      <c r="HY9" s="679"/>
      <c r="HZ9" s="679"/>
      <c r="IA9" s="679"/>
      <c r="IB9" s="679"/>
      <c r="IC9" s="679"/>
      <c r="ID9" s="679"/>
      <c r="IE9" s="679"/>
      <c r="IF9" s="679"/>
      <c r="IG9" s="679"/>
      <c r="IH9" s="679"/>
      <c r="II9" s="679"/>
      <c r="IJ9" s="679"/>
      <c r="IK9" s="679"/>
      <c r="IL9" s="679"/>
      <c r="IM9" s="679"/>
      <c r="IN9" s="679"/>
      <c r="IO9" s="679"/>
      <c r="IP9" s="679"/>
      <c r="IQ9" s="679"/>
      <c r="IR9" s="679"/>
      <c r="IS9" s="679"/>
      <c r="IT9" s="679"/>
      <c r="IU9" s="679"/>
      <c r="IV9" s="679"/>
    </row>
    <row r="10" spans="1:256">
      <c r="A10" s="679" t="s">
        <v>394</v>
      </c>
      <c r="B10" s="689" t="s">
        <v>395</v>
      </c>
      <c r="C10" s="688" t="s">
        <v>385</v>
      </c>
      <c r="D10" s="690" t="e">
        <f ca="1">_xll.BLUEMATRIX2("/servlet/excelData",C10, $C$14,$B10)</f>
        <v>#NAME?</v>
      </c>
      <c r="E10" s="679"/>
      <c r="F10" s="679"/>
      <c r="G10" s="679"/>
      <c r="H10" s="679"/>
      <c r="I10" s="679"/>
      <c r="J10" s="679"/>
      <c r="K10" s="679"/>
      <c r="L10" s="679"/>
      <c r="M10" s="679"/>
      <c r="N10" s="679"/>
      <c r="O10" s="679"/>
      <c r="P10" s="679"/>
      <c r="Q10" s="679"/>
      <c r="R10" s="679"/>
      <c r="S10" s="679"/>
      <c r="T10" s="679"/>
      <c r="U10" s="679"/>
      <c r="V10" s="679"/>
      <c r="W10" s="679"/>
      <c r="X10" s="679"/>
      <c r="Y10" s="679"/>
      <c r="Z10" s="679"/>
      <c r="AA10" s="679"/>
      <c r="AB10" s="679"/>
      <c r="AC10" s="685" t="s">
        <v>396</v>
      </c>
      <c r="AD10" s="679"/>
      <c r="AE10" s="680" t="s">
        <v>397</v>
      </c>
      <c r="AF10" s="681"/>
      <c r="AG10" s="679"/>
      <c r="AH10" s="679"/>
      <c r="AI10" s="679"/>
      <c r="AJ10" s="679"/>
      <c r="AK10" s="679"/>
      <c r="AL10" s="679"/>
      <c r="AM10" s="679"/>
      <c r="AN10" s="679"/>
      <c r="AO10" s="679"/>
      <c r="AP10" s="679"/>
      <c r="AQ10" s="679"/>
      <c r="AR10" s="679"/>
      <c r="AS10" s="679"/>
      <c r="AT10" s="679"/>
      <c r="AU10" s="679"/>
      <c r="AV10" s="679"/>
      <c r="AW10" s="679"/>
      <c r="AX10" s="679"/>
      <c r="AY10" s="679"/>
      <c r="AZ10" s="679"/>
      <c r="BA10" s="679"/>
      <c r="BB10" s="679"/>
      <c r="BC10" s="679"/>
      <c r="BD10" s="679"/>
      <c r="BE10" s="679"/>
      <c r="BF10" s="679"/>
      <c r="BG10" s="679"/>
      <c r="BH10" s="679"/>
      <c r="BI10" s="679"/>
      <c r="BJ10" s="679"/>
      <c r="BK10" s="679"/>
      <c r="BL10" s="679"/>
      <c r="BM10" s="679"/>
      <c r="BN10" s="679"/>
      <c r="BO10" s="679"/>
      <c r="BP10" s="679"/>
      <c r="BQ10" s="679"/>
      <c r="BR10" s="679"/>
      <c r="BS10" s="679"/>
      <c r="BT10" s="679"/>
      <c r="BU10" s="679"/>
      <c r="BV10" s="679"/>
      <c r="BW10" s="679"/>
      <c r="BX10" s="679"/>
      <c r="BY10" s="679"/>
      <c r="BZ10" s="679"/>
      <c r="CA10" s="679"/>
      <c r="CB10" s="679"/>
      <c r="CC10" s="679"/>
      <c r="CD10" s="679"/>
      <c r="CE10" s="679"/>
      <c r="CF10" s="679"/>
      <c r="CG10" s="679"/>
      <c r="CH10" s="679"/>
      <c r="CI10" s="679"/>
      <c r="CJ10" s="679"/>
      <c r="CK10" s="679"/>
      <c r="CL10" s="679"/>
      <c r="CM10" s="679"/>
      <c r="CN10" s="679"/>
      <c r="CO10" s="679"/>
      <c r="CP10" s="679"/>
      <c r="CQ10" s="679"/>
      <c r="CR10" s="679"/>
      <c r="CS10" s="679"/>
      <c r="CT10" s="679"/>
      <c r="CU10" s="679"/>
      <c r="CV10" s="679"/>
      <c r="CW10" s="679"/>
      <c r="CX10" s="679"/>
      <c r="CY10" s="679"/>
      <c r="CZ10" s="679"/>
      <c r="DA10" s="679"/>
      <c r="DB10" s="679"/>
      <c r="DC10" s="679"/>
      <c r="DD10" s="679"/>
      <c r="DE10" s="679"/>
      <c r="DF10" s="679"/>
      <c r="DG10" s="679"/>
      <c r="DH10" s="679"/>
      <c r="DI10" s="679"/>
      <c r="DJ10" s="679"/>
      <c r="DK10" s="679"/>
      <c r="DL10" s="679"/>
      <c r="DM10" s="679"/>
      <c r="DN10" s="679"/>
      <c r="DO10" s="679"/>
      <c r="DP10" s="679"/>
      <c r="DQ10" s="679"/>
      <c r="DR10" s="679"/>
      <c r="DS10" s="679"/>
      <c r="DT10" s="679"/>
      <c r="DU10" s="679"/>
      <c r="DV10" s="679"/>
      <c r="DW10" s="679"/>
      <c r="DX10" s="679"/>
      <c r="DY10" s="679"/>
      <c r="DZ10" s="679"/>
      <c r="EA10" s="679"/>
      <c r="EB10" s="679"/>
      <c r="EC10" s="679"/>
      <c r="ED10" s="679"/>
      <c r="EE10" s="679"/>
      <c r="EF10" s="679"/>
      <c r="EG10" s="679"/>
      <c r="EH10" s="679"/>
      <c r="EI10" s="679"/>
      <c r="EJ10" s="679"/>
      <c r="EK10" s="679"/>
      <c r="EL10" s="679"/>
      <c r="EM10" s="679"/>
      <c r="EN10" s="679"/>
      <c r="EO10" s="679"/>
      <c r="EP10" s="679"/>
      <c r="EQ10" s="679"/>
      <c r="ER10" s="679"/>
      <c r="ES10" s="679"/>
      <c r="ET10" s="679"/>
      <c r="EU10" s="679"/>
      <c r="EV10" s="679"/>
      <c r="EW10" s="679"/>
      <c r="EX10" s="679"/>
      <c r="EY10" s="679"/>
      <c r="EZ10" s="679"/>
      <c r="FA10" s="679"/>
      <c r="FB10" s="679"/>
      <c r="FC10" s="679"/>
      <c r="FD10" s="679"/>
      <c r="FE10" s="679"/>
      <c r="FF10" s="679"/>
      <c r="FG10" s="679"/>
      <c r="FH10" s="679"/>
      <c r="FI10" s="679"/>
      <c r="FJ10" s="679"/>
      <c r="FK10" s="679"/>
      <c r="FL10" s="679"/>
      <c r="FM10" s="679"/>
      <c r="FN10" s="679"/>
      <c r="FO10" s="679"/>
      <c r="FP10" s="679"/>
      <c r="FQ10" s="679"/>
      <c r="FR10" s="679"/>
      <c r="FS10" s="679"/>
      <c r="FT10" s="679"/>
      <c r="FU10" s="679"/>
      <c r="FV10" s="679"/>
      <c r="FW10" s="679"/>
      <c r="FX10" s="679"/>
      <c r="FY10" s="679"/>
      <c r="FZ10" s="679"/>
      <c r="GA10" s="679"/>
      <c r="GB10" s="679"/>
      <c r="GC10" s="679"/>
      <c r="GD10" s="679"/>
      <c r="GE10" s="679"/>
      <c r="GF10" s="679"/>
      <c r="GG10" s="679"/>
      <c r="GH10" s="679"/>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79"/>
      <c r="HS10" s="679"/>
      <c r="HT10" s="679"/>
      <c r="HU10" s="679"/>
      <c r="HV10" s="679"/>
      <c r="HW10" s="679"/>
      <c r="HX10" s="679"/>
      <c r="HY10" s="679"/>
      <c r="HZ10" s="679"/>
      <c r="IA10" s="679"/>
      <c r="IB10" s="679"/>
      <c r="IC10" s="679"/>
      <c r="ID10" s="679"/>
      <c r="IE10" s="679"/>
      <c r="IF10" s="679"/>
      <c r="IG10" s="679"/>
      <c r="IH10" s="679"/>
      <c r="II10" s="679"/>
      <c r="IJ10" s="679"/>
      <c r="IK10" s="679"/>
      <c r="IL10" s="679"/>
      <c r="IM10" s="679"/>
      <c r="IN10" s="679"/>
      <c r="IO10" s="679"/>
      <c r="IP10" s="679"/>
      <c r="IQ10" s="679"/>
      <c r="IR10" s="679"/>
      <c r="IS10" s="679"/>
      <c r="IT10" s="679"/>
      <c r="IU10" s="679"/>
      <c r="IV10" s="679"/>
    </row>
    <row r="11" spans="1:256">
      <c r="A11" s="679" t="s">
        <v>398</v>
      </c>
      <c r="B11" s="689"/>
      <c r="C11" s="688" t="s">
        <v>399</v>
      </c>
      <c r="D11" s="679"/>
      <c r="E11" s="679"/>
      <c r="F11" s="679"/>
      <c r="G11" s="679"/>
      <c r="H11" s="679"/>
      <c r="I11" s="679"/>
      <c r="J11" s="679"/>
      <c r="K11" s="679"/>
      <c r="L11" s="679"/>
      <c r="M11" s="679"/>
      <c r="N11" s="679"/>
      <c r="O11" s="679"/>
      <c r="P11" s="679"/>
      <c r="Q11" s="679"/>
      <c r="R11" s="679"/>
      <c r="S11" s="679"/>
      <c r="T11" s="679"/>
      <c r="U11" s="679"/>
      <c r="V11" s="679"/>
      <c r="W11" s="679"/>
      <c r="X11" s="679"/>
      <c r="Y11" s="679"/>
      <c r="Z11" s="679"/>
      <c r="AA11" s="679"/>
      <c r="AB11" s="679"/>
      <c r="AC11" s="685" t="s">
        <v>400</v>
      </c>
      <c r="AD11" s="679"/>
      <c r="AE11" s="680" t="s">
        <v>401</v>
      </c>
      <c r="AF11" s="679"/>
      <c r="AG11" s="679"/>
      <c r="AH11" s="679"/>
      <c r="AI11" s="679"/>
      <c r="AJ11" s="679"/>
      <c r="AK11" s="679"/>
      <c r="AL11" s="679"/>
      <c r="AM11" s="679"/>
      <c r="AN11" s="679"/>
      <c r="AO11" s="679"/>
      <c r="AP11" s="679"/>
      <c r="AQ11" s="679"/>
      <c r="AR11" s="679"/>
      <c r="AS11" s="679"/>
      <c r="AT11" s="679"/>
      <c r="AU11" s="679"/>
      <c r="AV11" s="679"/>
      <c r="AW11" s="679"/>
      <c r="AX11" s="679"/>
      <c r="AY11" s="679"/>
      <c r="AZ11" s="679"/>
      <c r="BA11" s="679"/>
      <c r="BB11" s="679"/>
      <c r="BC11" s="679"/>
      <c r="BD11" s="679"/>
      <c r="BE11" s="679"/>
      <c r="BF11" s="679"/>
      <c r="BG11" s="679"/>
      <c r="BH11" s="679"/>
      <c r="BI11" s="679"/>
      <c r="BJ11" s="679"/>
      <c r="BK11" s="679"/>
      <c r="BL11" s="679"/>
      <c r="BM11" s="679"/>
      <c r="BN11" s="679"/>
      <c r="BO11" s="679"/>
      <c r="BP11" s="679"/>
      <c r="BQ11" s="679"/>
      <c r="BR11" s="679"/>
      <c r="BS11" s="679"/>
      <c r="BT11" s="679"/>
      <c r="BU11" s="679"/>
      <c r="BV11" s="679"/>
      <c r="BW11" s="679"/>
      <c r="BX11" s="679"/>
      <c r="BY11" s="679"/>
      <c r="BZ11" s="679"/>
      <c r="CA11" s="679"/>
      <c r="CB11" s="679"/>
      <c r="CC11" s="679"/>
      <c r="CD11" s="679"/>
      <c r="CE11" s="679"/>
      <c r="CF11" s="679"/>
      <c r="CG11" s="679"/>
      <c r="CH11" s="679"/>
      <c r="CI11" s="679"/>
      <c r="CJ11" s="679"/>
      <c r="CK11" s="679"/>
      <c r="CL11" s="679"/>
      <c r="CM11" s="679"/>
      <c r="CN11" s="679"/>
      <c r="CO11" s="679"/>
      <c r="CP11" s="679"/>
      <c r="CQ11" s="679"/>
      <c r="CR11" s="679"/>
      <c r="CS11" s="679"/>
      <c r="CT11" s="679"/>
      <c r="CU11" s="679"/>
      <c r="CV11" s="679"/>
      <c r="CW11" s="679"/>
      <c r="CX11" s="679"/>
      <c r="CY11" s="679"/>
      <c r="CZ11" s="679"/>
      <c r="DA11" s="679"/>
      <c r="DB11" s="679"/>
      <c r="DC11" s="679"/>
      <c r="DD11" s="679"/>
      <c r="DE11" s="679"/>
      <c r="DF11" s="679"/>
      <c r="DG11" s="679"/>
      <c r="DH11" s="679"/>
      <c r="DI11" s="679"/>
      <c r="DJ11" s="679"/>
      <c r="DK11" s="679"/>
      <c r="DL11" s="679"/>
      <c r="DM11" s="679"/>
      <c r="DN11" s="679"/>
      <c r="DO11" s="679"/>
      <c r="DP11" s="679"/>
      <c r="DQ11" s="679"/>
      <c r="DR11" s="679"/>
      <c r="DS11" s="679"/>
      <c r="DT11" s="679"/>
      <c r="DU11" s="679"/>
      <c r="DV11" s="679"/>
      <c r="DW11" s="679"/>
      <c r="DX11" s="679"/>
      <c r="DY11" s="679"/>
      <c r="DZ11" s="679"/>
      <c r="EA11" s="679"/>
      <c r="EB11" s="679"/>
      <c r="EC11" s="679"/>
      <c r="ED11" s="679"/>
      <c r="EE11" s="679"/>
      <c r="EF11" s="679"/>
      <c r="EG11" s="679"/>
      <c r="EH11" s="679"/>
      <c r="EI11" s="679"/>
      <c r="EJ11" s="679"/>
      <c r="EK11" s="679"/>
      <c r="EL11" s="679"/>
      <c r="EM11" s="679"/>
      <c r="EN11" s="679"/>
      <c r="EO11" s="679"/>
      <c r="EP11" s="679"/>
      <c r="EQ11" s="679"/>
      <c r="ER11" s="679"/>
      <c r="ES11" s="679"/>
      <c r="ET11" s="679"/>
      <c r="EU11" s="679"/>
      <c r="EV11" s="679"/>
      <c r="EW11" s="679"/>
      <c r="EX11" s="679"/>
      <c r="EY11" s="679"/>
      <c r="EZ11" s="679"/>
      <c r="FA11" s="679"/>
      <c r="FB11" s="679"/>
      <c r="FC11" s="679"/>
      <c r="FD11" s="679"/>
      <c r="FE11" s="679"/>
      <c r="FF11" s="679"/>
      <c r="FG11" s="679"/>
      <c r="FH11" s="679"/>
      <c r="FI11" s="679"/>
      <c r="FJ11" s="679"/>
      <c r="FK11" s="679"/>
      <c r="FL11" s="679"/>
      <c r="FM11" s="679"/>
      <c r="FN11" s="679"/>
      <c r="FO11" s="679"/>
      <c r="FP11" s="679"/>
      <c r="FQ11" s="679"/>
      <c r="FR11" s="679"/>
      <c r="FS11" s="679"/>
      <c r="FT11" s="679"/>
      <c r="FU11" s="679"/>
      <c r="FV11" s="679"/>
      <c r="FW11" s="679"/>
      <c r="FX11" s="679"/>
      <c r="FY11" s="679"/>
      <c r="FZ11" s="679"/>
      <c r="GA11" s="679"/>
      <c r="GB11" s="679"/>
      <c r="GC11" s="679"/>
      <c r="GD11" s="679"/>
      <c r="GE11" s="679"/>
      <c r="GF11" s="679"/>
      <c r="GG11" s="679"/>
      <c r="GH11" s="679"/>
      <c r="GI11" s="679"/>
      <c r="GJ11" s="679"/>
      <c r="GK11" s="679"/>
      <c r="GL11" s="679"/>
      <c r="GM11" s="679"/>
      <c r="GN11" s="679"/>
      <c r="GO11" s="679"/>
      <c r="GP11" s="679"/>
      <c r="GQ11" s="679"/>
      <c r="GR11" s="679"/>
      <c r="GS11" s="679"/>
      <c r="GT11" s="679"/>
      <c r="GU11" s="679"/>
      <c r="GV11" s="679"/>
      <c r="GW11" s="679"/>
      <c r="GX11" s="679"/>
      <c r="GY11" s="679"/>
      <c r="GZ11" s="679"/>
      <c r="HA11" s="679"/>
      <c r="HB11" s="679"/>
      <c r="HC11" s="679"/>
      <c r="HD11" s="679"/>
      <c r="HE11" s="679"/>
      <c r="HF11" s="679"/>
      <c r="HG11" s="679"/>
      <c r="HH11" s="679"/>
      <c r="HI11" s="679"/>
      <c r="HJ11" s="679"/>
      <c r="HK11" s="679"/>
      <c r="HL11" s="679"/>
      <c r="HM11" s="679"/>
      <c r="HN11" s="679"/>
      <c r="HO11" s="679"/>
      <c r="HP11" s="679"/>
      <c r="HQ11" s="679"/>
      <c r="HR11" s="679"/>
      <c r="HS11" s="679"/>
      <c r="HT11" s="679"/>
      <c r="HU11" s="679"/>
      <c r="HV11" s="679"/>
      <c r="HW11" s="679"/>
      <c r="HX11" s="679"/>
      <c r="HY11" s="679"/>
      <c r="HZ11" s="679"/>
      <c r="IA11" s="679"/>
      <c r="IB11" s="679"/>
      <c r="IC11" s="679"/>
      <c r="ID11" s="679"/>
      <c r="IE11" s="679"/>
      <c r="IF11" s="679"/>
      <c r="IG11" s="679"/>
      <c r="IH11" s="679"/>
      <c r="II11" s="679"/>
      <c r="IJ11" s="679"/>
      <c r="IK11" s="679"/>
      <c r="IL11" s="679"/>
      <c r="IM11" s="679"/>
      <c r="IN11" s="679"/>
      <c r="IO11" s="679"/>
      <c r="IP11" s="679"/>
      <c r="IQ11" s="679"/>
      <c r="IR11" s="679"/>
      <c r="IS11" s="679"/>
      <c r="IT11" s="679"/>
      <c r="IU11" s="679"/>
      <c r="IV11" s="679"/>
    </row>
    <row r="12" spans="1:256">
      <c r="A12" s="679"/>
      <c r="B12" s="689"/>
      <c r="C12" s="691"/>
      <c r="D12" s="679"/>
      <c r="E12" s="679"/>
      <c r="F12" s="679"/>
      <c r="G12" s="679"/>
      <c r="H12" s="679"/>
      <c r="I12" s="679"/>
      <c r="J12" s="679"/>
      <c r="K12" s="679"/>
      <c r="L12" s="679"/>
      <c r="M12" s="679"/>
      <c r="N12" s="679"/>
      <c r="O12" s="679"/>
      <c r="P12" s="679"/>
      <c r="Q12" s="679"/>
      <c r="R12" s="679"/>
      <c r="S12" s="679"/>
      <c r="T12" s="679"/>
      <c r="U12" s="679"/>
      <c r="V12" s="679"/>
      <c r="W12" s="679"/>
      <c r="X12" s="692"/>
      <c r="Y12" s="692"/>
      <c r="Z12" s="692"/>
      <c r="AA12" s="692"/>
      <c r="AB12" s="692"/>
      <c r="AC12" s="682" t="s">
        <v>402</v>
      </c>
      <c r="AD12" s="692"/>
      <c r="AE12" s="680" t="s">
        <v>403</v>
      </c>
      <c r="AF12" s="692"/>
      <c r="AG12" s="692"/>
      <c r="AH12" s="692"/>
      <c r="AI12" s="692"/>
      <c r="AJ12" s="692"/>
      <c r="AK12" s="692"/>
      <c r="AL12" s="692"/>
      <c r="AM12" s="692"/>
      <c r="AN12" s="692"/>
      <c r="AO12" s="692"/>
      <c r="AP12" s="692"/>
      <c r="AQ12" s="692"/>
      <c r="AR12" s="692"/>
      <c r="AS12" s="692"/>
      <c r="AT12" s="692"/>
      <c r="AU12" s="692"/>
      <c r="AV12" s="692"/>
      <c r="AW12" s="692"/>
      <c r="AX12" s="692"/>
      <c r="AY12" s="692"/>
      <c r="AZ12" s="692"/>
      <c r="BA12" s="692"/>
      <c r="BB12" s="692"/>
      <c r="BC12" s="692"/>
      <c r="BD12" s="692"/>
      <c r="BE12" s="692"/>
      <c r="BF12" s="692"/>
      <c r="BG12" s="692"/>
      <c r="BH12" s="692"/>
      <c r="BI12" s="692"/>
      <c r="BJ12" s="692"/>
      <c r="BK12" s="692"/>
      <c r="BL12" s="692"/>
      <c r="BM12" s="692"/>
      <c r="BN12" s="692"/>
      <c r="BO12" s="692"/>
      <c r="BP12" s="692"/>
      <c r="BQ12" s="692"/>
      <c r="BR12" s="692"/>
      <c r="BS12" s="692"/>
      <c r="BT12" s="692"/>
      <c r="BU12" s="692"/>
      <c r="BV12" s="692"/>
      <c r="BW12" s="692"/>
      <c r="BX12" s="692"/>
      <c r="BY12" s="692"/>
      <c r="BZ12" s="692"/>
      <c r="CA12" s="692"/>
      <c r="CB12" s="692"/>
      <c r="CC12" s="692"/>
      <c r="CD12" s="692"/>
      <c r="CE12" s="692"/>
      <c r="CF12" s="692"/>
      <c r="CG12" s="692"/>
      <c r="CH12" s="692"/>
      <c r="CI12" s="692"/>
      <c r="CJ12" s="692"/>
      <c r="CK12" s="692"/>
      <c r="CL12" s="692"/>
      <c r="CM12" s="692"/>
      <c r="CN12" s="692"/>
      <c r="CO12" s="692"/>
      <c r="CP12" s="692"/>
      <c r="CQ12" s="692"/>
      <c r="CR12" s="692"/>
      <c r="CS12" s="692"/>
      <c r="CT12" s="692"/>
      <c r="CU12" s="692"/>
      <c r="CV12" s="692"/>
      <c r="CW12" s="692"/>
      <c r="CX12" s="692"/>
      <c r="CY12" s="692"/>
      <c r="CZ12" s="692"/>
      <c r="DA12" s="692"/>
      <c r="DB12" s="692"/>
      <c r="DC12" s="692"/>
      <c r="DD12" s="692"/>
      <c r="DE12" s="692"/>
      <c r="DF12" s="692"/>
      <c r="DG12" s="692"/>
      <c r="DH12" s="692"/>
      <c r="DI12" s="692"/>
      <c r="DJ12" s="692"/>
      <c r="DK12" s="692"/>
      <c r="DL12" s="692"/>
      <c r="DM12" s="692"/>
      <c r="DN12" s="692"/>
      <c r="DO12" s="692"/>
      <c r="DP12" s="692"/>
      <c r="DQ12" s="692"/>
      <c r="DR12" s="692"/>
      <c r="DS12" s="692"/>
      <c r="DT12" s="692"/>
      <c r="DU12" s="692"/>
      <c r="DV12" s="692"/>
      <c r="DW12" s="692"/>
      <c r="DX12" s="692"/>
      <c r="DY12" s="692"/>
      <c r="DZ12" s="692"/>
      <c r="EA12" s="692"/>
      <c r="EB12" s="692"/>
      <c r="EC12" s="692"/>
      <c r="ED12" s="692"/>
      <c r="EE12" s="692"/>
      <c r="EF12" s="692"/>
      <c r="EG12" s="692"/>
      <c r="EH12" s="692"/>
      <c r="EI12" s="692"/>
      <c r="EJ12" s="692"/>
      <c r="EK12" s="692"/>
      <c r="EL12" s="692"/>
      <c r="EM12" s="692"/>
      <c r="EN12" s="692"/>
      <c r="EO12" s="692"/>
      <c r="EP12" s="692"/>
      <c r="EQ12" s="692"/>
      <c r="ER12" s="692"/>
      <c r="ES12" s="692"/>
      <c r="ET12" s="692"/>
      <c r="EU12" s="692"/>
      <c r="EV12" s="692"/>
      <c r="EW12" s="692"/>
      <c r="EX12" s="692"/>
      <c r="EY12" s="692"/>
      <c r="EZ12" s="692"/>
      <c r="FA12" s="692"/>
      <c r="FB12" s="692"/>
      <c r="FC12" s="692"/>
      <c r="FD12" s="692"/>
      <c r="FE12" s="692"/>
      <c r="FF12" s="692"/>
      <c r="FG12" s="692"/>
      <c r="FH12" s="692"/>
      <c r="FI12" s="692"/>
      <c r="FJ12" s="692"/>
      <c r="FK12" s="692"/>
      <c r="FL12" s="692"/>
      <c r="FM12" s="692"/>
      <c r="FN12" s="692"/>
      <c r="FO12" s="692"/>
      <c r="FP12" s="692"/>
      <c r="FQ12" s="692"/>
      <c r="FR12" s="692"/>
      <c r="FS12" s="692"/>
      <c r="FT12" s="692"/>
      <c r="FU12" s="692"/>
      <c r="FV12" s="692"/>
      <c r="FW12" s="692"/>
      <c r="FX12" s="692"/>
      <c r="FY12" s="692"/>
      <c r="FZ12" s="692"/>
      <c r="GA12" s="692"/>
      <c r="GB12" s="692"/>
      <c r="GC12" s="692"/>
      <c r="GD12" s="692"/>
      <c r="GE12" s="692"/>
      <c r="GF12" s="692"/>
      <c r="GG12" s="692"/>
      <c r="GH12" s="692"/>
      <c r="GI12" s="692"/>
      <c r="GJ12" s="692"/>
      <c r="GK12" s="692"/>
      <c r="GL12" s="692"/>
      <c r="GM12" s="692"/>
      <c r="GN12" s="692"/>
      <c r="GO12" s="692"/>
      <c r="GP12" s="692"/>
      <c r="GQ12" s="692"/>
      <c r="GR12" s="692"/>
      <c r="GS12" s="692"/>
      <c r="GT12" s="692"/>
      <c r="GU12" s="692"/>
      <c r="GV12" s="692"/>
      <c r="GW12" s="692"/>
      <c r="GX12" s="692"/>
      <c r="GY12" s="692"/>
      <c r="GZ12" s="692"/>
      <c r="HA12" s="692"/>
      <c r="HB12" s="692"/>
      <c r="HC12" s="692"/>
      <c r="HD12" s="692"/>
      <c r="HE12" s="692"/>
      <c r="HF12" s="692"/>
      <c r="HG12" s="692"/>
      <c r="HH12" s="692"/>
      <c r="HI12" s="692"/>
      <c r="HJ12" s="692"/>
      <c r="HK12" s="692"/>
      <c r="HL12" s="692"/>
      <c r="HM12" s="692"/>
      <c r="HN12" s="692"/>
      <c r="HO12" s="692"/>
      <c r="HP12" s="692"/>
      <c r="HQ12" s="692"/>
      <c r="HR12" s="692"/>
      <c r="HS12" s="692"/>
      <c r="HT12" s="692"/>
      <c r="HU12" s="692"/>
      <c r="HV12" s="692"/>
      <c r="HW12" s="692"/>
      <c r="HX12" s="692"/>
      <c r="HY12" s="692"/>
      <c r="HZ12" s="692"/>
      <c r="IA12" s="692"/>
      <c r="IB12" s="692"/>
      <c r="IC12" s="692"/>
      <c r="ID12" s="692"/>
      <c r="IE12" s="692"/>
      <c r="IF12" s="692"/>
      <c r="IG12" s="692"/>
      <c r="IH12" s="692"/>
      <c r="II12" s="692"/>
      <c r="IJ12" s="692"/>
      <c r="IK12" s="692"/>
      <c r="IL12" s="692"/>
      <c r="IM12" s="692"/>
      <c r="IN12" s="692"/>
      <c r="IO12" s="692"/>
      <c r="IP12" s="692"/>
      <c r="IQ12" s="692"/>
      <c r="IR12" s="692"/>
      <c r="IS12" s="692"/>
      <c r="IT12" s="692"/>
      <c r="IU12" s="692"/>
      <c r="IV12" s="692"/>
    </row>
    <row r="13" spans="1:256">
      <c r="A13" s="679" t="s">
        <v>404</v>
      </c>
      <c r="B13" s="689" t="s">
        <v>405</v>
      </c>
      <c r="C13" s="693">
        <v>40</v>
      </c>
      <c r="D13" s="690" t="e">
        <f ca="1">_xll.BLUEMATRIX2("/servlet/excelData",C13, $C$14,$B13)</f>
        <v>#NAME?</v>
      </c>
      <c r="E13" s="679"/>
      <c r="F13" s="679"/>
      <c r="G13" s="679"/>
      <c r="H13" s="679"/>
      <c r="I13" s="679"/>
      <c r="J13" s="679"/>
      <c r="K13" s="679"/>
      <c r="L13" s="679"/>
      <c r="M13" s="679"/>
      <c r="N13" s="679"/>
      <c r="O13" s="679"/>
      <c r="P13" s="679"/>
      <c r="Q13" s="679"/>
      <c r="R13" s="679"/>
      <c r="S13" s="679"/>
      <c r="T13" s="679"/>
      <c r="U13" s="679"/>
      <c r="V13" s="679"/>
      <c r="W13" s="679"/>
      <c r="X13" s="692"/>
      <c r="Y13" s="692"/>
      <c r="Z13" s="692"/>
      <c r="AA13" s="692"/>
      <c r="AB13" s="692"/>
      <c r="AC13" s="692"/>
      <c r="AD13" s="692"/>
      <c r="AE13" s="680" t="s">
        <v>406</v>
      </c>
      <c r="AF13" s="692"/>
      <c r="AG13" s="692"/>
      <c r="AH13" s="692"/>
      <c r="AI13" s="692"/>
      <c r="AJ13" s="692"/>
      <c r="AK13" s="692"/>
      <c r="AL13" s="692"/>
      <c r="AM13" s="692"/>
      <c r="AN13" s="692"/>
      <c r="AO13" s="692"/>
      <c r="AP13" s="692"/>
      <c r="AQ13" s="692"/>
      <c r="AR13" s="692"/>
      <c r="AS13" s="692"/>
      <c r="AT13" s="692"/>
      <c r="AU13" s="692"/>
      <c r="AV13" s="692"/>
      <c r="AW13" s="692"/>
      <c r="AX13" s="692"/>
      <c r="AY13" s="692"/>
      <c r="AZ13" s="692"/>
      <c r="BA13" s="692"/>
      <c r="BB13" s="692"/>
      <c r="BC13" s="692"/>
      <c r="BD13" s="692"/>
      <c r="BE13" s="692"/>
      <c r="BF13" s="692"/>
      <c r="BG13" s="692"/>
      <c r="BH13" s="692"/>
      <c r="BI13" s="692"/>
      <c r="BJ13" s="692"/>
      <c r="BK13" s="692"/>
      <c r="BL13" s="692"/>
      <c r="BM13" s="692"/>
      <c r="BN13" s="692"/>
      <c r="BO13" s="692"/>
      <c r="BP13" s="692"/>
      <c r="BQ13" s="692"/>
      <c r="BR13" s="692"/>
      <c r="BS13" s="692"/>
      <c r="BT13" s="692"/>
      <c r="BU13" s="692"/>
      <c r="BV13" s="692"/>
      <c r="BW13" s="692"/>
      <c r="BX13" s="692"/>
      <c r="BY13" s="692"/>
      <c r="BZ13" s="692"/>
      <c r="CA13" s="692"/>
      <c r="CB13" s="692"/>
      <c r="CC13" s="692"/>
      <c r="CD13" s="692"/>
      <c r="CE13" s="692"/>
      <c r="CF13" s="692"/>
      <c r="CG13" s="692"/>
      <c r="CH13" s="692"/>
      <c r="CI13" s="692"/>
      <c r="CJ13" s="692"/>
      <c r="CK13" s="692"/>
      <c r="CL13" s="692"/>
      <c r="CM13" s="692"/>
      <c r="CN13" s="692"/>
      <c r="CO13" s="692"/>
      <c r="CP13" s="692"/>
      <c r="CQ13" s="692"/>
      <c r="CR13" s="692"/>
      <c r="CS13" s="692"/>
      <c r="CT13" s="692"/>
      <c r="CU13" s="692"/>
      <c r="CV13" s="692"/>
      <c r="CW13" s="692"/>
      <c r="CX13" s="692"/>
      <c r="CY13" s="692"/>
      <c r="CZ13" s="692"/>
      <c r="DA13" s="692"/>
      <c r="DB13" s="692"/>
      <c r="DC13" s="692"/>
      <c r="DD13" s="692"/>
      <c r="DE13" s="692"/>
      <c r="DF13" s="692"/>
      <c r="DG13" s="692"/>
      <c r="DH13" s="692"/>
      <c r="DI13" s="692"/>
      <c r="DJ13" s="692"/>
      <c r="DK13" s="692"/>
      <c r="DL13" s="692"/>
      <c r="DM13" s="692"/>
      <c r="DN13" s="692"/>
      <c r="DO13" s="692"/>
      <c r="DP13" s="692"/>
      <c r="DQ13" s="692"/>
      <c r="DR13" s="692"/>
      <c r="DS13" s="692"/>
      <c r="DT13" s="692"/>
      <c r="DU13" s="692"/>
      <c r="DV13" s="692"/>
      <c r="DW13" s="692"/>
      <c r="DX13" s="692"/>
      <c r="DY13" s="692"/>
      <c r="DZ13" s="692"/>
      <c r="EA13" s="692"/>
      <c r="EB13" s="692"/>
      <c r="EC13" s="692"/>
      <c r="ED13" s="692"/>
      <c r="EE13" s="692"/>
      <c r="EF13" s="692"/>
      <c r="EG13" s="692"/>
      <c r="EH13" s="692"/>
      <c r="EI13" s="692"/>
      <c r="EJ13" s="692"/>
      <c r="EK13" s="692"/>
      <c r="EL13" s="692"/>
      <c r="EM13" s="692"/>
      <c r="EN13" s="692"/>
      <c r="EO13" s="692"/>
      <c r="EP13" s="692"/>
      <c r="EQ13" s="692"/>
      <c r="ER13" s="692"/>
      <c r="ES13" s="692"/>
      <c r="ET13" s="692"/>
      <c r="EU13" s="692"/>
      <c r="EV13" s="692"/>
      <c r="EW13" s="692"/>
      <c r="EX13" s="692"/>
      <c r="EY13" s="692"/>
      <c r="EZ13" s="692"/>
      <c r="FA13" s="692"/>
      <c r="FB13" s="692"/>
      <c r="FC13" s="692"/>
      <c r="FD13" s="692"/>
      <c r="FE13" s="692"/>
      <c r="FF13" s="692"/>
      <c r="FG13" s="692"/>
      <c r="FH13" s="692"/>
      <c r="FI13" s="692"/>
      <c r="FJ13" s="692"/>
      <c r="FK13" s="692"/>
      <c r="FL13" s="692"/>
      <c r="FM13" s="692"/>
      <c r="FN13" s="692"/>
      <c r="FO13" s="692"/>
      <c r="FP13" s="692"/>
      <c r="FQ13" s="692"/>
      <c r="FR13" s="692"/>
      <c r="FS13" s="692"/>
      <c r="FT13" s="692"/>
      <c r="FU13" s="692"/>
      <c r="FV13" s="692"/>
      <c r="FW13" s="692"/>
      <c r="FX13" s="692"/>
      <c r="FY13" s="692"/>
      <c r="FZ13" s="692"/>
      <c r="GA13" s="692"/>
      <c r="GB13" s="692"/>
      <c r="GC13" s="692"/>
      <c r="GD13" s="692"/>
      <c r="GE13" s="692"/>
      <c r="GF13" s="692"/>
      <c r="GG13" s="692"/>
      <c r="GH13" s="692"/>
      <c r="GI13" s="692"/>
      <c r="GJ13" s="692"/>
      <c r="GK13" s="692"/>
      <c r="GL13" s="692"/>
      <c r="GM13" s="692"/>
      <c r="GN13" s="692"/>
      <c r="GO13" s="692"/>
      <c r="GP13" s="692"/>
      <c r="GQ13" s="692"/>
      <c r="GR13" s="692"/>
      <c r="GS13" s="692"/>
      <c r="GT13" s="692"/>
      <c r="GU13" s="692"/>
      <c r="GV13" s="692"/>
      <c r="GW13" s="692"/>
      <c r="GX13" s="692"/>
      <c r="GY13" s="692"/>
      <c r="GZ13" s="692"/>
      <c r="HA13" s="692"/>
      <c r="HB13" s="692"/>
      <c r="HC13" s="692"/>
      <c r="HD13" s="692"/>
      <c r="HE13" s="692"/>
      <c r="HF13" s="692"/>
      <c r="HG13" s="692"/>
      <c r="HH13" s="692"/>
      <c r="HI13" s="692"/>
      <c r="HJ13" s="692"/>
      <c r="HK13" s="692"/>
      <c r="HL13" s="692"/>
      <c r="HM13" s="692"/>
      <c r="HN13" s="692"/>
      <c r="HO13" s="692"/>
      <c r="HP13" s="692"/>
      <c r="HQ13" s="692"/>
      <c r="HR13" s="692"/>
      <c r="HS13" s="692"/>
      <c r="HT13" s="692"/>
      <c r="HU13" s="692"/>
      <c r="HV13" s="692"/>
      <c r="HW13" s="692"/>
      <c r="HX13" s="692"/>
      <c r="HY13" s="692"/>
      <c r="HZ13" s="692"/>
      <c r="IA13" s="692"/>
      <c r="IB13" s="692"/>
      <c r="IC13" s="692"/>
      <c r="ID13" s="692"/>
      <c r="IE13" s="692"/>
      <c r="IF13" s="692"/>
      <c r="IG13" s="692"/>
      <c r="IH13" s="692"/>
      <c r="II13" s="692"/>
      <c r="IJ13" s="692"/>
      <c r="IK13" s="692"/>
      <c r="IL13" s="692"/>
      <c r="IM13" s="692"/>
      <c r="IN13" s="692"/>
      <c r="IO13" s="692"/>
      <c r="IP13" s="692"/>
      <c r="IQ13" s="692"/>
      <c r="IR13" s="692"/>
      <c r="IS13" s="692"/>
      <c r="IT13" s="692"/>
      <c r="IU13" s="692"/>
      <c r="IV13" s="692"/>
    </row>
    <row r="14" spans="1:256">
      <c r="A14" s="679" t="s">
        <v>407</v>
      </c>
      <c r="B14" s="694"/>
      <c r="C14" s="695" t="s">
        <v>246</v>
      </c>
      <c r="D14" s="679"/>
      <c r="E14" s="679"/>
      <c r="F14" s="679"/>
      <c r="G14" s="679"/>
      <c r="H14" s="679"/>
      <c r="I14" s="679"/>
      <c r="J14" s="679"/>
      <c r="K14" s="679"/>
      <c r="L14" s="679"/>
      <c r="M14" s="679"/>
      <c r="N14" s="679"/>
      <c r="O14" s="679"/>
      <c r="P14" s="679"/>
      <c r="Q14" s="679"/>
      <c r="R14" s="679"/>
      <c r="S14" s="679"/>
      <c r="T14" s="679"/>
      <c r="U14" s="679"/>
      <c r="V14" s="679"/>
      <c r="W14" s="679"/>
      <c r="X14" s="696"/>
      <c r="Y14" s="696"/>
      <c r="Z14" s="697"/>
      <c r="AA14" s="697"/>
      <c r="AB14" s="696" t="s">
        <v>408</v>
      </c>
      <c r="AC14" s="696" t="s">
        <v>409</v>
      </c>
      <c r="AD14" s="696" t="s">
        <v>408</v>
      </c>
      <c r="AE14" s="680" t="s">
        <v>410</v>
      </c>
      <c r="AF14" s="697"/>
      <c r="AG14" s="697"/>
      <c r="AH14" s="697"/>
      <c r="AI14" s="697"/>
      <c r="AJ14" s="697"/>
      <c r="AK14" s="697"/>
      <c r="AL14" s="697"/>
      <c r="AM14" s="697"/>
      <c r="AN14" s="697"/>
      <c r="AO14" s="697"/>
      <c r="AP14" s="697"/>
      <c r="AQ14" s="697"/>
      <c r="AR14" s="697"/>
      <c r="AS14" s="697"/>
      <c r="AT14" s="697"/>
      <c r="AU14" s="697"/>
      <c r="AV14" s="697"/>
      <c r="AW14" s="697"/>
      <c r="AX14" s="697"/>
      <c r="AY14" s="697"/>
      <c r="AZ14" s="697"/>
      <c r="BA14" s="697"/>
      <c r="BB14" s="697"/>
      <c r="BC14" s="697"/>
      <c r="BD14" s="697"/>
      <c r="BE14" s="697"/>
      <c r="BF14" s="697"/>
      <c r="BG14" s="697"/>
      <c r="BH14" s="697"/>
      <c r="BI14" s="697"/>
      <c r="BJ14" s="697"/>
      <c r="BK14" s="697"/>
      <c r="BL14" s="697"/>
      <c r="BM14" s="697"/>
      <c r="BN14" s="697"/>
      <c r="BO14" s="697"/>
      <c r="BP14" s="697"/>
      <c r="BQ14" s="697"/>
      <c r="BR14" s="697"/>
      <c r="BS14" s="697"/>
      <c r="BT14" s="697"/>
      <c r="BU14" s="697"/>
      <c r="BV14" s="697"/>
      <c r="BW14" s="697"/>
      <c r="BX14" s="697"/>
      <c r="BY14" s="697"/>
      <c r="BZ14" s="697"/>
      <c r="CA14" s="697"/>
      <c r="CB14" s="697"/>
      <c r="CC14" s="697"/>
      <c r="CD14" s="697"/>
      <c r="CE14" s="697"/>
      <c r="CF14" s="697"/>
      <c r="CG14" s="697"/>
      <c r="CH14" s="697"/>
      <c r="CI14" s="697"/>
      <c r="CJ14" s="697"/>
      <c r="CK14" s="697"/>
      <c r="CL14" s="697"/>
      <c r="CM14" s="697"/>
      <c r="CN14" s="697"/>
      <c r="CO14" s="697"/>
      <c r="CP14" s="697"/>
      <c r="CQ14" s="697"/>
      <c r="CR14" s="697"/>
      <c r="CS14" s="697"/>
      <c r="CT14" s="697"/>
      <c r="CU14" s="697"/>
      <c r="CV14" s="697"/>
      <c r="CW14" s="697"/>
      <c r="CX14" s="697"/>
      <c r="CY14" s="697"/>
      <c r="CZ14" s="697"/>
      <c r="DA14" s="697"/>
      <c r="DB14" s="697"/>
      <c r="DC14" s="697"/>
      <c r="DD14" s="697"/>
      <c r="DE14" s="697"/>
      <c r="DF14" s="697"/>
      <c r="DG14" s="697"/>
      <c r="DH14" s="697"/>
      <c r="DI14" s="697"/>
      <c r="DJ14" s="697"/>
      <c r="DK14" s="697"/>
      <c r="DL14" s="697"/>
      <c r="DM14" s="697"/>
      <c r="DN14" s="697"/>
      <c r="DO14" s="697"/>
      <c r="DP14" s="697"/>
      <c r="DQ14" s="697"/>
      <c r="DR14" s="697"/>
      <c r="DS14" s="697"/>
      <c r="DT14" s="697"/>
      <c r="DU14" s="697"/>
      <c r="DV14" s="697"/>
      <c r="DW14" s="697"/>
      <c r="DX14" s="697"/>
      <c r="DY14" s="697"/>
      <c r="DZ14" s="697"/>
      <c r="EA14" s="697"/>
      <c r="EB14" s="697"/>
      <c r="EC14" s="697"/>
      <c r="ED14" s="697"/>
      <c r="EE14" s="697"/>
      <c r="EF14" s="697"/>
      <c r="EG14" s="697"/>
      <c r="EH14" s="697"/>
      <c r="EI14" s="697"/>
      <c r="EJ14" s="697"/>
      <c r="EK14" s="697"/>
      <c r="EL14" s="697"/>
      <c r="EM14" s="697"/>
      <c r="EN14" s="697"/>
      <c r="EO14" s="697"/>
      <c r="EP14" s="697"/>
      <c r="EQ14" s="697"/>
      <c r="ER14" s="697"/>
      <c r="ES14" s="697"/>
      <c r="ET14" s="697"/>
      <c r="EU14" s="697"/>
      <c r="EV14" s="697"/>
      <c r="EW14" s="697"/>
      <c r="EX14" s="697"/>
      <c r="EY14" s="697"/>
      <c r="EZ14" s="697"/>
      <c r="FA14" s="697"/>
      <c r="FB14" s="697"/>
      <c r="FC14" s="697"/>
      <c r="FD14" s="697"/>
      <c r="FE14" s="697"/>
      <c r="FF14" s="697"/>
      <c r="FG14" s="697"/>
      <c r="FH14" s="697"/>
      <c r="FI14" s="697"/>
      <c r="FJ14" s="697"/>
      <c r="FK14" s="697"/>
      <c r="FL14" s="697"/>
      <c r="FM14" s="697"/>
      <c r="FN14" s="697"/>
      <c r="FO14" s="697"/>
      <c r="FP14" s="697"/>
      <c r="FQ14" s="697"/>
      <c r="FR14" s="697"/>
      <c r="FS14" s="697"/>
      <c r="FT14" s="697"/>
      <c r="FU14" s="697"/>
      <c r="FV14" s="697"/>
      <c r="FW14" s="697"/>
      <c r="FX14" s="697"/>
      <c r="FY14" s="697"/>
      <c r="FZ14" s="697"/>
      <c r="GA14" s="697"/>
      <c r="GB14" s="697"/>
      <c r="GC14" s="697"/>
      <c r="GD14" s="697"/>
      <c r="GE14" s="697"/>
      <c r="GF14" s="697"/>
      <c r="GG14" s="697"/>
      <c r="GH14" s="697"/>
      <c r="GI14" s="697"/>
      <c r="GJ14" s="697"/>
      <c r="GK14" s="697"/>
      <c r="GL14" s="697"/>
      <c r="GM14" s="697"/>
      <c r="GN14" s="697"/>
      <c r="GO14" s="697"/>
      <c r="GP14" s="697"/>
      <c r="GQ14" s="697"/>
      <c r="GR14" s="697"/>
      <c r="GS14" s="697"/>
      <c r="GT14" s="697"/>
      <c r="GU14" s="697"/>
      <c r="GV14" s="697"/>
      <c r="GW14" s="697"/>
      <c r="GX14" s="697"/>
      <c r="GY14" s="697"/>
      <c r="GZ14" s="697"/>
      <c r="HA14" s="697"/>
      <c r="HB14" s="697"/>
      <c r="HC14" s="697"/>
      <c r="HD14" s="697"/>
      <c r="HE14" s="697"/>
      <c r="HF14" s="697"/>
      <c r="HG14" s="697"/>
      <c r="HH14" s="697"/>
      <c r="HI14" s="697"/>
      <c r="HJ14" s="697"/>
      <c r="HK14" s="697"/>
      <c r="HL14" s="697"/>
      <c r="HM14" s="697"/>
      <c r="HN14" s="697"/>
      <c r="HO14" s="697"/>
      <c r="HP14" s="697"/>
      <c r="HQ14" s="697"/>
      <c r="HR14" s="697"/>
      <c r="HS14" s="697"/>
      <c r="HT14" s="697"/>
      <c r="HU14" s="697"/>
      <c r="HV14" s="697"/>
      <c r="HW14" s="697"/>
      <c r="HX14" s="697"/>
      <c r="HY14" s="697"/>
      <c r="HZ14" s="697"/>
      <c r="IA14" s="697"/>
      <c r="IB14" s="697"/>
      <c r="IC14" s="697"/>
      <c r="ID14" s="697"/>
      <c r="IE14" s="697"/>
      <c r="IF14" s="697"/>
      <c r="IG14" s="697"/>
      <c r="IH14" s="697"/>
      <c r="II14" s="697"/>
      <c r="IJ14" s="697"/>
      <c r="IK14" s="697"/>
      <c r="IL14" s="697"/>
      <c r="IM14" s="697"/>
      <c r="IN14" s="697"/>
      <c r="IO14" s="697"/>
      <c r="IP14" s="697"/>
      <c r="IQ14" s="697"/>
      <c r="IR14" s="697"/>
      <c r="IS14" s="697"/>
      <c r="IT14" s="697"/>
      <c r="IU14" s="697"/>
      <c r="IV14" s="697"/>
    </row>
    <row r="15" spans="1:256">
      <c r="A15" s="697"/>
      <c r="B15" s="698"/>
      <c r="C15" s="699"/>
      <c r="D15" s="679"/>
      <c r="E15" s="679"/>
      <c r="F15" s="679"/>
      <c r="G15" s="679"/>
      <c r="H15" s="679"/>
      <c r="I15" s="679"/>
      <c r="J15" s="679"/>
      <c r="K15" s="679"/>
      <c r="L15" s="679"/>
      <c r="M15" s="679"/>
      <c r="N15" s="679"/>
      <c r="O15" s="679"/>
      <c r="P15" s="679"/>
      <c r="Q15" s="679"/>
      <c r="R15" s="679"/>
      <c r="S15" s="679"/>
      <c r="T15" s="679"/>
      <c r="U15" s="679"/>
      <c r="V15" s="679"/>
      <c r="W15" s="679"/>
      <c r="X15" s="692"/>
      <c r="Y15" s="692"/>
      <c r="Z15" s="692"/>
      <c r="AA15" s="692"/>
      <c r="AB15" s="696"/>
      <c r="AC15" s="696" t="s">
        <v>408</v>
      </c>
      <c r="AD15" s="696" t="s">
        <v>409</v>
      </c>
      <c r="AE15" s="680" t="s">
        <v>411</v>
      </c>
      <c r="AF15" s="692"/>
      <c r="AG15" s="692"/>
      <c r="AH15" s="692"/>
      <c r="AI15" s="692"/>
      <c r="AJ15" s="692"/>
      <c r="AK15" s="692"/>
      <c r="AL15" s="692"/>
      <c r="AM15" s="692"/>
      <c r="AN15" s="692"/>
      <c r="AO15" s="692"/>
      <c r="AP15" s="692"/>
      <c r="AQ15" s="692"/>
      <c r="AR15" s="692"/>
      <c r="AS15" s="692"/>
      <c r="AT15" s="692"/>
      <c r="AU15" s="692"/>
      <c r="AV15" s="692"/>
      <c r="AW15" s="692"/>
      <c r="AX15" s="692"/>
      <c r="AY15" s="692"/>
      <c r="AZ15" s="692"/>
      <c r="BA15" s="692"/>
      <c r="BB15" s="692"/>
      <c r="BC15" s="692"/>
      <c r="BD15" s="692"/>
      <c r="BE15" s="692"/>
      <c r="BF15" s="692"/>
      <c r="BG15" s="692"/>
      <c r="BH15" s="692"/>
      <c r="BI15" s="692"/>
      <c r="BJ15" s="692"/>
      <c r="BK15" s="692"/>
      <c r="BL15" s="692"/>
      <c r="BM15" s="692"/>
      <c r="BN15" s="692"/>
      <c r="BO15" s="692"/>
      <c r="BP15" s="692"/>
      <c r="BQ15" s="692"/>
      <c r="BR15" s="692"/>
      <c r="BS15" s="692"/>
      <c r="BT15" s="692"/>
      <c r="BU15" s="692"/>
      <c r="BV15" s="692"/>
      <c r="BW15" s="692"/>
      <c r="BX15" s="692"/>
      <c r="BY15" s="692"/>
      <c r="BZ15" s="692"/>
      <c r="CA15" s="692"/>
      <c r="CB15" s="692"/>
      <c r="CC15" s="692"/>
      <c r="CD15" s="692"/>
      <c r="CE15" s="692"/>
      <c r="CF15" s="692"/>
      <c r="CG15" s="692"/>
      <c r="CH15" s="692"/>
      <c r="CI15" s="692"/>
      <c r="CJ15" s="692"/>
      <c r="CK15" s="692"/>
      <c r="CL15" s="692"/>
      <c r="CM15" s="692"/>
      <c r="CN15" s="692"/>
      <c r="CO15" s="692"/>
      <c r="CP15" s="692"/>
      <c r="CQ15" s="692"/>
      <c r="CR15" s="692"/>
      <c r="CS15" s="692"/>
      <c r="CT15" s="692"/>
      <c r="CU15" s="692"/>
      <c r="CV15" s="692"/>
      <c r="CW15" s="692"/>
      <c r="CX15" s="692"/>
      <c r="CY15" s="692"/>
      <c r="CZ15" s="692"/>
      <c r="DA15" s="692"/>
      <c r="DB15" s="692"/>
      <c r="DC15" s="692"/>
      <c r="DD15" s="692"/>
      <c r="DE15" s="692"/>
      <c r="DF15" s="692"/>
      <c r="DG15" s="692"/>
      <c r="DH15" s="692"/>
      <c r="DI15" s="692"/>
      <c r="DJ15" s="692"/>
      <c r="DK15" s="692"/>
      <c r="DL15" s="692"/>
      <c r="DM15" s="692"/>
      <c r="DN15" s="692"/>
      <c r="DO15" s="692"/>
      <c r="DP15" s="692"/>
      <c r="DQ15" s="692"/>
      <c r="DR15" s="692"/>
      <c r="DS15" s="692"/>
      <c r="DT15" s="692"/>
      <c r="DU15" s="692"/>
      <c r="DV15" s="692"/>
      <c r="DW15" s="692"/>
      <c r="DX15" s="692"/>
      <c r="DY15" s="692"/>
      <c r="DZ15" s="692"/>
      <c r="EA15" s="692"/>
      <c r="EB15" s="692"/>
      <c r="EC15" s="692"/>
      <c r="ED15" s="692"/>
      <c r="EE15" s="692"/>
      <c r="EF15" s="692"/>
      <c r="EG15" s="692"/>
      <c r="EH15" s="692"/>
      <c r="EI15" s="692"/>
      <c r="EJ15" s="692"/>
      <c r="EK15" s="692"/>
      <c r="EL15" s="692"/>
      <c r="EM15" s="692"/>
      <c r="EN15" s="692"/>
      <c r="EO15" s="692"/>
      <c r="EP15" s="692"/>
      <c r="EQ15" s="692"/>
      <c r="ER15" s="692"/>
      <c r="ES15" s="692"/>
      <c r="ET15" s="692"/>
      <c r="EU15" s="692"/>
      <c r="EV15" s="692"/>
      <c r="EW15" s="692"/>
      <c r="EX15" s="692"/>
      <c r="EY15" s="692"/>
      <c r="EZ15" s="692"/>
      <c r="FA15" s="692"/>
      <c r="FB15" s="692"/>
      <c r="FC15" s="692"/>
      <c r="FD15" s="692"/>
      <c r="FE15" s="692"/>
      <c r="FF15" s="692"/>
      <c r="FG15" s="692"/>
      <c r="FH15" s="692"/>
      <c r="FI15" s="692"/>
      <c r="FJ15" s="692"/>
      <c r="FK15" s="692"/>
      <c r="FL15" s="692"/>
      <c r="FM15" s="692"/>
      <c r="FN15" s="692"/>
      <c r="FO15" s="692"/>
      <c r="FP15" s="692"/>
      <c r="FQ15" s="692"/>
      <c r="FR15" s="692"/>
      <c r="FS15" s="692"/>
      <c r="FT15" s="692"/>
      <c r="FU15" s="692"/>
      <c r="FV15" s="692"/>
      <c r="FW15" s="692"/>
      <c r="FX15" s="692"/>
      <c r="FY15" s="692"/>
      <c r="FZ15" s="692"/>
      <c r="GA15" s="692"/>
      <c r="GB15" s="692"/>
      <c r="GC15" s="692"/>
      <c r="GD15" s="692"/>
      <c r="GE15" s="692"/>
      <c r="GF15" s="692"/>
      <c r="GG15" s="692"/>
      <c r="GH15" s="692"/>
      <c r="GI15" s="692"/>
      <c r="GJ15" s="692"/>
      <c r="GK15" s="692"/>
      <c r="GL15" s="692"/>
      <c r="GM15" s="692"/>
      <c r="GN15" s="692"/>
      <c r="GO15" s="692"/>
      <c r="GP15" s="692"/>
      <c r="GQ15" s="692"/>
      <c r="GR15" s="692"/>
      <c r="GS15" s="692"/>
      <c r="GT15" s="692"/>
      <c r="GU15" s="692"/>
      <c r="GV15" s="692"/>
      <c r="GW15" s="692"/>
      <c r="GX15" s="692"/>
      <c r="GY15" s="692"/>
      <c r="GZ15" s="692"/>
      <c r="HA15" s="692"/>
      <c r="HB15" s="692"/>
      <c r="HC15" s="692"/>
      <c r="HD15" s="692"/>
      <c r="HE15" s="692"/>
      <c r="HF15" s="692"/>
      <c r="HG15" s="692"/>
      <c r="HH15" s="692"/>
      <c r="HI15" s="692"/>
      <c r="HJ15" s="692"/>
      <c r="HK15" s="692"/>
      <c r="HL15" s="692"/>
      <c r="HM15" s="692"/>
      <c r="HN15" s="692"/>
      <c r="HO15" s="692"/>
      <c r="HP15" s="692"/>
      <c r="HQ15" s="692"/>
      <c r="HR15" s="692"/>
      <c r="HS15" s="692"/>
      <c r="HT15" s="692"/>
      <c r="HU15" s="692"/>
      <c r="HV15" s="692"/>
      <c r="HW15" s="692"/>
      <c r="HX15" s="692"/>
      <c r="HY15" s="692"/>
      <c r="HZ15" s="692"/>
      <c r="IA15" s="692"/>
      <c r="IB15" s="692"/>
      <c r="IC15" s="692"/>
      <c r="ID15" s="692"/>
      <c r="IE15" s="692"/>
      <c r="IF15" s="692"/>
      <c r="IG15" s="692"/>
      <c r="IH15" s="692"/>
      <c r="II15" s="692"/>
      <c r="IJ15" s="692"/>
      <c r="IK15" s="692"/>
      <c r="IL15" s="692"/>
      <c r="IM15" s="692"/>
      <c r="IN15" s="692"/>
      <c r="IO15" s="692"/>
      <c r="IP15" s="692"/>
      <c r="IQ15" s="692"/>
      <c r="IR15" s="692"/>
      <c r="IS15" s="692"/>
      <c r="IT15" s="692"/>
      <c r="IU15" s="692"/>
      <c r="IV15" s="692"/>
    </row>
    <row r="16" spans="1:256">
      <c r="B16" s="700"/>
      <c r="D16" s="702">
        <v>2022</v>
      </c>
      <c r="E16" s="702">
        <v>2022</v>
      </c>
      <c r="F16" s="702">
        <v>2022</v>
      </c>
      <c r="G16" s="702">
        <v>2022</v>
      </c>
      <c r="H16" s="702">
        <v>2022</v>
      </c>
      <c r="I16" s="702">
        <v>2023</v>
      </c>
      <c r="J16" s="702">
        <v>2023</v>
      </c>
      <c r="K16" s="702">
        <v>2023</v>
      </c>
      <c r="L16" s="702">
        <v>2023</v>
      </c>
      <c r="M16" s="702">
        <v>2023</v>
      </c>
      <c r="N16" s="702">
        <v>2024</v>
      </c>
      <c r="O16" s="702">
        <v>2024</v>
      </c>
      <c r="P16" s="702">
        <v>2024</v>
      </c>
      <c r="Q16" s="702">
        <v>2024</v>
      </c>
      <c r="R16" s="702">
        <v>2024</v>
      </c>
      <c r="S16" s="702">
        <v>2025</v>
      </c>
      <c r="T16" s="702">
        <v>2025</v>
      </c>
      <c r="U16" s="702">
        <v>2025</v>
      </c>
      <c r="V16" s="702">
        <v>2025</v>
      </c>
      <c r="W16" s="702">
        <v>2025</v>
      </c>
      <c r="X16" s="702">
        <v>2026</v>
      </c>
      <c r="Y16" s="702">
        <v>2026</v>
      </c>
      <c r="Z16" s="702">
        <v>2026</v>
      </c>
      <c r="AA16" s="702">
        <v>2026</v>
      </c>
      <c r="AB16" s="702">
        <v>2026</v>
      </c>
      <c r="AE16" s="680" t="s">
        <v>412</v>
      </c>
    </row>
    <row r="17" spans="1:256" ht="30.75">
      <c r="A17" s="703" t="s">
        <v>413</v>
      </c>
      <c r="B17" s="704">
        <v>2025</v>
      </c>
      <c r="D17" s="705" t="s">
        <v>409</v>
      </c>
      <c r="E17" s="705" t="s">
        <v>409</v>
      </c>
      <c r="F17" s="705" t="s">
        <v>409</v>
      </c>
      <c r="G17" s="705" t="s">
        <v>409</v>
      </c>
      <c r="H17" s="705" t="s">
        <v>409</v>
      </c>
      <c r="I17" s="706" t="s">
        <v>409</v>
      </c>
      <c r="J17" s="706" t="s">
        <v>409</v>
      </c>
      <c r="K17" s="706" t="s">
        <v>409</v>
      </c>
      <c r="L17" s="706" t="s">
        <v>409</v>
      </c>
      <c r="M17" s="705" t="s">
        <v>409</v>
      </c>
      <c r="N17" s="705" t="s">
        <v>409</v>
      </c>
      <c r="O17" s="705" t="s">
        <v>409</v>
      </c>
      <c r="P17" s="705" t="s">
        <v>409</v>
      </c>
      <c r="Q17" s="705" t="s">
        <v>409</v>
      </c>
      <c r="R17" s="705" t="s">
        <v>409</v>
      </c>
      <c r="S17" s="706" t="s">
        <v>409</v>
      </c>
      <c r="T17" s="706" t="s">
        <v>409</v>
      </c>
      <c r="U17" s="706" t="s">
        <v>409</v>
      </c>
      <c r="V17" s="706" t="s">
        <v>409</v>
      </c>
      <c r="W17" s="706" t="s">
        <v>409</v>
      </c>
      <c r="X17" s="706" t="s">
        <v>408</v>
      </c>
      <c r="Y17" s="705" t="s">
        <v>408</v>
      </c>
      <c r="Z17" s="705" t="s">
        <v>408</v>
      </c>
      <c r="AA17" s="705" t="s">
        <v>408</v>
      </c>
      <c r="AB17" s="705" t="s">
        <v>408</v>
      </c>
      <c r="AE17" s="680" t="s">
        <v>414</v>
      </c>
    </row>
    <row r="18" spans="1:256" ht="30.75">
      <c r="A18" s="703" t="s">
        <v>415</v>
      </c>
      <c r="B18" s="707" t="s">
        <v>418</v>
      </c>
      <c r="D18" s="708" t="str">
        <f>D16&amp;D19</f>
        <v>2022Q1</v>
      </c>
      <c r="E18" s="708" t="str">
        <f>E16&amp;E19</f>
        <v>2022Q2</v>
      </c>
      <c r="F18" s="708" t="str">
        <f>F16&amp;F19</f>
        <v>2022Q3</v>
      </c>
      <c r="G18" s="708" t="str">
        <f>G16&amp;G19</f>
        <v>2022Q4</v>
      </c>
      <c r="H18" s="708">
        <f>H16</f>
        <v>2022</v>
      </c>
      <c r="I18" s="709" t="str">
        <f>I16&amp;I19&amp;I17</f>
        <v>2023Q1A</v>
      </c>
      <c r="J18" s="708" t="str">
        <f>J16&amp;J19&amp;J17</f>
        <v>2023Q2A</v>
      </c>
      <c r="K18" s="708" t="str">
        <f>K16&amp;K19&amp;K17</f>
        <v>2023Q3A</v>
      </c>
      <c r="L18" s="708" t="str">
        <f>L16&amp;L19&amp;L17</f>
        <v>2023Q4A</v>
      </c>
      <c r="M18" s="708">
        <f>M16</f>
        <v>2023</v>
      </c>
      <c r="N18" s="709" t="str">
        <f>N16&amp;N19&amp;N17</f>
        <v>2024Q1A</v>
      </c>
      <c r="O18" s="708" t="str">
        <f>O16&amp;O19&amp;O17</f>
        <v>2024Q2A</v>
      </c>
      <c r="P18" s="708" t="str">
        <f>P16&amp;P19&amp;P17</f>
        <v>2024Q3A</v>
      </c>
      <c r="Q18" s="708" t="str">
        <f>Q16&amp;Q19&amp;Q17</f>
        <v>2024Q4A</v>
      </c>
      <c r="R18" s="708" t="str">
        <f>R16&amp;R17</f>
        <v>2024A</v>
      </c>
      <c r="S18" s="709" t="str">
        <f>S16&amp;S19&amp;S17</f>
        <v>2025Q1A</v>
      </c>
      <c r="T18" s="708" t="str">
        <f>T16&amp;T19&amp;T17</f>
        <v>2025Q2A</v>
      </c>
      <c r="U18" s="708" t="str">
        <f>U16&amp;U19&amp;U17</f>
        <v>2025Q3A</v>
      </c>
      <c r="V18" s="708" t="str">
        <f>V16&amp;V19&amp;V17</f>
        <v>2025Q4A</v>
      </c>
      <c r="W18" s="708" t="str">
        <f>W16&amp;W17</f>
        <v>2025A</v>
      </c>
      <c r="X18" s="709" t="str">
        <f>X16&amp;X19&amp;X17</f>
        <v>2026Q1E</v>
      </c>
      <c r="Y18" s="708" t="str">
        <f>Y16&amp;Y19&amp;Y17</f>
        <v>2026Q2E</v>
      </c>
      <c r="Z18" s="708" t="str">
        <f>Z16&amp;Z19&amp;Z17</f>
        <v>2026Q3E</v>
      </c>
      <c r="AA18" s="708" t="str">
        <f>AA16&amp;AA19&amp;AA17</f>
        <v>2026Q4E</v>
      </c>
      <c r="AB18" s="708" t="str">
        <f>AB16&amp;AB17</f>
        <v>2026E</v>
      </c>
      <c r="AC18" s="710"/>
      <c r="AD18" s="710"/>
      <c r="AE18" s="680" t="s">
        <v>417</v>
      </c>
      <c r="AF18" s="710"/>
      <c r="AG18" s="710"/>
      <c r="AH18" s="710"/>
      <c r="AI18" s="710"/>
      <c r="AJ18" s="710"/>
      <c r="AK18" s="710"/>
      <c r="AL18" s="710"/>
      <c r="AM18" s="710"/>
      <c r="AN18" s="710"/>
      <c r="AO18" s="710"/>
      <c r="AP18" s="710"/>
      <c r="AQ18" s="710"/>
      <c r="AR18" s="710"/>
      <c r="AS18" s="710"/>
      <c r="AT18" s="710"/>
      <c r="AU18" s="710"/>
      <c r="AV18" s="710"/>
      <c r="AW18" s="710"/>
      <c r="AX18" s="710"/>
      <c r="AY18" s="710"/>
      <c r="AZ18" s="710"/>
      <c r="BA18" s="710"/>
      <c r="BB18" s="710"/>
      <c r="BC18" s="710"/>
      <c r="BD18" s="710"/>
      <c r="BE18" s="710"/>
      <c r="BF18" s="710"/>
      <c r="BG18" s="710"/>
      <c r="BH18" s="710"/>
      <c r="BI18" s="710"/>
      <c r="BJ18" s="710"/>
      <c r="BK18" s="710"/>
      <c r="BL18" s="710"/>
      <c r="BM18" s="710"/>
      <c r="BN18" s="710"/>
      <c r="BO18" s="710"/>
      <c r="BP18" s="710"/>
      <c r="BQ18" s="710"/>
      <c r="BR18" s="710"/>
      <c r="BS18" s="710"/>
      <c r="BT18" s="710"/>
      <c r="BU18" s="710"/>
      <c r="BV18" s="710"/>
      <c r="BW18" s="710"/>
      <c r="BX18" s="710"/>
      <c r="BY18" s="710"/>
      <c r="BZ18" s="710"/>
      <c r="CA18" s="710"/>
      <c r="CB18" s="710"/>
      <c r="CC18" s="710"/>
      <c r="CD18" s="710"/>
      <c r="CE18" s="710"/>
      <c r="CF18" s="710"/>
      <c r="CG18" s="710"/>
      <c r="CH18" s="710"/>
      <c r="CI18" s="710"/>
      <c r="CJ18" s="710"/>
      <c r="CK18" s="710"/>
      <c r="CL18" s="710"/>
      <c r="CM18" s="710"/>
      <c r="CN18" s="710"/>
      <c r="CO18" s="710"/>
      <c r="CP18" s="710"/>
      <c r="CQ18" s="710"/>
      <c r="CR18" s="710"/>
      <c r="CS18" s="710"/>
      <c r="CT18" s="710"/>
      <c r="CU18" s="710"/>
      <c r="CV18" s="710"/>
      <c r="CW18" s="710"/>
      <c r="CX18" s="710"/>
      <c r="CY18" s="710"/>
      <c r="CZ18" s="710"/>
      <c r="DA18" s="710"/>
      <c r="DB18" s="710"/>
      <c r="DC18" s="710"/>
      <c r="DD18" s="710"/>
      <c r="DE18" s="710"/>
      <c r="DF18" s="710"/>
      <c r="DG18" s="710"/>
      <c r="DH18" s="710"/>
      <c r="DI18" s="710"/>
      <c r="DJ18" s="710"/>
      <c r="DK18" s="710"/>
      <c r="DL18" s="710"/>
      <c r="DM18" s="710"/>
      <c r="DN18" s="710"/>
      <c r="DO18" s="710"/>
      <c r="DP18" s="710"/>
      <c r="DQ18" s="710"/>
      <c r="DR18" s="710"/>
      <c r="DS18" s="710"/>
      <c r="DT18" s="710"/>
      <c r="DU18" s="710"/>
      <c r="DV18" s="710"/>
      <c r="DW18" s="710"/>
      <c r="DX18" s="710"/>
      <c r="DY18" s="710"/>
      <c r="DZ18" s="710"/>
      <c r="EA18" s="710"/>
      <c r="EB18" s="710"/>
      <c r="EC18" s="710"/>
      <c r="ED18" s="710"/>
      <c r="EE18" s="710"/>
      <c r="EF18" s="710"/>
      <c r="EG18" s="710"/>
      <c r="EH18" s="710"/>
      <c r="EI18" s="710"/>
      <c r="EJ18" s="710"/>
      <c r="EK18" s="710"/>
      <c r="EL18" s="710"/>
      <c r="EM18" s="710"/>
      <c r="EN18" s="710"/>
      <c r="EO18" s="710"/>
      <c r="EP18" s="710"/>
      <c r="EQ18" s="710"/>
      <c r="ER18" s="710"/>
      <c r="ES18" s="710"/>
      <c r="ET18" s="710"/>
      <c r="EU18" s="710"/>
      <c r="EV18" s="710"/>
      <c r="EW18" s="710"/>
      <c r="EX18" s="710"/>
      <c r="EY18" s="710"/>
      <c r="EZ18" s="710"/>
      <c r="FA18" s="710"/>
      <c r="FB18" s="710"/>
      <c r="FC18" s="710"/>
      <c r="FD18" s="710"/>
      <c r="FE18" s="710"/>
      <c r="FF18" s="710"/>
      <c r="FG18" s="710"/>
      <c r="FH18" s="710"/>
      <c r="FI18" s="710"/>
      <c r="FJ18" s="710"/>
      <c r="FK18" s="710"/>
      <c r="FL18" s="710"/>
      <c r="FM18" s="710"/>
      <c r="FN18" s="710"/>
      <c r="FO18" s="710"/>
      <c r="FP18" s="710"/>
      <c r="FQ18" s="710"/>
      <c r="FR18" s="710"/>
      <c r="FS18" s="710"/>
      <c r="FT18" s="710"/>
      <c r="FU18" s="710"/>
      <c r="FV18" s="710"/>
      <c r="FW18" s="710"/>
      <c r="FX18" s="710"/>
      <c r="FY18" s="710"/>
      <c r="FZ18" s="710"/>
      <c r="GA18" s="710"/>
      <c r="GB18" s="710"/>
      <c r="GC18" s="710"/>
      <c r="GD18" s="710"/>
      <c r="GE18" s="710"/>
      <c r="GF18" s="710"/>
      <c r="GG18" s="710"/>
      <c r="GH18" s="710"/>
      <c r="GI18" s="710"/>
      <c r="GJ18" s="710"/>
      <c r="GK18" s="710"/>
      <c r="GL18" s="710"/>
      <c r="GM18" s="710"/>
      <c r="GN18" s="710"/>
      <c r="GO18" s="710"/>
      <c r="GP18" s="710"/>
      <c r="GQ18" s="710"/>
      <c r="GR18" s="710"/>
      <c r="GS18" s="710"/>
      <c r="GT18" s="710"/>
      <c r="GU18" s="710"/>
      <c r="GV18" s="710"/>
      <c r="GW18" s="710"/>
      <c r="GX18" s="710"/>
      <c r="GY18" s="710"/>
      <c r="GZ18" s="710"/>
      <c r="HA18" s="710"/>
      <c r="HB18" s="710"/>
      <c r="HC18" s="710"/>
      <c r="HD18" s="710"/>
      <c r="HE18" s="710"/>
      <c r="HF18" s="710"/>
      <c r="HG18" s="710"/>
      <c r="HH18" s="710"/>
      <c r="HI18" s="710"/>
      <c r="HJ18" s="710"/>
      <c r="HK18" s="710"/>
      <c r="HL18" s="710"/>
      <c r="HM18" s="710"/>
      <c r="HN18" s="710"/>
      <c r="HO18" s="710"/>
      <c r="HP18" s="710"/>
      <c r="HQ18" s="710"/>
      <c r="HR18" s="710"/>
      <c r="HS18" s="710"/>
      <c r="HT18" s="710"/>
      <c r="HU18" s="710"/>
      <c r="HV18" s="710"/>
      <c r="HW18" s="710"/>
      <c r="HX18" s="710"/>
      <c r="HY18" s="710"/>
      <c r="HZ18" s="710"/>
      <c r="IA18" s="710"/>
      <c r="IB18" s="710"/>
      <c r="IC18" s="710"/>
      <c r="ID18" s="710"/>
      <c r="IE18" s="710"/>
      <c r="IF18" s="710"/>
      <c r="IG18" s="710"/>
      <c r="IH18" s="710"/>
      <c r="II18" s="710"/>
      <c r="IJ18" s="710"/>
      <c r="IK18" s="710"/>
      <c r="IL18" s="710"/>
      <c r="IM18" s="710"/>
      <c r="IN18" s="710"/>
      <c r="IO18" s="710"/>
      <c r="IP18" s="710"/>
      <c r="IQ18" s="710"/>
      <c r="IR18" s="710"/>
      <c r="IS18" s="710"/>
      <c r="IT18" s="710"/>
      <c r="IU18" s="710"/>
      <c r="IV18" s="710"/>
    </row>
    <row r="19" spans="1:256">
      <c r="A19" s="711"/>
      <c r="B19" s="712"/>
      <c r="C19" s="713"/>
      <c r="D19" s="714" t="s">
        <v>418</v>
      </c>
      <c r="E19" s="714" t="s">
        <v>14</v>
      </c>
      <c r="F19" s="714" t="s">
        <v>416</v>
      </c>
      <c r="G19" s="714" t="s">
        <v>419</v>
      </c>
      <c r="H19" s="714" t="s">
        <v>420</v>
      </c>
      <c r="I19" s="715" t="s">
        <v>418</v>
      </c>
      <c r="J19" s="714" t="s">
        <v>14</v>
      </c>
      <c r="K19" s="714" t="s">
        <v>416</v>
      </c>
      <c r="L19" s="714" t="s">
        <v>419</v>
      </c>
      <c r="M19" s="714" t="s">
        <v>420</v>
      </c>
      <c r="N19" s="715" t="s">
        <v>418</v>
      </c>
      <c r="O19" s="714" t="s">
        <v>14</v>
      </c>
      <c r="P19" s="714" t="s">
        <v>416</v>
      </c>
      <c r="Q19" s="714" t="s">
        <v>419</v>
      </c>
      <c r="R19" s="714" t="s">
        <v>420</v>
      </c>
      <c r="S19" s="715" t="s">
        <v>418</v>
      </c>
      <c r="T19" s="714" t="s">
        <v>14</v>
      </c>
      <c r="U19" s="714" t="s">
        <v>416</v>
      </c>
      <c r="V19" s="714" t="s">
        <v>419</v>
      </c>
      <c r="W19" s="714" t="s">
        <v>420</v>
      </c>
      <c r="X19" s="715" t="s">
        <v>418</v>
      </c>
      <c r="Y19" s="714" t="s">
        <v>14</v>
      </c>
      <c r="Z19" s="714" t="s">
        <v>416</v>
      </c>
      <c r="AA19" s="714" t="s">
        <v>419</v>
      </c>
      <c r="AB19" s="714" t="s">
        <v>420</v>
      </c>
      <c r="AC19" s="716"/>
      <c r="AD19" s="716"/>
      <c r="AE19" s="680" t="s">
        <v>421</v>
      </c>
      <c r="AF19" s="716"/>
      <c r="AG19" s="716"/>
      <c r="AH19" s="716"/>
      <c r="AI19" s="716"/>
      <c r="AJ19" s="716"/>
      <c r="AK19" s="716"/>
      <c r="AL19" s="716"/>
      <c r="AM19" s="716"/>
      <c r="AN19" s="716"/>
      <c r="AO19" s="716"/>
      <c r="AP19" s="716"/>
      <c r="AQ19" s="716"/>
      <c r="AR19" s="716"/>
      <c r="AS19" s="716"/>
      <c r="AT19" s="716"/>
      <c r="AU19" s="716"/>
      <c r="AV19" s="716"/>
      <c r="AW19" s="716"/>
      <c r="AX19" s="716"/>
      <c r="AY19" s="716"/>
      <c r="AZ19" s="716"/>
      <c r="BA19" s="716"/>
      <c r="BB19" s="716"/>
      <c r="BC19" s="716"/>
      <c r="BD19" s="716"/>
      <c r="BE19" s="716"/>
      <c r="BF19" s="716"/>
      <c r="BG19" s="716"/>
      <c r="BH19" s="716"/>
      <c r="BI19" s="716"/>
      <c r="BJ19" s="716"/>
      <c r="BK19" s="716"/>
      <c r="BL19" s="716"/>
      <c r="BM19" s="716"/>
      <c r="BN19" s="716"/>
      <c r="BO19" s="716"/>
      <c r="BP19" s="716"/>
      <c r="BQ19" s="716"/>
      <c r="BR19" s="716"/>
      <c r="BS19" s="716"/>
      <c r="BT19" s="716"/>
      <c r="BU19" s="716"/>
      <c r="BV19" s="716"/>
      <c r="BW19" s="716"/>
      <c r="BX19" s="716"/>
      <c r="BY19" s="716"/>
      <c r="BZ19" s="716"/>
      <c r="CA19" s="716"/>
      <c r="CB19" s="716"/>
      <c r="CC19" s="716"/>
      <c r="CD19" s="716"/>
      <c r="CE19" s="716"/>
      <c r="CF19" s="716"/>
      <c r="CG19" s="716"/>
      <c r="CH19" s="716"/>
      <c r="CI19" s="716"/>
      <c r="CJ19" s="716"/>
      <c r="CK19" s="716"/>
      <c r="CL19" s="716"/>
      <c r="CM19" s="716"/>
      <c r="CN19" s="716"/>
      <c r="CO19" s="716"/>
      <c r="CP19" s="716"/>
      <c r="CQ19" s="716"/>
      <c r="CR19" s="716"/>
      <c r="CS19" s="716"/>
      <c r="CT19" s="716"/>
      <c r="CU19" s="716"/>
      <c r="CV19" s="716"/>
      <c r="CW19" s="716"/>
      <c r="CX19" s="716"/>
      <c r="CY19" s="716"/>
      <c r="CZ19" s="716"/>
      <c r="DA19" s="716"/>
      <c r="DB19" s="716"/>
      <c r="DC19" s="716"/>
      <c r="DD19" s="716"/>
      <c r="DE19" s="716"/>
      <c r="DF19" s="716"/>
      <c r="DG19" s="716"/>
      <c r="DH19" s="716"/>
      <c r="DI19" s="716"/>
      <c r="DJ19" s="716"/>
      <c r="DK19" s="716"/>
      <c r="DL19" s="716"/>
      <c r="DM19" s="716"/>
      <c r="DN19" s="716"/>
      <c r="DO19" s="716"/>
      <c r="DP19" s="716"/>
      <c r="DQ19" s="716"/>
      <c r="DR19" s="716"/>
      <c r="DS19" s="716"/>
      <c r="DT19" s="716"/>
      <c r="DU19" s="716"/>
      <c r="DV19" s="716"/>
      <c r="DW19" s="716"/>
      <c r="DX19" s="716"/>
      <c r="DY19" s="716"/>
      <c r="DZ19" s="716"/>
      <c r="EA19" s="716"/>
      <c r="EB19" s="716"/>
      <c r="EC19" s="716"/>
      <c r="ED19" s="716"/>
      <c r="EE19" s="716"/>
      <c r="EF19" s="716"/>
      <c r="EG19" s="716"/>
      <c r="EH19" s="716"/>
      <c r="EI19" s="716"/>
      <c r="EJ19" s="716"/>
      <c r="EK19" s="716"/>
      <c r="EL19" s="716"/>
      <c r="EM19" s="716"/>
      <c r="EN19" s="716"/>
      <c r="EO19" s="716"/>
      <c r="EP19" s="716"/>
      <c r="EQ19" s="716"/>
      <c r="ER19" s="716"/>
      <c r="ES19" s="716"/>
      <c r="ET19" s="716"/>
      <c r="EU19" s="716"/>
      <c r="EV19" s="716"/>
      <c r="EW19" s="716"/>
      <c r="EX19" s="716"/>
      <c r="EY19" s="716"/>
      <c r="EZ19" s="716"/>
      <c r="FA19" s="716"/>
      <c r="FB19" s="716"/>
      <c r="FC19" s="716"/>
      <c r="FD19" s="716"/>
      <c r="FE19" s="716"/>
      <c r="FF19" s="716"/>
      <c r="FG19" s="716"/>
      <c r="FH19" s="716"/>
      <c r="FI19" s="716"/>
      <c r="FJ19" s="716"/>
      <c r="FK19" s="716"/>
      <c r="FL19" s="716"/>
      <c r="FM19" s="716"/>
      <c r="FN19" s="716"/>
      <c r="FO19" s="716"/>
      <c r="FP19" s="716"/>
      <c r="FQ19" s="716"/>
      <c r="FR19" s="716"/>
      <c r="FS19" s="716"/>
      <c r="FT19" s="716"/>
      <c r="FU19" s="716"/>
      <c r="FV19" s="716"/>
      <c r="FW19" s="716"/>
      <c r="FX19" s="716"/>
      <c r="FY19" s="716"/>
      <c r="FZ19" s="716"/>
      <c r="GA19" s="716"/>
      <c r="GB19" s="716"/>
      <c r="GC19" s="716"/>
      <c r="GD19" s="716"/>
      <c r="GE19" s="716"/>
      <c r="GF19" s="716"/>
      <c r="GG19" s="716"/>
      <c r="GH19" s="716"/>
      <c r="GI19" s="716"/>
      <c r="GJ19" s="716"/>
      <c r="GK19" s="716"/>
      <c r="GL19" s="716"/>
      <c r="GM19" s="716"/>
      <c r="GN19" s="716"/>
      <c r="GO19" s="716"/>
      <c r="GP19" s="716"/>
      <c r="GQ19" s="716"/>
      <c r="GR19" s="716"/>
      <c r="GS19" s="716"/>
      <c r="GT19" s="716"/>
      <c r="GU19" s="716"/>
      <c r="GV19" s="716"/>
      <c r="GW19" s="716"/>
      <c r="GX19" s="716"/>
      <c r="GY19" s="716"/>
      <c r="GZ19" s="716"/>
      <c r="HA19" s="716"/>
      <c r="HB19" s="716"/>
      <c r="HC19" s="716"/>
      <c r="HD19" s="716"/>
      <c r="HE19" s="716"/>
      <c r="HF19" s="716"/>
      <c r="HG19" s="716"/>
      <c r="HH19" s="716"/>
      <c r="HI19" s="716"/>
      <c r="HJ19" s="716"/>
      <c r="HK19" s="716"/>
      <c r="HL19" s="716"/>
      <c r="HM19" s="716"/>
      <c r="HN19" s="716"/>
      <c r="HO19" s="716"/>
      <c r="HP19" s="716"/>
      <c r="HQ19" s="716"/>
      <c r="HR19" s="716"/>
      <c r="HS19" s="716"/>
      <c r="HT19" s="716"/>
      <c r="HU19" s="716"/>
      <c r="HV19" s="716"/>
      <c r="HW19" s="716"/>
      <c r="HX19" s="716"/>
      <c r="HY19" s="716"/>
      <c r="HZ19" s="716"/>
      <c r="IA19" s="716"/>
      <c r="IB19" s="716"/>
      <c r="IC19" s="716"/>
      <c r="ID19" s="716"/>
      <c r="IE19" s="716"/>
      <c r="IF19" s="716"/>
      <c r="IG19" s="716"/>
      <c r="IH19" s="716"/>
      <c r="II19" s="716"/>
      <c r="IJ19" s="716"/>
      <c r="IK19" s="716"/>
      <c r="IL19" s="716"/>
      <c r="IM19" s="716"/>
      <c r="IN19" s="716"/>
      <c r="IO19" s="716"/>
      <c r="IP19" s="716"/>
      <c r="IQ19" s="716"/>
      <c r="IR19" s="716"/>
      <c r="IS19" s="716"/>
      <c r="IT19" s="716"/>
      <c r="IU19" s="716"/>
      <c r="IV19" s="716"/>
    </row>
    <row r="20" spans="1:256">
      <c r="A20" s="717" t="s">
        <v>422</v>
      </c>
      <c r="B20" s="718"/>
      <c r="C20" s="719"/>
      <c r="D20" s="720" t="str">
        <f>($B$47&amp;"/"&amp;31&amp;"/"&amp;(D16+$D$47))</f>
        <v>9/31/2022</v>
      </c>
      <c r="E20" s="720" t="str">
        <f>($B$48&amp;"/"&amp;31&amp;"/"&amp;(E16+$D$48))</f>
        <v>12/31/2022</v>
      </c>
      <c r="F20" s="721" t="str">
        <f>$B$45&amp;"/"&amp;31&amp;"/"&amp;(F16+$D$45)</f>
        <v>3/31/2022</v>
      </c>
      <c r="G20" s="721" t="str">
        <f>$B$46&amp;"/"&amp;31&amp;"/"&amp;(G16+$D$46)</f>
        <v>6/31/2022</v>
      </c>
      <c r="H20" s="722" t="str">
        <f>G20</f>
        <v>6/31/2022</v>
      </c>
      <c r="I20" s="720" t="str">
        <f>($B$47&amp;"/"&amp;31&amp;"/"&amp;(I16+$D$47))</f>
        <v>9/31/2023</v>
      </c>
      <c r="J20" s="720" t="str">
        <f>($B$48&amp;"/"&amp;31&amp;"/"&amp;(J16+$D$48))</f>
        <v>12/31/2023</v>
      </c>
      <c r="K20" s="721" t="str">
        <f>$B$45&amp;"/"&amp;31&amp;"/"&amp;(K16+$D$45)</f>
        <v>3/31/2023</v>
      </c>
      <c r="L20" s="721" t="str">
        <f>$B$46&amp;"/"&amp;31&amp;"/"&amp;(L16+$D$46)</f>
        <v>6/31/2023</v>
      </c>
      <c r="M20" s="722" t="str">
        <f>L20</f>
        <v>6/31/2023</v>
      </c>
      <c r="N20" s="720" t="str">
        <f>($B$47&amp;"/"&amp;31&amp;"/"&amp;(N16+$D$47))</f>
        <v>9/31/2024</v>
      </c>
      <c r="O20" s="720" t="str">
        <f>($B$48&amp;"/"&amp;31&amp;"/"&amp;(O16+$D$48))</f>
        <v>12/31/2024</v>
      </c>
      <c r="P20" s="721" t="str">
        <f>$B$45&amp;"/"&amp;31&amp;"/"&amp;(P16+$D$45)</f>
        <v>3/31/2024</v>
      </c>
      <c r="Q20" s="721" t="str">
        <f>$B$46&amp;"/"&amp;31&amp;"/"&amp;(Q16+$D$46)</f>
        <v>6/31/2024</v>
      </c>
      <c r="R20" s="722" t="str">
        <f>Q20</f>
        <v>6/31/2024</v>
      </c>
      <c r="S20" s="720" t="str">
        <f>($B$47&amp;"/"&amp;31&amp;"/"&amp;(S16+$D$47))</f>
        <v>9/31/2025</v>
      </c>
      <c r="T20" s="721" t="str">
        <f>$B$48&amp;"/"&amp;31&amp;"/"&amp;(T16+$D$48)</f>
        <v>12/31/2025</v>
      </c>
      <c r="U20" s="721" t="str">
        <f>$B$45&amp;"/"&amp;31&amp;"/"&amp;(U16+$D$45)</f>
        <v>3/31/2025</v>
      </c>
      <c r="V20" s="721" t="str">
        <f>$B$46&amp;"/"&amp;31&amp;"/"&amp;(V16+$D$46)</f>
        <v>6/31/2025</v>
      </c>
      <c r="W20" s="722" t="str">
        <f>V20</f>
        <v>6/31/2025</v>
      </c>
      <c r="X20" s="720" t="str">
        <f>($B$47&amp;"/"&amp;31&amp;"/"&amp;(X16+$D$47))</f>
        <v>9/31/2026</v>
      </c>
      <c r="Y20" s="721" t="str">
        <f>$B$48&amp;"/"&amp;31&amp;"/"&amp;(Y16+$D$48)</f>
        <v>12/31/2026</v>
      </c>
      <c r="Z20" s="721" t="str">
        <f>$B$45&amp;"/"&amp;31&amp;"/"&amp;(Z16+$D$45)</f>
        <v>3/31/2026</v>
      </c>
      <c r="AA20" s="721" t="str">
        <f>$B$46&amp;"/"&amp;31&amp;"/"&amp;(AA16+$D$46)</f>
        <v>6/31/2026</v>
      </c>
      <c r="AB20" s="722" t="str">
        <f>AA20</f>
        <v>6/31/2026</v>
      </c>
      <c r="AE20" s="680" t="s">
        <v>423</v>
      </c>
    </row>
    <row r="21" spans="1:256" ht="17.649999999999999">
      <c r="A21" s="723" t="s">
        <v>424</v>
      </c>
      <c r="B21" s="724" t="s">
        <v>425</v>
      </c>
      <c r="C21" s="725"/>
      <c r="D21" s="757">
        <f>'Income Statement'!BC28/1000</f>
        <v>182.77699999999999</v>
      </c>
      <c r="E21" s="757">
        <f>'Income Statement'!BD28/1000</f>
        <v>189.38200000000001</v>
      </c>
      <c r="F21" s="757">
        <f>'Income Statement'!BE28/1000</f>
        <v>198.34200000000001</v>
      </c>
      <c r="G21" s="757">
        <f>'Income Statement'!BF28/1000</f>
        <v>208.345</v>
      </c>
      <c r="H21" s="757">
        <f>'Income Statement'!BG28/1000</f>
        <v>778.846</v>
      </c>
      <c r="I21" s="757">
        <f>'Income Statement'!BH28/1000</f>
        <v>218.43899999999999</v>
      </c>
      <c r="J21" s="757">
        <f>'Income Statement'!BI28/1000</f>
        <v>222.88200000000001</v>
      </c>
      <c r="K21" s="757">
        <f>'Income Statement'!BJ28/1000</f>
        <v>230.10499999999999</v>
      </c>
      <c r="L21" s="757">
        <f>'Income Statement'!BK28/1000</f>
        <v>239.06200000000001</v>
      </c>
      <c r="M21" s="757">
        <f>'Income Statement'!BL28/1000</f>
        <v>910.48800000000006</v>
      </c>
      <c r="N21" s="757">
        <f>'Income Statement'!BM28/1000</f>
        <v>247.01</v>
      </c>
      <c r="O21" s="757">
        <f>'Income Statement'!BN28/1000</f>
        <v>252.08600000000001</v>
      </c>
      <c r="P21" s="757">
        <f>'Income Statement'!BO28/1000</f>
        <v>264.18200000000002</v>
      </c>
      <c r="Q21" s="757">
        <f>'Income Statement'!BP28/1000</f>
        <v>278.66000000000003</v>
      </c>
      <c r="R21" s="757">
        <f>'Income Statement'!BQ28/1000</f>
        <v>1041.9380000000001</v>
      </c>
      <c r="S21" s="757">
        <f>'Income Statement'!BR28/1000</f>
        <v>279.70499999999998</v>
      </c>
      <c r="T21" s="757">
        <f>'Income Statement'!BS28/1000</f>
        <v>283.26900000000001</v>
      </c>
      <c r="U21" s="757">
        <f>'Income Statement'!BT28/1000</f>
        <v>285.83199999999999</v>
      </c>
      <c r="V21" s="757">
        <f>'Income Statement'!BU28/1000</f>
        <v>300.28199999999998</v>
      </c>
      <c r="W21" s="757">
        <f>'Income Statement'!BV28/1000</f>
        <v>1149.088</v>
      </c>
      <c r="X21" s="757">
        <f>'Income Statement'!BW28/1000</f>
        <v>299.228409</v>
      </c>
      <c r="Y21" s="757">
        <f>'Income Statement'!BX28/1000</f>
        <v>306.32709660000006</v>
      </c>
      <c r="Z21" s="757">
        <f>'Income Statement'!BY28/1000</f>
        <v>313.72920319999997</v>
      </c>
      <c r="AA21" s="757">
        <f>'Income Statement'!BZ28/1000</f>
        <v>337.3968552</v>
      </c>
      <c r="AB21" s="757">
        <f>'Income Statement'!CA28/1000</f>
        <v>1256.681564</v>
      </c>
      <c r="AE21" s="680" t="s">
        <v>426</v>
      </c>
    </row>
    <row r="22" spans="1:256" ht="17.649999999999999">
      <c r="A22" s="726"/>
      <c r="B22" s="727" t="s">
        <v>376</v>
      </c>
      <c r="C22" s="728"/>
      <c r="D22" s="729" t="e">
        <f ca="1">_xll.BLUEMATRIX2("/servlet/excelData",D21, $C$14,$B21&amp;":"&amp;D$16&amp;D$17&amp;":"&amp;D$19&amp;":"&amp;$B22)</f>
        <v>#NAME?</v>
      </c>
      <c r="E22" s="729" t="e">
        <f ca="1">_xll.BLUEMATRIX2("/servlet/excelData",E21, $C$14,$B21&amp;":"&amp;E$16&amp;E$17&amp;":"&amp;E$19&amp;":"&amp;$B22)</f>
        <v>#NAME?</v>
      </c>
      <c r="F22" s="729" t="e">
        <f ca="1">_xll.BLUEMATRIX2("/servlet/excelData",F21, $C$14,$B21&amp;":"&amp;F$16&amp;F$17&amp;":"&amp;F$19&amp;":"&amp;$B22)</f>
        <v>#NAME?</v>
      </c>
      <c r="G22" s="729" t="e">
        <f ca="1">_xll.BLUEMATRIX2("/servlet/excelData",G21, $C$14,$B21&amp;":"&amp;G$16&amp;G$17&amp;":"&amp;G$19&amp;":"&amp;$B22)</f>
        <v>#NAME?</v>
      </c>
      <c r="H22" s="729" t="e">
        <f ca="1">_xll.BLUEMATRIX2("/servlet/excelData",H21, $C$14,$B21&amp;":"&amp;H$16&amp;H$17&amp;":"&amp;H$19&amp;":"&amp;$B22)</f>
        <v>#NAME?</v>
      </c>
      <c r="I22" s="729" t="e">
        <f ca="1">_xll.BLUEMATRIX2("/servlet/excelData",I21, $C$14,$B21&amp;":"&amp;I$16&amp;I$17&amp;":"&amp;I$19&amp;":"&amp;$B22)</f>
        <v>#NAME?</v>
      </c>
      <c r="J22" s="729" t="e">
        <f ca="1">_xll.BLUEMATRIX2("/servlet/excelData",J21, $C$14,$B21&amp;":"&amp;J$16&amp;J$17&amp;":"&amp;J$19&amp;":"&amp;$B22)</f>
        <v>#NAME?</v>
      </c>
      <c r="K22" s="729" t="e">
        <f ca="1">_xll.BLUEMATRIX2("/servlet/excelData",K21, $C$14,$B21&amp;":"&amp;K$16&amp;K$17&amp;":"&amp;K$19&amp;":"&amp;$B22)</f>
        <v>#NAME?</v>
      </c>
      <c r="L22" s="729" t="e">
        <f ca="1">_xll.BLUEMATRIX2("/servlet/excelData",L21, $C$14,$B21&amp;":"&amp;L$16&amp;L$17&amp;":"&amp;L$19&amp;":"&amp;$B22)</f>
        <v>#NAME?</v>
      </c>
      <c r="M22" s="729" t="e">
        <f ca="1">_xll.BLUEMATRIX2("/servlet/excelData",M21, $C$14,$B21&amp;":"&amp;M$16&amp;M$17&amp;":"&amp;M$19&amp;":"&amp;$B22)</f>
        <v>#NAME?</v>
      </c>
      <c r="N22" s="729" t="e">
        <f ca="1">_xll.BLUEMATRIX2("/servlet/excelData",N21, $C$14,$B21&amp;":"&amp;N$16&amp;N$17&amp;":"&amp;N$19&amp;":"&amp;$B22)</f>
        <v>#NAME?</v>
      </c>
      <c r="O22" s="729" t="e">
        <f ca="1">_xll.BLUEMATRIX2("/servlet/excelData",O21, $C$14,$B21&amp;":"&amp;O$16&amp;O$17&amp;":"&amp;O$19&amp;":"&amp;$B22)</f>
        <v>#NAME?</v>
      </c>
      <c r="P22" s="729" t="e">
        <f ca="1">_xll.BLUEMATRIX2("/servlet/excelData",P21, $C$14,$B21&amp;":"&amp;P$16&amp;P$17&amp;":"&amp;P$19&amp;":"&amp;$B22)</f>
        <v>#NAME?</v>
      </c>
      <c r="Q22" s="729" t="e">
        <f ca="1">_xll.BLUEMATRIX2("/servlet/excelData",Q21, $C$14,$B21&amp;":"&amp;Q$16&amp;Q$17&amp;":"&amp;Q$19&amp;":"&amp;$B22)</f>
        <v>#NAME?</v>
      </c>
      <c r="R22" s="729" t="e">
        <f ca="1">_xll.BLUEMATRIX2("/servlet/excelData",R21, $C$14,$B21&amp;":"&amp;R$16&amp;R$17&amp;":"&amp;R$19&amp;":"&amp;$B22)</f>
        <v>#NAME?</v>
      </c>
      <c r="S22" s="729" t="e">
        <f ca="1">_xll.BLUEMATRIX2("/servlet/excelData",S21, $C$14,$B21&amp;":"&amp;S$16&amp;S$17&amp;":"&amp;S$19&amp;":"&amp;$B22)</f>
        <v>#NAME?</v>
      </c>
      <c r="T22" s="729" t="e">
        <f ca="1">_xll.BLUEMATRIX2("/servlet/excelData",T21, $C$14,$B21&amp;":"&amp;T$16&amp;T$17&amp;":"&amp;T$19&amp;":"&amp;$B22)</f>
        <v>#NAME?</v>
      </c>
      <c r="U22" s="729" t="e">
        <f ca="1">_xll.BLUEMATRIX2("/servlet/excelData",U21, $C$14,$B21&amp;":"&amp;U$16&amp;U$17&amp;":"&amp;U$19&amp;":"&amp;$B22)</f>
        <v>#NAME?</v>
      </c>
      <c r="V22" s="729" t="e">
        <f ca="1">_xll.BLUEMATRIX2("/servlet/excelData",V21, $C$14,$B21&amp;":"&amp;V$16&amp;V$17&amp;":"&amp;V$19&amp;":"&amp;$B22)</f>
        <v>#NAME?</v>
      </c>
      <c r="W22" s="729" t="e">
        <f ca="1">_xll.BLUEMATRIX2("/servlet/excelData",W21, $C$14,$B21&amp;":"&amp;W$16&amp;W$17&amp;":"&amp;W$19&amp;":"&amp;$B22)</f>
        <v>#NAME?</v>
      </c>
      <c r="X22" s="729" t="e">
        <f ca="1">_xll.BLUEMATRIX2("/servlet/excelData",X21, $C$14,$B21&amp;":"&amp;X$16&amp;X$17&amp;":"&amp;X$19&amp;":"&amp;$B22)</f>
        <v>#NAME?</v>
      </c>
      <c r="Y22" s="729" t="e">
        <f ca="1">_xll.BLUEMATRIX2("/servlet/excelData",Y21, $C$14,$B21&amp;":"&amp;Y$16&amp;Y$17&amp;":"&amp;Y$19&amp;":"&amp;$B22)</f>
        <v>#NAME?</v>
      </c>
      <c r="Z22" s="729" t="e">
        <f ca="1">_xll.BLUEMATRIX2("/servlet/excelData",Z21, $C$14,$B21&amp;":"&amp;Z$16&amp;Z$17&amp;":"&amp;Z$19&amp;":"&amp;$B22)</f>
        <v>#NAME?</v>
      </c>
      <c r="AA22" s="729" t="e">
        <f ca="1">_xll.BLUEMATRIX2("/servlet/excelData",AA21, $C$14,$B21&amp;":"&amp;AA$16&amp;AA$17&amp;":"&amp;AA$19&amp;":"&amp;$B22)</f>
        <v>#NAME?</v>
      </c>
      <c r="AB22" s="729" t="e">
        <f ca="1">_xll.BLUEMATRIX2("/servlet/excelData",AB21, $C$14,$B21&amp;":"&amp;AB$16&amp;AB$17&amp;":"&amp;AB$19&amp;":"&amp;$B22)</f>
        <v>#NAME?</v>
      </c>
      <c r="AC22" s="731"/>
      <c r="AD22" s="731"/>
      <c r="AE22" s="680" t="s">
        <v>427</v>
      </c>
      <c r="AF22" s="731"/>
      <c r="AG22" s="731"/>
      <c r="AH22" s="731"/>
      <c r="AI22" s="731"/>
      <c r="AJ22" s="731"/>
      <c r="AK22" s="731"/>
      <c r="AL22" s="731"/>
      <c r="AM22" s="731"/>
      <c r="AN22" s="731"/>
      <c r="AO22" s="731"/>
      <c r="AP22" s="731"/>
      <c r="AQ22" s="731"/>
      <c r="AR22" s="731"/>
      <c r="AS22" s="731"/>
      <c r="AT22" s="731"/>
      <c r="AU22" s="731"/>
      <c r="AV22" s="731"/>
      <c r="AW22" s="731"/>
      <c r="AX22" s="731"/>
      <c r="AY22" s="731"/>
      <c r="AZ22" s="731"/>
      <c r="BA22" s="731"/>
      <c r="BB22" s="731"/>
      <c r="BC22" s="731"/>
      <c r="BD22" s="731"/>
      <c r="BE22" s="731"/>
      <c r="BF22" s="731"/>
      <c r="BG22" s="731"/>
      <c r="BH22" s="731"/>
      <c r="BI22" s="731"/>
      <c r="BJ22" s="731"/>
      <c r="BK22" s="731"/>
      <c r="BL22" s="731"/>
      <c r="BM22" s="731"/>
      <c r="BN22" s="731"/>
      <c r="BO22" s="731"/>
      <c r="BP22" s="731"/>
      <c r="BQ22" s="731"/>
      <c r="BR22" s="731"/>
      <c r="BS22" s="731"/>
      <c r="BT22" s="731"/>
      <c r="BU22" s="731"/>
      <c r="BV22" s="731"/>
      <c r="BW22" s="731"/>
      <c r="BX22" s="731"/>
      <c r="BY22" s="731"/>
      <c r="BZ22" s="731"/>
      <c r="CA22" s="731"/>
      <c r="CB22" s="731"/>
      <c r="CC22" s="731"/>
      <c r="CD22" s="731"/>
      <c r="CE22" s="731"/>
      <c r="CF22" s="731"/>
      <c r="CG22" s="731"/>
      <c r="CH22" s="731"/>
      <c r="CI22" s="731"/>
      <c r="CJ22" s="731"/>
      <c r="CK22" s="731"/>
      <c r="CL22" s="731"/>
      <c r="CM22" s="731"/>
      <c r="CN22" s="731"/>
      <c r="CO22" s="731"/>
      <c r="CP22" s="731"/>
      <c r="CQ22" s="731"/>
      <c r="CR22" s="731"/>
      <c r="CS22" s="731"/>
      <c r="CT22" s="731"/>
      <c r="CU22" s="731"/>
      <c r="CV22" s="731"/>
      <c r="CW22" s="731"/>
      <c r="CX22" s="731"/>
      <c r="CY22" s="731"/>
      <c r="CZ22" s="731"/>
      <c r="DA22" s="731"/>
      <c r="DB22" s="731"/>
      <c r="DC22" s="731"/>
      <c r="DD22" s="731"/>
      <c r="DE22" s="731"/>
      <c r="DF22" s="731"/>
      <c r="DG22" s="731"/>
      <c r="DH22" s="731"/>
      <c r="DI22" s="731"/>
      <c r="DJ22" s="731"/>
      <c r="DK22" s="731"/>
      <c r="DL22" s="731"/>
      <c r="DM22" s="731"/>
      <c r="DN22" s="731"/>
      <c r="DO22" s="731"/>
      <c r="DP22" s="731"/>
      <c r="DQ22" s="731"/>
      <c r="DR22" s="731"/>
      <c r="DS22" s="731"/>
      <c r="DT22" s="731"/>
      <c r="DU22" s="731"/>
      <c r="DV22" s="731"/>
      <c r="DW22" s="731"/>
      <c r="DX22" s="731"/>
      <c r="DY22" s="731"/>
      <c r="DZ22" s="731"/>
      <c r="EA22" s="731"/>
      <c r="EB22" s="731"/>
      <c r="EC22" s="731"/>
      <c r="ED22" s="731"/>
      <c r="EE22" s="731"/>
      <c r="EF22" s="731"/>
      <c r="EG22" s="731"/>
      <c r="EH22" s="731"/>
      <c r="EI22" s="731"/>
      <c r="EJ22" s="731"/>
      <c r="EK22" s="731"/>
      <c r="EL22" s="731"/>
      <c r="EM22" s="731"/>
      <c r="EN22" s="731"/>
      <c r="EO22" s="731"/>
      <c r="EP22" s="731"/>
      <c r="EQ22" s="731"/>
      <c r="ER22" s="731"/>
      <c r="ES22" s="731"/>
      <c r="ET22" s="731"/>
      <c r="EU22" s="731"/>
      <c r="EV22" s="731"/>
      <c r="EW22" s="731"/>
      <c r="EX22" s="731"/>
      <c r="EY22" s="731"/>
      <c r="EZ22" s="731"/>
      <c r="FA22" s="731"/>
      <c r="FB22" s="731"/>
      <c r="FC22" s="731"/>
      <c r="FD22" s="731"/>
      <c r="FE22" s="731"/>
      <c r="FF22" s="731"/>
      <c r="FG22" s="731"/>
      <c r="FH22" s="731"/>
      <c r="FI22" s="731"/>
      <c r="FJ22" s="731"/>
      <c r="FK22" s="731"/>
      <c r="FL22" s="731"/>
      <c r="FM22" s="731"/>
      <c r="FN22" s="731"/>
      <c r="FO22" s="731"/>
      <c r="FP22" s="731"/>
      <c r="FQ22" s="731"/>
      <c r="FR22" s="731"/>
      <c r="FS22" s="731"/>
      <c r="FT22" s="731"/>
      <c r="FU22" s="731"/>
      <c r="FV22" s="731"/>
      <c r="FW22" s="731"/>
      <c r="FX22" s="731"/>
      <c r="FY22" s="731"/>
      <c r="FZ22" s="731"/>
      <c r="GA22" s="731"/>
      <c r="GB22" s="731"/>
      <c r="GC22" s="731"/>
      <c r="GD22" s="731"/>
      <c r="GE22" s="731"/>
      <c r="GF22" s="731"/>
      <c r="GG22" s="731"/>
      <c r="GH22" s="731"/>
      <c r="GI22" s="731"/>
      <c r="GJ22" s="731"/>
      <c r="GK22" s="731"/>
      <c r="GL22" s="731"/>
      <c r="GM22" s="731"/>
      <c r="GN22" s="731"/>
      <c r="GO22" s="731"/>
      <c r="GP22" s="731"/>
      <c r="GQ22" s="731"/>
      <c r="GR22" s="731"/>
      <c r="GS22" s="731"/>
      <c r="GT22" s="731"/>
      <c r="GU22" s="731"/>
      <c r="GV22" s="731"/>
      <c r="GW22" s="731"/>
      <c r="GX22" s="731"/>
      <c r="GY22" s="731"/>
      <c r="GZ22" s="731"/>
      <c r="HA22" s="731"/>
      <c r="HB22" s="731"/>
      <c r="HC22" s="731"/>
      <c r="HD22" s="731"/>
      <c r="HE22" s="731"/>
      <c r="HF22" s="731"/>
      <c r="HG22" s="731"/>
      <c r="HH22" s="731"/>
      <c r="HI22" s="731"/>
      <c r="HJ22" s="731"/>
      <c r="HK22" s="731"/>
      <c r="HL22" s="731"/>
      <c r="HM22" s="731"/>
      <c r="HN22" s="731"/>
      <c r="HO22" s="731"/>
      <c r="HP22" s="731"/>
      <c r="HQ22" s="731"/>
      <c r="HR22" s="731"/>
      <c r="HS22" s="731"/>
      <c r="HT22" s="731"/>
      <c r="HU22" s="731"/>
      <c r="HV22" s="731"/>
      <c r="HW22" s="731"/>
      <c r="HX22" s="731"/>
      <c r="HY22" s="731"/>
      <c r="HZ22" s="731"/>
      <c r="IA22" s="731"/>
      <c r="IB22" s="731"/>
      <c r="IC22" s="731"/>
      <c r="ID22" s="731"/>
      <c r="IE22" s="731"/>
      <c r="IF22" s="731"/>
      <c r="IG22" s="731"/>
      <c r="IH22" s="731"/>
      <c r="II22" s="731"/>
      <c r="IJ22" s="731"/>
      <c r="IK22" s="731"/>
      <c r="IL22" s="731"/>
      <c r="IM22" s="731"/>
      <c r="IN22" s="731"/>
      <c r="IO22" s="731"/>
      <c r="IP22" s="731"/>
      <c r="IQ22" s="731"/>
      <c r="IR22" s="731"/>
      <c r="IS22" s="731"/>
      <c r="IT22" s="731"/>
      <c r="IU22" s="731"/>
      <c r="IV22" s="731"/>
    </row>
    <row r="23" spans="1:256" ht="17.649999999999999">
      <c r="A23" s="732" t="s">
        <v>15</v>
      </c>
      <c r="B23" s="733" t="s">
        <v>15</v>
      </c>
      <c r="C23" s="734"/>
      <c r="D23" s="735">
        <f>'Income Statement'!BC98</f>
        <v>0.2211373830849995</v>
      </c>
      <c r="E23" s="735">
        <f>'Income Statement'!BD98</f>
        <v>0.34186795717682145</v>
      </c>
      <c r="F23" s="735">
        <f>'Income Statement'!BE98</f>
        <v>0.38958021304293056</v>
      </c>
      <c r="G23" s="735">
        <f>'Income Statement'!BF98</f>
        <v>0.54457134070481006</v>
      </c>
      <c r="H23" s="735">
        <f>'Income Statement'!BG98</f>
        <v>1.499206271160249</v>
      </c>
      <c r="I23" s="735">
        <f>'Income Statement'!BH98</f>
        <v>0.40709249274160098</v>
      </c>
      <c r="J23" s="735">
        <f>'Income Statement'!BI98</f>
        <v>0.51502754820936636</v>
      </c>
      <c r="K23" s="735">
        <f>'Income Statement'!BJ98</f>
        <v>0.51928864569083444</v>
      </c>
      <c r="L23" s="735">
        <f>'Income Statement'!BK98</f>
        <v>0.61091007657382934</v>
      </c>
      <c r="M23" s="735">
        <f>'Income Statement'!BL98</f>
        <v>2.0543426485958571</v>
      </c>
      <c r="N23" s="735">
        <f>'Income Statement'!BM98</f>
        <v>0.4803505187893124</v>
      </c>
      <c r="O23" s="735">
        <f>'Income Statement'!BN98</f>
        <v>0.52077109595831039</v>
      </c>
      <c r="P23" s="735">
        <f>'Income Statement'!BO98</f>
        <v>0.6715865685348098</v>
      </c>
      <c r="Q23" s="735">
        <f>'Income Statement'!BP98</f>
        <v>0.79278674719404207</v>
      </c>
      <c r="R23" s="735">
        <f>'Income Statement'!BQ98</f>
        <v>2.4694740278559699</v>
      </c>
      <c r="S23" s="735">
        <f>'Income Statement'!BR98</f>
        <v>0.6177817797439612</v>
      </c>
      <c r="T23" s="735">
        <f>'Income Statement'!BS98</f>
        <v>0.75758915222506795</v>
      </c>
      <c r="U23" s="735">
        <f>'Income Statement'!BT98</f>
        <v>0.77814157133135597</v>
      </c>
      <c r="V23" s="735">
        <f>'Income Statement'!BU98</f>
        <v>0.80433886426878287</v>
      </c>
      <c r="W23" s="735">
        <f>'Income Statement'!BV98</f>
        <v>2.9593826341589686</v>
      </c>
      <c r="X23" s="735">
        <f>'Income Statement'!BW98</f>
        <v>0.6767494331063435</v>
      </c>
      <c r="Y23" s="735">
        <f>'Income Statement'!BX98</f>
        <v>0.74494445552248689</v>
      </c>
      <c r="Z23" s="735">
        <f>'Income Statement'!BY98</f>
        <v>0.81449169202770311</v>
      </c>
      <c r="AA23" s="735">
        <f>'Income Statement'!BZ98</f>
        <v>0.94258658738068934</v>
      </c>
      <c r="AB23" s="735">
        <f>'Income Statement'!CA98</f>
        <v>3.1815204079493866</v>
      </c>
      <c r="AE23" s="680" t="s">
        <v>428</v>
      </c>
    </row>
    <row r="24" spans="1:256" ht="17.649999999999999">
      <c r="A24" s="736"/>
      <c r="B24" s="737" t="s">
        <v>390</v>
      </c>
      <c r="C24" s="738"/>
      <c r="D24" s="739" t="e">
        <f ca="1">_xll.BLUEMATRIX2("/servlet/excelData",D23, $C$14,$B23&amp;":"&amp;D$16&amp;D$17&amp;":"&amp;D$19&amp;":"&amp;$B24)</f>
        <v>#NAME?</v>
      </c>
      <c r="E24" s="739" t="e">
        <f ca="1">_xll.BLUEMATRIX2("/servlet/excelData",E23, $C$14,$B23&amp;":"&amp;E$16&amp;E$17&amp;":"&amp;E$19&amp;":"&amp;$B24)</f>
        <v>#NAME?</v>
      </c>
      <c r="F24" s="739" t="e">
        <f ca="1">_xll.BLUEMATRIX2("/servlet/excelData",F23, $C$14,$B23&amp;":"&amp;F$16&amp;F$17&amp;":"&amp;F$19&amp;":"&amp;$B24)</f>
        <v>#NAME?</v>
      </c>
      <c r="G24" s="739" t="e">
        <f ca="1">_xll.BLUEMATRIX2("/servlet/excelData",G23, $C$14,$B23&amp;":"&amp;G$16&amp;G$17&amp;":"&amp;G$19&amp;":"&amp;$B24)</f>
        <v>#NAME?</v>
      </c>
      <c r="H24" s="739" t="e">
        <f ca="1">_xll.BLUEMATRIX2("/servlet/excelData",H23, $C$14,$B23&amp;":"&amp;H$16&amp;H$17&amp;":"&amp;H$19&amp;":"&amp;$B24)</f>
        <v>#NAME?</v>
      </c>
      <c r="I24" s="739" t="e">
        <f ca="1">_xll.BLUEMATRIX2("/servlet/excelData",I23, $C$14,$B23&amp;":"&amp;I$16&amp;I$17&amp;":"&amp;I$19&amp;":"&amp;$B24)</f>
        <v>#NAME?</v>
      </c>
      <c r="J24" s="739" t="e">
        <f ca="1">_xll.BLUEMATRIX2("/servlet/excelData",J23, $C$14,$B23&amp;":"&amp;J$16&amp;J$17&amp;":"&amp;J$19&amp;":"&amp;$B24)</f>
        <v>#NAME?</v>
      </c>
      <c r="K24" s="739" t="e">
        <f ca="1">_xll.BLUEMATRIX2("/servlet/excelData",K23, $C$14,$B23&amp;":"&amp;K$16&amp;K$17&amp;":"&amp;K$19&amp;":"&amp;$B24)</f>
        <v>#NAME?</v>
      </c>
      <c r="L24" s="739" t="e">
        <f ca="1">_xll.BLUEMATRIX2("/servlet/excelData",L23, $C$14,$B23&amp;":"&amp;L$16&amp;L$17&amp;":"&amp;L$19&amp;":"&amp;$B24)</f>
        <v>#NAME?</v>
      </c>
      <c r="M24" s="739" t="e">
        <f ca="1">_xll.BLUEMATRIX2("/servlet/excelData",M23, $C$14,$B23&amp;":"&amp;M$16&amp;M$17&amp;":"&amp;M$19&amp;":"&amp;$B24)</f>
        <v>#NAME?</v>
      </c>
      <c r="N24" s="739" t="e">
        <f ca="1">_xll.BLUEMATRIX2("/servlet/excelData",N23, $C$14,$B23&amp;":"&amp;N$16&amp;N$17&amp;":"&amp;N$19&amp;":"&amp;$B24)</f>
        <v>#NAME?</v>
      </c>
      <c r="O24" s="739" t="e">
        <f ca="1">_xll.BLUEMATRIX2("/servlet/excelData",O23, $C$14,$B23&amp;":"&amp;O$16&amp;O$17&amp;":"&amp;O$19&amp;":"&amp;$B24)</f>
        <v>#NAME?</v>
      </c>
      <c r="P24" s="739" t="e">
        <f ca="1">_xll.BLUEMATRIX2("/servlet/excelData",P23, $C$14,$B23&amp;":"&amp;P$16&amp;P$17&amp;":"&amp;P$19&amp;":"&amp;$B24)</f>
        <v>#NAME?</v>
      </c>
      <c r="Q24" s="739" t="e">
        <f ca="1">_xll.BLUEMATRIX2("/servlet/excelData",Q23, $C$14,$B23&amp;":"&amp;Q$16&amp;Q$17&amp;":"&amp;Q$19&amp;":"&amp;$B24)</f>
        <v>#NAME?</v>
      </c>
      <c r="R24" s="739" t="e">
        <f ca="1">_xll.BLUEMATRIX2("/servlet/excelData",R23, $C$14,$B23&amp;":"&amp;R$16&amp;R$17&amp;":"&amp;R$19&amp;":"&amp;$B24)</f>
        <v>#NAME?</v>
      </c>
      <c r="S24" s="739" t="e">
        <f ca="1">_xll.BLUEMATRIX2("/servlet/excelData",S23, $C$14,$B23&amp;":"&amp;S$16&amp;S$17&amp;":"&amp;S$19&amp;":"&amp;$B24)</f>
        <v>#NAME?</v>
      </c>
      <c r="T24" s="739" t="e">
        <f ca="1">_xll.BLUEMATRIX2("/servlet/excelData",T23, $C$14,$B23&amp;":"&amp;T$16&amp;T$17&amp;":"&amp;T$19&amp;":"&amp;$B24)</f>
        <v>#NAME?</v>
      </c>
      <c r="U24" s="739" t="e">
        <f ca="1">_xll.BLUEMATRIX2("/servlet/excelData",U23, $C$14,$B23&amp;":"&amp;U$16&amp;U$17&amp;":"&amp;U$19&amp;":"&amp;$B24)</f>
        <v>#NAME?</v>
      </c>
      <c r="V24" s="739" t="e">
        <f ca="1">_xll.BLUEMATRIX2("/servlet/excelData",V23, $C$14,$B23&amp;":"&amp;V$16&amp;V$17&amp;":"&amp;V$19&amp;":"&amp;$B24)</f>
        <v>#NAME?</v>
      </c>
      <c r="W24" s="739" t="e">
        <f ca="1">_xll.BLUEMATRIX2("/servlet/excelData",W23, $C$14,$B23&amp;":"&amp;W$16&amp;W$17&amp;":"&amp;W$19&amp;":"&amp;$B24)</f>
        <v>#NAME?</v>
      </c>
      <c r="X24" s="739" t="e">
        <f ca="1">_xll.BLUEMATRIX2("/servlet/excelData",X23, $C$14,$B23&amp;":"&amp;X$16&amp;X$17&amp;":"&amp;X$19&amp;":"&amp;$B24)</f>
        <v>#NAME?</v>
      </c>
      <c r="Y24" s="739" t="e">
        <f ca="1">_xll.BLUEMATRIX2("/servlet/excelData",Y23, $C$14,$B23&amp;":"&amp;Y$16&amp;Y$17&amp;":"&amp;Y$19&amp;":"&amp;$B24)</f>
        <v>#NAME?</v>
      </c>
      <c r="Z24" s="739" t="e">
        <f ca="1">_xll.BLUEMATRIX2("/servlet/excelData",Z23, $C$14,$B23&amp;":"&amp;Z$16&amp;Z$17&amp;":"&amp;Z$19&amp;":"&amp;$B24)</f>
        <v>#NAME?</v>
      </c>
      <c r="AA24" s="739" t="e">
        <f ca="1">_xll.BLUEMATRIX2("/servlet/excelData",AA23, $C$14,$B23&amp;":"&amp;AA$16&amp;AA$17&amp;":"&amp;AA$19&amp;":"&amp;$B24)</f>
        <v>#NAME?</v>
      </c>
      <c r="AB24" s="739" t="e">
        <f ca="1">_xll.BLUEMATRIX2("/servlet/excelData",AB23, $C$14,$B23&amp;":"&amp;AB$16&amp;AB$17&amp;":"&amp;AB$19&amp;":"&amp;$B24)</f>
        <v>#NAME?</v>
      </c>
      <c r="AC24" s="731"/>
      <c r="AD24" s="731"/>
      <c r="AE24" s="680" t="s">
        <v>429</v>
      </c>
      <c r="AF24" s="731"/>
      <c r="AG24" s="731"/>
      <c r="AH24" s="731"/>
      <c r="AI24" s="731"/>
      <c r="AJ24" s="731"/>
      <c r="AK24" s="731"/>
      <c r="AL24" s="731"/>
      <c r="AM24" s="731"/>
      <c r="AN24" s="731"/>
      <c r="AO24" s="731"/>
      <c r="AP24" s="731"/>
      <c r="AQ24" s="731"/>
      <c r="AR24" s="731"/>
      <c r="AS24" s="731"/>
      <c r="AT24" s="731"/>
      <c r="AU24" s="731"/>
      <c r="AV24" s="731"/>
      <c r="AW24" s="731"/>
      <c r="AX24" s="731"/>
      <c r="AY24" s="731"/>
      <c r="AZ24" s="731"/>
      <c r="BA24" s="731"/>
      <c r="BB24" s="731"/>
      <c r="BC24" s="731"/>
      <c r="BD24" s="731"/>
      <c r="BE24" s="731"/>
      <c r="BF24" s="731"/>
      <c r="BG24" s="731"/>
      <c r="BH24" s="731"/>
      <c r="BI24" s="731"/>
      <c r="BJ24" s="731"/>
      <c r="BK24" s="731"/>
      <c r="BL24" s="731"/>
      <c r="BM24" s="731"/>
      <c r="BN24" s="731"/>
      <c r="BO24" s="731"/>
      <c r="BP24" s="731"/>
      <c r="BQ24" s="731"/>
      <c r="BR24" s="731"/>
      <c r="BS24" s="731"/>
      <c r="BT24" s="731"/>
      <c r="BU24" s="731"/>
      <c r="BV24" s="731"/>
      <c r="BW24" s="731"/>
      <c r="BX24" s="731"/>
      <c r="BY24" s="731"/>
      <c r="BZ24" s="731"/>
      <c r="CA24" s="731"/>
      <c r="CB24" s="731"/>
      <c r="CC24" s="731"/>
      <c r="CD24" s="731"/>
      <c r="CE24" s="731"/>
      <c r="CF24" s="731"/>
      <c r="CG24" s="731"/>
      <c r="CH24" s="731"/>
      <c r="CI24" s="731"/>
      <c r="CJ24" s="731"/>
      <c r="CK24" s="731"/>
      <c r="CL24" s="731"/>
      <c r="CM24" s="731"/>
      <c r="CN24" s="731"/>
      <c r="CO24" s="731"/>
      <c r="CP24" s="731"/>
      <c r="CQ24" s="731"/>
      <c r="CR24" s="731"/>
      <c r="CS24" s="731"/>
      <c r="CT24" s="731"/>
      <c r="CU24" s="731"/>
      <c r="CV24" s="731"/>
      <c r="CW24" s="731"/>
      <c r="CX24" s="731"/>
      <c r="CY24" s="731"/>
      <c r="CZ24" s="731"/>
      <c r="DA24" s="731"/>
      <c r="DB24" s="731"/>
      <c r="DC24" s="731"/>
      <c r="DD24" s="731"/>
      <c r="DE24" s="731"/>
      <c r="DF24" s="731"/>
      <c r="DG24" s="731"/>
      <c r="DH24" s="731"/>
      <c r="DI24" s="731"/>
      <c r="DJ24" s="731"/>
      <c r="DK24" s="731"/>
      <c r="DL24" s="731"/>
      <c r="DM24" s="731"/>
      <c r="DN24" s="731"/>
      <c r="DO24" s="731"/>
      <c r="DP24" s="731"/>
      <c r="DQ24" s="731"/>
      <c r="DR24" s="731"/>
      <c r="DS24" s="731"/>
      <c r="DT24" s="731"/>
      <c r="DU24" s="731"/>
      <c r="DV24" s="731"/>
      <c r="DW24" s="731"/>
      <c r="DX24" s="731"/>
      <c r="DY24" s="731"/>
      <c r="DZ24" s="731"/>
      <c r="EA24" s="731"/>
      <c r="EB24" s="731"/>
      <c r="EC24" s="731"/>
      <c r="ED24" s="731"/>
      <c r="EE24" s="731"/>
      <c r="EF24" s="731"/>
      <c r="EG24" s="731"/>
      <c r="EH24" s="731"/>
      <c r="EI24" s="731"/>
      <c r="EJ24" s="731"/>
      <c r="EK24" s="731"/>
      <c r="EL24" s="731"/>
      <c r="EM24" s="731"/>
      <c r="EN24" s="731"/>
      <c r="EO24" s="731"/>
      <c r="EP24" s="731"/>
      <c r="EQ24" s="731"/>
      <c r="ER24" s="731"/>
      <c r="ES24" s="731"/>
      <c r="ET24" s="731"/>
      <c r="EU24" s="731"/>
      <c r="EV24" s="731"/>
      <c r="EW24" s="731"/>
      <c r="EX24" s="731"/>
      <c r="EY24" s="731"/>
      <c r="EZ24" s="731"/>
      <c r="FA24" s="731"/>
      <c r="FB24" s="731"/>
      <c r="FC24" s="731"/>
      <c r="FD24" s="731"/>
      <c r="FE24" s="731"/>
      <c r="FF24" s="731"/>
      <c r="FG24" s="731"/>
      <c r="FH24" s="731"/>
      <c r="FI24" s="731"/>
      <c r="FJ24" s="731"/>
      <c r="FK24" s="731"/>
      <c r="FL24" s="731"/>
      <c r="FM24" s="731"/>
      <c r="FN24" s="731"/>
      <c r="FO24" s="731"/>
      <c r="FP24" s="731"/>
      <c r="FQ24" s="731"/>
      <c r="FR24" s="731"/>
      <c r="FS24" s="731"/>
      <c r="FT24" s="731"/>
      <c r="FU24" s="731"/>
      <c r="FV24" s="731"/>
      <c r="FW24" s="731"/>
      <c r="FX24" s="731"/>
      <c r="FY24" s="731"/>
      <c r="FZ24" s="731"/>
      <c r="GA24" s="731"/>
      <c r="GB24" s="731"/>
      <c r="GC24" s="731"/>
      <c r="GD24" s="731"/>
      <c r="GE24" s="731"/>
      <c r="GF24" s="731"/>
      <c r="GG24" s="731"/>
      <c r="GH24" s="731"/>
      <c r="GI24" s="731"/>
      <c r="GJ24" s="731"/>
      <c r="GK24" s="731"/>
      <c r="GL24" s="731"/>
      <c r="GM24" s="731"/>
      <c r="GN24" s="731"/>
      <c r="GO24" s="731"/>
      <c r="GP24" s="731"/>
      <c r="GQ24" s="731"/>
      <c r="GR24" s="731"/>
      <c r="GS24" s="731"/>
      <c r="GT24" s="731"/>
      <c r="GU24" s="731"/>
      <c r="GV24" s="731"/>
      <c r="GW24" s="731"/>
      <c r="GX24" s="731"/>
      <c r="GY24" s="731"/>
      <c r="GZ24" s="731"/>
      <c r="HA24" s="731"/>
      <c r="HB24" s="731"/>
      <c r="HC24" s="731"/>
      <c r="HD24" s="731"/>
      <c r="HE24" s="731"/>
      <c r="HF24" s="731"/>
      <c r="HG24" s="731"/>
      <c r="HH24" s="731"/>
      <c r="HI24" s="731"/>
      <c r="HJ24" s="731"/>
      <c r="HK24" s="731"/>
      <c r="HL24" s="731"/>
      <c r="HM24" s="731"/>
      <c r="HN24" s="731"/>
      <c r="HO24" s="731"/>
      <c r="HP24" s="731"/>
      <c r="HQ24" s="731"/>
      <c r="HR24" s="731"/>
      <c r="HS24" s="731"/>
      <c r="HT24" s="731"/>
      <c r="HU24" s="731"/>
      <c r="HV24" s="731"/>
      <c r="HW24" s="731"/>
      <c r="HX24" s="731"/>
      <c r="HY24" s="731"/>
      <c r="HZ24" s="731"/>
      <c r="IA24" s="731"/>
      <c r="IB24" s="731"/>
      <c r="IC24" s="731"/>
      <c r="ID24" s="731"/>
      <c r="IE24" s="731"/>
      <c r="IF24" s="731"/>
      <c r="IG24" s="731"/>
      <c r="IH24" s="731"/>
      <c r="II24" s="731"/>
      <c r="IJ24" s="731"/>
      <c r="IK24" s="731"/>
      <c r="IL24" s="731"/>
      <c r="IM24" s="731"/>
      <c r="IN24" s="731"/>
      <c r="IO24" s="731"/>
      <c r="IP24" s="731"/>
      <c r="IQ24" s="731"/>
      <c r="IR24" s="731"/>
      <c r="IS24" s="731"/>
      <c r="IT24" s="731"/>
      <c r="IU24" s="731"/>
      <c r="IV24" s="731"/>
    </row>
    <row r="25" spans="1:256">
      <c r="A25" s="741" t="s">
        <v>6</v>
      </c>
      <c r="B25" s="724" t="s">
        <v>6</v>
      </c>
      <c r="C25" s="725"/>
      <c r="D25" s="742"/>
      <c r="E25" s="742"/>
      <c r="F25" s="742"/>
      <c r="G25" s="742"/>
      <c r="H25" s="742"/>
      <c r="I25" s="742"/>
      <c r="J25" s="742"/>
      <c r="K25" s="742"/>
      <c r="L25" s="742"/>
      <c r="M25" s="742"/>
      <c r="N25" s="742"/>
      <c r="O25" s="742"/>
      <c r="P25" s="742"/>
      <c r="Q25" s="742"/>
      <c r="R25" s="742"/>
      <c r="S25" s="742"/>
      <c r="T25" s="742"/>
      <c r="U25" s="742"/>
      <c r="V25" s="742"/>
      <c r="W25" s="742"/>
      <c r="X25" s="742"/>
      <c r="Y25" s="742"/>
      <c r="Z25" s="742"/>
      <c r="AA25" s="742"/>
      <c r="AB25" s="742"/>
      <c r="AE25" s="680" t="s">
        <v>430</v>
      </c>
    </row>
    <row r="26" spans="1:256">
      <c r="A26" s="745"/>
      <c r="B26" s="727"/>
      <c r="C26" s="728"/>
      <c r="D26" s="746" t="e">
        <f ca="1">_xll.BLUEMATRIX2("/servlet/excelData",D25, $C$14,$B25&amp;":"&amp;D$16&amp;D$17&amp;":"&amp;D$19&amp;":"&amp;$B26)</f>
        <v>#NAME?</v>
      </c>
      <c r="E26" s="746" t="e">
        <f ca="1">_xll.BLUEMATRIX2("/servlet/excelData",E25, $C$14,$B25&amp;":"&amp;E$16&amp;E$17&amp;":"&amp;E$19&amp;":"&amp;$B26)</f>
        <v>#NAME?</v>
      </c>
      <c r="F26" s="746" t="e">
        <f ca="1">_xll.BLUEMATRIX2("/servlet/excelData",F25, $C$14,$B25&amp;":"&amp;F$16&amp;F$17&amp;":"&amp;F$19&amp;":"&amp;$B26)</f>
        <v>#NAME?</v>
      </c>
      <c r="G26" s="746" t="e">
        <f ca="1">_xll.BLUEMATRIX2("/servlet/excelData",G25, $C$14,$B25&amp;":"&amp;G$16&amp;G$17&amp;":"&amp;G$19&amp;":"&amp;$B26)</f>
        <v>#NAME?</v>
      </c>
      <c r="H26" s="746" t="e">
        <f ca="1">_xll.BLUEMATRIX2("/servlet/excelData",H25, $C$14,$B25&amp;":"&amp;H$16&amp;H$17&amp;":"&amp;H$19&amp;":"&amp;$B26)</f>
        <v>#NAME?</v>
      </c>
      <c r="I26" s="746" t="e">
        <f ca="1">_xll.BLUEMATRIX2("/servlet/excelData",I25, $C$14,$B25&amp;":"&amp;I$16&amp;I$17&amp;":"&amp;I$19&amp;":"&amp;$B26)</f>
        <v>#NAME?</v>
      </c>
      <c r="J26" s="746" t="e">
        <f ca="1">_xll.BLUEMATRIX2("/servlet/excelData",J25, $C$14,$B25&amp;":"&amp;J$16&amp;J$17&amp;":"&amp;J$19&amp;":"&amp;$B26)</f>
        <v>#NAME?</v>
      </c>
      <c r="K26" s="746" t="e">
        <f ca="1">_xll.BLUEMATRIX2("/servlet/excelData",K25, $C$14,$B25&amp;":"&amp;K$16&amp;K$17&amp;":"&amp;K$19&amp;":"&amp;$B26)</f>
        <v>#NAME?</v>
      </c>
      <c r="L26" s="746" t="e">
        <f ca="1">_xll.BLUEMATRIX2("/servlet/excelData",L25, $C$14,$B25&amp;":"&amp;L$16&amp;L$17&amp;":"&amp;L$19&amp;":"&amp;$B26)</f>
        <v>#NAME?</v>
      </c>
      <c r="M26" s="746" t="e">
        <f ca="1">_xll.BLUEMATRIX2("/servlet/excelData",M25, $C$14,$B25&amp;":"&amp;M$16&amp;M$17&amp;":"&amp;M$19&amp;":"&amp;$B26)</f>
        <v>#NAME?</v>
      </c>
      <c r="N26" s="746" t="e">
        <f ca="1">_xll.BLUEMATRIX2("/servlet/excelData",N25, $C$14,$B25&amp;":"&amp;N$16&amp;N$17&amp;":"&amp;N$19&amp;":"&amp;$B26)</f>
        <v>#NAME?</v>
      </c>
      <c r="O26" s="746" t="e">
        <f ca="1">_xll.BLUEMATRIX2("/servlet/excelData",O25, $C$14,$B25&amp;":"&amp;O$16&amp;O$17&amp;":"&amp;O$19&amp;":"&amp;$B26)</f>
        <v>#NAME?</v>
      </c>
      <c r="P26" s="746" t="e">
        <f ca="1">_xll.BLUEMATRIX2("/servlet/excelData",P25, $C$14,$B25&amp;":"&amp;P$16&amp;P$17&amp;":"&amp;P$19&amp;":"&amp;$B26)</f>
        <v>#NAME?</v>
      </c>
      <c r="Q26" s="746" t="e">
        <f ca="1">_xll.BLUEMATRIX2("/servlet/excelData",Q25, $C$14,$B25&amp;":"&amp;Q$16&amp;Q$17&amp;":"&amp;Q$19&amp;":"&amp;$B26)</f>
        <v>#NAME?</v>
      </c>
      <c r="R26" s="746" t="e">
        <f ca="1">_xll.BLUEMATRIX2("/servlet/excelData",R25, $C$14,$B25&amp;":"&amp;R$16&amp;R$17&amp;":"&amp;R$19&amp;":"&amp;$B26)</f>
        <v>#NAME?</v>
      </c>
      <c r="S26" s="746" t="e">
        <f ca="1">_xll.BLUEMATRIX2("/servlet/excelData",S25, $C$14,$B25&amp;":"&amp;S$16&amp;S$17&amp;":"&amp;S$19&amp;":"&amp;$B26)</f>
        <v>#NAME?</v>
      </c>
      <c r="T26" s="746" t="e">
        <f ca="1">_xll.BLUEMATRIX2("/servlet/excelData",T25, $C$14,$B25&amp;":"&amp;T$16&amp;T$17&amp;":"&amp;T$19&amp;":"&amp;$B26)</f>
        <v>#NAME?</v>
      </c>
      <c r="U26" s="746" t="e">
        <f ca="1">_xll.BLUEMATRIX2("/servlet/excelData",U25, $C$14,$B25&amp;":"&amp;U$16&amp;U$17&amp;":"&amp;U$19&amp;":"&amp;$B26)</f>
        <v>#NAME?</v>
      </c>
      <c r="V26" s="746" t="e">
        <f ca="1">_xll.BLUEMATRIX2("/servlet/excelData",V25, $C$14,$B25&amp;":"&amp;V$16&amp;V$17&amp;":"&amp;V$19&amp;":"&amp;$B26)</f>
        <v>#NAME?</v>
      </c>
      <c r="W26" s="746" t="e">
        <f ca="1">_xll.BLUEMATRIX2("/servlet/excelData",W25, $C$14,$B25&amp;":"&amp;W$16&amp;W$17&amp;":"&amp;W$19&amp;":"&amp;$B26)</f>
        <v>#NAME?</v>
      </c>
      <c r="X26" s="746" t="e">
        <f ca="1">_xll.BLUEMATRIX2("/servlet/excelData",X25, $C$14,$B25&amp;":"&amp;X$16&amp;X$17&amp;":"&amp;X$19&amp;":"&amp;$B26)</f>
        <v>#NAME?</v>
      </c>
      <c r="Y26" s="746" t="e">
        <f ca="1">_xll.BLUEMATRIX2("/servlet/excelData",Y25, $C$14,$B25&amp;":"&amp;Y$16&amp;Y$17&amp;":"&amp;Y$19&amp;":"&amp;$B26)</f>
        <v>#NAME?</v>
      </c>
      <c r="Z26" s="746" t="e">
        <f ca="1">_xll.BLUEMATRIX2("/servlet/excelData",Z25, $C$14,$B25&amp;":"&amp;Z$16&amp;Z$17&amp;":"&amp;Z$19&amp;":"&amp;$B26)</f>
        <v>#NAME?</v>
      </c>
      <c r="AA26" s="746" t="e">
        <f ca="1">_xll.BLUEMATRIX2("/servlet/excelData",AA25, $C$14,$B25&amp;":"&amp;AA$16&amp;AA$17&amp;":"&amp;AA$19&amp;":"&amp;$B26)</f>
        <v>#NAME?</v>
      </c>
      <c r="AB26" s="746" t="e">
        <f ca="1">_xll.BLUEMATRIX2("/servlet/excelData",AB25, $C$14,$B25&amp;":"&amp;AB$16&amp;AB$17&amp;":"&amp;AB$19&amp;":"&amp;$B26)</f>
        <v>#NAME?</v>
      </c>
      <c r="AC26" s="731"/>
      <c r="AD26" s="731"/>
      <c r="AE26" s="680" t="s">
        <v>431</v>
      </c>
      <c r="AF26" s="731"/>
      <c r="AG26" s="731"/>
      <c r="AH26" s="731"/>
      <c r="AI26" s="731"/>
      <c r="AJ26" s="731"/>
      <c r="AK26" s="731"/>
      <c r="AL26" s="731"/>
      <c r="AM26" s="731"/>
      <c r="AN26" s="731"/>
      <c r="AO26" s="731"/>
      <c r="AP26" s="731"/>
      <c r="AQ26" s="731"/>
      <c r="AR26" s="731"/>
      <c r="AS26" s="731"/>
      <c r="AT26" s="731"/>
      <c r="AU26" s="731"/>
      <c r="AV26" s="731"/>
      <c r="AW26" s="731"/>
      <c r="AX26" s="731"/>
      <c r="AY26" s="731"/>
      <c r="AZ26" s="731"/>
      <c r="BA26" s="731"/>
      <c r="BB26" s="731"/>
      <c r="BC26" s="731"/>
      <c r="BD26" s="731"/>
      <c r="BE26" s="731"/>
      <c r="BF26" s="731"/>
      <c r="BG26" s="731"/>
      <c r="BH26" s="731"/>
      <c r="BI26" s="731"/>
      <c r="BJ26" s="731"/>
      <c r="BK26" s="731"/>
      <c r="BL26" s="731"/>
      <c r="BM26" s="731"/>
      <c r="BN26" s="731"/>
      <c r="BO26" s="731"/>
      <c r="BP26" s="731"/>
      <c r="BQ26" s="731"/>
      <c r="BR26" s="731"/>
      <c r="BS26" s="731"/>
      <c r="BT26" s="731"/>
      <c r="BU26" s="731"/>
      <c r="BV26" s="731"/>
      <c r="BW26" s="731"/>
      <c r="BX26" s="731"/>
      <c r="BY26" s="731"/>
      <c r="BZ26" s="731"/>
      <c r="CA26" s="731"/>
      <c r="CB26" s="731"/>
      <c r="CC26" s="731"/>
      <c r="CD26" s="731"/>
      <c r="CE26" s="731"/>
      <c r="CF26" s="731"/>
      <c r="CG26" s="731"/>
      <c r="CH26" s="731"/>
      <c r="CI26" s="731"/>
      <c r="CJ26" s="731"/>
      <c r="CK26" s="731"/>
      <c r="CL26" s="731"/>
      <c r="CM26" s="731"/>
      <c r="CN26" s="731"/>
      <c r="CO26" s="731"/>
      <c r="CP26" s="731"/>
      <c r="CQ26" s="731"/>
      <c r="CR26" s="731"/>
      <c r="CS26" s="731"/>
      <c r="CT26" s="731"/>
      <c r="CU26" s="731"/>
      <c r="CV26" s="731"/>
      <c r="CW26" s="731"/>
      <c r="CX26" s="731"/>
      <c r="CY26" s="731"/>
      <c r="CZ26" s="731"/>
      <c r="DA26" s="731"/>
      <c r="DB26" s="731"/>
      <c r="DC26" s="731"/>
      <c r="DD26" s="731"/>
      <c r="DE26" s="731"/>
      <c r="DF26" s="731"/>
      <c r="DG26" s="731"/>
      <c r="DH26" s="731"/>
      <c r="DI26" s="731"/>
      <c r="DJ26" s="731"/>
      <c r="DK26" s="731"/>
      <c r="DL26" s="731"/>
      <c r="DM26" s="731"/>
      <c r="DN26" s="731"/>
      <c r="DO26" s="731"/>
      <c r="DP26" s="731"/>
      <c r="DQ26" s="731"/>
      <c r="DR26" s="731"/>
      <c r="DS26" s="731"/>
      <c r="DT26" s="731"/>
      <c r="DU26" s="731"/>
      <c r="DV26" s="731"/>
      <c r="DW26" s="731"/>
      <c r="DX26" s="731"/>
      <c r="DY26" s="731"/>
      <c r="DZ26" s="731"/>
      <c r="EA26" s="731"/>
      <c r="EB26" s="731"/>
      <c r="EC26" s="731"/>
      <c r="ED26" s="731"/>
      <c r="EE26" s="731"/>
      <c r="EF26" s="731"/>
      <c r="EG26" s="731"/>
      <c r="EH26" s="731"/>
      <c r="EI26" s="731"/>
      <c r="EJ26" s="731"/>
      <c r="EK26" s="731"/>
      <c r="EL26" s="731"/>
      <c r="EM26" s="731"/>
      <c r="EN26" s="731"/>
      <c r="EO26" s="731"/>
      <c r="EP26" s="731"/>
      <c r="EQ26" s="731"/>
      <c r="ER26" s="731"/>
      <c r="ES26" s="731"/>
      <c r="ET26" s="731"/>
      <c r="EU26" s="731"/>
      <c r="EV26" s="731"/>
      <c r="EW26" s="731"/>
      <c r="EX26" s="731"/>
      <c r="EY26" s="731"/>
      <c r="EZ26" s="731"/>
      <c r="FA26" s="731"/>
      <c r="FB26" s="731"/>
      <c r="FC26" s="731"/>
      <c r="FD26" s="731"/>
      <c r="FE26" s="731"/>
      <c r="FF26" s="731"/>
      <c r="FG26" s="731"/>
      <c r="FH26" s="731"/>
      <c r="FI26" s="731"/>
      <c r="FJ26" s="731"/>
      <c r="FK26" s="731"/>
      <c r="FL26" s="731"/>
      <c r="FM26" s="731"/>
      <c r="FN26" s="731"/>
      <c r="FO26" s="731"/>
      <c r="FP26" s="731"/>
      <c r="FQ26" s="731"/>
      <c r="FR26" s="731"/>
      <c r="FS26" s="731"/>
      <c r="FT26" s="731"/>
      <c r="FU26" s="731"/>
      <c r="FV26" s="731"/>
      <c r="FW26" s="731"/>
      <c r="FX26" s="731"/>
      <c r="FY26" s="731"/>
      <c r="FZ26" s="731"/>
      <c r="GA26" s="731"/>
      <c r="GB26" s="731"/>
      <c r="GC26" s="731"/>
      <c r="GD26" s="731"/>
      <c r="GE26" s="731"/>
      <c r="GF26" s="731"/>
      <c r="GG26" s="731"/>
      <c r="GH26" s="731"/>
      <c r="GI26" s="731"/>
      <c r="GJ26" s="731"/>
      <c r="GK26" s="731"/>
      <c r="GL26" s="731"/>
      <c r="GM26" s="731"/>
      <c r="GN26" s="731"/>
      <c r="GO26" s="731"/>
      <c r="GP26" s="731"/>
      <c r="GQ26" s="731"/>
      <c r="GR26" s="731"/>
      <c r="GS26" s="731"/>
      <c r="GT26" s="731"/>
      <c r="GU26" s="731"/>
      <c r="GV26" s="731"/>
      <c r="GW26" s="731"/>
      <c r="GX26" s="731"/>
      <c r="GY26" s="731"/>
      <c r="GZ26" s="731"/>
      <c r="HA26" s="731"/>
      <c r="HB26" s="731"/>
      <c r="HC26" s="731"/>
      <c r="HD26" s="731"/>
      <c r="HE26" s="731"/>
      <c r="HF26" s="731"/>
      <c r="HG26" s="731"/>
      <c r="HH26" s="731"/>
      <c r="HI26" s="731"/>
      <c r="HJ26" s="731"/>
      <c r="HK26" s="731"/>
      <c r="HL26" s="731"/>
      <c r="HM26" s="731"/>
      <c r="HN26" s="731"/>
      <c r="HO26" s="731"/>
      <c r="HP26" s="731"/>
      <c r="HQ26" s="731"/>
      <c r="HR26" s="731"/>
      <c r="HS26" s="731"/>
      <c r="HT26" s="731"/>
      <c r="HU26" s="731"/>
      <c r="HV26" s="731"/>
      <c r="HW26" s="731"/>
      <c r="HX26" s="731"/>
      <c r="HY26" s="731"/>
      <c r="HZ26" s="731"/>
      <c r="IA26" s="731"/>
      <c r="IB26" s="731"/>
      <c r="IC26" s="731"/>
      <c r="ID26" s="731"/>
      <c r="IE26" s="731"/>
      <c r="IF26" s="731"/>
      <c r="IG26" s="731"/>
      <c r="IH26" s="731"/>
      <c r="II26" s="731"/>
      <c r="IJ26" s="731"/>
      <c r="IK26" s="731"/>
      <c r="IL26" s="731"/>
      <c r="IM26" s="731"/>
      <c r="IN26" s="731"/>
      <c r="IO26" s="731"/>
      <c r="IP26" s="731"/>
      <c r="IQ26" s="731"/>
      <c r="IR26" s="731"/>
      <c r="IS26" s="731"/>
      <c r="IT26" s="731"/>
      <c r="IU26" s="731"/>
      <c r="IV26" s="731"/>
    </row>
    <row r="27" spans="1:256">
      <c r="A27" s="747" t="s">
        <v>432</v>
      </c>
      <c r="B27" s="733" t="s">
        <v>432</v>
      </c>
      <c r="C27" s="734"/>
      <c r="D27" s="748"/>
      <c r="E27" s="748"/>
      <c r="F27" s="748"/>
      <c r="G27" s="748"/>
      <c r="H27" s="748"/>
      <c r="I27" s="748"/>
      <c r="J27" s="748"/>
      <c r="K27" s="748"/>
      <c r="L27" s="748"/>
      <c r="M27" s="748"/>
      <c r="N27" s="748"/>
      <c r="O27" s="748"/>
      <c r="P27" s="748"/>
      <c r="Q27" s="748"/>
      <c r="R27" s="748"/>
      <c r="S27" s="748"/>
      <c r="T27" s="748"/>
      <c r="U27" s="748"/>
      <c r="V27" s="748"/>
      <c r="W27" s="748"/>
      <c r="X27" s="748"/>
      <c r="Y27" s="748"/>
      <c r="Z27" s="748"/>
      <c r="AA27" s="748"/>
      <c r="AB27" s="748"/>
      <c r="AE27" s="681"/>
    </row>
    <row r="28" spans="1:256">
      <c r="A28" s="749"/>
      <c r="B28" s="737"/>
      <c r="C28" s="738"/>
      <c r="D28" s="739" t="e">
        <f ca="1">_xll.BLUEMATRIX2("/servlet/excelData",D27, $C$14,$B27&amp;":"&amp;D$16&amp;D$17&amp;":"&amp;D$19&amp;":"&amp;$B28)</f>
        <v>#NAME?</v>
      </c>
      <c r="E28" s="739" t="e">
        <f ca="1">_xll.BLUEMATRIX2("/servlet/excelData",E27, $C$14,$B27&amp;":"&amp;E$16&amp;E$17&amp;":"&amp;E$19&amp;":"&amp;$B28)</f>
        <v>#NAME?</v>
      </c>
      <c r="F28" s="739" t="e">
        <f ca="1">_xll.BLUEMATRIX2("/servlet/excelData",F27, $C$14,$B27&amp;":"&amp;F$16&amp;F$17&amp;":"&amp;F$19&amp;":"&amp;$B28)</f>
        <v>#NAME?</v>
      </c>
      <c r="G28" s="739" t="e">
        <f ca="1">_xll.BLUEMATRIX2("/servlet/excelData",G27, $C$14,$B27&amp;":"&amp;G$16&amp;G$17&amp;":"&amp;G$19&amp;":"&amp;$B28)</f>
        <v>#NAME?</v>
      </c>
      <c r="H28" s="739" t="e">
        <f ca="1">_xll.BLUEMATRIX2("/servlet/excelData",H27, $C$14,$B27&amp;":"&amp;H$16&amp;H$17&amp;":"&amp;H$19&amp;":"&amp;$B28)</f>
        <v>#NAME?</v>
      </c>
      <c r="I28" s="739" t="e">
        <f ca="1">_xll.BLUEMATRIX2("/servlet/excelData",I27, $C$14,$B27&amp;":"&amp;I$16&amp;I$17&amp;":"&amp;I$19&amp;":"&amp;$B28)</f>
        <v>#NAME?</v>
      </c>
      <c r="J28" s="739" t="e">
        <f ca="1">_xll.BLUEMATRIX2("/servlet/excelData",J27, $C$14,$B27&amp;":"&amp;J$16&amp;J$17&amp;":"&amp;J$19&amp;":"&amp;$B28)</f>
        <v>#NAME?</v>
      </c>
      <c r="K28" s="739" t="e">
        <f ca="1">_xll.BLUEMATRIX2("/servlet/excelData",K27, $C$14,$B27&amp;":"&amp;K$16&amp;K$17&amp;":"&amp;K$19&amp;":"&amp;$B28)</f>
        <v>#NAME?</v>
      </c>
      <c r="L28" s="739" t="e">
        <f ca="1">_xll.BLUEMATRIX2("/servlet/excelData",L27, $C$14,$B27&amp;":"&amp;L$16&amp;L$17&amp;":"&amp;L$19&amp;":"&amp;$B28)</f>
        <v>#NAME?</v>
      </c>
      <c r="M28" s="739" t="e">
        <f ca="1">_xll.BLUEMATRIX2("/servlet/excelData",M27, $C$14,$B27&amp;":"&amp;M$16&amp;M$17&amp;":"&amp;M$19&amp;":"&amp;$B28)</f>
        <v>#NAME?</v>
      </c>
      <c r="N28" s="739" t="e">
        <f ca="1">_xll.BLUEMATRIX2("/servlet/excelData",N27, $C$14,$B27&amp;":"&amp;N$16&amp;N$17&amp;":"&amp;N$19&amp;":"&amp;$B28)</f>
        <v>#NAME?</v>
      </c>
      <c r="O28" s="739" t="e">
        <f ca="1">_xll.BLUEMATRIX2("/servlet/excelData",O27, $C$14,$B27&amp;":"&amp;O$16&amp;O$17&amp;":"&amp;O$19&amp;":"&amp;$B28)</f>
        <v>#NAME?</v>
      </c>
      <c r="P28" s="739" t="e">
        <f ca="1">_xll.BLUEMATRIX2("/servlet/excelData",P27, $C$14,$B27&amp;":"&amp;P$16&amp;P$17&amp;":"&amp;P$19&amp;":"&amp;$B28)</f>
        <v>#NAME?</v>
      </c>
      <c r="Q28" s="739" t="e">
        <f ca="1">_xll.BLUEMATRIX2("/servlet/excelData",Q27, $C$14,$B27&amp;":"&amp;Q$16&amp;Q$17&amp;":"&amp;Q$19&amp;":"&amp;$B28)</f>
        <v>#NAME?</v>
      </c>
      <c r="R28" s="739" t="e">
        <f ca="1">_xll.BLUEMATRIX2("/servlet/excelData",R27, $C$14,$B27&amp;":"&amp;R$16&amp;R$17&amp;":"&amp;R$19&amp;":"&amp;$B28)</f>
        <v>#NAME?</v>
      </c>
      <c r="S28" s="739" t="e">
        <f ca="1">_xll.BLUEMATRIX2("/servlet/excelData",S27, $C$14,$B27&amp;":"&amp;S$16&amp;S$17&amp;":"&amp;S$19&amp;":"&amp;$B28)</f>
        <v>#NAME?</v>
      </c>
      <c r="T28" s="739" t="e">
        <f ca="1">_xll.BLUEMATRIX2("/servlet/excelData",T27, $C$14,$B27&amp;":"&amp;T$16&amp;T$17&amp;":"&amp;T$19&amp;":"&amp;$B28)</f>
        <v>#NAME?</v>
      </c>
      <c r="U28" s="739" t="e">
        <f ca="1">_xll.BLUEMATRIX2("/servlet/excelData",U27, $C$14,$B27&amp;":"&amp;U$16&amp;U$17&amp;":"&amp;U$19&amp;":"&amp;$B28)</f>
        <v>#NAME?</v>
      </c>
      <c r="V28" s="739" t="e">
        <f ca="1">_xll.BLUEMATRIX2("/servlet/excelData",V27, $C$14,$B27&amp;":"&amp;V$16&amp;V$17&amp;":"&amp;V$19&amp;":"&amp;$B28)</f>
        <v>#NAME?</v>
      </c>
      <c r="W28" s="739" t="e">
        <f ca="1">_xll.BLUEMATRIX2("/servlet/excelData",W27, $C$14,$B27&amp;":"&amp;W$16&amp;W$17&amp;":"&amp;W$19&amp;":"&amp;$B28)</f>
        <v>#NAME?</v>
      </c>
      <c r="X28" s="739" t="e">
        <f ca="1">_xll.BLUEMATRIX2("/servlet/excelData",X27, $C$14,$B27&amp;":"&amp;X$16&amp;X$17&amp;":"&amp;X$19&amp;":"&amp;$B28)</f>
        <v>#NAME?</v>
      </c>
      <c r="Y28" s="739" t="e">
        <f ca="1">_xll.BLUEMATRIX2("/servlet/excelData",Y27, $C$14,$B27&amp;":"&amp;Y$16&amp;Y$17&amp;":"&amp;Y$19&amp;":"&amp;$B28)</f>
        <v>#NAME?</v>
      </c>
      <c r="Z28" s="739" t="e">
        <f ca="1">_xll.BLUEMATRIX2("/servlet/excelData",Z27, $C$14,$B27&amp;":"&amp;Z$16&amp;Z$17&amp;":"&amp;Z$19&amp;":"&amp;$B28)</f>
        <v>#NAME?</v>
      </c>
      <c r="AA28" s="739" t="e">
        <f ca="1">_xll.BLUEMATRIX2("/servlet/excelData",AA27, $C$14,$B27&amp;":"&amp;AA$16&amp;AA$17&amp;":"&amp;AA$19&amp;":"&amp;$B28)</f>
        <v>#NAME?</v>
      </c>
      <c r="AB28" s="739" t="e">
        <f ca="1">_xll.BLUEMATRIX2("/servlet/excelData",AB27, $C$14,$B27&amp;":"&amp;AB$16&amp;AB$17&amp;":"&amp;AB$19&amp;":"&amp;$B28)</f>
        <v>#NAME?</v>
      </c>
      <c r="AC28" s="731"/>
      <c r="AD28" s="731"/>
      <c r="AE28" s="681"/>
      <c r="AF28" s="731"/>
      <c r="AG28" s="731"/>
      <c r="AH28" s="731"/>
      <c r="AI28" s="731"/>
      <c r="AJ28" s="731"/>
      <c r="AK28" s="731"/>
      <c r="AL28" s="731"/>
      <c r="AM28" s="731"/>
      <c r="AN28" s="731"/>
      <c r="AO28" s="731"/>
      <c r="AP28" s="731"/>
      <c r="AQ28" s="731"/>
      <c r="AR28" s="731"/>
      <c r="AS28" s="731"/>
      <c r="AT28" s="731"/>
      <c r="AU28" s="731"/>
      <c r="AV28" s="731"/>
      <c r="AW28" s="731"/>
      <c r="AX28" s="731"/>
      <c r="AY28" s="731"/>
      <c r="AZ28" s="731"/>
      <c r="BA28" s="731"/>
      <c r="BB28" s="731"/>
      <c r="BC28" s="731"/>
      <c r="BD28" s="731"/>
      <c r="BE28" s="731"/>
      <c r="BF28" s="731"/>
      <c r="BG28" s="731"/>
      <c r="BH28" s="731"/>
      <c r="BI28" s="731"/>
      <c r="BJ28" s="731"/>
      <c r="BK28" s="731"/>
      <c r="BL28" s="731"/>
      <c r="BM28" s="731"/>
      <c r="BN28" s="731"/>
      <c r="BO28" s="731"/>
      <c r="BP28" s="731"/>
      <c r="BQ28" s="731"/>
      <c r="BR28" s="731"/>
      <c r="BS28" s="731"/>
      <c r="BT28" s="731"/>
      <c r="BU28" s="731"/>
      <c r="BV28" s="731"/>
      <c r="BW28" s="731"/>
      <c r="BX28" s="731"/>
      <c r="BY28" s="731"/>
      <c r="BZ28" s="731"/>
      <c r="CA28" s="731"/>
      <c r="CB28" s="731"/>
      <c r="CC28" s="731"/>
      <c r="CD28" s="731"/>
      <c r="CE28" s="731"/>
      <c r="CF28" s="731"/>
      <c r="CG28" s="731"/>
      <c r="CH28" s="731"/>
      <c r="CI28" s="731"/>
      <c r="CJ28" s="731"/>
      <c r="CK28" s="731"/>
      <c r="CL28" s="731"/>
      <c r="CM28" s="731"/>
      <c r="CN28" s="731"/>
      <c r="CO28" s="731"/>
      <c r="CP28" s="731"/>
      <c r="CQ28" s="731"/>
      <c r="CR28" s="731"/>
      <c r="CS28" s="731"/>
      <c r="CT28" s="731"/>
      <c r="CU28" s="731"/>
      <c r="CV28" s="731"/>
      <c r="CW28" s="731"/>
      <c r="CX28" s="731"/>
      <c r="CY28" s="731"/>
      <c r="CZ28" s="731"/>
      <c r="DA28" s="731"/>
      <c r="DB28" s="731"/>
      <c r="DC28" s="731"/>
      <c r="DD28" s="731"/>
      <c r="DE28" s="731"/>
      <c r="DF28" s="731"/>
      <c r="DG28" s="731"/>
      <c r="DH28" s="731"/>
      <c r="DI28" s="731"/>
      <c r="DJ28" s="731"/>
      <c r="DK28" s="731"/>
      <c r="DL28" s="731"/>
      <c r="DM28" s="731"/>
      <c r="DN28" s="731"/>
      <c r="DO28" s="731"/>
      <c r="DP28" s="731"/>
      <c r="DQ28" s="731"/>
      <c r="DR28" s="731"/>
      <c r="DS28" s="731"/>
      <c r="DT28" s="731"/>
      <c r="DU28" s="731"/>
      <c r="DV28" s="731"/>
      <c r="DW28" s="731"/>
      <c r="DX28" s="731"/>
      <c r="DY28" s="731"/>
      <c r="DZ28" s="731"/>
      <c r="EA28" s="731"/>
      <c r="EB28" s="731"/>
      <c r="EC28" s="731"/>
      <c r="ED28" s="731"/>
      <c r="EE28" s="731"/>
      <c r="EF28" s="731"/>
      <c r="EG28" s="731"/>
      <c r="EH28" s="731"/>
      <c r="EI28" s="731"/>
      <c r="EJ28" s="731"/>
      <c r="EK28" s="731"/>
      <c r="EL28" s="731"/>
      <c r="EM28" s="731"/>
      <c r="EN28" s="731"/>
      <c r="EO28" s="731"/>
      <c r="EP28" s="731"/>
      <c r="EQ28" s="731"/>
      <c r="ER28" s="731"/>
      <c r="ES28" s="731"/>
      <c r="ET28" s="731"/>
      <c r="EU28" s="731"/>
      <c r="EV28" s="731"/>
      <c r="EW28" s="731"/>
      <c r="EX28" s="731"/>
      <c r="EY28" s="731"/>
      <c r="EZ28" s="731"/>
      <c r="FA28" s="731"/>
      <c r="FB28" s="731"/>
      <c r="FC28" s="731"/>
      <c r="FD28" s="731"/>
      <c r="FE28" s="731"/>
      <c r="FF28" s="731"/>
      <c r="FG28" s="731"/>
      <c r="FH28" s="731"/>
      <c r="FI28" s="731"/>
      <c r="FJ28" s="731"/>
      <c r="FK28" s="731"/>
      <c r="FL28" s="731"/>
      <c r="FM28" s="731"/>
      <c r="FN28" s="731"/>
      <c r="FO28" s="731"/>
      <c r="FP28" s="731"/>
      <c r="FQ28" s="731"/>
      <c r="FR28" s="731"/>
      <c r="FS28" s="731"/>
      <c r="FT28" s="731"/>
      <c r="FU28" s="731"/>
      <c r="FV28" s="731"/>
      <c r="FW28" s="731"/>
      <c r="FX28" s="731"/>
      <c r="FY28" s="731"/>
      <c r="FZ28" s="731"/>
      <c r="GA28" s="731"/>
      <c r="GB28" s="731"/>
      <c r="GC28" s="731"/>
      <c r="GD28" s="731"/>
      <c r="GE28" s="731"/>
      <c r="GF28" s="731"/>
      <c r="GG28" s="731"/>
      <c r="GH28" s="731"/>
      <c r="GI28" s="731"/>
      <c r="GJ28" s="731"/>
      <c r="GK28" s="731"/>
      <c r="GL28" s="731"/>
      <c r="GM28" s="731"/>
      <c r="GN28" s="731"/>
      <c r="GO28" s="731"/>
      <c r="GP28" s="731"/>
      <c r="GQ28" s="731"/>
      <c r="GR28" s="731"/>
      <c r="GS28" s="731"/>
      <c r="GT28" s="731"/>
      <c r="GU28" s="731"/>
      <c r="GV28" s="731"/>
      <c r="GW28" s="731"/>
      <c r="GX28" s="731"/>
      <c r="GY28" s="731"/>
      <c r="GZ28" s="731"/>
      <c r="HA28" s="731"/>
      <c r="HB28" s="731"/>
      <c r="HC28" s="731"/>
      <c r="HD28" s="731"/>
      <c r="HE28" s="731"/>
      <c r="HF28" s="731"/>
      <c r="HG28" s="731"/>
      <c r="HH28" s="731"/>
      <c r="HI28" s="731"/>
      <c r="HJ28" s="731"/>
      <c r="HK28" s="731"/>
      <c r="HL28" s="731"/>
      <c r="HM28" s="731"/>
      <c r="HN28" s="731"/>
      <c r="HO28" s="731"/>
      <c r="HP28" s="731"/>
      <c r="HQ28" s="731"/>
      <c r="HR28" s="731"/>
      <c r="HS28" s="731"/>
      <c r="HT28" s="731"/>
      <c r="HU28" s="731"/>
      <c r="HV28" s="731"/>
      <c r="HW28" s="731"/>
      <c r="HX28" s="731"/>
      <c r="HY28" s="731"/>
      <c r="HZ28" s="731"/>
      <c r="IA28" s="731"/>
      <c r="IB28" s="731"/>
      <c r="IC28" s="731"/>
      <c r="ID28" s="731"/>
      <c r="IE28" s="731"/>
      <c r="IF28" s="731"/>
      <c r="IG28" s="731"/>
      <c r="IH28" s="731"/>
      <c r="II28" s="731"/>
      <c r="IJ28" s="731"/>
      <c r="IK28" s="731"/>
      <c r="IL28" s="731"/>
      <c r="IM28" s="731"/>
      <c r="IN28" s="731"/>
      <c r="IO28" s="731"/>
      <c r="IP28" s="731"/>
      <c r="IQ28" s="731"/>
      <c r="IR28" s="731"/>
      <c r="IS28" s="731"/>
      <c r="IT28" s="731"/>
      <c r="IU28" s="731"/>
      <c r="IV28" s="731"/>
    </row>
    <row r="29" spans="1:256">
      <c r="A29" s="741" t="s">
        <v>433</v>
      </c>
      <c r="B29" s="724" t="s">
        <v>434</v>
      </c>
      <c r="C29" s="725"/>
      <c r="D29" s="742"/>
      <c r="E29" s="742"/>
      <c r="F29" s="742"/>
      <c r="G29" s="742"/>
      <c r="H29" s="742"/>
      <c r="I29" s="742"/>
      <c r="J29" s="742"/>
      <c r="K29" s="742"/>
      <c r="L29" s="742"/>
      <c r="M29" s="742"/>
      <c r="N29" s="742"/>
      <c r="O29" s="742"/>
      <c r="P29" s="742"/>
      <c r="Q29" s="742"/>
      <c r="R29" s="742"/>
      <c r="S29" s="742"/>
      <c r="T29" s="742"/>
      <c r="U29" s="742"/>
      <c r="V29" s="742"/>
      <c r="W29" s="742"/>
      <c r="X29" s="742"/>
      <c r="Y29" s="742"/>
      <c r="Z29" s="742"/>
      <c r="AA29" s="742"/>
      <c r="AB29" s="742"/>
      <c r="AE29" s="681"/>
    </row>
    <row r="30" spans="1:256">
      <c r="A30" s="745"/>
      <c r="B30" s="727"/>
      <c r="C30" s="728"/>
      <c r="D30" s="746" t="e">
        <f ca="1">_xll.BLUEMATRIX2("/servlet/excelData",D29, $C$14,$B29&amp;":"&amp;D$16&amp;D$17&amp;":"&amp;D$19&amp;":"&amp;$B30)</f>
        <v>#NAME?</v>
      </c>
      <c r="E30" s="746" t="e">
        <f ca="1">_xll.BLUEMATRIX2("/servlet/excelData",E29, $C$14,$B29&amp;":"&amp;E$16&amp;E$17&amp;":"&amp;E$19&amp;":"&amp;$B30)</f>
        <v>#NAME?</v>
      </c>
      <c r="F30" s="746" t="e">
        <f ca="1">_xll.BLUEMATRIX2("/servlet/excelData",F29, $C$14,$B29&amp;":"&amp;F$16&amp;F$17&amp;":"&amp;F$19&amp;":"&amp;$B30)</f>
        <v>#NAME?</v>
      </c>
      <c r="G30" s="746" t="e">
        <f ca="1">_xll.BLUEMATRIX2("/servlet/excelData",G29, $C$14,$B29&amp;":"&amp;G$16&amp;G$17&amp;":"&amp;G$19&amp;":"&amp;$B30)</f>
        <v>#NAME?</v>
      </c>
      <c r="H30" s="746" t="e">
        <f ca="1">_xll.BLUEMATRIX2("/servlet/excelData",H29, $C$14,$B29&amp;":"&amp;H$16&amp;H$17&amp;":"&amp;H$19&amp;":"&amp;$B30)</f>
        <v>#NAME?</v>
      </c>
      <c r="I30" s="746" t="e">
        <f ca="1">_xll.BLUEMATRIX2("/servlet/excelData",I29, $C$14,$B29&amp;":"&amp;I$16&amp;I$17&amp;":"&amp;I$19&amp;":"&amp;$B30)</f>
        <v>#NAME?</v>
      </c>
      <c r="J30" s="746" t="e">
        <f ca="1">_xll.BLUEMATRIX2("/servlet/excelData",J29, $C$14,$B29&amp;":"&amp;J$16&amp;J$17&amp;":"&amp;J$19&amp;":"&amp;$B30)</f>
        <v>#NAME?</v>
      </c>
      <c r="K30" s="746" t="e">
        <f ca="1">_xll.BLUEMATRIX2("/servlet/excelData",K29, $C$14,$B29&amp;":"&amp;K$16&amp;K$17&amp;":"&amp;K$19&amp;":"&amp;$B30)</f>
        <v>#NAME?</v>
      </c>
      <c r="L30" s="746" t="e">
        <f ca="1">_xll.BLUEMATRIX2("/servlet/excelData",L29, $C$14,$B29&amp;":"&amp;L$16&amp;L$17&amp;":"&amp;L$19&amp;":"&amp;$B30)</f>
        <v>#NAME?</v>
      </c>
      <c r="M30" s="746" t="e">
        <f ca="1">_xll.BLUEMATRIX2("/servlet/excelData",M29, $C$14,$B29&amp;":"&amp;M$16&amp;M$17&amp;":"&amp;M$19&amp;":"&amp;$B30)</f>
        <v>#NAME?</v>
      </c>
      <c r="N30" s="746" t="e">
        <f ca="1">_xll.BLUEMATRIX2("/servlet/excelData",N29, $C$14,$B29&amp;":"&amp;N$16&amp;N$17&amp;":"&amp;N$19&amp;":"&amp;$B30)</f>
        <v>#NAME?</v>
      </c>
      <c r="O30" s="746" t="e">
        <f ca="1">_xll.BLUEMATRIX2("/servlet/excelData",O29, $C$14,$B29&amp;":"&amp;O$16&amp;O$17&amp;":"&amp;O$19&amp;":"&amp;$B30)</f>
        <v>#NAME?</v>
      </c>
      <c r="P30" s="746" t="e">
        <f ca="1">_xll.BLUEMATRIX2("/servlet/excelData",P29, $C$14,$B29&amp;":"&amp;P$16&amp;P$17&amp;":"&amp;P$19&amp;":"&amp;$B30)</f>
        <v>#NAME?</v>
      </c>
      <c r="Q30" s="746" t="e">
        <f ca="1">_xll.BLUEMATRIX2("/servlet/excelData",Q29, $C$14,$B29&amp;":"&amp;Q$16&amp;Q$17&amp;":"&amp;Q$19&amp;":"&amp;$B30)</f>
        <v>#NAME?</v>
      </c>
      <c r="R30" s="746" t="e">
        <f ca="1">_xll.BLUEMATRIX2("/servlet/excelData",R29, $C$14,$B29&amp;":"&amp;R$16&amp;R$17&amp;":"&amp;R$19&amp;":"&amp;$B30)</f>
        <v>#NAME?</v>
      </c>
      <c r="S30" s="746" t="e">
        <f ca="1">_xll.BLUEMATRIX2("/servlet/excelData",S29, $C$14,$B29&amp;":"&amp;S$16&amp;S$17&amp;":"&amp;S$19&amp;":"&amp;$B30)</f>
        <v>#NAME?</v>
      </c>
      <c r="T30" s="746" t="e">
        <f ca="1">_xll.BLUEMATRIX2("/servlet/excelData",T29, $C$14,$B29&amp;":"&amp;T$16&amp;T$17&amp;":"&amp;T$19&amp;":"&amp;$B30)</f>
        <v>#NAME?</v>
      </c>
      <c r="U30" s="746" t="e">
        <f ca="1">_xll.BLUEMATRIX2("/servlet/excelData",U29, $C$14,$B29&amp;":"&amp;U$16&amp;U$17&amp;":"&amp;U$19&amp;":"&amp;$B30)</f>
        <v>#NAME?</v>
      </c>
      <c r="V30" s="746" t="e">
        <f ca="1">_xll.BLUEMATRIX2("/servlet/excelData",V29, $C$14,$B29&amp;":"&amp;V$16&amp;V$17&amp;":"&amp;V$19&amp;":"&amp;$B30)</f>
        <v>#NAME?</v>
      </c>
      <c r="W30" s="746" t="e">
        <f ca="1">_xll.BLUEMATRIX2("/servlet/excelData",W29, $C$14,$B29&amp;":"&amp;W$16&amp;W$17&amp;":"&amp;W$19&amp;":"&amp;$B30)</f>
        <v>#NAME?</v>
      </c>
      <c r="X30" s="746" t="e">
        <f ca="1">_xll.BLUEMATRIX2("/servlet/excelData",X29, $C$14,$B29&amp;":"&amp;X$16&amp;X$17&amp;":"&amp;X$19&amp;":"&amp;$B30)</f>
        <v>#NAME?</v>
      </c>
      <c r="Y30" s="746" t="e">
        <f ca="1">_xll.BLUEMATRIX2("/servlet/excelData",Y29, $C$14,$B29&amp;":"&amp;Y$16&amp;Y$17&amp;":"&amp;Y$19&amp;":"&amp;$B30)</f>
        <v>#NAME?</v>
      </c>
      <c r="Z30" s="746" t="e">
        <f ca="1">_xll.BLUEMATRIX2("/servlet/excelData",Z29, $C$14,$B29&amp;":"&amp;Z$16&amp;Z$17&amp;":"&amp;Z$19&amp;":"&amp;$B30)</f>
        <v>#NAME?</v>
      </c>
      <c r="AA30" s="746" t="e">
        <f ca="1">_xll.BLUEMATRIX2("/servlet/excelData",AA29, $C$14,$B29&amp;":"&amp;AA$16&amp;AA$17&amp;":"&amp;AA$19&amp;":"&amp;$B30)</f>
        <v>#NAME?</v>
      </c>
      <c r="AB30" s="746" t="e">
        <f ca="1">_xll.BLUEMATRIX2("/servlet/excelData",AB29, $C$14,$B29&amp;":"&amp;AB$16&amp;AB$17&amp;":"&amp;AB$19&amp;":"&amp;$B30)</f>
        <v>#NAME?</v>
      </c>
      <c r="AC30" s="731"/>
      <c r="AD30" s="731"/>
      <c r="AF30" s="731"/>
      <c r="AG30" s="731"/>
      <c r="AH30" s="731"/>
      <c r="AI30" s="731"/>
      <c r="AJ30" s="731"/>
      <c r="AK30" s="731"/>
      <c r="AL30" s="731"/>
      <c r="AM30" s="731"/>
      <c r="AN30" s="731"/>
      <c r="AO30" s="731"/>
      <c r="AP30" s="731"/>
      <c r="AQ30" s="731"/>
      <c r="AR30" s="731"/>
      <c r="AS30" s="731"/>
      <c r="AT30" s="731"/>
      <c r="AU30" s="731"/>
      <c r="AV30" s="731"/>
      <c r="AW30" s="731"/>
      <c r="AX30" s="731"/>
      <c r="AY30" s="731"/>
      <c r="AZ30" s="731"/>
      <c r="BA30" s="731"/>
      <c r="BB30" s="731"/>
      <c r="BC30" s="731"/>
      <c r="BD30" s="731"/>
      <c r="BE30" s="731"/>
      <c r="BF30" s="731"/>
      <c r="BG30" s="731"/>
      <c r="BH30" s="731"/>
      <c r="BI30" s="731"/>
      <c r="BJ30" s="731"/>
      <c r="BK30" s="731"/>
      <c r="BL30" s="731"/>
      <c r="BM30" s="731"/>
      <c r="BN30" s="731"/>
      <c r="BO30" s="731"/>
      <c r="BP30" s="731"/>
      <c r="BQ30" s="731"/>
      <c r="BR30" s="731"/>
      <c r="BS30" s="731"/>
      <c r="BT30" s="731"/>
      <c r="BU30" s="731"/>
      <c r="BV30" s="731"/>
      <c r="BW30" s="731"/>
      <c r="BX30" s="731"/>
      <c r="BY30" s="731"/>
      <c r="BZ30" s="731"/>
      <c r="CA30" s="731"/>
      <c r="CB30" s="731"/>
      <c r="CC30" s="731"/>
      <c r="CD30" s="731"/>
      <c r="CE30" s="731"/>
      <c r="CF30" s="731"/>
      <c r="CG30" s="731"/>
      <c r="CH30" s="731"/>
      <c r="CI30" s="731"/>
      <c r="CJ30" s="731"/>
      <c r="CK30" s="731"/>
      <c r="CL30" s="731"/>
      <c r="CM30" s="731"/>
      <c r="CN30" s="731"/>
      <c r="CO30" s="731"/>
      <c r="CP30" s="731"/>
      <c r="CQ30" s="731"/>
      <c r="CR30" s="731"/>
      <c r="CS30" s="731"/>
      <c r="CT30" s="731"/>
      <c r="CU30" s="731"/>
      <c r="CV30" s="731"/>
      <c r="CW30" s="731"/>
      <c r="CX30" s="731"/>
      <c r="CY30" s="731"/>
      <c r="CZ30" s="731"/>
      <c r="DA30" s="731"/>
      <c r="DB30" s="731"/>
      <c r="DC30" s="731"/>
      <c r="DD30" s="731"/>
      <c r="DE30" s="731"/>
      <c r="DF30" s="731"/>
      <c r="DG30" s="731"/>
      <c r="DH30" s="731"/>
      <c r="DI30" s="731"/>
      <c r="DJ30" s="731"/>
      <c r="DK30" s="731"/>
      <c r="DL30" s="731"/>
      <c r="DM30" s="731"/>
      <c r="DN30" s="731"/>
      <c r="DO30" s="731"/>
      <c r="DP30" s="731"/>
      <c r="DQ30" s="731"/>
      <c r="DR30" s="731"/>
      <c r="DS30" s="731"/>
      <c r="DT30" s="731"/>
      <c r="DU30" s="731"/>
      <c r="DV30" s="731"/>
      <c r="DW30" s="731"/>
      <c r="DX30" s="731"/>
      <c r="DY30" s="731"/>
      <c r="DZ30" s="731"/>
      <c r="EA30" s="731"/>
      <c r="EB30" s="731"/>
      <c r="EC30" s="731"/>
      <c r="ED30" s="731"/>
      <c r="EE30" s="731"/>
      <c r="EF30" s="731"/>
      <c r="EG30" s="731"/>
      <c r="EH30" s="731"/>
      <c r="EI30" s="731"/>
      <c r="EJ30" s="731"/>
      <c r="EK30" s="731"/>
      <c r="EL30" s="731"/>
      <c r="EM30" s="731"/>
      <c r="EN30" s="731"/>
      <c r="EO30" s="731"/>
      <c r="EP30" s="731"/>
      <c r="EQ30" s="731"/>
      <c r="ER30" s="731"/>
      <c r="ES30" s="731"/>
      <c r="ET30" s="731"/>
      <c r="EU30" s="731"/>
      <c r="EV30" s="731"/>
      <c r="EW30" s="731"/>
      <c r="EX30" s="731"/>
      <c r="EY30" s="731"/>
      <c r="EZ30" s="731"/>
      <c r="FA30" s="731"/>
      <c r="FB30" s="731"/>
      <c r="FC30" s="731"/>
      <c r="FD30" s="731"/>
      <c r="FE30" s="731"/>
      <c r="FF30" s="731"/>
      <c r="FG30" s="731"/>
      <c r="FH30" s="731"/>
      <c r="FI30" s="731"/>
      <c r="FJ30" s="731"/>
      <c r="FK30" s="731"/>
      <c r="FL30" s="731"/>
      <c r="FM30" s="731"/>
      <c r="FN30" s="731"/>
      <c r="FO30" s="731"/>
      <c r="FP30" s="731"/>
      <c r="FQ30" s="731"/>
      <c r="FR30" s="731"/>
      <c r="FS30" s="731"/>
      <c r="FT30" s="731"/>
      <c r="FU30" s="731"/>
      <c r="FV30" s="731"/>
      <c r="FW30" s="731"/>
      <c r="FX30" s="731"/>
      <c r="FY30" s="731"/>
      <c r="FZ30" s="731"/>
      <c r="GA30" s="731"/>
      <c r="GB30" s="731"/>
      <c r="GC30" s="731"/>
      <c r="GD30" s="731"/>
      <c r="GE30" s="731"/>
      <c r="GF30" s="731"/>
      <c r="GG30" s="731"/>
      <c r="GH30" s="731"/>
      <c r="GI30" s="731"/>
      <c r="GJ30" s="731"/>
      <c r="GK30" s="731"/>
      <c r="GL30" s="731"/>
      <c r="GM30" s="731"/>
      <c r="GN30" s="731"/>
      <c r="GO30" s="731"/>
      <c r="GP30" s="731"/>
      <c r="GQ30" s="731"/>
      <c r="GR30" s="731"/>
      <c r="GS30" s="731"/>
      <c r="GT30" s="731"/>
      <c r="GU30" s="731"/>
      <c r="GV30" s="731"/>
      <c r="GW30" s="731"/>
      <c r="GX30" s="731"/>
      <c r="GY30" s="731"/>
      <c r="GZ30" s="731"/>
      <c r="HA30" s="731"/>
      <c r="HB30" s="731"/>
      <c r="HC30" s="731"/>
      <c r="HD30" s="731"/>
      <c r="HE30" s="731"/>
      <c r="HF30" s="731"/>
      <c r="HG30" s="731"/>
      <c r="HH30" s="731"/>
      <c r="HI30" s="731"/>
      <c r="HJ30" s="731"/>
      <c r="HK30" s="731"/>
      <c r="HL30" s="731"/>
      <c r="HM30" s="731"/>
      <c r="HN30" s="731"/>
      <c r="HO30" s="731"/>
      <c r="HP30" s="731"/>
      <c r="HQ30" s="731"/>
      <c r="HR30" s="731"/>
      <c r="HS30" s="731"/>
      <c r="HT30" s="731"/>
      <c r="HU30" s="731"/>
      <c r="HV30" s="731"/>
      <c r="HW30" s="731"/>
      <c r="HX30" s="731"/>
      <c r="HY30" s="731"/>
      <c r="HZ30" s="731"/>
      <c r="IA30" s="731"/>
      <c r="IB30" s="731"/>
      <c r="IC30" s="731"/>
      <c r="ID30" s="731"/>
      <c r="IE30" s="731"/>
      <c r="IF30" s="731"/>
      <c r="IG30" s="731"/>
      <c r="IH30" s="731"/>
      <c r="II30" s="731"/>
      <c r="IJ30" s="731"/>
      <c r="IK30" s="731"/>
      <c r="IL30" s="731"/>
      <c r="IM30" s="731"/>
      <c r="IN30" s="731"/>
      <c r="IO30" s="731"/>
      <c r="IP30" s="731"/>
      <c r="IQ30" s="731"/>
      <c r="IR30" s="731"/>
      <c r="IS30" s="731"/>
      <c r="IT30" s="731"/>
      <c r="IU30" s="731"/>
      <c r="IV30" s="731"/>
    </row>
    <row r="31" spans="1:256">
      <c r="A31" s="747" t="s">
        <v>435</v>
      </c>
      <c r="B31" s="733" t="s">
        <v>436</v>
      </c>
      <c r="C31" s="734"/>
      <c r="D31" s="748">
        <f>+'Income Statement'!BC50</f>
        <v>9.1543246688587737E-2</v>
      </c>
      <c r="E31" s="748">
        <f>+'Income Statement'!BD50</f>
        <v>0.13225121711672705</v>
      </c>
      <c r="F31" s="748">
        <f>+'Income Statement'!BE50</f>
        <v>0.14330802351493885</v>
      </c>
      <c r="G31" s="748">
        <f>+'Income Statement'!BF50</f>
        <v>0.18259617461422159</v>
      </c>
      <c r="H31" s="748">
        <f>+'Income Statement'!BG50</f>
        <v>0.13898126202099004</v>
      </c>
      <c r="I31" s="748">
        <f>+'Income Statement'!BH50</f>
        <v>0.12197455582565385</v>
      </c>
      <c r="J31" s="748">
        <f>+'Income Statement'!BI50</f>
        <v>0.14653942444881149</v>
      </c>
      <c r="K31" s="748">
        <f>+'Income Statement'!BJ50</f>
        <v>0.13685925990308773</v>
      </c>
      <c r="L31" s="748">
        <f>+'Income Statement'!BK50</f>
        <v>0.15908843730914993</v>
      </c>
      <c r="M31" s="748">
        <f>+'Income Statement'!BL50</f>
        <v>0.14149445132720037</v>
      </c>
      <c r="N31" s="748">
        <f>+'Income Statement'!BM50</f>
        <v>0.11171207643415246</v>
      </c>
      <c r="O31" s="748">
        <f>+'Income Statement'!BN50</f>
        <v>0.12311671413723888</v>
      </c>
      <c r="P31" s="748">
        <f>+'Income Statement'!BO50</f>
        <v>0.15694104821675967</v>
      </c>
      <c r="Q31" s="748">
        <f>+'Income Statement'!BP50</f>
        <v>0.17770401205770472</v>
      </c>
      <c r="R31" s="748">
        <f>+'Income Statement'!BQ50</f>
        <v>0.1435881981461469</v>
      </c>
      <c r="S31" s="748">
        <f>+'Income Statement'!BR50</f>
        <v>0.14409824636670779</v>
      </c>
      <c r="T31" s="748">
        <f>+'Income Statement'!BS50</f>
        <v>0.19223423671492468</v>
      </c>
      <c r="U31" s="748">
        <f>+'Income Statement'!BT50</f>
        <v>0.19980967841249406</v>
      </c>
      <c r="V31" s="748">
        <f>+'Income Statement'!BU50</f>
        <v>0.20519045430628544</v>
      </c>
      <c r="W31" s="748">
        <f>+'Income Statement'!BV50</f>
        <v>0.1857873374362973</v>
      </c>
      <c r="X31" s="748">
        <f>+'Income Statement'!BW50</f>
        <v>0.16799999999999995</v>
      </c>
      <c r="Y31" s="748">
        <f>+'Income Statement'!BX50</f>
        <v>0.18500000000000003</v>
      </c>
      <c r="Z31" s="748">
        <f>+'Income Statement'!BY50</f>
        <v>0.19999999999999996</v>
      </c>
      <c r="AA31" s="748">
        <f>+'Income Statement'!BZ50</f>
        <v>0.21800000000000003</v>
      </c>
      <c r="AB31" s="748">
        <f>+'Income Statement'!CA50</f>
        <v>0.19355678289921974</v>
      </c>
    </row>
    <row r="32" spans="1:256">
      <c r="A32" s="749"/>
      <c r="B32" s="737" t="s">
        <v>376</v>
      </c>
      <c r="C32" s="738"/>
      <c r="D32" s="739" t="e">
        <f ca="1">_xll.BLUEMATRIX2("/servlet/excelData",D31, $C$14,$B31&amp;":"&amp;D$16&amp;D$17&amp;":"&amp;D$19&amp;":"&amp;$B32)</f>
        <v>#NAME?</v>
      </c>
      <c r="E32" s="740" t="e">
        <f ca="1">_xll.BLUEMATRIX2("/servlet/excelData",E31, $C$14,$B31&amp;":"&amp;E$16&amp;E$17&amp;":"&amp;E$19&amp;":"&amp;$B32)</f>
        <v>#NAME?</v>
      </c>
      <c r="F32" s="740" t="e">
        <f ca="1">_xll.BLUEMATRIX2("/servlet/excelData",F31, $C$14,$B31&amp;":"&amp;F$16&amp;F$17&amp;":"&amp;F$19&amp;":"&amp;$B32)</f>
        <v>#NAME?</v>
      </c>
      <c r="G32" s="740" t="e">
        <f ca="1">_xll.BLUEMATRIX2("/servlet/excelData",G31, $C$14,$B31&amp;":"&amp;G$16&amp;G$17&amp;":"&amp;G$19&amp;":"&amp;$B32)</f>
        <v>#NAME?</v>
      </c>
      <c r="H32" s="690" t="e">
        <f ca="1">_xll.BLUEMATRIX2("/servlet/excelData",H31, $C$14,$B31&amp;":"&amp;H$16&amp;H$17&amp;":"&amp;H$19&amp;":"&amp;$B32)</f>
        <v>#NAME?</v>
      </c>
      <c r="I32" s="740" t="e">
        <f ca="1">_xll.BLUEMATRIX2("/servlet/excelData",I31, $C$14,$B31&amp;":"&amp;I$16&amp;I$17&amp;":"&amp;I$19&amp;":"&amp;$B32)</f>
        <v>#NAME?</v>
      </c>
      <c r="J32" s="740" t="e">
        <f ca="1">_xll.BLUEMATRIX2("/servlet/excelData",J31, $C$14,$B31&amp;":"&amp;J$16&amp;J$17&amp;":"&amp;J$19&amp;":"&amp;$B32)</f>
        <v>#NAME?</v>
      </c>
      <c r="K32" s="740" t="e">
        <f ca="1">_xll.BLUEMATRIX2("/servlet/excelData",K31, $C$14,$B31&amp;":"&amp;K$16&amp;K$17&amp;":"&amp;K$19&amp;":"&amp;$B32)</f>
        <v>#NAME?</v>
      </c>
      <c r="L32" s="740" t="e">
        <f ca="1">_xll.BLUEMATRIX2("/servlet/excelData",L31, $C$14,$B31&amp;":"&amp;L$16&amp;L$17&amp;":"&amp;L$19&amp;":"&amp;$B32)</f>
        <v>#NAME?</v>
      </c>
      <c r="M32" s="690" t="e">
        <f ca="1">_xll.BLUEMATRIX2("/servlet/excelData",M31, $C$14,$B31&amp;":"&amp;M$16&amp;M$17&amp;":"&amp;M$19&amp;":"&amp;$B32)</f>
        <v>#NAME?</v>
      </c>
      <c r="N32" s="740" t="e">
        <f ca="1">_xll.BLUEMATRIX2("/servlet/excelData",N31, $C$14,$B31&amp;":"&amp;N$16&amp;N$17&amp;":"&amp;N$19&amp;":"&amp;$B32)</f>
        <v>#NAME?</v>
      </c>
      <c r="O32" s="740" t="e">
        <f ca="1">_xll.BLUEMATRIX2("/servlet/excelData",O31, $C$14,$B31&amp;":"&amp;O$16&amp;O$17&amp;":"&amp;O$19&amp;":"&amp;$B32)</f>
        <v>#NAME?</v>
      </c>
      <c r="P32" s="740" t="e">
        <f ca="1">_xll.BLUEMATRIX2("/servlet/excelData",P31, $C$14,$B31&amp;":"&amp;P$16&amp;P$17&amp;":"&amp;P$19&amp;":"&amp;$B32)</f>
        <v>#NAME?</v>
      </c>
      <c r="Q32" s="740" t="e">
        <f ca="1">_xll.BLUEMATRIX2("/servlet/excelData",Q31, $C$14,$B31&amp;":"&amp;Q$16&amp;Q$17&amp;":"&amp;Q$19&amp;":"&amp;$B32)</f>
        <v>#NAME?</v>
      </c>
      <c r="R32" s="690" t="e">
        <f ca="1">_xll.BLUEMATRIX2("/servlet/excelData",R31, $C$14,$B31&amp;":"&amp;R$16&amp;R$17&amp;":"&amp;R$19&amp;":"&amp;$B32)</f>
        <v>#NAME?</v>
      </c>
      <c r="S32" s="740" t="e">
        <f ca="1">_xll.BLUEMATRIX2("/servlet/excelData",S31, $C$14,$B31&amp;":"&amp;S$16&amp;S$17&amp;":"&amp;S$19&amp;":"&amp;$B32)</f>
        <v>#NAME?</v>
      </c>
      <c r="T32" s="740" t="e">
        <f ca="1">_xll.BLUEMATRIX2("/servlet/excelData",T31, $C$14,$B31&amp;":"&amp;T$16&amp;T$17&amp;":"&amp;T$19&amp;":"&amp;$B32)</f>
        <v>#NAME?</v>
      </c>
      <c r="U32" s="740" t="e">
        <f ca="1">_xll.BLUEMATRIX2("/servlet/excelData",U31, $C$14,$B31&amp;":"&amp;U$16&amp;U$17&amp;":"&amp;U$19&amp;":"&amp;$B32)</f>
        <v>#NAME?</v>
      </c>
      <c r="V32" s="740" t="e">
        <f ca="1">_xll.BLUEMATRIX2("/servlet/excelData",V31, $C$14,$B31&amp;":"&amp;V$16&amp;V$17&amp;":"&amp;V$19&amp;":"&amp;$B32)</f>
        <v>#NAME?</v>
      </c>
      <c r="W32" s="690" t="e">
        <f ca="1">_xll.BLUEMATRIX2("/servlet/excelData",W31, $C$14,$B31&amp;":"&amp;W$16&amp;W$17&amp;":"&amp;W$19&amp;":"&amp;$B32)</f>
        <v>#NAME?</v>
      </c>
      <c r="X32" s="740" t="e">
        <f ca="1">_xll.BLUEMATRIX2("/servlet/excelData",X31, $C$14,$B31&amp;":"&amp;X$16&amp;X$17&amp;":"&amp;X$19&amp;":"&amp;$B32)</f>
        <v>#NAME?</v>
      </c>
      <c r="Y32" s="740" t="e">
        <f ca="1">_xll.BLUEMATRIX2("/servlet/excelData",Y31, $C$14,$B31&amp;":"&amp;Y$16&amp;Y$17&amp;":"&amp;Y$19&amp;":"&amp;$B32)</f>
        <v>#NAME?</v>
      </c>
      <c r="Z32" s="740" t="e">
        <f ca="1">_xll.BLUEMATRIX2("/servlet/excelData",Z31, $C$14,$B31&amp;":"&amp;Z$16&amp;Z$17&amp;":"&amp;Z$19&amp;":"&amp;$B32)</f>
        <v>#NAME?</v>
      </c>
      <c r="AA32" s="740" t="e">
        <f ca="1">_xll.BLUEMATRIX2("/servlet/excelData",AA31, $C$14,$B31&amp;":"&amp;AA$16&amp;AA$17&amp;":"&amp;AA$19&amp;":"&amp;$B32)</f>
        <v>#NAME?</v>
      </c>
      <c r="AB32" s="690" t="e">
        <f ca="1">_xll.BLUEMATRIX2("/servlet/excelData",AB31, $C$14,$B31&amp;":"&amp;AB$16&amp;AB$17&amp;":"&amp;AB$19&amp;":"&amp;$B32)</f>
        <v>#NAME?</v>
      </c>
      <c r="AC32" s="731"/>
      <c r="AD32" s="731"/>
      <c r="AF32" s="731"/>
      <c r="AG32" s="731"/>
      <c r="AH32" s="731"/>
      <c r="AI32" s="731"/>
      <c r="AJ32" s="731"/>
      <c r="AK32" s="731"/>
      <c r="AL32" s="731"/>
      <c r="AM32" s="731"/>
      <c r="AN32" s="731"/>
      <c r="AO32" s="731"/>
      <c r="AP32" s="731"/>
      <c r="AQ32" s="731"/>
      <c r="AR32" s="731"/>
      <c r="AS32" s="731"/>
      <c r="AT32" s="731"/>
      <c r="AU32" s="731"/>
      <c r="AV32" s="731"/>
      <c r="AW32" s="731"/>
      <c r="AX32" s="731"/>
      <c r="AY32" s="731"/>
      <c r="AZ32" s="731"/>
      <c r="BA32" s="731"/>
      <c r="BB32" s="731"/>
      <c r="BC32" s="731"/>
      <c r="BD32" s="731"/>
      <c r="BE32" s="731"/>
      <c r="BF32" s="731"/>
      <c r="BG32" s="731"/>
      <c r="BH32" s="731"/>
      <c r="BI32" s="731"/>
      <c r="BJ32" s="731"/>
      <c r="BK32" s="731"/>
      <c r="BL32" s="731"/>
      <c r="BM32" s="731"/>
      <c r="BN32" s="731"/>
      <c r="BO32" s="731"/>
      <c r="BP32" s="731"/>
      <c r="BQ32" s="731"/>
      <c r="BR32" s="731"/>
      <c r="BS32" s="731"/>
      <c r="BT32" s="731"/>
      <c r="BU32" s="731"/>
      <c r="BV32" s="731"/>
      <c r="BW32" s="731"/>
      <c r="BX32" s="731"/>
      <c r="BY32" s="731"/>
      <c r="BZ32" s="731"/>
      <c r="CA32" s="731"/>
      <c r="CB32" s="731"/>
      <c r="CC32" s="731"/>
      <c r="CD32" s="731"/>
      <c r="CE32" s="731"/>
      <c r="CF32" s="731"/>
      <c r="CG32" s="731"/>
      <c r="CH32" s="731"/>
      <c r="CI32" s="731"/>
      <c r="CJ32" s="731"/>
      <c r="CK32" s="731"/>
      <c r="CL32" s="731"/>
      <c r="CM32" s="731"/>
      <c r="CN32" s="731"/>
      <c r="CO32" s="731"/>
      <c r="CP32" s="731"/>
      <c r="CQ32" s="731"/>
      <c r="CR32" s="731"/>
      <c r="CS32" s="731"/>
      <c r="CT32" s="731"/>
      <c r="CU32" s="731"/>
      <c r="CV32" s="731"/>
      <c r="CW32" s="731"/>
      <c r="CX32" s="731"/>
      <c r="CY32" s="731"/>
      <c r="CZ32" s="731"/>
      <c r="DA32" s="731"/>
      <c r="DB32" s="731"/>
      <c r="DC32" s="731"/>
      <c r="DD32" s="731"/>
      <c r="DE32" s="731"/>
      <c r="DF32" s="731"/>
      <c r="DG32" s="731"/>
      <c r="DH32" s="731"/>
      <c r="DI32" s="731"/>
      <c r="DJ32" s="731"/>
      <c r="DK32" s="731"/>
      <c r="DL32" s="731"/>
      <c r="DM32" s="731"/>
      <c r="DN32" s="731"/>
      <c r="DO32" s="731"/>
      <c r="DP32" s="731"/>
      <c r="DQ32" s="731"/>
      <c r="DR32" s="731"/>
      <c r="DS32" s="731"/>
      <c r="DT32" s="731"/>
      <c r="DU32" s="731"/>
      <c r="DV32" s="731"/>
      <c r="DW32" s="731"/>
      <c r="DX32" s="731"/>
      <c r="DY32" s="731"/>
      <c r="DZ32" s="731"/>
      <c r="EA32" s="731"/>
      <c r="EB32" s="731"/>
      <c r="EC32" s="731"/>
      <c r="ED32" s="731"/>
      <c r="EE32" s="731"/>
      <c r="EF32" s="731"/>
      <c r="EG32" s="731"/>
      <c r="EH32" s="731"/>
      <c r="EI32" s="731"/>
      <c r="EJ32" s="731"/>
      <c r="EK32" s="731"/>
      <c r="EL32" s="731"/>
      <c r="EM32" s="731"/>
      <c r="EN32" s="731"/>
      <c r="EO32" s="731"/>
      <c r="EP32" s="731"/>
      <c r="EQ32" s="731"/>
      <c r="ER32" s="731"/>
      <c r="ES32" s="731"/>
      <c r="ET32" s="731"/>
      <c r="EU32" s="731"/>
      <c r="EV32" s="731"/>
      <c r="EW32" s="731"/>
      <c r="EX32" s="731"/>
      <c r="EY32" s="731"/>
      <c r="EZ32" s="731"/>
      <c r="FA32" s="731"/>
      <c r="FB32" s="731"/>
      <c r="FC32" s="731"/>
      <c r="FD32" s="731"/>
      <c r="FE32" s="731"/>
      <c r="FF32" s="731"/>
      <c r="FG32" s="731"/>
      <c r="FH32" s="731"/>
      <c r="FI32" s="731"/>
      <c r="FJ32" s="731"/>
      <c r="FK32" s="731"/>
      <c r="FL32" s="731"/>
      <c r="FM32" s="731"/>
      <c r="FN32" s="731"/>
      <c r="FO32" s="731"/>
      <c r="FP32" s="731"/>
      <c r="FQ32" s="731"/>
      <c r="FR32" s="731"/>
      <c r="FS32" s="731"/>
      <c r="FT32" s="731"/>
      <c r="FU32" s="731"/>
      <c r="FV32" s="731"/>
      <c r="FW32" s="731"/>
      <c r="FX32" s="731"/>
      <c r="FY32" s="731"/>
      <c r="FZ32" s="731"/>
      <c r="GA32" s="731"/>
      <c r="GB32" s="731"/>
      <c r="GC32" s="731"/>
      <c r="GD32" s="731"/>
      <c r="GE32" s="731"/>
      <c r="GF32" s="731"/>
      <c r="GG32" s="731"/>
      <c r="GH32" s="731"/>
      <c r="GI32" s="731"/>
      <c r="GJ32" s="731"/>
      <c r="GK32" s="731"/>
      <c r="GL32" s="731"/>
      <c r="GM32" s="731"/>
      <c r="GN32" s="731"/>
      <c r="GO32" s="731"/>
      <c r="GP32" s="731"/>
      <c r="GQ32" s="731"/>
      <c r="GR32" s="731"/>
      <c r="GS32" s="731"/>
      <c r="GT32" s="731"/>
      <c r="GU32" s="731"/>
      <c r="GV32" s="731"/>
      <c r="GW32" s="731"/>
      <c r="GX32" s="731"/>
      <c r="GY32" s="731"/>
      <c r="GZ32" s="731"/>
      <c r="HA32" s="731"/>
      <c r="HB32" s="731"/>
      <c r="HC32" s="731"/>
      <c r="HD32" s="731"/>
      <c r="HE32" s="731"/>
      <c r="HF32" s="731"/>
      <c r="HG32" s="731"/>
      <c r="HH32" s="731"/>
      <c r="HI32" s="731"/>
      <c r="HJ32" s="731"/>
      <c r="HK32" s="731"/>
      <c r="HL32" s="731"/>
      <c r="HM32" s="731"/>
      <c r="HN32" s="731"/>
      <c r="HO32" s="731"/>
      <c r="HP32" s="731"/>
      <c r="HQ32" s="731"/>
      <c r="HR32" s="731"/>
      <c r="HS32" s="731"/>
      <c r="HT32" s="731"/>
      <c r="HU32" s="731"/>
      <c r="HV32" s="731"/>
      <c r="HW32" s="731"/>
      <c r="HX32" s="731"/>
      <c r="HY32" s="731"/>
      <c r="HZ32" s="731"/>
      <c r="IA32" s="731"/>
      <c r="IB32" s="731"/>
      <c r="IC32" s="731"/>
      <c r="ID32" s="731"/>
      <c r="IE32" s="731"/>
      <c r="IF32" s="731"/>
      <c r="IG32" s="731"/>
      <c r="IH32" s="731"/>
      <c r="II32" s="731"/>
      <c r="IJ32" s="731"/>
      <c r="IK32" s="731"/>
      <c r="IL32" s="731"/>
      <c r="IM32" s="731"/>
      <c r="IN32" s="731"/>
      <c r="IO32" s="731"/>
      <c r="IP32" s="731"/>
      <c r="IQ32" s="731"/>
      <c r="IR32" s="731"/>
      <c r="IS32" s="731"/>
      <c r="IT32" s="731"/>
      <c r="IU32" s="731"/>
      <c r="IV32" s="731"/>
    </row>
    <row r="33" spans="1:256">
      <c r="A33" s="741" t="s">
        <v>424</v>
      </c>
      <c r="B33" s="724" t="s">
        <v>425</v>
      </c>
      <c r="C33" s="725"/>
      <c r="D33" s="742"/>
      <c r="E33" s="743"/>
      <c r="F33" s="743"/>
      <c r="G33" s="743"/>
      <c r="H33" s="744"/>
      <c r="I33" s="743"/>
      <c r="J33" s="743"/>
      <c r="K33" s="743"/>
      <c r="L33" s="743"/>
      <c r="M33" s="744"/>
      <c r="N33" s="743"/>
      <c r="O33" s="743"/>
      <c r="P33" s="743"/>
      <c r="Q33" s="743"/>
      <c r="R33" s="744"/>
      <c r="S33" s="743"/>
      <c r="T33" s="743"/>
      <c r="U33" s="743"/>
      <c r="V33" s="743"/>
      <c r="W33" s="744"/>
      <c r="X33" s="743"/>
      <c r="Y33" s="743"/>
      <c r="Z33" s="743"/>
      <c r="AA33" s="743"/>
      <c r="AB33" s="744"/>
    </row>
    <row r="34" spans="1:256">
      <c r="A34" s="745"/>
      <c r="B34" s="727"/>
      <c r="C34" s="728"/>
      <c r="D34" s="746" t="e">
        <f ca="1">_xll.BLUEMATRIX2("/servlet/excelData",D33, $C$14,$B33&amp;":"&amp;D$16&amp;D$17&amp;":"&amp;D$19&amp;":"&amp;$B34)</f>
        <v>#NAME?</v>
      </c>
      <c r="E34" s="729" t="e">
        <f ca="1">_xll.BLUEMATRIX2("/servlet/excelData",E33, $C$14,$B33&amp;":"&amp;E$16&amp;E$17&amp;":"&amp;E$19&amp;":"&amp;$B34)</f>
        <v>#NAME?</v>
      </c>
      <c r="F34" s="729" t="e">
        <f ca="1">_xll.BLUEMATRIX2("/servlet/excelData",F33, $C$14,$B33&amp;":"&amp;F$16&amp;F$17&amp;":"&amp;F$19&amp;":"&amp;$B34)</f>
        <v>#NAME?</v>
      </c>
      <c r="G34" s="729" t="e">
        <f ca="1">_xll.BLUEMATRIX2("/servlet/excelData",G33, $C$14,$B33&amp;":"&amp;G$16&amp;G$17&amp;":"&amp;G$19&amp;":"&amp;$B34)</f>
        <v>#NAME?</v>
      </c>
      <c r="H34" s="730" t="e">
        <f ca="1">_xll.BLUEMATRIX2("/servlet/excelData",H33, $C$14,$B33&amp;":"&amp;H$16&amp;H$17&amp;":"&amp;H$19&amp;":"&amp;$B34)</f>
        <v>#NAME?</v>
      </c>
      <c r="I34" s="729" t="e">
        <f ca="1">_xll.BLUEMATRIX2("/servlet/excelData",I33, $C$14,$B33&amp;":"&amp;I$16&amp;I$17&amp;":"&amp;I$19&amp;":"&amp;$B34)</f>
        <v>#NAME?</v>
      </c>
      <c r="J34" s="729" t="e">
        <f ca="1">_xll.BLUEMATRIX2("/servlet/excelData",J33, $C$14,$B33&amp;":"&amp;J$16&amp;J$17&amp;":"&amp;J$19&amp;":"&amp;$B34)</f>
        <v>#NAME?</v>
      </c>
      <c r="K34" s="729" t="e">
        <f ca="1">_xll.BLUEMATRIX2("/servlet/excelData",K33, $C$14,$B33&amp;":"&amp;K$16&amp;K$17&amp;":"&amp;K$19&amp;":"&amp;$B34)</f>
        <v>#NAME?</v>
      </c>
      <c r="L34" s="729" t="e">
        <f ca="1">_xll.BLUEMATRIX2("/servlet/excelData",L33, $C$14,$B33&amp;":"&amp;L$16&amp;L$17&amp;":"&amp;L$19&amp;":"&amp;$B34)</f>
        <v>#NAME?</v>
      </c>
      <c r="M34" s="730" t="e">
        <f ca="1">_xll.BLUEMATRIX2("/servlet/excelData",M33, $C$14,$B33&amp;":"&amp;M$16&amp;M$17&amp;":"&amp;M$19&amp;":"&amp;$B34)</f>
        <v>#NAME?</v>
      </c>
      <c r="N34" s="729" t="e">
        <f ca="1">_xll.BLUEMATRIX2("/servlet/excelData",N33, $C$14,$B33&amp;":"&amp;N$16&amp;N$17&amp;":"&amp;N$19&amp;":"&amp;$B34)</f>
        <v>#NAME?</v>
      </c>
      <c r="O34" s="729" t="e">
        <f ca="1">_xll.BLUEMATRIX2("/servlet/excelData",O33, $C$14,$B33&amp;":"&amp;O$16&amp;O$17&amp;":"&amp;O$19&amp;":"&amp;$B34)</f>
        <v>#NAME?</v>
      </c>
      <c r="P34" s="729" t="e">
        <f ca="1">_xll.BLUEMATRIX2("/servlet/excelData",P33, $C$14,$B33&amp;":"&amp;P$16&amp;P$17&amp;":"&amp;P$19&amp;":"&amp;$B34)</f>
        <v>#NAME?</v>
      </c>
      <c r="Q34" s="729" t="e">
        <f ca="1">_xll.BLUEMATRIX2("/servlet/excelData",Q33, $C$14,$B33&amp;":"&amp;Q$16&amp;Q$17&amp;":"&amp;Q$19&amp;":"&amp;$B34)</f>
        <v>#NAME?</v>
      </c>
      <c r="R34" s="730" t="e">
        <f ca="1">_xll.BLUEMATRIX2("/servlet/excelData",R33, $C$14,$B33&amp;":"&amp;R$16&amp;R$17&amp;":"&amp;R$19&amp;":"&amp;$B34)</f>
        <v>#NAME?</v>
      </c>
      <c r="S34" s="729" t="e">
        <f ca="1">_xll.BLUEMATRIX2("/servlet/excelData",S33, $C$14,$B33&amp;":"&amp;S$16&amp;S$17&amp;":"&amp;S$19&amp;":"&amp;$B34)</f>
        <v>#NAME?</v>
      </c>
      <c r="T34" s="729" t="e">
        <f ca="1">_xll.BLUEMATRIX2("/servlet/excelData",T33, $C$14,$B33&amp;":"&amp;T$16&amp;T$17&amp;":"&amp;T$19&amp;":"&amp;$B34)</f>
        <v>#NAME?</v>
      </c>
      <c r="U34" s="729" t="e">
        <f ca="1">_xll.BLUEMATRIX2("/servlet/excelData",U33, $C$14,$B33&amp;":"&amp;U$16&amp;U$17&amp;":"&amp;U$19&amp;":"&amp;$B34)</f>
        <v>#NAME?</v>
      </c>
      <c r="V34" s="729" t="e">
        <f ca="1">_xll.BLUEMATRIX2("/servlet/excelData",V33, $C$14,$B33&amp;":"&amp;V$16&amp;V$17&amp;":"&amp;V$19&amp;":"&amp;$B34)</f>
        <v>#NAME?</v>
      </c>
      <c r="W34" s="730" t="e">
        <f ca="1">_xll.BLUEMATRIX2("/servlet/excelData",W33, $C$14,$B33&amp;":"&amp;W$16&amp;W$17&amp;":"&amp;W$19&amp;":"&amp;$B34)</f>
        <v>#NAME?</v>
      </c>
      <c r="X34" s="729" t="e">
        <f ca="1">_xll.BLUEMATRIX2("/servlet/excelData",X33, $C$14,$B33&amp;":"&amp;X$16&amp;X$17&amp;":"&amp;X$19&amp;":"&amp;$B34)</f>
        <v>#NAME?</v>
      </c>
      <c r="Y34" s="729" t="e">
        <f ca="1">_xll.BLUEMATRIX2("/servlet/excelData",Y33, $C$14,$B33&amp;":"&amp;Y$16&amp;Y$17&amp;":"&amp;Y$19&amp;":"&amp;$B34)</f>
        <v>#NAME?</v>
      </c>
      <c r="Z34" s="729" t="e">
        <f ca="1">_xll.BLUEMATRIX2("/servlet/excelData",Z33, $C$14,$B33&amp;":"&amp;Z$16&amp;Z$17&amp;":"&amp;Z$19&amp;":"&amp;$B34)</f>
        <v>#NAME?</v>
      </c>
      <c r="AA34" s="729" t="e">
        <f ca="1">_xll.BLUEMATRIX2("/servlet/excelData",AA33, $C$14,$B33&amp;":"&amp;AA$16&amp;AA$17&amp;":"&amp;AA$19&amp;":"&amp;$B34)</f>
        <v>#NAME?</v>
      </c>
      <c r="AB34" s="730" t="e">
        <f ca="1">_xll.BLUEMATRIX2("/servlet/excelData",AB33, $C$14,$B33&amp;":"&amp;AB$16&amp;AB$17&amp;":"&amp;AB$19&amp;":"&amp;$B34)</f>
        <v>#NAME?</v>
      </c>
      <c r="AC34" s="731"/>
      <c r="AD34" s="731"/>
      <c r="AF34" s="731"/>
      <c r="AG34" s="731"/>
      <c r="AH34" s="731"/>
      <c r="AI34" s="731"/>
      <c r="AJ34" s="731"/>
      <c r="AK34" s="731"/>
      <c r="AL34" s="731"/>
      <c r="AM34" s="731"/>
      <c r="AN34" s="731"/>
      <c r="AO34" s="731"/>
      <c r="AP34" s="731"/>
      <c r="AQ34" s="731"/>
      <c r="AR34" s="731"/>
      <c r="AS34" s="731"/>
      <c r="AT34" s="731"/>
      <c r="AU34" s="731"/>
      <c r="AV34" s="731"/>
      <c r="AW34" s="731"/>
      <c r="AX34" s="731"/>
      <c r="AY34" s="731"/>
      <c r="AZ34" s="731"/>
      <c r="BA34" s="731"/>
      <c r="BB34" s="731"/>
      <c r="BC34" s="731"/>
      <c r="BD34" s="731"/>
      <c r="BE34" s="731"/>
      <c r="BF34" s="731"/>
      <c r="BG34" s="731"/>
      <c r="BH34" s="731"/>
      <c r="BI34" s="731"/>
      <c r="BJ34" s="731"/>
      <c r="BK34" s="731"/>
      <c r="BL34" s="731"/>
      <c r="BM34" s="731"/>
      <c r="BN34" s="731"/>
      <c r="BO34" s="731"/>
      <c r="BP34" s="731"/>
      <c r="BQ34" s="731"/>
      <c r="BR34" s="731"/>
      <c r="BS34" s="731"/>
      <c r="BT34" s="731"/>
      <c r="BU34" s="731"/>
      <c r="BV34" s="731"/>
      <c r="BW34" s="731"/>
      <c r="BX34" s="731"/>
      <c r="BY34" s="731"/>
      <c r="BZ34" s="731"/>
      <c r="CA34" s="731"/>
      <c r="CB34" s="731"/>
      <c r="CC34" s="731"/>
      <c r="CD34" s="731"/>
      <c r="CE34" s="731"/>
      <c r="CF34" s="731"/>
      <c r="CG34" s="731"/>
      <c r="CH34" s="731"/>
      <c r="CI34" s="731"/>
      <c r="CJ34" s="731"/>
      <c r="CK34" s="731"/>
      <c r="CL34" s="731"/>
      <c r="CM34" s="731"/>
      <c r="CN34" s="731"/>
      <c r="CO34" s="731"/>
      <c r="CP34" s="731"/>
      <c r="CQ34" s="731"/>
      <c r="CR34" s="731"/>
      <c r="CS34" s="731"/>
      <c r="CT34" s="731"/>
      <c r="CU34" s="731"/>
      <c r="CV34" s="731"/>
      <c r="CW34" s="731"/>
      <c r="CX34" s="731"/>
      <c r="CY34" s="731"/>
      <c r="CZ34" s="731"/>
      <c r="DA34" s="731"/>
      <c r="DB34" s="731"/>
      <c r="DC34" s="731"/>
      <c r="DD34" s="731"/>
      <c r="DE34" s="731"/>
      <c r="DF34" s="731"/>
      <c r="DG34" s="731"/>
      <c r="DH34" s="731"/>
      <c r="DI34" s="731"/>
      <c r="DJ34" s="731"/>
      <c r="DK34" s="731"/>
      <c r="DL34" s="731"/>
      <c r="DM34" s="731"/>
      <c r="DN34" s="731"/>
      <c r="DO34" s="731"/>
      <c r="DP34" s="731"/>
      <c r="DQ34" s="731"/>
      <c r="DR34" s="731"/>
      <c r="DS34" s="731"/>
      <c r="DT34" s="731"/>
      <c r="DU34" s="731"/>
      <c r="DV34" s="731"/>
      <c r="DW34" s="731"/>
      <c r="DX34" s="731"/>
      <c r="DY34" s="731"/>
      <c r="DZ34" s="731"/>
      <c r="EA34" s="731"/>
      <c r="EB34" s="731"/>
      <c r="EC34" s="731"/>
      <c r="ED34" s="731"/>
      <c r="EE34" s="731"/>
      <c r="EF34" s="731"/>
      <c r="EG34" s="731"/>
      <c r="EH34" s="731"/>
      <c r="EI34" s="731"/>
      <c r="EJ34" s="731"/>
      <c r="EK34" s="731"/>
      <c r="EL34" s="731"/>
      <c r="EM34" s="731"/>
      <c r="EN34" s="731"/>
      <c r="EO34" s="731"/>
      <c r="EP34" s="731"/>
      <c r="EQ34" s="731"/>
      <c r="ER34" s="731"/>
      <c r="ES34" s="731"/>
      <c r="ET34" s="731"/>
      <c r="EU34" s="731"/>
      <c r="EV34" s="731"/>
      <c r="EW34" s="731"/>
      <c r="EX34" s="731"/>
      <c r="EY34" s="731"/>
      <c r="EZ34" s="731"/>
      <c r="FA34" s="731"/>
      <c r="FB34" s="731"/>
      <c r="FC34" s="731"/>
      <c r="FD34" s="731"/>
      <c r="FE34" s="731"/>
      <c r="FF34" s="731"/>
      <c r="FG34" s="731"/>
      <c r="FH34" s="731"/>
      <c r="FI34" s="731"/>
      <c r="FJ34" s="731"/>
      <c r="FK34" s="731"/>
      <c r="FL34" s="731"/>
      <c r="FM34" s="731"/>
      <c r="FN34" s="731"/>
      <c r="FO34" s="731"/>
      <c r="FP34" s="731"/>
      <c r="FQ34" s="731"/>
      <c r="FR34" s="731"/>
      <c r="FS34" s="731"/>
      <c r="FT34" s="731"/>
      <c r="FU34" s="731"/>
      <c r="FV34" s="731"/>
      <c r="FW34" s="731"/>
      <c r="FX34" s="731"/>
      <c r="FY34" s="731"/>
      <c r="FZ34" s="731"/>
      <c r="GA34" s="731"/>
      <c r="GB34" s="731"/>
      <c r="GC34" s="731"/>
      <c r="GD34" s="731"/>
      <c r="GE34" s="731"/>
      <c r="GF34" s="731"/>
      <c r="GG34" s="731"/>
      <c r="GH34" s="731"/>
      <c r="GI34" s="731"/>
      <c r="GJ34" s="731"/>
      <c r="GK34" s="731"/>
      <c r="GL34" s="731"/>
      <c r="GM34" s="731"/>
      <c r="GN34" s="731"/>
      <c r="GO34" s="731"/>
      <c r="GP34" s="731"/>
      <c r="GQ34" s="731"/>
      <c r="GR34" s="731"/>
      <c r="GS34" s="731"/>
      <c r="GT34" s="731"/>
      <c r="GU34" s="731"/>
      <c r="GV34" s="731"/>
      <c r="GW34" s="731"/>
      <c r="GX34" s="731"/>
      <c r="GY34" s="731"/>
      <c r="GZ34" s="731"/>
      <c r="HA34" s="731"/>
      <c r="HB34" s="731"/>
      <c r="HC34" s="731"/>
      <c r="HD34" s="731"/>
      <c r="HE34" s="731"/>
      <c r="HF34" s="731"/>
      <c r="HG34" s="731"/>
      <c r="HH34" s="731"/>
      <c r="HI34" s="731"/>
      <c r="HJ34" s="731"/>
      <c r="HK34" s="731"/>
      <c r="HL34" s="731"/>
      <c r="HM34" s="731"/>
      <c r="HN34" s="731"/>
      <c r="HO34" s="731"/>
      <c r="HP34" s="731"/>
      <c r="HQ34" s="731"/>
      <c r="HR34" s="731"/>
      <c r="HS34" s="731"/>
      <c r="HT34" s="731"/>
      <c r="HU34" s="731"/>
      <c r="HV34" s="731"/>
      <c r="HW34" s="731"/>
      <c r="HX34" s="731"/>
      <c r="HY34" s="731"/>
      <c r="HZ34" s="731"/>
      <c r="IA34" s="731"/>
      <c r="IB34" s="731"/>
      <c r="IC34" s="731"/>
      <c r="ID34" s="731"/>
      <c r="IE34" s="731"/>
      <c r="IF34" s="731"/>
      <c r="IG34" s="731"/>
      <c r="IH34" s="731"/>
      <c r="II34" s="731"/>
      <c r="IJ34" s="731"/>
      <c r="IK34" s="731"/>
      <c r="IL34" s="731"/>
      <c r="IM34" s="731"/>
      <c r="IN34" s="731"/>
      <c r="IO34" s="731"/>
      <c r="IP34" s="731"/>
      <c r="IQ34" s="731"/>
      <c r="IR34" s="731"/>
      <c r="IS34" s="731"/>
      <c r="IT34" s="731"/>
      <c r="IU34" s="731"/>
      <c r="IV34" s="731"/>
    </row>
    <row r="35" spans="1:256">
      <c r="A35" s="750" t="s">
        <v>437</v>
      </c>
      <c r="B35" s="751" t="s">
        <v>437</v>
      </c>
      <c r="C35" s="752"/>
      <c r="D35" s="742"/>
      <c r="E35" s="743"/>
      <c r="F35" s="743"/>
      <c r="G35" s="743"/>
      <c r="H35" s="744"/>
      <c r="I35" s="743"/>
      <c r="J35" s="743"/>
      <c r="K35" s="743"/>
      <c r="L35" s="743"/>
      <c r="M35" s="744"/>
      <c r="N35" s="743"/>
      <c r="O35" s="743"/>
      <c r="P35" s="743"/>
      <c r="Q35" s="743"/>
      <c r="R35" s="744"/>
      <c r="S35" s="743"/>
      <c r="T35" s="743"/>
      <c r="U35" s="743"/>
      <c r="V35" s="743"/>
      <c r="W35" s="744"/>
      <c r="X35" s="743"/>
      <c r="Y35" s="743"/>
      <c r="Z35" s="743"/>
      <c r="AA35" s="743"/>
      <c r="AB35" s="744"/>
    </row>
    <row r="36" spans="1:256">
      <c r="A36" s="753"/>
      <c r="B36" s="727"/>
      <c r="C36" s="754"/>
      <c r="D36" s="746" t="e">
        <f ca="1">_xll.BLUEMATRIX2("/servlet/excelData",D35, $C$14,$B35&amp;":"&amp;D$16&amp;D$17&amp;":"&amp;D$19&amp;":"&amp;$B36)</f>
        <v>#NAME?</v>
      </c>
      <c r="E36" s="729" t="e">
        <f ca="1">_xll.BLUEMATRIX2("/servlet/excelData",E35, $C$14,$B35&amp;":"&amp;E$16&amp;E$17&amp;":"&amp;E$19&amp;":"&amp;$B36)</f>
        <v>#NAME?</v>
      </c>
      <c r="F36" s="729" t="e">
        <f ca="1">_xll.BLUEMATRIX2("/servlet/excelData",F35, $C$14,$B35&amp;":"&amp;F$16&amp;F$17&amp;":"&amp;F$19&amp;":"&amp;$B36)</f>
        <v>#NAME?</v>
      </c>
      <c r="G36" s="729" t="e">
        <f ca="1">_xll.BLUEMATRIX2("/servlet/excelData",G35, $C$14,$B35&amp;":"&amp;G$16&amp;G$17&amp;":"&amp;G$19&amp;":"&amp;$B36)</f>
        <v>#NAME?</v>
      </c>
      <c r="H36" s="730" t="e">
        <f ca="1">_xll.BLUEMATRIX2("/servlet/excelData",H35, $C$14,$B35&amp;":"&amp;H$16&amp;H$17&amp;":"&amp;H$19&amp;":"&amp;$B36)</f>
        <v>#NAME?</v>
      </c>
      <c r="I36" s="729" t="e">
        <f ca="1">_xll.BLUEMATRIX2("/servlet/excelData",I35, $C$14,$B35&amp;":"&amp;I$16&amp;I$17&amp;":"&amp;I$19&amp;":"&amp;$B36)</f>
        <v>#NAME?</v>
      </c>
      <c r="J36" s="729" t="e">
        <f ca="1">_xll.BLUEMATRIX2("/servlet/excelData",J35, $C$14,$B35&amp;":"&amp;J$16&amp;J$17&amp;":"&amp;J$19&amp;":"&amp;$B36)</f>
        <v>#NAME?</v>
      </c>
      <c r="K36" s="729" t="e">
        <f ca="1">_xll.BLUEMATRIX2("/servlet/excelData",K35, $C$14,$B35&amp;":"&amp;K$16&amp;K$17&amp;":"&amp;K$19&amp;":"&amp;$B36)</f>
        <v>#NAME?</v>
      </c>
      <c r="L36" s="729" t="e">
        <f ca="1">_xll.BLUEMATRIX2("/servlet/excelData",L35, $C$14,$B35&amp;":"&amp;L$16&amp;L$17&amp;":"&amp;L$19&amp;":"&amp;$B36)</f>
        <v>#NAME?</v>
      </c>
      <c r="M36" s="730" t="e">
        <f ca="1">_xll.BLUEMATRIX2("/servlet/excelData",M35, $C$14,$B35&amp;":"&amp;M$16&amp;M$17&amp;":"&amp;M$19&amp;":"&amp;$B36)</f>
        <v>#NAME?</v>
      </c>
      <c r="N36" s="729" t="e">
        <f ca="1">_xll.BLUEMATRIX2("/servlet/excelData",N35, $C$14,$B35&amp;":"&amp;N$16&amp;N$17&amp;":"&amp;N$19&amp;":"&amp;$B36)</f>
        <v>#NAME?</v>
      </c>
      <c r="O36" s="729" t="e">
        <f ca="1">_xll.BLUEMATRIX2("/servlet/excelData",O35, $C$14,$B35&amp;":"&amp;O$16&amp;O$17&amp;":"&amp;O$19&amp;":"&amp;$B36)</f>
        <v>#NAME?</v>
      </c>
      <c r="P36" s="729" t="e">
        <f ca="1">_xll.BLUEMATRIX2("/servlet/excelData",P35, $C$14,$B35&amp;":"&amp;P$16&amp;P$17&amp;":"&amp;P$19&amp;":"&amp;$B36)</f>
        <v>#NAME?</v>
      </c>
      <c r="Q36" s="729" t="e">
        <f ca="1">_xll.BLUEMATRIX2("/servlet/excelData",Q35, $C$14,$B35&amp;":"&amp;Q$16&amp;Q$17&amp;":"&amp;Q$19&amp;":"&amp;$B36)</f>
        <v>#NAME?</v>
      </c>
      <c r="R36" s="730" t="e">
        <f ca="1">_xll.BLUEMATRIX2("/servlet/excelData",R35, $C$14,$B35&amp;":"&amp;R$16&amp;R$17&amp;":"&amp;R$19&amp;":"&amp;$B36)</f>
        <v>#NAME?</v>
      </c>
      <c r="S36" s="729" t="e">
        <f ca="1">_xll.BLUEMATRIX2("/servlet/excelData",S35, $C$14,$B35&amp;":"&amp;S$16&amp;S$17&amp;":"&amp;S$19&amp;":"&amp;$B36)</f>
        <v>#NAME?</v>
      </c>
      <c r="T36" s="729" t="e">
        <f ca="1">_xll.BLUEMATRIX2("/servlet/excelData",T35, $C$14,$B35&amp;":"&amp;T$16&amp;T$17&amp;":"&amp;T$19&amp;":"&amp;$B36)</f>
        <v>#NAME?</v>
      </c>
      <c r="U36" s="729" t="e">
        <f ca="1">_xll.BLUEMATRIX2("/servlet/excelData",U35, $C$14,$B35&amp;":"&amp;U$16&amp;U$17&amp;":"&amp;U$19&amp;":"&amp;$B36)</f>
        <v>#NAME?</v>
      </c>
      <c r="V36" s="729" t="e">
        <f ca="1">_xll.BLUEMATRIX2("/servlet/excelData",V35, $C$14,$B35&amp;":"&amp;V$16&amp;V$17&amp;":"&amp;V$19&amp;":"&amp;$B36)</f>
        <v>#NAME?</v>
      </c>
      <c r="W36" s="730" t="e">
        <f ca="1">_xll.BLUEMATRIX2("/servlet/excelData",W35, $C$14,$B35&amp;":"&amp;W$16&amp;W$17&amp;":"&amp;W$19&amp;":"&amp;$B36)</f>
        <v>#NAME?</v>
      </c>
      <c r="X36" s="729" t="e">
        <f ca="1">_xll.BLUEMATRIX2("/servlet/excelData",X35, $C$14,$B35&amp;":"&amp;X$16&amp;X$17&amp;":"&amp;X$19&amp;":"&amp;$B36)</f>
        <v>#NAME?</v>
      </c>
      <c r="Y36" s="729" t="e">
        <f ca="1">_xll.BLUEMATRIX2("/servlet/excelData",Y35, $C$14,$B35&amp;":"&amp;Y$16&amp;Y$17&amp;":"&amp;Y$19&amp;":"&amp;$B36)</f>
        <v>#NAME?</v>
      </c>
      <c r="Z36" s="729" t="e">
        <f ca="1">_xll.BLUEMATRIX2("/servlet/excelData",Z35, $C$14,$B35&amp;":"&amp;Z$16&amp;Z$17&amp;":"&amp;Z$19&amp;":"&amp;$B36)</f>
        <v>#NAME?</v>
      </c>
      <c r="AA36" s="729" t="e">
        <f ca="1">_xll.BLUEMATRIX2("/servlet/excelData",AA35, $C$14,$B35&amp;":"&amp;AA$16&amp;AA$17&amp;":"&amp;AA$19&amp;":"&amp;$B36)</f>
        <v>#NAME?</v>
      </c>
      <c r="AB36" s="730" t="e">
        <f ca="1">_xll.BLUEMATRIX2("/servlet/excelData",AB35, $C$14,$B35&amp;":"&amp;AB$16&amp;AB$17&amp;":"&amp;AB$19&amp;":"&amp;$B36)</f>
        <v>#NAME?</v>
      </c>
      <c r="AC36" s="731"/>
      <c r="AD36" s="731"/>
      <c r="AF36" s="731"/>
      <c r="AG36" s="731"/>
      <c r="AH36" s="731"/>
      <c r="AI36" s="731"/>
      <c r="AJ36" s="731"/>
      <c r="AK36" s="731"/>
      <c r="AL36" s="731"/>
      <c r="AM36" s="731"/>
      <c r="AN36" s="731"/>
      <c r="AO36" s="731"/>
      <c r="AP36" s="731"/>
      <c r="AQ36" s="731"/>
      <c r="AR36" s="731"/>
      <c r="AS36" s="731"/>
      <c r="AT36" s="731"/>
      <c r="AU36" s="731"/>
      <c r="AV36" s="731"/>
      <c r="AW36" s="731"/>
      <c r="AX36" s="731"/>
      <c r="AY36" s="731"/>
      <c r="AZ36" s="731"/>
      <c r="BA36" s="731"/>
      <c r="BB36" s="731"/>
      <c r="BC36" s="731"/>
      <c r="BD36" s="731"/>
      <c r="BE36" s="731"/>
      <c r="BF36" s="731"/>
      <c r="BG36" s="731"/>
      <c r="BH36" s="731"/>
      <c r="BI36" s="731"/>
      <c r="BJ36" s="731"/>
      <c r="BK36" s="731"/>
      <c r="BL36" s="731"/>
      <c r="BM36" s="731"/>
      <c r="BN36" s="731"/>
      <c r="BO36" s="731"/>
      <c r="BP36" s="731"/>
      <c r="BQ36" s="731"/>
      <c r="BR36" s="731"/>
      <c r="BS36" s="731"/>
      <c r="BT36" s="731"/>
      <c r="BU36" s="731"/>
      <c r="BV36" s="731"/>
      <c r="BW36" s="731"/>
      <c r="BX36" s="731"/>
      <c r="BY36" s="731"/>
      <c r="BZ36" s="731"/>
      <c r="CA36" s="731"/>
      <c r="CB36" s="731"/>
      <c r="CC36" s="731"/>
      <c r="CD36" s="731"/>
      <c r="CE36" s="731"/>
      <c r="CF36" s="731"/>
      <c r="CG36" s="731"/>
      <c r="CH36" s="731"/>
      <c r="CI36" s="731"/>
      <c r="CJ36" s="731"/>
      <c r="CK36" s="731"/>
      <c r="CL36" s="731"/>
      <c r="CM36" s="731"/>
      <c r="CN36" s="731"/>
      <c r="CO36" s="731"/>
      <c r="CP36" s="731"/>
      <c r="CQ36" s="731"/>
      <c r="CR36" s="731"/>
      <c r="CS36" s="731"/>
      <c r="CT36" s="731"/>
      <c r="CU36" s="731"/>
      <c r="CV36" s="731"/>
      <c r="CW36" s="731"/>
      <c r="CX36" s="731"/>
      <c r="CY36" s="731"/>
      <c r="CZ36" s="731"/>
      <c r="DA36" s="731"/>
      <c r="DB36" s="731"/>
      <c r="DC36" s="731"/>
      <c r="DD36" s="731"/>
      <c r="DE36" s="731"/>
      <c r="DF36" s="731"/>
      <c r="DG36" s="731"/>
      <c r="DH36" s="731"/>
      <c r="DI36" s="731"/>
      <c r="DJ36" s="731"/>
      <c r="DK36" s="731"/>
      <c r="DL36" s="731"/>
      <c r="DM36" s="731"/>
      <c r="DN36" s="731"/>
      <c r="DO36" s="731"/>
      <c r="DP36" s="731"/>
      <c r="DQ36" s="731"/>
      <c r="DR36" s="731"/>
      <c r="DS36" s="731"/>
      <c r="DT36" s="731"/>
      <c r="DU36" s="731"/>
      <c r="DV36" s="731"/>
      <c r="DW36" s="731"/>
      <c r="DX36" s="731"/>
      <c r="DY36" s="731"/>
      <c r="DZ36" s="731"/>
      <c r="EA36" s="731"/>
      <c r="EB36" s="731"/>
      <c r="EC36" s="731"/>
      <c r="ED36" s="731"/>
      <c r="EE36" s="731"/>
      <c r="EF36" s="731"/>
      <c r="EG36" s="731"/>
      <c r="EH36" s="731"/>
      <c r="EI36" s="731"/>
      <c r="EJ36" s="731"/>
      <c r="EK36" s="731"/>
      <c r="EL36" s="731"/>
      <c r="EM36" s="731"/>
      <c r="EN36" s="731"/>
      <c r="EO36" s="731"/>
      <c r="EP36" s="731"/>
      <c r="EQ36" s="731"/>
      <c r="ER36" s="731"/>
      <c r="ES36" s="731"/>
      <c r="ET36" s="731"/>
      <c r="EU36" s="731"/>
      <c r="EV36" s="731"/>
      <c r="EW36" s="731"/>
      <c r="EX36" s="731"/>
      <c r="EY36" s="731"/>
      <c r="EZ36" s="731"/>
      <c r="FA36" s="731"/>
      <c r="FB36" s="731"/>
      <c r="FC36" s="731"/>
      <c r="FD36" s="731"/>
      <c r="FE36" s="731"/>
      <c r="FF36" s="731"/>
      <c r="FG36" s="731"/>
      <c r="FH36" s="731"/>
      <c r="FI36" s="731"/>
      <c r="FJ36" s="731"/>
      <c r="FK36" s="731"/>
      <c r="FL36" s="731"/>
      <c r="FM36" s="731"/>
      <c r="FN36" s="731"/>
      <c r="FO36" s="731"/>
      <c r="FP36" s="731"/>
      <c r="FQ36" s="731"/>
      <c r="FR36" s="731"/>
      <c r="FS36" s="731"/>
      <c r="FT36" s="731"/>
      <c r="FU36" s="731"/>
      <c r="FV36" s="731"/>
      <c r="FW36" s="731"/>
      <c r="FX36" s="731"/>
      <c r="FY36" s="731"/>
      <c r="FZ36" s="731"/>
      <c r="GA36" s="731"/>
      <c r="GB36" s="731"/>
      <c r="GC36" s="731"/>
      <c r="GD36" s="731"/>
      <c r="GE36" s="731"/>
      <c r="GF36" s="731"/>
      <c r="GG36" s="731"/>
      <c r="GH36" s="731"/>
      <c r="GI36" s="731"/>
      <c r="GJ36" s="731"/>
      <c r="GK36" s="731"/>
      <c r="GL36" s="731"/>
      <c r="GM36" s="731"/>
      <c r="GN36" s="731"/>
      <c r="GO36" s="731"/>
      <c r="GP36" s="731"/>
      <c r="GQ36" s="731"/>
      <c r="GR36" s="731"/>
      <c r="GS36" s="731"/>
      <c r="GT36" s="731"/>
      <c r="GU36" s="731"/>
      <c r="GV36" s="731"/>
      <c r="GW36" s="731"/>
      <c r="GX36" s="731"/>
      <c r="GY36" s="731"/>
      <c r="GZ36" s="731"/>
      <c r="HA36" s="731"/>
      <c r="HB36" s="731"/>
      <c r="HC36" s="731"/>
      <c r="HD36" s="731"/>
      <c r="HE36" s="731"/>
      <c r="HF36" s="731"/>
      <c r="HG36" s="731"/>
      <c r="HH36" s="731"/>
      <c r="HI36" s="731"/>
      <c r="HJ36" s="731"/>
      <c r="HK36" s="731"/>
      <c r="HL36" s="731"/>
      <c r="HM36" s="731"/>
      <c r="HN36" s="731"/>
      <c r="HO36" s="731"/>
      <c r="HP36" s="731"/>
      <c r="HQ36" s="731"/>
      <c r="HR36" s="731"/>
      <c r="HS36" s="731"/>
      <c r="HT36" s="731"/>
      <c r="HU36" s="731"/>
      <c r="HV36" s="731"/>
      <c r="HW36" s="731"/>
      <c r="HX36" s="731"/>
      <c r="HY36" s="731"/>
      <c r="HZ36" s="731"/>
      <c r="IA36" s="731"/>
      <c r="IB36" s="731"/>
      <c r="IC36" s="731"/>
      <c r="ID36" s="731"/>
      <c r="IE36" s="731"/>
      <c r="IF36" s="731"/>
      <c r="IG36" s="731"/>
      <c r="IH36" s="731"/>
      <c r="II36" s="731"/>
      <c r="IJ36" s="731"/>
      <c r="IK36" s="731"/>
      <c r="IL36" s="731"/>
      <c r="IM36" s="731"/>
      <c r="IN36" s="731"/>
      <c r="IO36" s="731"/>
      <c r="IP36" s="731"/>
      <c r="IQ36" s="731"/>
      <c r="IR36" s="731"/>
      <c r="IS36" s="731"/>
      <c r="IT36" s="731"/>
      <c r="IU36" s="731"/>
      <c r="IV36" s="731"/>
    </row>
    <row r="37" spans="1:256">
      <c r="B37" s="682"/>
    </row>
    <row r="38" spans="1:256">
      <c r="A38" s="755"/>
      <c r="B38" s="755"/>
    </row>
    <row r="39" spans="1:256">
      <c r="A39" s="755"/>
      <c r="B39" s="755"/>
    </row>
    <row r="40" spans="1:256">
      <c r="A40" s="755"/>
      <c r="B40" s="755"/>
    </row>
    <row r="41" spans="1:256">
      <c r="A41" s="755"/>
      <c r="B41" s="755"/>
    </row>
    <row r="42" spans="1:256">
      <c r="A42" s="755"/>
      <c r="B42" s="755"/>
    </row>
    <row r="43" spans="1:256">
      <c r="A43" s="755"/>
      <c r="B43" s="755"/>
    </row>
    <row r="44" spans="1:256">
      <c r="D44" s="692" t="s">
        <v>438</v>
      </c>
    </row>
    <row r="45" spans="1:256">
      <c r="A45" s="692" t="s">
        <v>439</v>
      </c>
      <c r="B45" s="692">
        <v>3</v>
      </c>
      <c r="C45" s="756"/>
      <c r="D45" s="682">
        <v>0</v>
      </c>
    </row>
    <row r="46" spans="1:256">
      <c r="A46" s="692" t="s">
        <v>440</v>
      </c>
      <c r="B46" s="692">
        <v>6</v>
      </c>
      <c r="C46" s="756"/>
      <c r="D46" s="682">
        <v>0</v>
      </c>
    </row>
    <row r="47" spans="1:256">
      <c r="A47" s="692" t="s">
        <v>441</v>
      </c>
      <c r="B47" s="692">
        <v>9</v>
      </c>
      <c r="C47" s="756"/>
      <c r="D47" s="682">
        <v>0</v>
      </c>
    </row>
    <row r="48" spans="1:256">
      <c r="A48" s="692" t="s">
        <v>442</v>
      </c>
      <c r="B48" s="692">
        <v>12</v>
      </c>
      <c r="C48" s="756"/>
      <c r="D48" s="682">
        <v>0</v>
      </c>
    </row>
  </sheetData>
  <dataValidations count="1">
    <dataValidation type="list" allowBlank="1" showInputMessage="1" showErrorMessage="1"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5546 IY65546 SU65546 ACQ65546 AMM65546 AWI65546 BGE65546 BQA65546 BZW65546 CJS65546 CTO65546 DDK65546 DNG65546 DXC65546 EGY65546 EQU65546 FAQ65546 FKM65546 FUI65546 GEE65546 GOA65546 GXW65546 HHS65546 HRO65546 IBK65546 ILG65546 IVC65546 JEY65546 JOU65546 JYQ65546 KIM65546 KSI65546 LCE65546 LMA65546 LVW65546 MFS65546 MPO65546 MZK65546 NJG65546 NTC65546 OCY65546 OMU65546 OWQ65546 PGM65546 PQI65546 QAE65546 QKA65546 QTW65546 RDS65546 RNO65546 RXK65546 SHG65546 SRC65546 TAY65546 TKU65546 TUQ65546 UEM65546 UOI65546 UYE65546 VIA65546 VRW65546 WBS65546 WLO65546 WVK65546 C131082 IY131082 SU131082 ACQ131082 AMM131082 AWI131082 BGE131082 BQA131082 BZW131082 CJS131082 CTO131082 DDK131082 DNG131082 DXC131082 EGY131082 EQU131082 FAQ131082 FKM131082 FUI131082 GEE131082 GOA131082 GXW131082 HHS131082 HRO131082 IBK131082 ILG131082 IVC131082 JEY131082 JOU131082 JYQ131082 KIM131082 KSI131082 LCE131082 LMA131082 LVW131082 MFS131082 MPO131082 MZK131082 NJG131082 NTC131082 OCY131082 OMU131082 OWQ131082 PGM131082 PQI131082 QAE131082 QKA131082 QTW131082 RDS131082 RNO131082 RXK131082 SHG131082 SRC131082 TAY131082 TKU131082 TUQ131082 UEM131082 UOI131082 UYE131082 VIA131082 VRW131082 WBS131082 WLO131082 WVK131082 C196618 IY196618 SU196618 ACQ196618 AMM196618 AWI196618 BGE196618 BQA196618 BZW196618 CJS196618 CTO196618 DDK196618 DNG196618 DXC196618 EGY196618 EQU196618 FAQ196618 FKM196618 FUI196618 GEE196618 GOA196618 GXW196618 HHS196618 HRO196618 IBK196618 ILG196618 IVC196618 JEY196618 JOU196618 JYQ196618 KIM196618 KSI196618 LCE196618 LMA196618 LVW196618 MFS196618 MPO196618 MZK196618 NJG196618 NTC196618 OCY196618 OMU196618 OWQ196618 PGM196618 PQI196618 QAE196618 QKA196618 QTW196618 RDS196618 RNO196618 RXK196618 SHG196618 SRC196618 TAY196618 TKU196618 TUQ196618 UEM196618 UOI196618 UYE196618 VIA196618 VRW196618 WBS196618 WLO196618 WVK196618 C262154 IY262154 SU262154 ACQ262154 AMM262154 AWI262154 BGE262154 BQA262154 BZW262154 CJS262154 CTO262154 DDK262154 DNG262154 DXC262154 EGY262154 EQU262154 FAQ262154 FKM262154 FUI262154 GEE262154 GOA262154 GXW262154 HHS262154 HRO262154 IBK262154 ILG262154 IVC262154 JEY262154 JOU262154 JYQ262154 KIM262154 KSI262154 LCE262154 LMA262154 LVW262154 MFS262154 MPO262154 MZK262154 NJG262154 NTC262154 OCY262154 OMU262154 OWQ262154 PGM262154 PQI262154 QAE262154 QKA262154 QTW262154 RDS262154 RNO262154 RXK262154 SHG262154 SRC262154 TAY262154 TKU262154 TUQ262154 UEM262154 UOI262154 UYE262154 VIA262154 VRW262154 WBS262154 WLO262154 WVK262154 C327690 IY327690 SU327690 ACQ327690 AMM327690 AWI327690 BGE327690 BQA327690 BZW327690 CJS327690 CTO327690 DDK327690 DNG327690 DXC327690 EGY327690 EQU327690 FAQ327690 FKM327690 FUI327690 GEE327690 GOA327690 GXW327690 HHS327690 HRO327690 IBK327690 ILG327690 IVC327690 JEY327690 JOU327690 JYQ327690 KIM327690 KSI327690 LCE327690 LMA327690 LVW327690 MFS327690 MPO327690 MZK327690 NJG327690 NTC327690 OCY327690 OMU327690 OWQ327690 PGM327690 PQI327690 QAE327690 QKA327690 QTW327690 RDS327690 RNO327690 RXK327690 SHG327690 SRC327690 TAY327690 TKU327690 TUQ327690 UEM327690 UOI327690 UYE327690 VIA327690 VRW327690 WBS327690 WLO327690 WVK327690 C393226 IY393226 SU393226 ACQ393226 AMM393226 AWI393226 BGE393226 BQA393226 BZW393226 CJS393226 CTO393226 DDK393226 DNG393226 DXC393226 EGY393226 EQU393226 FAQ393226 FKM393226 FUI393226 GEE393226 GOA393226 GXW393226 HHS393226 HRO393226 IBK393226 ILG393226 IVC393226 JEY393226 JOU393226 JYQ393226 KIM393226 KSI393226 LCE393226 LMA393226 LVW393226 MFS393226 MPO393226 MZK393226 NJG393226 NTC393226 OCY393226 OMU393226 OWQ393226 PGM393226 PQI393226 QAE393226 QKA393226 QTW393226 RDS393226 RNO393226 RXK393226 SHG393226 SRC393226 TAY393226 TKU393226 TUQ393226 UEM393226 UOI393226 UYE393226 VIA393226 VRW393226 WBS393226 WLO393226 WVK393226 C458762 IY458762 SU458762 ACQ458762 AMM458762 AWI458762 BGE458762 BQA458762 BZW458762 CJS458762 CTO458762 DDK458762 DNG458762 DXC458762 EGY458762 EQU458762 FAQ458762 FKM458762 FUI458762 GEE458762 GOA458762 GXW458762 HHS458762 HRO458762 IBK458762 ILG458762 IVC458762 JEY458762 JOU458762 JYQ458762 KIM458762 KSI458762 LCE458762 LMA458762 LVW458762 MFS458762 MPO458762 MZK458762 NJG458762 NTC458762 OCY458762 OMU458762 OWQ458762 PGM458762 PQI458762 QAE458762 QKA458762 QTW458762 RDS458762 RNO458762 RXK458762 SHG458762 SRC458762 TAY458762 TKU458762 TUQ458762 UEM458762 UOI458762 UYE458762 VIA458762 VRW458762 WBS458762 WLO458762 WVK458762 C524298 IY524298 SU524298 ACQ524298 AMM524298 AWI524298 BGE524298 BQA524298 BZW524298 CJS524298 CTO524298 DDK524298 DNG524298 DXC524298 EGY524298 EQU524298 FAQ524298 FKM524298 FUI524298 GEE524298 GOA524298 GXW524298 HHS524298 HRO524298 IBK524298 ILG524298 IVC524298 JEY524298 JOU524298 JYQ524298 KIM524298 KSI524298 LCE524298 LMA524298 LVW524298 MFS524298 MPO524298 MZK524298 NJG524298 NTC524298 OCY524298 OMU524298 OWQ524298 PGM524298 PQI524298 QAE524298 QKA524298 QTW524298 RDS524298 RNO524298 RXK524298 SHG524298 SRC524298 TAY524298 TKU524298 TUQ524298 UEM524298 UOI524298 UYE524298 VIA524298 VRW524298 WBS524298 WLO524298 WVK524298 C589834 IY589834 SU589834 ACQ589834 AMM589834 AWI589834 BGE589834 BQA589834 BZW589834 CJS589834 CTO589834 DDK589834 DNG589834 DXC589834 EGY589834 EQU589834 FAQ589834 FKM589834 FUI589834 GEE589834 GOA589834 GXW589834 HHS589834 HRO589834 IBK589834 ILG589834 IVC589834 JEY589834 JOU589834 JYQ589834 KIM589834 KSI589834 LCE589834 LMA589834 LVW589834 MFS589834 MPO589834 MZK589834 NJG589834 NTC589834 OCY589834 OMU589834 OWQ589834 PGM589834 PQI589834 QAE589834 QKA589834 QTW589834 RDS589834 RNO589834 RXK589834 SHG589834 SRC589834 TAY589834 TKU589834 TUQ589834 UEM589834 UOI589834 UYE589834 VIA589834 VRW589834 WBS589834 WLO589834 WVK589834 C655370 IY655370 SU655370 ACQ655370 AMM655370 AWI655370 BGE655370 BQA655370 BZW655370 CJS655370 CTO655370 DDK655370 DNG655370 DXC655370 EGY655370 EQU655370 FAQ655370 FKM655370 FUI655370 GEE655370 GOA655370 GXW655370 HHS655370 HRO655370 IBK655370 ILG655370 IVC655370 JEY655370 JOU655370 JYQ655370 KIM655370 KSI655370 LCE655370 LMA655370 LVW655370 MFS655370 MPO655370 MZK655370 NJG655370 NTC655370 OCY655370 OMU655370 OWQ655370 PGM655370 PQI655370 QAE655370 QKA655370 QTW655370 RDS655370 RNO655370 RXK655370 SHG655370 SRC655370 TAY655370 TKU655370 TUQ655370 UEM655370 UOI655370 UYE655370 VIA655370 VRW655370 WBS655370 WLO655370 WVK655370 C720906 IY720906 SU720906 ACQ720906 AMM720906 AWI720906 BGE720906 BQA720906 BZW720906 CJS720906 CTO720906 DDK720906 DNG720906 DXC720906 EGY720906 EQU720906 FAQ720906 FKM720906 FUI720906 GEE720906 GOA720906 GXW720906 HHS720906 HRO720906 IBK720906 ILG720906 IVC720906 JEY720906 JOU720906 JYQ720906 KIM720906 KSI720906 LCE720906 LMA720906 LVW720906 MFS720906 MPO720906 MZK720906 NJG720906 NTC720906 OCY720906 OMU720906 OWQ720906 PGM720906 PQI720906 QAE720906 QKA720906 QTW720906 RDS720906 RNO720906 RXK720906 SHG720906 SRC720906 TAY720906 TKU720906 TUQ720906 UEM720906 UOI720906 UYE720906 VIA720906 VRW720906 WBS720906 WLO720906 WVK720906 C786442 IY786442 SU786442 ACQ786442 AMM786442 AWI786442 BGE786442 BQA786442 BZW786442 CJS786442 CTO786442 DDK786442 DNG786442 DXC786442 EGY786442 EQU786442 FAQ786442 FKM786442 FUI786442 GEE786442 GOA786442 GXW786442 HHS786442 HRO786442 IBK786442 ILG786442 IVC786442 JEY786442 JOU786442 JYQ786442 KIM786442 KSI786442 LCE786442 LMA786442 LVW786442 MFS786442 MPO786442 MZK786442 NJG786442 NTC786442 OCY786442 OMU786442 OWQ786442 PGM786442 PQI786442 QAE786442 QKA786442 QTW786442 RDS786442 RNO786442 RXK786442 SHG786442 SRC786442 TAY786442 TKU786442 TUQ786442 UEM786442 UOI786442 UYE786442 VIA786442 VRW786442 WBS786442 WLO786442 WVK786442 C851978 IY851978 SU851978 ACQ851978 AMM851978 AWI851978 BGE851978 BQA851978 BZW851978 CJS851978 CTO851978 DDK851978 DNG851978 DXC851978 EGY851978 EQU851978 FAQ851978 FKM851978 FUI851978 GEE851978 GOA851978 GXW851978 HHS851978 HRO851978 IBK851978 ILG851978 IVC851978 JEY851978 JOU851978 JYQ851978 KIM851978 KSI851978 LCE851978 LMA851978 LVW851978 MFS851978 MPO851978 MZK851978 NJG851978 NTC851978 OCY851978 OMU851978 OWQ851978 PGM851978 PQI851978 QAE851978 QKA851978 QTW851978 RDS851978 RNO851978 RXK851978 SHG851978 SRC851978 TAY851978 TKU851978 TUQ851978 UEM851978 UOI851978 UYE851978 VIA851978 VRW851978 WBS851978 WLO851978 WVK851978 C917514 IY917514 SU917514 ACQ917514 AMM917514 AWI917514 BGE917514 BQA917514 BZW917514 CJS917514 CTO917514 DDK917514 DNG917514 DXC917514 EGY917514 EQU917514 FAQ917514 FKM917514 FUI917514 GEE917514 GOA917514 GXW917514 HHS917514 HRO917514 IBK917514 ILG917514 IVC917514 JEY917514 JOU917514 JYQ917514 KIM917514 KSI917514 LCE917514 LMA917514 LVW917514 MFS917514 MPO917514 MZK917514 NJG917514 NTC917514 OCY917514 OMU917514 OWQ917514 PGM917514 PQI917514 QAE917514 QKA917514 QTW917514 RDS917514 RNO917514 RXK917514 SHG917514 SRC917514 TAY917514 TKU917514 TUQ917514 UEM917514 UOI917514 UYE917514 VIA917514 VRW917514 WBS917514 WLO917514 WVK917514 C983050 IY983050 SU983050 ACQ983050 AMM983050 AWI983050 BGE983050 BQA983050 BZW983050 CJS983050 CTO983050 DDK983050 DNG983050 DXC983050 EGY983050 EQU983050 FAQ983050 FKM983050 FUI983050 GEE983050 GOA983050 GXW983050 HHS983050 HRO983050 IBK983050 ILG983050 IVC983050 JEY983050 JOU983050 JYQ983050 KIM983050 KSI983050 LCE983050 LMA983050 LVW983050 MFS983050 MPO983050 MZK983050 NJG983050 NTC983050 OCY983050 OMU983050 OWQ983050 PGM983050 PQI983050 QAE983050 QKA983050 QTW983050 RDS983050 RNO983050 RXK983050 SHG983050 SRC983050 TAY983050 TKU983050 TUQ983050 UEM983050 UOI983050 UYE983050 VIA983050 VRW983050 WBS983050 WLO983050 WVK983050" xr:uid="{B09ACEC7-9934-48F1-9E1F-16319DA30874}">
      <formula1>$AC$5:$AC$12</formula1>
    </dataValidation>
  </dataValidations>
  <hyperlinks>
    <hyperlink ref="A4" r:id="rId1" xr:uid="{4886B85F-C691-4935-97DD-DB45B4D63AA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E6:L49"/>
  <sheetViews>
    <sheetView showGridLines="0" zoomScale="85" zoomScaleNormal="85" workbookViewId="0">
      <selection activeCell="E46" sqref="E46"/>
    </sheetView>
  </sheetViews>
  <sheetFormatPr defaultRowHeight="13.5"/>
  <cols>
    <col min="5" max="5" width="30.875" bestFit="1" customWidth="1"/>
    <col min="6" max="10" width="14.625" bestFit="1" customWidth="1"/>
    <col min="11" max="11" width="16.625" customWidth="1"/>
    <col min="12" max="12" width="14.625" bestFit="1" customWidth="1"/>
  </cols>
  <sheetData>
    <row r="6" spans="5:12">
      <c r="E6" s="404" t="s">
        <v>315</v>
      </c>
      <c r="F6" s="404">
        <v>2017</v>
      </c>
      <c r="G6" s="404">
        <v>2018</v>
      </c>
      <c r="H6" s="405" t="s">
        <v>301</v>
      </c>
      <c r="I6" s="405" t="s">
        <v>285</v>
      </c>
      <c r="J6" s="405" t="s">
        <v>295</v>
      </c>
      <c r="K6" s="405" t="s">
        <v>302</v>
      </c>
      <c r="L6" s="405" t="s">
        <v>303</v>
      </c>
    </row>
    <row r="7" spans="5:12">
      <c r="E7" t="s">
        <v>300</v>
      </c>
    </row>
    <row r="8" spans="5:12">
      <c r="E8" t="s">
        <v>296</v>
      </c>
      <c r="F8" s="35">
        <v>14513951</v>
      </c>
      <c r="G8" s="35">
        <v>14090803</v>
      </c>
      <c r="H8" s="35">
        <v>13384461</v>
      </c>
      <c r="I8" s="35">
        <v>12595348</v>
      </c>
      <c r="J8" s="35">
        <v>11666582</v>
      </c>
      <c r="K8" s="35">
        <v>10640384</v>
      </c>
      <c r="L8" s="35">
        <v>9551984</v>
      </c>
    </row>
    <row r="9" spans="5:12">
      <c r="E9" t="s">
        <v>297</v>
      </c>
      <c r="G9" s="353">
        <f t="shared" ref="G9:L9" si="0">G8/F8-1</f>
        <v>-2.9154569972022037E-2</v>
      </c>
      <c r="H9" s="353">
        <f t="shared" si="0"/>
        <v>-5.0127874188575339E-2</v>
      </c>
      <c r="I9" s="353">
        <f t="shared" si="0"/>
        <v>-5.8957398433900354E-2</v>
      </c>
      <c r="J9" s="353">
        <f t="shared" si="0"/>
        <v>-7.3738812139212073E-2</v>
      </c>
      <c r="K9" s="353">
        <f t="shared" si="0"/>
        <v>-8.7960466913102775E-2</v>
      </c>
      <c r="L9" s="353">
        <f t="shared" si="0"/>
        <v>-0.10228954143008373</v>
      </c>
    </row>
    <row r="10" spans="5:12">
      <c r="E10" t="s">
        <v>298</v>
      </c>
      <c r="F10" s="353">
        <f>F8/F16</f>
        <v>0.90140069097682685</v>
      </c>
      <c r="G10" s="353">
        <f t="shared" ref="G10:L10" si="1">G8/G16</f>
        <v>0.87700290228472688</v>
      </c>
      <c r="H10" s="353">
        <f t="shared" si="1"/>
        <v>0.84744244108201705</v>
      </c>
      <c r="I10" s="353">
        <f t="shared" si="1"/>
        <v>0.81347067637103809</v>
      </c>
      <c r="J10" s="353">
        <f t="shared" si="1"/>
        <v>0.77005103693294985</v>
      </c>
      <c r="K10" s="353">
        <f t="shared" si="1"/>
        <v>0.71885695060266275</v>
      </c>
      <c r="L10" s="353">
        <f t="shared" si="1"/>
        <v>0.66195975898858583</v>
      </c>
    </row>
    <row r="12" spans="5:12">
      <c r="E12" t="s">
        <v>299</v>
      </c>
      <c r="F12" s="35">
        <v>1587602</v>
      </c>
      <c r="G12" s="35">
        <v>1976194</v>
      </c>
      <c r="H12" s="35">
        <v>2409486</v>
      </c>
      <c r="I12" s="35">
        <v>2888121</v>
      </c>
      <c r="J12" s="35">
        <v>3483819</v>
      </c>
      <c r="K12" s="35">
        <v>4161426</v>
      </c>
      <c r="L12" s="35">
        <v>4877872</v>
      </c>
    </row>
    <row r="13" spans="5:12">
      <c r="E13" t="s">
        <v>297</v>
      </c>
      <c r="G13" s="353">
        <f t="shared" ref="G13:L13" si="2">G12/F12-1</f>
        <v>0.24476663546657162</v>
      </c>
      <c r="H13" s="353">
        <f t="shared" si="2"/>
        <v>0.21925580180893167</v>
      </c>
      <c r="I13" s="353">
        <f t="shared" si="2"/>
        <v>0.19864610128467231</v>
      </c>
      <c r="J13" s="353">
        <f t="shared" si="2"/>
        <v>0.2062579788035197</v>
      </c>
      <c r="K13" s="353">
        <f t="shared" si="2"/>
        <v>0.19450120686522454</v>
      </c>
      <c r="L13" s="353">
        <f t="shared" si="2"/>
        <v>0.17216358046496572</v>
      </c>
    </row>
    <row r="14" spans="5:12">
      <c r="E14" t="s">
        <v>298</v>
      </c>
      <c r="F14" s="353">
        <f>F12/F16</f>
        <v>9.8599309023173112E-2</v>
      </c>
      <c r="G14" s="353">
        <f t="shared" ref="G14:L14" si="3">G12/G16</f>
        <v>0.12299709771527312</v>
      </c>
      <c r="H14" s="353">
        <f t="shared" si="3"/>
        <v>0.15255755891798295</v>
      </c>
      <c r="I14" s="353">
        <f t="shared" si="3"/>
        <v>0.18652932362896196</v>
      </c>
      <c r="J14" s="353">
        <f t="shared" si="3"/>
        <v>0.22994896306705018</v>
      </c>
      <c r="K14" s="353">
        <f t="shared" si="3"/>
        <v>0.2811430493973372</v>
      </c>
      <c r="L14" s="353">
        <f t="shared" si="3"/>
        <v>0.33804024101141411</v>
      </c>
    </row>
    <row r="16" spans="5:12">
      <c r="E16" t="s">
        <v>305</v>
      </c>
      <c r="F16" s="398">
        <f>SUM(F12,F8)</f>
        <v>16101553</v>
      </c>
      <c r="G16" s="398">
        <f t="shared" ref="G16:L16" si="4">SUM(G12,G8)</f>
        <v>16066997</v>
      </c>
      <c r="H16" s="398">
        <f t="shared" si="4"/>
        <v>15793947</v>
      </c>
      <c r="I16" s="398">
        <f t="shared" si="4"/>
        <v>15483469</v>
      </c>
      <c r="J16" s="398">
        <f t="shared" si="4"/>
        <v>15150401</v>
      </c>
      <c r="K16" s="398">
        <f t="shared" si="4"/>
        <v>14801810</v>
      </c>
      <c r="L16" s="398">
        <f t="shared" si="4"/>
        <v>14429856</v>
      </c>
    </row>
    <row r="17" spans="5:12">
      <c r="E17" t="s">
        <v>297</v>
      </c>
      <c r="G17" s="353">
        <f t="shared" ref="G17:L17" si="5">G16/F16-1</f>
        <v>-2.1461283889820937E-3</v>
      </c>
      <c r="H17" s="353">
        <f t="shared" si="5"/>
        <v>-1.699446386901049E-2</v>
      </c>
      <c r="I17" s="353">
        <f t="shared" si="5"/>
        <v>-1.9658037348105561E-2</v>
      </c>
      <c r="J17" s="353">
        <f t="shared" si="5"/>
        <v>-2.1511200106384409E-2</v>
      </c>
      <c r="K17" s="353">
        <f t="shared" si="5"/>
        <v>-2.3008697921592991E-2</v>
      </c>
      <c r="L17" s="353">
        <f t="shared" si="5"/>
        <v>-2.5128953823890465E-2</v>
      </c>
    </row>
    <row r="19" spans="5:12">
      <c r="E19" t="s">
        <v>306</v>
      </c>
      <c r="F19">
        <v>2.1</v>
      </c>
      <c r="G19">
        <v>2.7</v>
      </c>
      <c r="H19">
        <v>3.5</v>
      </c>
      <c r="I19">
        <v>4.5</v>
      </c>
      <c r="J19">
        <v>5.8</v>
      </c>
      <c r="K19">
        <v>7.3</v>
      </c>
      <c r="L19" s="399">
        <v>9</v>
      </c>
    </row>
    <row r="20" spans="5:12">
      <c r="L20" s="399"/>
    </row>
    <row r="21" spans="5:12">
      <c r="E21" s="400" t="s">
        <v>309</v>
      </c>
    </row>
    <row r="22" spans="5:12">
      <c r="E22" t="s">
        <v>307</v>
      </c>
      <c r="F22" s="398">
        <f>F25</f>
        <v>125509.81333333334</v>
      </c>
      <c r="G22" s="398">
        <f>G25</f>
        <v>159358.98000000001</v>
      </c>
      <c r="H22" s="398">
        <f>H25</f>
        <v>201115.47333333333</v>
      </c>
      <c r="I22" s="398">
        <f>I25</f>
        <v>267709.84000000003</v>
      </c>
      <c r="J22" s="398">
        <f>J25</f>
        <v>375039.80666666664</v>
      </c>
      <c r="K22" s="398">
        <f>K23*K16</f>
        <v>310838.01</v>
      </c>
      <c r="L22" s="398">
        <f>L23*L16</f>
        <v>360746.4</v>
      </c>
    </row>
    <row r="23" spans="5:12">
      <c r="E23" t="s">
        <v>304</v>
      </c>
      <c r="F23" s="353">
        <f>F22/F16</f>
        <v>7.7948886876522622E-3</v>
      </c>
      <c r="G23" s="353">
        <f>G22/G16</f>
        <v>9.9184047896442636E-3</v>
      </c>
      <c r="H23" s="353">
        <f>H22/H16</f>
        <v>1.2733705724942177E-2</v>
      </c>
      <c r="I23" s="353">
        <f>I22/I16</f>
        <v>1.7290042690045752E-2</v>
      </c>
      <c r="J23" s="353">
        <f>J22/J16</f>
        <v>2.4754447533544929E-2</v>
      </c>
      <c r="K23" s="353">
        <v>2.1000000000000001E-2</v>
      </c>
      <c r="L23" s="353">
        <v>2.5000000000000001E-2</v>
      </c>
    </row>
    <row r="25" spans="5:12">
      <c r="E25" t="s">
        <v>308</v>
      </c>
      <c r="F25" s="398">
        <f>F26/1500</f>
        <v>125509.81333333334</v>
      </c>
      <c r="G25" s="398">
        <f>G26/1500</f>
        <v>159358.98000000001</v>
      </c>
      <c r="H25" s="398">
        <f>H26/1500</f>
        <v>201115.47333333333</v>
      </c>
      <c r="I25" s="398">
        <f>I26/1500</f>
        <v>267709.84000000003</v>
      </c>
      <c r="J25" s="398">
        <f>J26/1500</f>
        <v>375039.80666666664</v>
      </c>
      <c r="K25" s="398">
        <f>K22</f>
        <v>310838.01</v>
      </c>
      <c r="L25" s="398">
        <f>L22</f>
        <v>360746.4</v>
      </c>
    </row>
    <row r="26" spans="5:12">
      <c r="E26" t="s">
        <v>287</v>
      </c>
      <c r="F26" s="35">
        <f>'Income Statement'!AH9*1000</f>
        <v>188264720</v>
      </c>
      <c r="G26" s="35">
        <f>'Income Statement'!AM9*1000</f>
        <v>239038470.00000003</v>
      </c>
      <c r="H26" s="35">
        <f>'Income Statement'!AR9*1000</f>
        <v>301673210</v>
      </c>
      <c r="I26" s="35">
        <f>'Income Statement'!AW9*1000</f>
        <v>401564760</v>
      </c>
      <c r="J26" s="35">
        <f>'Income Statement'!BB9*1000</f>
        <v>562559710</v>
      </c>
      <c r="K26" s="398">
        <f>K25*1500</f>
        <v>466257015</v>
      </c>
      <c r="L26" s="398">
        <f>L25*1500</f>
        <v>541119600</v>
      </c>
    </row>
    <row r="27" spans="5:12">
      <c r="E27" t="s">
        <v>297</v>
      </c>
      <c r="F27" s="353"/>
      <c r="G27" s="353">
        <f t="shared" ref="G27:L27" si="6">G26/F26-1</f>
        <v>0.26969338705626855</v>
      </c>
      <c r="H27" s="353">
        <f t="shared" si="6"/>
        <v>0.2620278652218615</v>
      </c>
      <c r="I27" s="353">
        <f t="shared" si="6"/>
        <v>0.33112502764166574</v>
      </c>
      <c r="J27" s="353">
        <f t="shared" si="6"/>
        <v>0.40091901988610745</v>
      </c>
      <c r="K27" s="353">
        <f t="shared" si="6"/>
        <v>-0.17118661946124791</v>
      </c>
      <c r="L27" s="353">
        <f t="shared" si="6"/>
        <v>0.16056076925727325</v>
      </c>
    </row>
    <row r="29" spans="5:12">
      <c r="E29" s="400" t="s">
        <v>310</v>
      </c>
    </row>
    <row r="30" spans="5:12">
      <c r="E30" t="s">
        <v>307</v>
      </c>
      <c r="F30" s="398">
        <f t="shared" ref="F30:H31" si="7">F22</f>
        <v>125509.81333333334</v>
      </c>
      <c r="G30" s="398">
        <f t="shared" si="7"/>
        <v>159358.98000000001</v>
      </c>
      <c r="H30" s="398">
        <f t="shared" si="7"/>
        <v>201115.47333333333</v>
      </c>
      <c r="I30" s="398">
        <f>I32/1500</f>
        <v>251394.34166666667</v>
      </c>
      <c r="J30" s="398">
        <f>J32/1500</f>
        <v>314242.92708333331</v>
      </c>
      <c r="K30" s="398">
        <f>K32/1500</f>
        <v>392803.65885416669</v>
      </c>
      <c r="L30" s="398">
        <f>L32/1500</f>
        <v>491004.57356770831</v>
      </c>
    </row>
    <row r="31" spans="5:12">
      <c r="E31" t="s">
        <v>304</v>
      </c>
      <c r="F31" s="401">
        <f t="shared" si="7"/>
        <v>7.7948886876522622E-3</v>
      </c>
      <c r="G31" s="401">
        <f t="shared" si="7"/>
        <v>9.9184047896442636E-3</v>
      </c>
      <c r="H31" s="401">
        <f t="shared" si="7"/>
        <v>1.2733705724942177E-2</v>
      </c>
      <c r="I31" s="353">
        <f>I30/I16</f>
        <v>1.6236306067242856E-2</v>
      </c>
      <c r="J31" s="353">
        <f>J30/J16</f>
        <v>2.0741558397255184E-2</v>
      </c>
      <c r="K31" s="353">
        <f>K30/K16</f>
        <v>2.65375422907176E-2</v>
      </c>
      <c r="L31" s="353">
        <f>L30/L16</f>
        <v>3.4026990537376692E-2</v>
      </c>
    </row>
    <row r="32" spans="5:12">
      <c r="E32" t="s">
        <v>287</v>
      </c>
      <c r="F32" s="398">
        <f>F26</f>
        <v>188264720</v>
      </c>
      <c r="G32" s="398">
        <f>G26</f>
        <v>239038470.00000003</v>
      </c>
      <c r="H32" s="398">
        <f>H26</f>
        <v>301673210</v>
      </c>
      <c r="I32" s="402">
        <f>I47</f>
        <v>377091512.5</v>
      </c>
      <c r="J32" s="402">
        <f>J47</f>
        <v>471364390.625</v>
      </c>
      <c r="K32" s="402">
        <f>K47</f>
        <v>589205488.28125</v>
      </c>
      <c r="L32" s="402">
        <f>L47</f>
        <v>736506860.3515625</v>
      </c>
    </row>
    <row r="33" spans="7:12">
      <c r="G33" s="353">
        <f t="shared" ref="G33:L33" si="8">G32/F32-1</f>
        <v>0.26969338705626855</v>
      </c>
      <c r="H33" s="353">
        <f t="shared" si="8"/>
        <v>0.2620278652218615</v>
      </c>
      <c r="I33" s="403">
        <f t="shared" si="8"/>
        <v>0.25</v>
      </c>
      <c r="J33" s="403">
        <f t="shared" si="8"/>
        <v>0.25</v>
      </c>
      <c r="K33" s="403">
        <f t="shared" si="8"/>
        <v>0.25</v>
      </c>
      <c r="L33" s="403">
        <f t="shared" si="8"/>
        <v>0.25</v>
      </c>
    </row>
    <row r="35" spans="7:12">
      <c r="J35" t="s">
        <v>311</v>
      </c>
      <c r="K35" t="s">
        <v>314</v>
      </c>
      <c r="L35" s="398">
        <f>(L32*1.25)*15</f>
        <v>13809503631.591797</v>
      </c>
    </row>
    <row r="37" spans="7:12">
      <c r="K37" t="s">
        <v>313</v>
      </c>
      <c r="L37" s="406">
        <f>L35/76000000</f>
        <v>181.70399515252365</v>
      </c>
    </row>
    <row r="38" spans="7:12">
      <c r="K38" t="s">
        <v>312</v>
      </c>
      <c r="L38" s="397">
        <f>((L37/111)^0.333)-1</f>
        <v>0.17835410387085804</v>
      </c>
    </row>
    <row r="47" spans="7:12">
      <c r="I47" s="49">
        <f>H26*1.25</f>
        <v>377091512.5</v>
      </c>
      <c r="J47" s="49">
        <f>I47*1.25</f>
        <v>471364390.625</v>
      </c>
      <c r="K47" s="49">
        <f>J47*1.25</f>
        <v>589205488.28125</v>
      </c>
      <c r="L47" s="49">
        <f>K47*1.25</f>
        <v>736506860.3515625</v>
      </c>
    </row>
    <row r="49" spans="8:12">
      <c r="H49" s="398">
        <f>H16*1500</f>
        <v>23690920500</v>
      </c>
      <c r="I49" s="398">
        <f>I16*1500</f>
        <v>23225203500</v>
      </c>
      <c r="J49" s="398">
        <f>J16*1500</f>
        <v>22725601500</v>
      </c>
      <c r="K49" s="398">
        <f>K16*1500</f>
        <v>22202715000</v>
      </c>
      <c r="L49" s="398">
        <f>L16*1500</f>
        <v>21644784000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2474722"><![CDATA[{"FIVN^P_PRICE(NOW)":104.14}]]></FdsFormulaCache>
</file>

<file path=customXml/itemProps1.xml><?xml version="1.0" encoding="utf-8"?>
<ds:datastoreItem xmlns:ds="http://schemas.openxmlformats.org/officeDocument/2006/customXml" ds:itemID="{6DBCA2B3-67EA-4D0D-91D1-750CE9503E74}">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Comparison</vt:lpstr>
      <vt:lpstr>G CHANGE</vt:lpstr>
      <vt:lpstr>Income Statement</vt:lpstr>
      <vt:lpstr>Balance Sheet </vt:lpstr>
      <vt:lpstr>Cash Flows</vt:lpstr>
      <vt:lpstr>DCF</vt:lpstr>
      <vt:lpstr>Metrics</vt:lpstr>
      <vt:lpstr>V</vt:lpstr>
      <vt:lpstr>BM Upload</vt:lpstr>
      <vt:lpstr>Market Sizing</vt:lpstr>
      <vt:lpstr>Comparison!Print_Area</vt:lpstr>
      <vt:lpstr>'Income Statement'!Print_Area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dc:creator>
  <cp:lastModifiedBy>Yuuji Anderson</cp:lastModifiedBy>
  <cp:lastPrinted>2025-07-31T23:48:32Z</cp:lastPrinted>
  <dcterms:created xsi:type="dcterms:W3CDTF">2013-09-19T12:47:26Z</dcterms:created>
  <dcterms:modified xsi:type="dcterms:W3CDTF">2026-03-11T10:42:49Z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faa4e85f-efb2-4189-af4d-44a5e1305d7d</vt:lpwstr>
  </property>
</Properties>
</file>