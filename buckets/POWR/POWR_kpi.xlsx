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POWR\"/>
    </mc:Choice>
  </mc:AlternateContent>
  <xr:revisionPtr revIDLastSave="0" documentId="13_ncr:1_{0BF7F2A0-CAD4-4160-8CAE-7AEDABE6259E}" xr6:coauthVersionLast="47" xr6:coauthVersionMax="47" xr10:uidLastSave="{00000000-0000-0000-0000-000000000000}"/>
  <bookViews>
    <workbookView xWindow="-98" yWindow="-98" windowWidth="21795" windowHeight="12975" activeTab="2" xr2:uid="{30DE43AD-F492-43CF-BD64-FB4AD4D1959C}"/>
  </bookViews>
  <sheets>
    <sheet name="AEE" sheetId="1" r:id="rId1"/>
    <sheet name="AEP" sheetId="12" r:id="rId2"/>
    <sheet name="ETR" sheetId="13" r:id="rId3"/>
    <sheet name="NI" sheetId="14" r:id="rId4"/>
    <sheet name="OGE" sheetId="15" r:id="rId5"/>
  </sheets>
  <definedNames>
    <definedName name="KPI_BLOCK" localSheetId="1">_xlfn.LET(   _xlpm.d, AEP!$L$5:$O$5,   _xlpm.v, AEP!$L$7:$O$7,   _xlpm.yy,AEP!$L$8:$O$8,   _xlpm.qq,AEP!$L$9:$O$9,   _xlpm.dyy,AEP!$L$10:$O$10,   _xlpm.dqq,AEP!$L$11:$O$11,   _xlpm.dd, TRANSPOSE(_xlpm.d),    _xlpm.block, _xlfn.HSTACK(     _xlfn.MAKEARRAY(ROWS(_xlpm.dd),1, _xlfn.LAMBDA(_xlpm.r,_xlpm.c,AEP!$B$2)),     _xlpm.dd,     _xlfn.MAKEARRAY(ROWS(_xlpm.dd),1, _xlfn.LAMBDA(_xlpm.r,_xlpm.c,AEP!$A$7)),     _xlfn.MAKEARRAY(ROWS(_xlpm.dd),1, _xlfn.LAMBDA(_xlpm.r,_xlpm.c,AEP!$B$7)),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ETR!$L$5:$O$5,   _xlpm.v, ETR!$L$7:$O$7,   _xlpm.yy,ETR!$L$8:$O$8,   _xlpm.qq,ETR!$L$9:$O$9,   _xlpm.dyy,ETR!$L$10:$O$10,   _xlpm.dqq,ETR!$L$11:$O$11,   _xlpm.dd, TRANSPOSE(_xlpm.d),    _xlpm.block, _xlfn.HSTACK(     _xlfn.MAKEARRAY(ROWS(_xlpm.dd),1, _xlfn.LAMBDA(_xlpm.r,_xlpm.c,ETR!$B$2)),     _xlpm.dd,     _xlfn.MAKEARRAY(ROWS(_xlpm.dd),1, _xlfn.LAMBDA(_xlpm.r,_xlpm.c,ETR!$A$7)),     _xlfn.MAKEARRAY(ROWS(_xlpm.dd),1, _xlfn.LAMBDA(_xlpm.r,_xlpm.c,ETR!$B$7)),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NI!$L$5:$O$5,   _xlpm.v, NI!$L$7:$O$7,   _xlpm.yy,NI!$L$8:$O$8,   _xlpm.qq,NI!$L$9:$O$9,   _xlpm.dyy,NI!$L$10:$O$10,   _xlpm.dqq,NI!$L$11:$O$11,   _xlpm.dd, TRANSPOSE(_xlpm.d),    _xlpm.block, _xlfn.HSTACK(     _xlfn.MAKEARRAY(ROWS(_xlpm.dd),1, _xlfn.LAMBDA(_xlpm.r,_xlpm.c,NI!$B$2)),     _xlpm.dd,     _xlfn.MAKEARRAY(ROWS(_xlpm.dd),1, _xlfn.LAMBDA(_xlpm.r,_xlpm.c,NI!$A$7)),     _xlfn.MAKEARRAY(ROWS(_xlpm.dd),1, _xlfn.LAMBDA(_xlpm.r,_xlpm.c,NI!$B$7)),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OGE!$L$5:$O$5,   _xlpm.v, OGE!$L$7:$O$7,   _xlpm.yy,OGE!$L$8:$O$8,   _xlpm.qq,OGE!$L$9:$O$9,   _xlpm.dyy,OGE!$L$10:$O$10,   _xlpm.dqq,OGE!$L$11:$O$11,   _xlpm.dd, TRANSPOSE(_xlpm.d),    _xlpm.block, _xlfn.HSTACK(     _xlfn.MAKEARRAY(ROWS(_xlpm.dd),1, _xlfn.LAMBDA(_xlpm.r,_xlpm.c,OGE!$B$2)),     _xlpm.dd,     _xlfn.MAKEARRAY(ROWS(_xlpm.dd),1, _xlfn.LAMBDA(_xlpm.r,_xlpm.c,OGE!$A$7)),     _xlfn.MAKEARRAY(ROWS(_xlpm.dd),1, _xlfn.LAMBDA(_xlpm.r,_xlpm.c,OGE!$B$7)),     TRANSPOSE(_xlpm.v),     TRANSPOSE(_xlpm.yy),     TRANSPOSE(_xlpm.qq),     TRANSPOSE(_xlpm.dyy),     TRANSPOSE(_xlpm.dqq)   ),    _xlfn._xlws.FILTER(_xlpm.block, INDEX(_xlpm.block,,5) &lt;&gt; "") )</definedName>
    <definedName name="KPI_BLOCK">_xlfn.LET(   _xlpm.d, AEE!$L$5:$O$5,   _xlpm.v, AEE!$L$7:$O$7,   _xlpm.yy,AEE!$L$8:$O$8,   _xlpm.qq,AEE!$L$9:$O$9,   _xlpm.dyy,AEE!$L$10:$O$10,   _xlpm.dqq,AEE!$L$11:$O$11,   _xlpm.dd, TRANSPOSE(_xlpm.d),    _xlpm.block, _xlfn.HSTACK(     _xlfn.MAKEARRAY(ROWS(_xlpm.dd),1, _xlfn.LAMBDA(_xlpm.r,_xlpm.c,AEE!$B$2)),     _xlpm.dd,     _xlfn.MAKEARRAY(ROWS(_xlpm.dd),1, _xlfn.LAMBDA(_xlpm.r,_xlpm.c,AEE!$A$7)),     _xlfn.MAKEARRAY(ROWS(_xlpm.dd),1, _xlfn.LAMBDA(_xlpm.r,_xlpm.c,AEE!$B$7)),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5" l="1"/>
  <c r="N21" i="15"/>
  <c r="M21" i="15"/>
  <c r="L21" i="15"/>
  <c r="K21" i="15"/>
  <c r="J21" i="15"/>
  <c r="I21" i="15"/>
  <c r="H21" i="15"/>
  <c r="G21" i="15"/>
  <c r="F21" i="15"/>
  <c r="E21" i="15"/>
  <c r="D21" i="15"/>
  <c r="O21" i="14"/>
  <c r="N21" i="14"/>
  <c r="M21" i="14"/>
  <c r="L21" i="14"/>
  <c r="K21" i="14"/>
  <c r="J21" i="14"/>
  <c r="I21" i="14"/>
  <c r="H21" i="14"/>
  <c r="G21" i="14"/>
  <c r="F21" i="14"/>
  <c r="E21" i="14"/>
  <c r="D21" i="14"/>
  <c r="O21" i="1"/>
  <c r="N21" i="1"/>
  <c r="M21" i="1"/>
  <c r="L21" i="1"/>
  <c r="K21" i="1"/>
  <c r="J21" i="1"/>
  <c r="I21" i="1"/>
  <c r="H21" i="1"/>
  <c r="G21" i="1"/>
  <c r="F21" i="1"/>
  <c r="E21" i="1"/>
  <c r="D21" i="1"/>
  <c r="O21" i="12"/>
  <c r="N21" i="12"/>
  <c r="M21" i="12"/>
  <c r="L21" i="12"/>
  <c r="K21" i="12"/>
  <c r="J21" i="12"/>
  <c r="I21" i="12"/>
  <c r="H21" i="12"/>
  <c r="G21" i="12"/>
  <c r="F21" i="12"/>
  <c r="E21" i="12"/>
  <c r="D21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O21" i="13"/>
  <c r="N21" i="13"/>
  <c r="M21" i="13"/>
  <c r="L21" i="13"/>
  <c r="K21" i="13"/>
  <c r="J21" i="13"/>
  <c r="I21" i="13"/>
  <c r="H21" i="13"/>
  <c r="G21" i="13"/>
  <c r="F21" i="13"/>
  <c r="E21" i="13"/>
  <c r="D21" i="13"/>
  <c r="K32" i="1"/>
  <c r="K34" i="1" s="1"/>
  <c r="Q26" i="15" a="1"/>
  <c r="Q26" i="15" s="1"/>
  <c r="Q22" i="15" a="1"/>
  <c r="Q22" i="15" s="1"/>
  <c r="Q18" i="15" a="1"/>
  <c r="Q18" i="15" s="1"/>
  <c r="Q14" i="15" a="1"/>
  <c r="Q14" i="15" s="1"/>
  <c r="B4" i="15"/>
  <c r="B3" i="15" s="1"/>
  <c r="Q26" i="14" a="1"/>
  <c r="Q26" i="14" s="1"/>
  <c r="Q22" i="14" a="1"/>
  <c r="Q22" i="14" s="1"/>
  <c r="Q18" i="14" a="1"/>
  <c r="Q18" i="14" s="1"/>
  <c r="Q14" i="14" a="1"/>
  <c r="Q14" i="14" s="1"/>
  <c r="B4" i="14"/>
  <c r="B3" i="14" s="1"/>
  <c r="Q14" i="13" a="1"/>
  <c r="Q14" i="13" s="1"/>
  <c r="Q26" i="13" a="1"/>
  <c r="Q26" i="13" s="1"/>
  <c r="Q22" i="13" a="1"/>
  <c r="Q22" i="13" s="1"/>
  <c r="Q18" i="13" a="1"/>
  <c r="Q18" i="13" s="1"/>
  <c r="B4" i="13"/>
  <c r="B3" i="13" s="1"/>
  <c r="Q30" i="12" a="1"/>
  <c r="Q30" i="12" s="1"/>
  <c r="Q26" i="12" a="1"/>
  <c r="Q26" i="12" s="1"/>
  <c r="Q22" i="12" a="1"/>
  <c r="Q22" i="12" s="1"/>
  <c r="Q18" i="12" a="1"/>
  <c r="Q18" i="12" s="1"/>
  <c r="B4" i="12"/>
  <c r="B3" i="12" s="1"/>
  <c r="O34" i="1"/>
  <c r="O32" i="1"/>
  <c r="D23" i="12" a="1"/>
  <c r="D6" i="13" a="1"/>
  <c r="D23" i="14" a="1"/>
  <c r="D6" i="14" a="1"/>
  <c r="D14" i="14" a="1"/>
  <c r="D14" i="13" a="1"/>
  <c r="D6" i="12" a="1"/>
  <c r="D23" i="13" a="1"/>
  <c r="D6" i="15" a="1"/>
  <c r="D23" i="15" a="1"/>
  <c r="D14" i="15" a="1"/>
  <c r="D14" i="12" a="1"/>
  <c r="D14" i="12" l="1"/>
  <c r="D14" i="15"/>
  <c r="D23" i="15"/>
  <c r="D6" i="15"/>
  <c r="D23" i="13"/>
  <c r="D6" i="12"/>
  <c r="D5" i="12" s="1"/>
  <c r="D14" i="13"/>
  <c r="D13" i="13" s="1"/>
  <c r="D14" i="14"/>
  <c r="D6" i="14"/>
  <c r="D23" i="14"/>
  <c r="H24" i="14" s="1"/>
  <c r="D6" i="13"/>
  <c r="D5" i="13" s="1"/>
  <c r="D23" i="12"/>
  <c r="H24" i="12" s="1"/>
  <c r="D13" i="15"/>
  <c r="D13" i="14"/>
  <c r="D5" i="14"/>
  <c r="H24" i="13"/>
  <c r="D13" i="12"/>
  <c r="H24" i="15"/>
  <c r="D5" i="15"/>
  <c r="Q14" i="12" a="1"/>
  <c r="Q14" i="12" s="1"/>
  <c r="O27" i="15"/>
  <c r="M24" i="15"/>
  <c r="N27" i="15"/>
  <c r="L24" i="15"/>
  <c r="O24" i="15"/>
  <c r="M27" i="15"/>
  <c r="K24" i="15"/>
  <c r="L27" i="15"/>
  <c r="J24" i="15"/>
  <c r="I24" i="15"/>
  <c r="N24" i="15"/>
  <c r="M5" i="15"/>
  <c r="O8" i="15"/>
  <c r="K5" i="15"/>
  <c r="N11" i="15"/>
  <c r="H5" i="15"/>
  <c r="M11" i="15"/>
  <c r="G5" i="15"/>
  <c r="O5" i="15"/>
  <c r="L5" i="15"/>
  <c r="K8" i="15"/>
  <c r="F5" i="15"/>
  <c r="N8" i="15"/>
  <c r="J5" i="15"/>
  <c r="L8" i="15"/>
  <c r="L11" i="15"/>
  <c r="J8" i="15"/>
  <c r="O11" i="15"/>
  <c r="M8" i="15"/>
  <c r="I5" i="15"/>
  <c r="H8" i="15"/>
  <c r="I8" i="15"/>
  <c r="E5" i="15"/>
  <c r="N5" i="15"/>
  <c r="K16" i="15"/>
  <c r="G13" i="15"/>
  <c r="E13" i="15"/>
  <c r="I13" i="15"/>
  <c r="J16" i="15"/>
  <c r="F13" i="15"/>
  <c r="L19" i="15"/>
  <c r="N13" i="15"/>
  <c r="O16" i="15"/>
  <c r="I16" i="15"/>
  <c r="J13" i="15"/>
  <c r="H16" i="15"/>
  <c r="O19" i="15"/>
  <c r="N19" i="15"/>
  <c r="M13" i="15"/>
  <c r="N16" i="15"/>
  <c r="M19" i="15"/>
  <c r="O13" i="15"/>
  <c r="L13" i="15"/>
  <c r="K13" i="15"/>
  <c r="M16" i="15"/>
  <c r="L16" i="15"/>
  <c r="H13" i="15"/>
  <c r="K16" i="14"/>
  <c r="G13" i="14"/>
  <c r="E13" i="14"/>
  <c r="H16" i="14"/>
  <c r="L19" i="14"/>
  <c r="N13" i="14"/>
  <c r="M13" i="14"/>
  <c r="J16" i="14"/>
  <c r="F13" i="14"/>
  <c r="I16" i="14"/>
  <c r="M19" i="14"/>
  <c r="K13" i="14"/>
  <c r="H13" i="14"/>
  <c r="O13" i="14"/>
  <c r="N16" i="14"/>
  <c r="J13" i="14"/>
  <c r="O19" i="14"/>
  <c r="N19" i="14"/>
  <c r="O16" i="14"/>
  <c r="M16" i="14"/>
  <c r="I13" i="14"/>
  <c r="L16" i="14"/>
  <c r="L13" i="14"/>
  <c r="M5" i="14"/>
  <c r="N8" i="14"/>
  <c r="O11" i="14"/>
  <c r="M8" i="14"/>
  <c r="I5" i="14"/>
  <c r="H8" i="14"/>
  <c r="L5" i="14"/>
  <c r="O8" i="14"/>
  <c r="K5" i="14"/>
  <c r="N11" i="14"/>
  <c r="J5" i="14"/>
  <c r="L8" i="14"/>
  <c r="H5" i="14"/>
  <c r="L11" i="14"/>
  <c r="J8" i="14"/>
  <c r="F5" i="14"/>
  <c r="I8" i="14"/>
  <c r="E5" i="14"/>
  <c r="M11" i="14"/>
  <c r="K8" i="14"/>
  <c r="G5" i="14"/>
  <c r="O5" i="14"/>
  <c r="N5" i="14"/>
  <c r="O27" i="14"/>
  <c r="M24" i="14"/>
  <c r="J24" i="14"/>
  <c r="I24" i="14"/>
  <c r="N27" i="14"/>
  <c r="L24" i="14"/>
  <c r="M27" i="14"/>
  <c r="K24" i="14"/>
  <c r="L27" i="14"/>
  <c r="O24" i="14"/>
  <c r="N24" i="14"/>
  <c r="M5" i="13"/>
  <c r="L5" i="13"/>
  <c r="O8" i="13"/>
  <c r="K5" i="13"/>
  <c r="N8" i="13"/>
  <c r="J5" i="13"/>
  <c r="O11" i="13"/>
  <c r="M8" i="13"/>
  <c r="H8" i="13"/>
  <c r="I5" i="13"/>
  <c r="N11" i="13"/>
  <c r="L8" i="13"/>
  <c r="H5" i="13"/>
  <c r="L11" i="13"/>
  <c r="F5" i="13"/>
  <c r="I8" i="13"/>
  <c r="E5" i="13"/>
  <c r="M11" i="13"/>
  <c r="K8" i="13"/>
  <c r="G5" i="13"/>
  <c r="J8" i="13"/>
  <c r="O5" i="13"/>
  <c r="N5" i="13"/>
  <c r="O27" i="13"/>
  <c r="M24" i="13"/>
  <c r="L24" i="13"/>
  <c r="M27" i="13"/>
  <c r="K24" i="13"/>
  <c r="L27" i="13"/>
  <c r="J24" i="13"/>
  <c r="I24" i="13"/>
  <c r="N27" i="13"/>
  <c r="O24" i="13"/>
  <c r="N24" i="13"/>
  <c r="K16" i="13"/>
  <c r="G13" i="13"/>
  <c r="J16" i="13"/>
  <c r="F13" i="13"/>
  <c r="I16" i="13"/>
  <c r="E13" i="13"/>
  <c r="H16" i="13"/>
  <c r="L19" i="13"/>
  <c r="N19" i="13"/>
  <c r="N13" i="13"/>
  <c r="L13" i="13"/>
  <c r="O19" i="13"/>
  <c r="O13" i="13"/>
  <c r="K13" i="13"/>
  <c r="M16" i="13"/>
  <c r="M19" i="13"/>
  <c r="M13" i="13"/>
  <c r="O16" i="13"/>
  <c r="N16" i="13"/>
  <c r="I13" i="13"/>
  <c r="L16" i="13"/>
  <c r="H13" i="13"/>
  <c r="J13" i="13"/>
  <c r="O27" i="12"/>
  <c r="M24" i="12"/>
  <c r="N27" i="12"/>
  <c r="L24" i="12"/>
  <c r="J24" i="12"/>
  <c r="M27" i="12"/>
  <c r="K24" i="12"/>
  <c r="L27" i="12"/>
  <c r="I24" i="12"/>
  <c r="O24" i="12"/>
  <c r="N24" i="12"/>
  <c r="M5" i="12"/>
  <c r="L5" i="12"/>
  <c r="N8" i="12"/>
  <c r="J5" i="12"/>
  <c r="N11" i="12"/>
  <c r="L8" i="12"/>
  <c r="H5" i="12"/>
  <c r="M11" i="12"/>
  <c r="K8" i="12"/>
  <c r="O8" i="12"/>
  <c r="K5" i="12"/>
  <c r="O11" i="12"/>
  <c r="M8" i="12"/>
  <c r="I5" i="12"/>
  <c r="G5" i="12"/>
  <c r="L11" i="12"/>
  <c r="J8" i="12"/>
  <c r="F5" i="12"/>
  <c r="I8" i="12"/>
  <c r="E5" i="12"/>
  <c r="H8" i="12"/>
  <c r="O5" i="12"/>
  <c r="N5" i="12"/>
  <c r="K16" i="12"/>
  <c r="G13" i="12"/>
  <c r="J16" i="12"/>
  <c r="F13" i="12"/>
  <c r="H16" i="12"/>
  <c r="I16" i="12"/>
  <c r="E13" i="12"/>
  <c r="I13" i="12"/>
  <c r="N16" i="12"/>
  <c r="O19" i="12"/>
  <c r="K13" i="12"/>
  <c r="J13" i="12"/>
  <c r="N19" i="12"/>
  <c r="M13" i="12"/>
  <c r="M19" i="12"/>
  <c r="O13" i="12"/>
  <c r="L19" i="12"/>
  <c r="N13" i="12"/>
  <c r="L13" i="12"/>
  <c r="O16" i="12"/>
  <c r="L16" i="12"/>
  <c r="H13" i="12"/>
  <c r="M16" i="12"/>
  <c r="Q6" i="15" l="1" a="1"/>
  <c r="Q6" i="15" s="1"/>
  <c r="M9" i="15"/>
  <c r="M10" i="15"/>
  <c r="O10" i="15"/>
  <c r="O9" i="15"/>
  <c r="O26" i="15"/>
  <c r="O25" i="15"/>
  <c r="N26" i="15"/>
  <c r="N25" i="15"/>
  <c r="L25" i="15"/>
  <c r="L26" i="15"/>
  <c r="L9" i="15"/>
  <c r="L10" i="15"/>
  <c r="N10" i="15"/>
  <c r="N9" i="15"/>
  <c r="M25" i="15"/>
  <c r="M26" i="15"/>
  <c r="O10" i="14"/>
  <c r="O9" i="14"/>
  <c r="M9" i="14"/>
  <c r="M10" i="14"/>
  <c r="L25" i="14"/>
  <c r="L26" i="14"/>
  <c r="N9" i="14"/>
  <c r="N10" i="14"/>
  <c r="Q6" i="14" a="1"/>
  <c r="Q6" i="14" s="1"/>
  <c r="N25" i="14"/>
  <c r="N26" i="14"/>
  <c r="O25" i="14"/>
  <c r="O26" i="14"/>
  <c r="L9" i="14"/>
  <c r="L10" i="14"/>
  <c r="M26" i="14"/>
  <c r="M25" i="14"/>
  <c r="N25" i="13"/>
  <c r="N26" i="13"/>
  <c r="L26" i="13"/>
  <c r="L25" i="13"/>
  <c r="L9" i="13"/>
  <c r="L10" i="13"/>
  <c r="M26" i="13"/>
  <c r="M25" i="13"/>
  <c r="Q6" i="13" a="1"/>
  <c r="Q6" i="13" s="1"/>
  <c r="O26" i="13"/>
  <c r="O25" i="13"/>
  <c r="M9" i="13"/>
  <c r="M10" i="13"/>
  <c r="N10" i="13"/>
  <c r="N9" i="13"/>
  <c r="O10" i="13"/>
  <c r="O9" i="13"/>
  <c r="Q6" i="12" a="1"/>
  <c r="Q6" i="12" s="1"/>
  <c r="O10" i="12"/>
  <c r="O9" i="12"/>
  <c r="N10" i="12"/>
  <c r="N9" i="12"/>
  <c r="L9" i="12"/>
  <c r="L10" i="12"/>
  <c r="N26" i="12"/>
  <c r="N25" i="12"/>
  <c r="M9" i="12"/>
  <c r="Q2" i="12" s="1" a="1"/>
  <c r="Q2" i="12" s="1"/>
  <c r="M10" i="12"/>
  <c r="O26" i="12"/>
  <c r="O25" i="12"/>
  <c r="L25" i="12"/>
  <c r="L26" i="12"/>
  <c r="M25" i="12"/>
  <c r="M26" i="12"/>
  <c r="Q10" i="13" l="1" a="1"/>
  <c r="Q10" i="13" s="1"/>
  <c r="Q2" i="14" a="1"/>
  <c r="Q2" i="14" s="1"/>
  <c r="Q10" i="15" a="1"/>
  <c r="Q10" i="15" s="1"/>
  <c r="Q2" i="15" a="1"/>
  <c r="Q2" i="15" s="1"/>
  <c r="Q10" i="14" a="1"/>
  <c r="Q10" i="14" s="1"/>
  <c r="Q10" i="12" a="1"/>
  <c r="Q10" i="12" s="1"/>
  <c r="Q2" i="13" a="1"/>
  <c r="Q2" i="13" s="1"/>
  <c r="O29" i="1" l="1"/>
  <c r="F29" i="1" l="1"/>
  <c r="E29" i="1"/>
  <c r="D29" i="1"/>
  <c r="J29" i="1"/>
  <c r="I29" i="1"/>
  <c r="H29" i="1"/>
  <c r="G29" i="1"/>
  <c r="L29" i="1"/>
  <c r="K29" i="1"/>
  <c r="N29" i="1"/>
  <c r="M29" i="1"/>
  <c r="Q26" i="1" l="1" a="1"/>
  <c r="Q26" i="1" s="1"/>
  <c r="Q30" i="1" a="1"/>
  <c r="Q30" i="1" s="1"/>
  <c r="Q22" i="1" a="1"/>
  <c r="Q22" i="1" s="1"/>
  <c r="Q18" i="1" a="1"/>
  <c r="Q18" i="1" s="1"/>
  <c r="Q14" i="1" l="1" a="1"/>
  <c r="Q14" i="1" s="1"/>
  <c r="B4" i="1" l="1"/>
  <c r="B3" i="1" s="1"/>
  <c r="D6" i="1" a="1"/>
  <c r="D23" i="1" a="1"/>
  <c r="D14" i="1" a="1"/>
  <c r="D14" i="1" l="1"/>
  <c r="D23" i="1"/>
  <c r="D6" i="1"/>
  <c r="D13" i="1"/>
  <c r="O27" i="1"/>
  <c r="K24" i="1"/>
  <c r="M24" i="1"/>
  <c r="N27" i="1"/>
  <c r="J24" i="1"/>
  <c r="L27" i="1"/>
  <c r="O24" i="1"/>
  <c r="L24" i="1"/>
  <c r="M27" i="1"/>
  <c r="I24" i="1"/>
  <c r="H24" i="1"/>
  <c r="N24" i="1"/>
  <c r="O19" i="1"/>
  <c r="L19" i="1"/>
  <c r="N19" i="1"/>
  <c r="M19" i="1"/>
  <c r="O16" i="1"/>
  <c r="O13" i="1"/>
  <c r="O8" i="1"/>
  <c r="O11" i="1"/>
  <c r="O5" i="1"/>
  <c r="J16" i="1"/>
  <c r="I16" i="1"/>
  <c r="H16" i="1"/>
  <c r="K16" i="1"/>
  <c r="N16" i="1"/>
  <c r="M16" i="1"/>
  <c r="L16" i="1"/>
  <c r="G13" i="1"/>
  <c r="H13" i="1"/>
  <c r="I13" i="1"/>
  <c r="J13" i="1"/>
  <c r="K13" i="1"/>
  <c r="N11" i="1"/>
  <c r="M11" i="1"/>
  <c r="L11" i="1"/>
  <c r="N8" i="1"/>
  <c r="M8" i="1"/>
  <c r="L8" i="1"/>
  <c r="K8" i="1"/>
  <c r="J8" i="1"/>
  <c r="I8" i="1"/>
  <c r="H8" i="1"/>
  <c r="G5" i="1"/>
  <c r="H5" i="1"/>
  <c r="I5" i="1"/>
  <c r="J5" i="1"/>
  <c r="K5" i="1"/>
  <c r="N13" i="1"/>
  <c r="M13" i="1"/>
  <c r="L13" i="1"/>
  <c r="F13" i="1"/>
  <c r="E13" i="1"/>
  <c r="L5" i="1"/>
  <c r="M5" i="1"/>
  <c r="N5" i="1"/>
  <c r="F5" i="1"/>
  <c r="E5" i="1"/>
  <c r="L9" i="1" l="1"/>
  <c r="N26" i="1"/>
  <c r="N25" i="1"/>
  <c r="L26" i="1"/>
  <c r="L25" i="1"/>
  <c r="O25" i="1"/>
  <c r="O26" i="1"/>
  <c r="M26" i="1"/>
  <c r="M25" i="1"/>
  <c r="O10" i="1"/>
  <c r="O9" i="1"/>
  <c r="N10" i="1"/>
  <c r="M10" i="1"/>
  <c r="L10" i="1"/>
  <c r="D5" i="1"/>
  <c r="M9" i="1"/>
  <c r="N9" i="1"/>
  <c r="Q2" i="1" l="1" a="1"/>
  <c r="Q2" i="1" s="1"/>
  <c r="Q6" i="1" a="1"/>
  <c r="Q6" i="1" s="1"/>
  <c r="Q10" i="1" a="1"/>
  <c r="Q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<sst xmlns="http://schemas.openxmlformats.org/spreadsheetml/2006/main" count="276" uniqueCount="33">
  <si>
    <t>Stock:</t>
  </si>
  <si>
    <t>End Day</t>
  </si>
  <si>
    <t>Beg. Day</t>
  </si>
  <si>
    <t>Y/Y</t>
  </si>
  <si>
    <t>Q/Q</t>
  </si>
  <si>
    <t>canonical</t>
  </si>
  <si>
    <t>value</t>
  </si>
  <si>
    <t>calendar_quarter</t>
  </si>
  <si>
    <t>Calendar Quarter</t>
  </si>
  <si>
    <t>company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</si>
  <si>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</si>
  <si>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</si>
  <si>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</si>
  <si>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</si>
  <si>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</si>
  <si>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</si>
  <si>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</si>
  <si>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</si>
  <si>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</si>
  <si>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</si>
  <si>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TTM_FFO</t>
  </si>
  <si>
    <t>TRAIL_12M_FUNDS_FROM_OPERATIONS</t>
  </si>
  <si>
    <t>AEE US EQUITY</t>
  </si>
  <si>
    <t>FUNDS_FROM_OPS_TO_TOTAL_DEBT</t>
  </si>
  <si>
    <t>FFO_to_debt</t>
  </si>
  <si>
    <t>Rate Base (billions)</t>
  </si>
  <si>
    <t>rate_base_in_billions</t>
  </si>
  <si>
    <t>AEP US EQUITY</t>
  </si>
  <si>
    <t>ETR US EQUITY</t>
  </si>
  <si>
    <t>NI US EQUITY</t>
  </si>
  <si>
    <t>OGE US EQUITY</t>
  </si>
  <si>
    <t>trail_12m_cap_expend</t>
  </si>
  <si>
    <t>TTM_capex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</si>
</sst>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3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49" fontId="7" fillId="0" borderId="0" xfId="4" applyNumberFormat="1"/>
    <xf numFmtId="166" fontId="7" fillId="0" borderId="0" xfId="4" applyNumberFormat="1"/>
    <xf numFmtId="166" fontId="7" fillId="0" borderId="0" xfId="0" applyNumberFormat="1" applyFont="1"/>
    <xf numFmtId="165" fontId="9" fillId="0" borderId="0" xfId="0" applyNumberFormat="1" applyFont="1"/>
    <xf numFmtId="10" fontId="7" fillId="0" borderId="0" xfId="4" applyNumberFormat="1"/>
    <xf numFmtId="167" fontId="7" fillId="0" borderId="0" xfId="4" applyNumberFormat="1"/>
    <xf numFmtId="0" fontId="1" fillId="2" borderId="1" xfId="1"/>
    <xf numFmtId="4" fontId="1" fillId="2" borderId="1" xfId="1" applyNumberForma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BDH|10666564483243728762</stp>
        <tr r="D23" s="12"/>
      </tp>
      <tp t="s">
        <v>#N/A N/A</v>
        <stp/>
        <stp>BDH|10775451014990933921</stp>
        <tr r="D14" s="12"/>
      </tp>
      <tp t="s">
        <v>#N/A N/A</v>
        <stp/>
        <stp>BDH|15977772103892996216</stp>
        <tr r="D6" s="12"/>
      </tp>
      <tp t="s">
        <v>#N/A N/A</v>
        <stp/>
        <stp>BDH|15597115716912653397</stp>
        <tr r="D14" s="15"/>
      </tp>
    </main>
    <main first="bofaddin.rtdserver">
      <tp t="s">
        <v>#N/A N/A</v>
        <stp/>
        <stp>BDH|6045638057872329849</stp>
        <tr r="D23" s="1"/>
      </tp>
      <tp t="s">
        <v>#N/A N/A</v>
        <stp/>
        <stp>BDH|1899021169798102057</stp>
        <tr r="D6" s="13"/>
      </tp>
      <tp t="s">
        <v>#N/A N/A</v>
        <stp/>
        <stp>BDH|5853901973542797079</stp>
        <tr r="D14" s="1"/>
      </tp>
      <tp t="s">
        <v>#N/A N/A</v>
        <stp/>
        <stp>BDH|2867808584084623235</stp>
        <tr r="D14" s="14"/>
      </tp>
      <tp t="s">
        <v>#N/A N/A</v>
        <stp/>
        <stp>BDH|6709661677442251181</stp>
        <tr r="D23" s="13"/>
      </tp>
      <tp t="s">
        <v>#N/A N/A</v>
        <stp/>
        <stp>BDH|5622626010393012459</stp>
        <tr r="D6" s="14"/>
      </tp>
      <tp t="s">
        <v>#N/A N/A</v>
        <stp/>
        <stp>BDH|8934810464407397018</stp>
        <tr r="D14" s="13"/>
      </tp>
      <tp t="s">
        <v>#N/A N/A</v>
        <stp/>
        <stp>BDH|4250969443298994371</stp>
        <tr r="D6" s="1"/>
      </tp>
      <tp t="s">
        <v>#N/A N/A</v>
        <stp/>
        <stp>BDH|8302811472737330209</stp>
        <tr r="D23" s="14"/>
      </tp>
      <tp t="s">
        <v>#N/A N/A</v>
        <stp/>
        <stp>BDH|6579188173574972772</stp>
        <tr r="D23" s="15"/>
      </tp>
      <tp t="s">
        <v>#N/A N/A</v>
        <stp/>
        <stp>BDH|132837973015176345</stp>
        <tr r="D6" s="1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7270-31E4-4E68-AE45-8CC1C1FAF7FB}">
  <dimension ref="A1:Y67"/>
  <sheetViews>
    <sheetView topLeftCell="B1" zoomScale="85" zoomScaleNormal="85" workbookViewId="0">
      <selection activeCell="O7" sqref="O7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6" width="9.3984375" bestFit="1" customWidth="1"/>
    <col min="7" max="10" width="10.3984375" customWidth="1"/>
    <col min="11" max="11" width="10" bestFit="1" customWidth="1"/>
    <col min="12" max="13" width="9.3984375" bestFit="1" customWidth="1"/>
    <col min="14" max="14" width="11.265625" bestFit="1" customWidth="1"/>
    <col min="15" max="15" width="10.398437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16</v>
      </c>
      <c r="B1" s="22" t="s">
        <v>16</v>
      </c>
      <c r="C1" s="22" t="s">
        <v>16</v>
      </c>
      <c r="D1" s="22" t="s">
        <v>16</v>
      </c>
      <c r="E1" s="22" t="s">
        <v>16</v>
      </c>
      <c r="F1" s="22" t="s">
        <v>16</v>
      </c>
      <c r="G1" s="22" t="s">
        <v>16</v>
      </c>
      <c r="H1" s="22" t="s">
        <v>16</v>
      </c>
      <c r="I1" s="22" t="s">
        <v>16</v>
      </c>
      <c r="J1" s="22" t="s">
        <v>16</v>
      </c>
      <c r="K1" s="22" t="s">
        <v>16</v>
      </c>
      <c r="L1" s="22" t="s">
        <v>16</v>
      </c>
      <c r="M1" s="22" t="s">
        <v>16</v>
      </c>
      <c r="N1" s="22" t="s">
        <v>16</v>
      </c>
      <c r="O1" s="22" t="s">
        <v>16</v>
      </c>
      <c r="Q1" s="23" t="s">
        <v>9</v>
      </c>
      <c r="R1" s="23" t="s">
        <v>7</v>
      </c>
      <c r="S1" s="23" t="s">
        <v>12</v>
      </c>
      <c r="T1" s="23" t="s">
        <v>11</v>
      </c>
      <c r="U1" s="23" t="s">
        <v>6</v>
      </c>
      <c r="V1" s="23" t="s">
        <v>10</v>
      </c>
      <c r="W1" s="23" t="s">
        <v>14</v>
      </c>
      <c r="X1" s="23" t="s">
        <v>18</v>
      </c>
      <c r="Y1" s="23" t="s">
        <v>19</v>
      </c>
    </row>
    <row r="2" spans="1:25" x14ac:dyDescent="0.45">
      <c r="A2" s="17" t="s">
        <v>0</v>
      </c>
      <c r="B2" s="31" t="s">
        <v>22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AEE US EQUITY</v>
      </c>
      <c r="R2" s="24">
        <f ca="1"/>
        <v>45747</v>
      </c>
      <c r="S2" s="25" t="str">
        <f ca="1"/>
        <v>canonical</v>
      </c>
      <c r="T2" s="26" t="str">
        <f ca="1"/>
        <v>TTM_FFO</v>
      </c>
      <c r="U2" s="27" t="str">
        <f ca="1"/>
        <v>2961</v>
      </c>
      <c r="V2" s="28" t="str">
        <f ca="1"/>
        <v>0.243595128097438</v>
      </c>
      <c r="W2" s="29" t="str">
        <f ca="1"/>
        <v>801.964352869804</v>
      </c>
      <c r="X2" s="28" t="str">
        <f ca="1"/>
        <v>3403.32609129304</v>
      </c>
      <c r="Y2" s="29" t="str">
        <f ca="1"/>
        <v>0.0396769662921348</v>
      </c>
    </row>
    <row r="3" spans="1:25" x14ac:dyDescent="0.45">
      <c r="A3" s="18" t="s">
        <v>2</v>
      </c>
      <c r="B3" s="19">
        <f ca="1">+B4-365*3</f>
        <v>45001</v>
      </c>
      <c r="Q3" s="24" t="str">
        <f ca="1"/>
        <v>AEE US EQUITY</v>
      </c>
      <c r="R3" s="24">
        <f ca="1"/>
        <v>45838</v>
      </c>
      <c r="S3" s="25" t="str">
        <f ca="1"/>
        <v>canonical</v>
      </c>
      <c r="T3" s="26" t="str">
        <f ca="1"/>
        <v>TTM_FFO</v>
      </c>
      <c r="U3" s="27" t="str">
        <f ca="1"/>
        <v>3158</v>
      </c>
      <c r="V3" s="28" t="str">
        <f ca="1"/>
        <v>0.216955684007707</v>
      </c>
      <c r="W3" s="29" t="str">
        <f ca="1"/>
        <v>-266.394440897308</v>
      </c>
      <c r="X3" s="29" t="str">
        <f ca="1"/>
        <v>1892.32911730479</v>
      </c>
      <c r="Y3" s="29" t="str">
        <f ca="1"/>
        <v>0.0665315771698751</v>
      </c>
    </row>
    <row r="4" spans="1:25" x14ac:dyDescent="0.45">
      <c r="A4" s="20" t="s">
        <v>1</v>
      </c>
      <c r="B4" s="21">
        <f ca="1">TODAY()</f>
        <v>46096</v>
      </c>
      <c r="Q4" s="24" t="str">
        <f ca="1"/>
        <v>AEE US EQUITY</v>
      </c>
      <c r="R4" s="24">
        <f ca="1"/>
        <v>45930</v>
      </c>
      <c r="S4" s="25" t="str">
        <f ca="1"/>
        <v>canonical</v>
      </c>
      <c r="T4" s="26" t="str">
        <f ca="1"/>
        <v>TTM_FFO</v>
      </c>
      <c r="U4" s="27" t="str">
        <f ca="1"/>
        <v>3328</v>
      </c>
      <c r="V4" s="28" t="str">
        <f ca="1"/>
        <v>0.259651778955337</v>
      </c>
      <c r="W4" s="29" t="str">
        <f ca="1"/>
        <v>426.960949476298</v>
      </c>
      <c r="X4" s="29" t="str">
        <f ca="1"/>
        <v>2272.17234211296</v>
      </c>
      <c r="Y4" s="29" t="str">
        <f ca="1"/>
        <v>0.0538315389487016</v>
      </c>
    </row>
    <row r="5" spans="1:25" x14ac:dyDescent="0.45">
      <c r="C5" s="13" t="s">
        <v>8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AEE US EQUITY</v>
      </c>
      <c r="R5" s="24">
        <f ca="1"/>
        <v>46022</v>
      </c>
      <c r="S5" s="25" t="str">
        <f ca="1"/>
        <v>canonical</v>
      </c>
      <c r="T5" s="26" t="str">
        <f ca="1"/>
        <v>TTM_FFO</v>
      </c>
      <c r="U5" s="27" t="str">
        <f ca="1"/>
        <v>4091</v>
      </c>
      <c r="V5" s="28" t="str">
        <f ca="1"/>
        <v>0.436446629213483</v>
      </c>
      <c r="W5" s="29" t="str">
        <f ca="1"/>
        <v>1767.94850258146</v>
      </c>
      <c r="X5" s="29" t="str">
        <f ca="1"/>
        <v>2730.47936403026</v>
      </c>
      <c r="Y5" s="29" t="str">
        <f ca="1"/>
        <v>0.229266826923077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AEE US EQUITY</v>
      </c>
      <c r="R6" s="24">
        <f ca="1"/>
        <v>45747</v>
      </c>
      <c r="S6" s="25" t="str">
        <f ca="1"/>
        <v>canonical</v>
      </c>
      <c r="T6" s="26" t="str">
        <f ca="1"/>
        <v>FFO_to_debt</v>
      </c>
      <c r="U6" s="30" t="str">
        <f ca="1"/>
        <v>15.0894</v>
      </c>
      <c r="V6" s="29" t="str">
        <f ca="1"/>
        <v>123.35</v>
      </c>
      <c r="W6" s="29" t="str">
        <f ca="1"/>
        <v/>
      </c>
      <c r="X6" s="29" t="str">
        <f ca="1"/>
        <v/>
      </c>
      <c r="Y6" s="29" t="str">
        <f ca="1"/>
        <v>-12.26</v>
      </c>
    </row>
    <row r="7" spans="1:25" x14ac:dyDescent="0.45">
      <c r="A7" s="16" t="s">
        <v>5</v>
      </c>
      <c r="B7" s="16" t="s">
        <v>20</v>
      </c>
      <c r="C7" s="9" t="s">
        <v>21</v>
      </c>
      <c r="D7" s="11">
        <f ca="1"/>
        <v>2636</v>
      </c>
      <c r="E7" s="11">
        <f ca="1"/>
        <v>2525</v>
      </c>
      <c r="F7" s="11">
        <f ca="1"/>
        <v>2559</v>
      </c>
      <c r="G7" s="11">
        <f ca="1"/>
        <v>2448</v>
      </c>
      <c r="H7" s="11">
        <f ca="1"/>
        <v>2381</v>
      </c>
      <c r="I7" s="11">
        <f ca="1"/>
        <v>2595</v>
      </c>
      <c r="J7" s="11">
        <f ca="1"/>
        <v>2642</v>
      </c>
      <c r="K7" s="11">
        <f ca="1"/>
        <v>2848</v>
      </c>
      <c r="L7" s="11">
        <f ca="1"/>
        <v>2961</v>
      </c>
      <c r="M7" s="11">
        <f ca="1"/>
        <v>3158</v>
      </c>
      <c r="N7" s="11">
        <f ca="1"/>
        <v>3328</v>
      </c>
      <c r="O7" s="3">
        <f ca="1"/>
        <v>4091</v>
      </c>
      <c r="P7" s="1"/>
      <c r="Q7" s="24" t="str">
        <f ca="1"/>
        <v>AEE US EQUITY</v>
      </c>
      <c r="R7" s="24">
        <f ca="1"/>
        <v>45838</v>
      </c>
      <c r="S7" s="25" t="str">
        <f ca="1"/>
        <v>canonical</v>
      </c>
      <c r="T7" s="26" t="str">
        <f ca="1"/>
        <v>FFO_to_debt</v>
      </c>
      <c r="U7" s="30" t="str">
        <f ca="1"/>
        <v>15.805</v>
      </c>
      <c r="V7" s="29" t="str">
        <f ca="1"/>
        <v>120.17</v>
      </c>
      <c r="W7" s="29" t="str">
        <f ca="1"/>
        <v/>
      </c>
      <c r="X7" s="29" t="str">
        <f ca="1"/>
        <v/>
      </c>
      <c r="Y7" s="29" t="str">
        <f ca="1"/>
        <v>71.56</v>
      </c>
    </row>
    <row r="8" spans="1:25" x14ac:dyDescent="0.45">
      <c r="C8" s="4" t="s">
        <v>3</v>
      </c>
      <c r="D8" s="5"/>
      <c r="E8" s="4"/>
      <c r="F8" s="4"/>
      <c r="G8" s="12"/>
      <c r="H8" s="12">
        <f t="shared" ref="H8:O8" ca="1" si="1">+H7/D7-1</f>
        <v>-9.6737481031866412E-2</v>
      </c>
      <c r="I8" s="12">
        <f t="shared" ca="1" si="1"/>
        <v>2.7722772277227747E-2</v>
      </c>
      <c r="J8" s="12">
        <f t="shared" ca="1" si="1"/>
        <v>3.2434544744040616E-2</v>
      </c>
      <c r="K8" s="12">
        <f t="shared" ca="1" si="1"/>
        <v>0.1633986928104576</v>
      </c>
      <c r="L8" s="12">
        <f t="shared" ca="1" si="1"/>
        <v>0.243595128097438</v>
      </c>
      <c r="M8" s="12">
        <f t="shared" ca="1" si="1"/>
        <v>0.21695568400770715</v>
      </c>
      <c r="N8" s="12">
        <f t="shared" ca="1" si="1"/>
        <v>0.25965177895533698</v>
      </c>
      <c r="O8" s="12">
        <f t="shared" ca="1" si="1"/>
        <v>0.43644662921348321</v>
      </c>
      <c r="P8" s="3"/>
      <c r="Q8" s="24" t="str">
        <f ca="1"/>
        <v>AEE US EQUITY</v>
      </c>
      <c r="R8" s="24">
        <f ca="1"/>
        <v>45930</v>
      </c>
      <c r="S8" s="25" t="str">
        <f ca="1"/>
        <v>canonical</v>
      </c>
      <c r="T8" s="26" t="str">
        <f ca="1"/>
        <v>FFO_to_debt</v>
      </c>
      <c r="U8" s="30" t="str">
        <f ca="1"/>
        <v>16.5539</v>
      </c>
      <c r="V8" s="29" t="str">
        <f ca="1"/>
        <v>208.59</v>
      </c>
      <c r="W8" s="29" t="str">
        <f ca="1"/>
        <v/>
      </c>
      <c r="X8" s="29" t="str">
        <f ca="1"/>
        <v/>
      </c>
      <c r="Y8" s="29" t="str">
        <f ca="1"/>
        <v>74.8899999999999</v>
      </c>
    </row>
    <row r="9" spans="1:25" x14ac:dyDescent="0.45">
      <c r="C9" s="4" t="s">
        <v>13</v>
      </c>
      <c r="D9" s="1"/>
      <c r="L9" s="7">
        <f ca="1">(L8-K8)*10000</f>
        <v>801.96435286980397</v>
      </c>
      <c r="M9" s="7">
        <f ca="1">(M8-L8)*10000</f>
        <v>-266.39444089730847</v>
      </c>
      <c r="N9" s="7">
        <f ca="1">(N8-M8)*10000</f>
        <v>426.96094947629825</v>
      </c>
      <c r="O9" s="7">
        <f ca="1">(O8-N8)*10000</f>
        <v>1767.9485025814622</v>
      </c>
      <c r="Q9" s="22" t="str">
        <f ca="1"/>
        <v>AEE US EQUITY</v>
      </c>
      <c r="R9" s="24">
        <f ca="1"/>
        <v>46022</v>
      </c>
      <c r="S9" s="25" t="str">
        <f ca="1"/>
        <v>canonical</v>
      </c>
      <c r="T9" s="26" t="str">
        <f ca="1"/>
        <v>FFO_to_debt</v>
      </c>
      <c r="U9" s="30" t="str">
        <f ca="1"/>
        <v>20.6304</v>
      </c>
      <c r="V9" s="29" t="str">
        <f ca="1"/>
        <v>541.84</v>
      </c>
      <c r="W9" s="29" t="str">
        <f ca="1"/>
        <v/>
      </c>
      <c r="X9" s="29" t="str">
        <f ca="1"/>
        <v/>
      </c>
      <c r="Y9" s="29" t="str">
        <f ca="1"/>
        <v>407.65</v>
      </c>
    </row>
    <row r="10" spans="1:25" x14ac:dyDescent="0.45">
      <c r="C10" s="4" t="s">
        <v>17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3403.3260912930441</v>
      </c>
      <c r="M10" s="7">
        <f ca="1">(M8-I8)*10000</f>
        <v>1892.329117304794</v>
      </c>
      <c r="N10" s="7">
        <f ca="1">(N8-J8)*10000</f>
        <v>2272.1723421129636</v>
      </c>
      <c r="O10" s="7">
        <f ca="1">(O8-K8)*10000</f>
        <v>2730.479364030256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AEE US EQUITY</v>
      </c>
      <c r="R10" s="24">
        <f ca="1"/>
        <v>45747</v>
      </c>
      <c r="S10" s="25" t="str">
        <f ca="1"/>
        <v>canonical</v>
      </c>
      <c r="T10" s="26" t="str">
        <f ca="1"/>
        <v>TTM_capex</v>
      </c>
      <c r="U10" s="30" t="str">
        <f ca="1"/>
        <v>4620</v>
      </c>
      <c r="V10" s="29" t="str">
        <f ca="1"/>
        <v>0.235294117647059</v>
      </c>
      <c r="W10" s="29" t="str">
        <f ca="1"/>
        <v>685.835566778728</v>
      </c>
      <c r="X10" s="29" t="str">
        <f ca="1"/>
        <v>1850.27338652394</v>
      </c>
      <c r="Y10" s="29" t="str">
        <f ca="1"/>
        <v>0.0428893905191874</v>
      </c>
    </row>
    <row r="11" spans="1:25" x14ac:dyDescent="0.45">
      <c r="C11" s="4" t="s">
        <v>4</v>
      </c>
      <c r="D11" s="1"/>
      <c r="L11" s="12">
        <f t="shared" ref="L11:O11" ca="1" si="2">L7/K7-1</f>
        <v>3.9676966292134797E-2</v>
      </c>
      <c r="M11" s="12">
        <f t="shared" ca="1" si="2"/>
        <v>6.6531577169875122E-2</v>
      </c>
      <c r="N11" s="12">
        <f t="shared" ca="1" si="2"/>
        <v>5.3831538948701629E-2</v>
      </c>
      <c r="O11" s="12">
        <f t="shared" ca="1" si="2"/>
        <v>0.22926682692307687</v>
      </c>
      <c r="Q11" s="24" t="str">
        <f ca="1"/>
        <v>AEE US EQUITY</v>
      </c>
      <c r="R11" s="24">
        <f ca="1"/>
        <v>45838</v>
      </c>
      <c r="S11" s="25" t="str">
        <f ca="1"/>
        <v>canonical</v>
      </c>
      <c r="T11" s="26" t="str">
        <f ca="1"/>
        <v>TTM_capex</v>
      </c>
      <c r="U11" s="30" t="str">
        <f ca="1"/>
        <v>4657</v>
      </c>
      <c r="V11" s="29" t="str">
        <f ca="1"/>
        <v>0.208982346832814</v>
      </c>
      <c r="W11" s="29" t="str">
        <f ca="1"/>
        <v>-263.117708142449</v>
      </c>
      <c r="X11" s="29" t="str">
        <f ca="1"/>
        <v>1715.46311282047</v>
      </c>
      <c r="Y11" s="29" t="str">
        <f ca="1"/>
        <v>0.00800865800865802</v>
      </c>
    </row>
    <row r="12" spans="1:25" x14ac:dyDescent="0.45">
      <c r="Q12" s="24" t="str">
        <f ca="1"/>
        <v>AEE US EQUITY</v>
      </c>
      <c r="R12" s="24">
        <f ca="1"/>
        <v>45930</v>
      </c>
      <c r="S12" s="25" t="str">
        <f ca="1"/>
        <v>canonical</v>
      </c>
      <c r="T12" s="26" t="str">
        <f ca="1"/>
        <v>TTM_capex</v>
      </c>
      <c r="U12" s="30" t="str">
        <f ca="1"/>
        <v>4488</v>
      </c>
      <c r="V12" s="29" t="str">
        <f ca="1"/>
        <v>0.0564971751412429</v>
      </c>
      <c r="W12" s="29" t="str">
        <f ca="1"/>
        <v>-1524.85171691571</v>
      </c>
      <c r="X12" s="29" t="str">
        <f ca="1"/>
        <v>-1317.54573110505</v>
      </c>
      <c r="Y12" s="29" t="str">
        <f ca="1"/>
        <v>-0.0362894567318016</v>
      </c>
    </row>
    <row r="13" spans="1:25" x14ac:dyDescent="0.45">
      <c r="C13" s="13" t="s">
        <v>8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AEE US EQUITY</v>
      </c>
      <c r="R13" s="24">
        <f ca="1"/>
        <v>46022</v>
      </c>
      <c r="S13" s="25" t="str">
        <f ca="1"/>
        <v>canonical</v>
      </c>
      <c r="T13" s="26" t="str">
        <f ca="1"/>
        <v>TTM_capex</v>
      </c>
      <c r="U13" s="30" t="str">
        <f ca="1"/>
        <v>3318</v>
      </c>
      <c r="V13" s="29" t="str">
        <f ca="1"/>
        <v>-0.251015801354402</v>
      </c>
      <c r="W13" s="29" t="str">
        <f ca="1"/>
        <v>-3075.12976495645</v>
      </c>
      <c r="X13" s="29" t="str">
        <f ca="1"/>
        <v>-4177.26362323588</v>
      </c>
      <c r="Y13" s="29" t="str">
        <f ca="1"/>
        <v>-0.260695187165775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AEE US EQUITY</v>
      </c>
      <c r="R14" s="24">
        <v>45747</v>
      </c>
      <c r="S14" s="25" t="str">
        <v>custom</v>
      </c>
      <c r="T14" s="26" t="str">
        <v>rate_base_in_billions</v>
      </c>
      <c r="U14" s="30" t="str">
        <v/>
      </c>
      <c r="V14" s="29" t="str">
        <v/>
      </c>
      <c r="W14" s="29" t="str">
        <v/>
      </c>
      <c r="X14" s="29" t="str">
        <v/>
      </c>
      <c r="Y14" s="29" t="str">
        <v/>
      </c>
    </row>
    <row r="15" spans="1:25" x14ac:dyDescent="0.45">
      <c r="A15" s="16" t="s">
        <v>5</v>
      </c>
      <c r="B15" s="16" t="s">
        <v>24</v>
      </c>
      <c r="C15" s="9" t="s">
        <v>23</v>
      </c>
      <c r="D15" s="3">
        <f ca="1"/>
        <v>16.974699999999999</v>
      </c>
      <c r="E15" s="3">
        <f ca="1"/>
        <v>15.7743</v>
      </c>
      <c r="F15" s="3">
        <f ca="1"/>
        <v>15.9758</v>
      </c>
      <c r="G15" s="3">
        <f ca="1"/>
        <v>14.831</v>
      </c>
      <c r="H15" s="3">
        <f ca="1"/>
        <v>13.8559</v>
      </c>
      <c r="I15" s="3">
        <f ca="1"/>
        <v>14.603300000000001</v>
      </c>
      <c r="J15" s="3">
        <f ca="1"/>
        <v>14.468</v>
      </c>
      <c r="K15" s="3">
        <f ca="1"/>
        <v>15.212</v>
      </c>
      <c r="L15" s="3">
        <f ca="1"/>
        <v>15.089399999999999</v>
      </c>
      <c r="M15" s="3">
        <f ca="1"/>
        <v>15.805</v>
      </c>
      <c r="N15" s="3">
        <f ca="1"/>
        <v>16.553899999999999</v>
      </c>
      <c r="O15">
        <f ca="1"/>
        <v>20.630400000000002</v>
      </c>
      <c r="Q15" s="24" t="str">
        <v>AEE US EQUITY</v>
      </c>
      <c r="R15" s="24">
        <v>45838</v>
      </c>
      <c r="S15" s="25" t="str">
        <v>custom</v>
      </c>
      <c r="T15" s="26" t="str">
        <v>rate_base_in_billions</v>
      </c>
      <c r="U15" s="30" t="str">
        <v/>
      </c>
      <c r="V15" s="29" t="str">
        <v/>
      </c>
      <c r="W15" s="29" t="str">
        <v/>
      </c>
      <c r="X15" s="29" t="str">
        <v/>
      </c>
      <c r="Y15" s="29" t="str">
        <v/>
      </c>
    </row>
    <row r="16" spans="1:25" x14ac:dyDescent="0.45">
      <c r="C16" s="4" t="s">
        <v>3</v>
      </c>
      <c r="D16" s="5"/>
      <c r="E16" s="4"/>
      <c r="F16" s="4"/>
      <c r="G16" s="4"/>
      <c r="H16" s="7">
        <f t="shared" ref="H16" ca="1" si="4">(H15-D15)*100</f>
        <v>-311.87999999999982</v>
      </c>
      <c r="I16" s="7">
        <f t="shared" ref="I16" ca="1" si="5">(I15-E15)*100</f>
        <v>-117.09999999999994</v>
      </c>
      <c r="J16" s="7">
        <f t="shared" ref="J16" ca="1" si="6">(J15-F15)*100</f>
        <v>-150.77999999999997</v>
      </c>
      <c r="K16" s="7">
        <f t="shared" ref="K16:O16" ca="1" si="7">(K15-G15)*100</f>
        <v>38.100000000000023</v>
      </c>
      <c r="L16" s="7">
        <f t="shared" ca="1" si="7"/>
        <v>123.34999999999994</v>
      </c>
      <c r="M16" s="7">
        <f t="shared" ca="1" si="7"/>
        <v>120.16999999999989</v>
      </c>
      <c r="N16" s="7">
        <f t="shared" ca="1" si="7"/>
        <v>208.58999999999986</v>
      </c>
      <c r="O16" s="7">
        <f t="shared" ca="1" si="7"/>
        <v>541.84000000000015</v>
      </c>
      <c r="Q16" s="24" t="str">
        <v>AEE US EQUITY</v>
      </c>
      <c r="R16" s="24">
        <v>45930</v>
      </c>
      <c r="S16" s="25" t="str">
        <v>custom</v>
      </c>
      <c r="T16" s="26" t="str">
        <v>rate_base_in_billions</v>
      </c>
      <c r="U16" s="30" t="str">
        <v/>
      </c>
      <c r="V16" s="29" t="str">
        <v/>
      </c>
      <c r="W16" s="29" t="str">
        <v/>
      </c>
      <c r="X16" s="29" t="str">
        <v/>
      </c>
      <c r="Y16" s="29" t="str">
        <v/>
      </c>
    </row>
    <row r="17" spans="1:25" x14ac:dyDescent="0.45">
      <c r="C17" s="4" t="s">
        <v>13</v>
      </c>
      <c r="D17" s="1"/>
      <c r="K17" s="7"/>
      <c r="L17" s="7"/>
      <c r="M17" s="7"/>
      <c r="N17" s="7"/>
      <c r="O17" s="7"/>
      <c r="Q17" s="24" t="str">
        <v>AEE US EQUITY</v>
      </c>
      <c r="R17" s="24">
        <v>46022</v>
      </c>
      <c r="S17" s="25" t="str">
        <v>custom</v>
      </c>
      <c r="T17" s="26" t="str">
        <v>rate_base_in_billions</v>
      </c>
      <c r="U17" s="30" t="str">
        <v>28.8</v>
      </c>
      <c r="V17" s="29" t="str">
        <v>0.0666666666666667</v>
      </c>
      <c r="W17" s="29" t="str">
        <v/>
      </c>
      <c r="X17" s="29" t="str">
        <v>-308.943089430893</v>
      </c>
      <c r="Y17" s="29" t="str">
        <v/>
      </c>
    </row>
    <row r="18" spans="1:25" x14ac:dyDescent="0.45">
      <c r="C18" s="4" t="s">
        <v>17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AEE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4</v>
      </c>
      <c r="D19" s="1"/>
      <c r="K19" s="7"/>
      <c r="L19" s="7">
        <f ca="1">(L15-K15)*100</f>
        <v>-12.260000000000026</v>
      </c>
      <c r="M19" s="7">
        <f t="shared" ref="M19:O19" ca="1" si="8">(M15-L15)*100</f>
        <v>71.560000000000031</v>
      </c>
      <c r="N19" s="7">
        <f t="shared" ca="1" si="8"/>
        <v>74.889999999999901</v>
      </c>
      <c r="O19" s="7">
        <f t="shared" ca="1" si="8"/>
        <v>407.65000000000032</v>
      </c>
      <c r="Q19" s="24" t="str">
        <v>AEE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AEE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8</v>
      </c>
      <c r="D21" s="14">
        <f>EOMONTH(DATE(YEAR(D22),ROUNDUP(MONTH(D22)/3,0)*3,1),0)</f>
        <v>45016</v>
      </c>
      <c r="E21" s="14">
        <f>EOMONTH(DATE(YEAR(E22),ROUNDUP(MONTH(E22)/3,0)*3,1),0)</f>
        <v>45107</v>
      </c>
      <c r="F21" s="14">
        <f>EOMONTH(DATE(YEAR(F22),ROUNDUP(MONTH(F22)/3,0)*3,1),0)</f>
        <v>45199</v>
      </c>
      <c r="G21" s="14">
        <f t="shared" ref="G21:K21" si="9">EOMONTH(DATE(YEAR(G22),ROUNDUP(MONTH(G22)/3,0)*3,1),0)</f>
        <v>45291</v>
      </c>
      <c r="H21" s="14">
        <f t="shared" si="9"/>
        <v>45382</v>
      </c>
      <c r="I21" s="14">
        <f t="shared" si="9"/>
        <v>45473</v>
      </c>
      <c r="J21" s="14">
        <f t="shared" si="9"/>
        <v>45565</v>
      </c>
      <c r="K21" s="14">
        <f t="shared" si="9"/>
        <v>45657</v>
      </c>
      <c r="L21" s="14">
        <f>EOMONTH(DATE(YEAR(L22),ROUNDUP(MONTH(L22)/3,0)*3,1),0)</f>
        <v>45747</v>
      </c>
      <c r="M21" s="14">
        <f>EOMONTH(DATE(YEAR(M22),ROUNDUP(MONTH(M22)/3,0)*3,1),0)</f>
        <v>45838</v>
      </c>
      <c r="N21" s="14">
        <f>EOMONTH(DATE(YEAR(N22),ROUNDUP(MONTH(N22)/3,0)*3,1),0)</f>
        <v>45930</v>
      </c>
      <c r="O21" s="14">
        <f>EOMONTH(DATE(YEAR(O22),ROUNDUP(MONTH(O22)/3,0)*3,1),0)</f>
        <v>46022</v>
      </c>
      <c r="Q21" s="24" t="str">
        <v>AEE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2">
        <v>45016</v>
      </c>
      <c r="E22" s="2">
        <v>45107</v>
      </c>
      <c r="F22" s="2">
        <v>45199</v>
      </c>
      <c r="G22" s="2">
        <v>45291</v>
      </c>
      <c r="H22" s="2">
        <v>45382</v>
      </c>
      <c r="I22" s="2">
        <v>45473</v>
      </c>
      <c r="J22" s="2">
        <v>45565</v>
      </c>
      <c r="K22" s="2">
        <v>45657</v>
      </c>
      <c r="L22" s="2">
        <v>45747</v>
      </c>
      <c r="M22" s="2">
        <v>45838</v>
      </c>
      <c r="N22" s="2">
        <v>45930</v>
      </c>
      <c r="O22" s="2"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AEE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5</v>
      </c>
      <c r="B23" s="16" t="s">
        <v>32</v>
      </c>
      <c r="C23" s="9" t="s">
        <v>31</v>
      </c>
      <c r="D23" s="3" cm="1">
        <f t="array" aca="1" ref="D23:O23" ca="1">-_xll.BDH($B$2,C23,$B$3,$B$4,"DIR=H","DATES=H")</f>
        <v>3561</v>
      </c>
      <c r="E23" s="3">
        <f ca="1"/>
        <v>3713</v>
      </c>
      <c r="F23" s="3">
        <f ca="1"/>
        <v>3575</v>
      </c>
      <c r="G23" s="3">
        <f ca="1"/>
        <v>3797</v>
      </c>
      <c r="H23" s="3">
        <f ca="1"/>
        <v>3740</v>
      </c>
      <c r="I23" s="3">
        <f ca="1"/>
        <v>3852</v>
      </c>
      <c r="J23" s="3">
        <f ca="1"/>
        <v>4248</v>
      </c>
      <c r="K23" s="3">
        <f ca="1"/>
        <v>4430</v>
      </c>
      <c r="L23" s="3">
        <f ca="1"/>
        <v>4620</v>
      </c>
      <c r="M23" s="3">
        <f ca="1"/>
        <v>4657</v>
      </c>
      <c r="N23" s="3">
        <f ca="1"/>
        <v>4488</v>
      </c>
      <c r="O23">
        <f ca="1"/>
        <v>3318</v>
      </c>
      <c r="Q23" s="24" t="str">
        <v>AEE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3</v>
      </c>
      <c r="D24" s="5"/>
      <c r="E24" s="4"/>
      <c r="F24" s="4"/>
      <c r="G24" s="4"/>
      <c r="H24" s="12">
        <f t="shared" ref="H24" ca="1" si="10">+H23/D23-1</f>
        <v>5.0266778994664474E-2</v>
      </c>
      <c r="I24" s="12">
        <f t="shared" ref="I24" ca="1" si="11">+I23/E23-1</f>
        <v>3.7436035550767466E-2</v>
      </c>
      <c r="J24" s="12">
        <f t="shared" ref="J24" ca="1" si="12">+J23/F23-1</f>
        <v>0.18825174825174829</v>
      </c>
      <c r="K24" s="12">
        <f t="shared" ref="K24" ca="1" si="13">+K23/G23-1</f>
        <v>0.16671056096918613</v>
      </c>
      <c r="L24" s="12">
        <f t="shared" ref="L24" ca="1" si="14">+L23/H23-1</f>
        <v>0.23529411764705888</v>
      </c>
      <c r="M24" s="12">
        <f t="shared" ref="M24" ca="1" si="15">+M23/I23-1</f>
        <v>0.20898234683281403</v>
      </c>
      <c r="N24" s="12">
        <f t="shared" ref="N24" ca="1" si="16">+N23/J23-1</f>
        <v>5.6497175141242861E-2</v>
      </c>
      <c r="O24" s="12">
        <f t="shared" ref="O24" ca="1" si="17">+O23/K23-1</f>
        <v>-0.25101580135440182</v>
      </c>
      <c r="Q24" s="24" t="str">
        <v>AEE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13</v>
      </c>
      <c r="D25" s="1"/>
      <c r="L25" s="7">
        <f ca="1">(L24-K24)*10000</f>
        <v>685.83556677872753</v>
      </c>
      <c r="M25" s="7">
        <f ca="1">(M24-L24)*10000</f>
        <v>-263.11770814244852</v>
      </c>
      <c r="N25" s="7">
        <f ca="1">(N24-M24)*10000</f>
        <v>-1524.8517169157117</v>
      </c>
      <c r="O25" s="7">
        <f ca="1">(O24-N24)*10000</f>
        <v>-3075.1297649564467</v>
      </c>
      <c r="Q25" s="24" t="str">
        <v>AEE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17</v>
      </c>
      <c r="D26" s="1"/>
      <c r="E26" s="7"/>
      <c r="F26" s="7"/>
      <c r="G26" s="7"/>
      <c r="H26" s="6"/>
      <c r="I26" s="6"/>
      <c r="J26" s="6"/>
      <c r="K26" s="6"/>
      <c r="L26" s="7">
        <f ca="1">(L24-H24)*10000</f>
        <v>1850.2733865239441</v>
      </c>
      <c r="M26" s="7">
        <f ca="1">(M24-I24)*10000</f>
        <v>1715.4631128204655</v>
      </c>
      <c r="N26" s="7">
        <f ca="1">(N24-J24)*10000</f>
        <v>-1317.5457311050543</v>
      </c>
      <c r="O26" s="7">
        <f ca="1">(O24-K24)*10000</f>
        <v>-4177.2636232358791</v>
      </c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AEE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4</v>
      </c>
      <c r="D27" s="1"/>
      <c r="L27" s="12">
        <f t="shared" ref="L27" ca="1" si="18">L23/K23-1</f>
        <v>4.2889390519187387E-2</v>
      </c>
      <c r="M27" s="12">
        <f t="shared" ref="M27" ca="1" si="19">M23/L23-1</f>
        <v>8.0086580086580206E-3</v>
      </c>
      <c r="N27" s="12">
        <f t="shared" ref="N27" ca="1" si="20">N23/M23-1</f>
        <v>-3.6289456731801617E-2</v>
      </c>
      <c r="O27" s="12">
        <f t="shared" ref="O27" ca="1" si="21">O23/N23-1</f>
        <v>-0.26069518716577544</v>
      </c>
      <c r="Q27" s="24" t="str">
        <v>AEE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AEE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 t="s">
        <v>8</v>
      </c>
      <c r="D29" s="14">
        <f t="shared" ref="D29" si="22">EOMONTH(DATE(YEAR(D30),ROUNDUP(MONTH(D30)/3,0)*3,1),0)</f>
        <v>45016</v>
      </c>
      <c r="E29" s="14">
        <f t="shared" ref="E29" si="23">EOMONTH(DATE(YEAR(E30),ROUNDUP(MONTH(E30)/3,0)*3,1),0)</f>
        <v>45107</v>
      </c>
      <c r="F29" s="14">
        <f t="shared" ref="F29" si="24">EOMONTH(DATE(YEAR(F30),ROUNDUP(MONTH(F30)/3,0)*3,1),0)</f>
        <v>45199</v>
      </c>
      <c r="G29" s="14">
        <f t="shared" ref="G29" si="25">EOMONTH(DATE(YEAR(G30),ROUNDUP(MONTH(G30)/3,0)*3,1),0)</f>
        <v>45291</v>
      </c>
      <c r="H29" s="14">
        <f t="shared" ref="H29" si="26">EOMONTH(DATE(YEAR(H30),ROUNDUP(MONTH(H30)/3,0)*3,1),0)</f>
        <v>45382</v>
      </c>
      <c r="I29" s="14">
        <f t="shared" ref="I29:J29" si="27">EOMONTH(DATE(YEAR(I30),ROUNDUP(MONTH(I30)/3,0)*3,1),0)</f>
        <v>45473</v>
      </c>
      <c r="J29" s="14">
        <f t="shared" si="27"/>
        <v>45565</v>
      </c>
      <c r="K29" s="14">
        <f t="shared" ref="K29:L29" si="28">EOMONTH(DATE(YEAR(K30),ROUNDUP(MONTH(K30)/3,0)*3,1),0)</f>
        <v>45657</v>
      </c>
      <c r="L29" s="14">
        <f t="shared" si="28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AEE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AEE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15</v>
      </c>
      <c r="B31" s="16" t="s">
        <v>26</v>
      </c>
      <c r="C31" s="2" t="s">
        <v>25</v>
      </c>
      <c r="D31" s="10"/>
      <c r="E31" s="10"/>
      <c r="F31" s="10"/>
      <c r="G31" s="32">
        <v>24.6</v>
      </c>
      <c r="H31" s="8"/>
      <c r="I31" s="8"/>
      <c r="J31" s="8"/>
      <c r="K31" s="32">
        <v>27</v>
      </c>
      <c r="L31" s="8"/>
      <c r="M31" s="8"/>
      <c r="N31" s="8"/>
      <c r="O31" s="32">
        <v>28.8</v>
      </c>
      <c r="Q31" s="24" t="str">
        <v>AEE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3</v>
      </c>
      <c r="D32" s="5"/>
      <c r="E32" s="4"/>
      <c r="F32" s="4"/>
      <c r="G32" s="4"/>
      <c r="H32" s="7"/>
      <c r="I32" s="7"/>
      <c r="J32" s="7"/>
      <c r="K32" s="12">
        <f t="shared" ref="K32" si="29">+K31/G31-1</f>
        <v>9.7560975609755962E-2</v>
      </c>
      <c r="L32" s="12"/>
      <c r="M32" s="12"/>
      <c r="N32" s="12"/>
      <c r="O32" s="12">
        <f t="shared" ref="O32" si="30">+O31/K31-1</f>
        <v>6.6666666666666652E-2</v>
      </c>
      <c r="Q32" s="24" t="str">
        <v>AEE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13</v>
      </c>
      <c r="D33" s="1"/>
      <c r="K33" s="7"/>
      <c r="L33" s="7"/>
      <c r="M33" s="7"/>
      <c r="N33" s="7"/>
      <c r="O33" s="7"/>
      <c r="Q33" s="24" t="str">
        <v>AEE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17</v>
      </c>
      <c r="D34" s="1"/>
      <c r="E34" s="7"/>
      <c r="F34" s="7"/>
      <c r="G34" s="7"/>
      <c r="H34" s="7"/>
      <c r="I34" s="7"/>
      <c r="J34" s="7"/>
      <c r="K34" s="7">
        <f>(K32-G32)*10000</f>
        <v>975.60975609755963</v>
      </c>
      <c r="L34" s="7"/>
      <c r="M34" s="7"/>
      <c r="N34" s="7"/>
      <c r="O34" s="7">
        <f>(O32-K32)*10000</f>
        <v>-308.94308943089311</v>
      </c>
    </row>
    <row r="35" spans="1:25" x14ac:dyDescent="0.45">
      <c r="C35" s="4" t="s">
        <v>4</v>
      </c>
      <c r="D35" s="1"/>
      <c r="G35" s="7"/>
      <c r="H35" s="7"/>
      <c r="I35" s="7"/>
      <c r="J35" s="7"/>
      <c r="L35" s="12"/>
      <c r="M35" s="12"/>
      <c r="N35" s="12"/>
      <c r="O35" s="12"/>
    </row>
    <row r="36" spans="1:25" x14ac:dyDescent="0.45">
      <c r="C36" s="4"/>
      <c r="D36" s="1"/>
      <c r="K36" s="7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L44" s="7"/>
      <c r="M44" s="7"/>
      <c r="N44" s="7"/>
      <c r="O44" s="7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4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4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0" spans="1:15" x14ac:dyDescent="0.45">
      <c r="C60" s="4"/>
      <c r="D60" s="1"/>
      <c r="G60" s="1"/>
    </row>
    <row r="61" spans="1:15" x14ac:dyDescent="0.4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4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4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787C-CCCF-44DF-A4E1-D7CF02BB0DDB}">
  <dimension ref="A1:Y67"/>
  <sheetViews>
    <sheetView topLeftCell="H1" zoomScale="85" zoomScaleNormal="85" workbookViewId="0">
      <selection activeCell="N10" sqref="N10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6" width="9.3984375" bestFit="1" customWidth="1"/>
    <col min="7" max="10" width="10.3984375" customWidth="1"/>
    <col min="11" max="11" width="10" bestFit="1" customWidth="1"/>
    <col min="12" max="13" width="9.3984375" bestFit="1" customWidth="1"/>
    <col min="14" max="14" width="11.265625" bestFit="1" customWidth="1"/>
    <col min="15" max="15" width="10.398437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16</v>
      </c>
      <c r="B1" s="22" t="s">
        <v>16</v>
      </c>
      <c r="C1" s="22" t="s">
        <v>16</v>
      </c>
      <c r="D1" s="22" t="s">
        <v>16</v>
      </c>
      <c r="E1" s="22" t="s">
        <v>16</v>
      </c>
      <c r="F1" s="22" t="s">
        <v>16</v>
      </c>
      <c r="G1" s="22" t="s">
        <v>16</v>
      </c>
      <c r="H1" s="22" t="s">
        <v>16</v>
      </c>
      <c r="I1" s="22" t="s">
        <v>16</v>
      </c>
      <c r="J1" s="22" t="s">
        <v>16</v>
      </c>
      <c r="K1" s="22" t="s">
        <v>16</v>
      </c>
      <c r="L1" s="22" t="s">
        <v>16</v>
      </c>
      <c r="M1" s="22" t="s">
        <v>16</v>
      </c>
      <c r="N1" s="22" t="s">
        <v>16</v>
      </c>
      <c r="O1" s="22" t="s">
        <v>16</v>
      </c>
      <c r="Q1" s="23" t="s">
        <v>9</v>
      </c>
      <c r="R1" s="23" t="s">
        <v>7</v>
      </c>
      <c r="S1" s="23" t="s">
        <v>12</v>
      </c>
      <c r="T1" s="23" t="s">
        <v>11</v>
      </c>
      <c r="U1" s="23" t="s">
        <v>6</v>
      </c>
      <c r="V1" s="23" t="s">
        <v>10</v>
      </c>
      <c r="W1" s="23" t="s">
        <v>14</v>
      </c>
      <c r="X1" s="23" t="s">
        <v>18</v>
      </c>
      <c r="Y1" s="23" t="s">
        <v>19</v>
      </c>
    </row>
    <row r="2" spans="1:25" x14ac:dyDescent="0.45">
      <c r="A2" s="17" t="s">
        <v>0</v>
      </c>
      <c r="B2" s="31" t="s">
        <v>27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AEP US EQUITY</v>
      </c>
      <c r="R2" s="24">
        <f ca="1"/>
        <v>45747</v>
      </c>
      <c r="S2" s="25" t="str">
        <f ca="1"/>
        <v>canonical</v>
      </c>
      <c r="T2" s="26" t="str">
        <f ca="1"/>
        <v>TTM_FFO</v>
      </c>
      <c r="U2" s="27" t="str">
        <f ca="1"/>
        <v>6252.1</v>
      </c>
      <c r="V2" s="28" t="str">
        <f ca="1"/>
        <v>0.00520925446564946</v>
      </c>
      <c r="W2" s="29" t="str">
        <f ca="1"/>
        <v>-959.682041133523</v>
      </c>
      <c r="X2" s="28" t="str">
        <f ca="1"/>
        <v>-2287.60271762428</v>
      </c>
      <c r="Y2" s="29" t="str">
        <f ca="1"/>
        <v>-0.00665713377820143</v>
      </c>
    </row>
    <row r="3" spans="1:25" x14ac:dyDescent="0.45">
      <c r="A3" s="18" t="s">
        <v>2</v>
      </c>
      <c r="B3" s="19">
        <f ca="1">+B4-365*3</f>
        <v>45001</v>
      </c>
      <c r="Q3" s="24" t="str">
        <f ca="1"/>
        <v>AEP US EQUITY</v>
      </c>
      <c r="R3" s="24">
        <f ca="1"/>
        <v>45838</v>
      </c>
      <c r="S3" s="25" t="str">
        <f ca="1"/>
        <v>canonical</v>
      </c>
      <c r="T3" s="26" t="str">
        <f ca="1"/>
        <v>TTM_FFO</v>
      </c>
      <c r="U3" s="27" t="str">
        <f ca="1"/>
        <v>6107</v>
      </c>
      <c r="V3" s="28" t="str">
        <f ca="1"/>
        <v>-0.0568194103383836</v>
      </c>
      <c r="W3" s="29" t="str">
        <f ca="1"/>
        <v>-620.28664804033</v>
      </c>
      <c r="X3" s="29" t="str">
        <f ca="1"/>
        <v>-3580.45294582756</v>
      </c>
      <c r="Y3" s="29" t="str">
        <f ca="1"/>
        <v>-0.0232082020441132</v>
      </c>
    </row>
    <row r="4" spans="1:25" x14ac:dyDescent="0.45">
      <c r="A4" s="20" t="s">
        <v>1</v>
      </c>
      <c r="B4" s="21">
        <f ca="1">TODAY()</f>
        <v>46096</v>
      </c>
      <c r="Q4" s="24" t="str">
        <f ca="1"/>
        <v>AEP US EQUITY</v>
      </c>
      <c r="R4" s="24">
        <f ca="1"/>
        <v>45930</v>
      </c>
      <c r="S4" s="25" t="str">
        <f ca="1"/>
        <v>canonical</v>
      </c>
      <c r="T4" s="26" t="str">
        <f ca="1"/>
        <v>TTM_FFO</v>
      </c>
      <c r="U4" s="27" t="str">
        <f ca="1"/>
        <v>6361.2</v>
      </c>
      <c r="V4" s="28" t="str">
        <f ca="1"/>
        <v>0.00766696236218478</v>
      </c>
      <c r="W4" s="29" t="str">
        <f ca="1"/>
        <v>644.863727005683</v>
      </c>
      <c r="X4" s="29" t="str">
        <f ca="1"/>
        <v>-2735.99528402987</v>
      </c>
      <c r="Y4" s="29" t="str">
        <f ca="1"/>
        <v>0.0416243654822335</v>
      </c>
    </row>
    <row r="5" spans="1:25" x14ac:dyDescent="0.45">
      <c r="C5" s="13" t="s">
        <v>8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AEP US EQUITY</v>
      </c>
      <c r="R5" s="24">
        <f ca="1"/>
        <v>46022</v>
      </c>
      <c r="S5" s="25" t="str">
        <f ca="1"/>
        <v>canonical</v>
      </c>
      <c r="T5" s="26" t="str">
        <f ca="1"/>
        <v>TTM_FFO</v>
      </c>
      <c r="U5" s="27" t="str">
        <f ca="1"/>
        <v>6603</v>
      </c>
      <c r="V5" s="28" t="str">
        <f ca="1"/>
        <v>0.0490943755958055</v>
      </c>
      <c r="W5" s="29" t="str">
        <f ca="1"/>
        <v>414.274132336208</v>
      </c>
      <c r="X5" s="29" t="str">
        <f ca="1"/>
        <v>-520.830829831962</v>
      </c>
      <c r="Y5" s="29" t="str">
        <f ca="1"/>
        <v>0.0380116959064327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45922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AEP US EQUITY</v>
      </c>
      <c r="R6" s="24">
        <f ca="1"/>
        <v>45747</v>
      </c>
      <c r="S6" s="25" t="str">
        <f ca="1"/>
        <v>canonical</v>
      </c>
      <c r="T6" s="26" t="str">
        <f ca="1"/>
        <v>FFO_to_debt</v>
      </c>
      <c r="U6" s="30" t="str">
        <f ca="1"/>
        <v>13.3221</v>
      </c>
      <c r="V6" s="29" t="str">
        <f ca="1"/>
        <v>-75.2799999999999</v>
      </c>
      <c r="W6" s="29" t="str">
        <f ca="1"/>
        <v/>
      </c>
      <c r="X6" s="29" t="str">
        <f ca="1"/>
        <v/>
      </c>
      <c r="Y6" s="29" t="str">
        <f ca="1"/>
        <v>-43.14</v>
      </c>
    </row>
    <row r="7" spans="1:25" x14ac:dyDescent="0.45">
      <c r="A7" s="16" t="s">
        <v>5</v>
      </c>
      <c r="B7" s="16" t="s">
        <v>20</v>
      </c>
      <c r="C7" s="9" t="s">
        <v>21</v>
      </c>
      <c r="D7" s="11">
        <f ca="1"/>
        <v>5040.3999999999996</v>
      </c>
      <c r="E7" s="11">
        <f ca="1"/>
        <v>4976</v>
      </c>
      <c r="F7" s="11">
        <f ca="1"/>
        <v>4927</v>
      </c>
      <c r="G7" s="11">
        <f ca="1"/>
        <v>5715.7</v>
      </c>
      <c r="H7" s="11">
        <f ca="1"/>
        <v>6219.7</v>
      </c>
      <c r="I7" s="11">
        <f ca="1"/>
        <v>6474.9</v>
      </c>
      <c r="J7" s="11">
        <f ca="1"/>
        <v>6312.8</v>
      </c>
      <c r="K7" s="11">
        <f ca="1"/>
        <v>6294</v>
      </c>
      <c r="L7" s="11">
        <f ca="1"/>
        <v>6252.1</v>
      </c>
      <c r="M7" s="11">
        <f ca="1"/>
        <v>6107</v>
      </c>
      <c r="N7" s="11">
        <f ca="1"/>
        <v>6361.2</v>
      </c>
      <c r="O7" s="3">
        <f ca="1"/>
        <v>6603</v>
      </c>
      <c r="P7" s="1"/>
      <c r="Q7" s="24" t="str">
        <f ca="1"/>
        <v>AEP US EQUITY</v>
      </c>
      <c r="R7" s="24">
        <f ca="1"/>
        <v>45838</v>
      </c>
      <c r="S7" s="25" t="str">
        <f ca="1"/>
        <v>canonical</v>
      </c>
      <c r="T7" s="26" t="str">
        <f ca="1"/>
        <v>FFO_to_debt</v>
      </c>
      <c r="U7" s="30" t="str">
        <f ca="1"/>
        <v>13.0727</v>
      </c>
      <c r="V7" s="29" t="str">
        <f ca="1"/>
        <v>-153.01</v>
      </c>
      <c r="W7" s="29" t="str">
        <f ca="1"/>
        <v/>
      </c>
      <c r="X7" s="29" t="str">
        <f ca="1"/>
        <v/>
      </c>
      <c r="Y7" s="29" t="str">
        <f ca="1"/>
        <v>-24.9400000000001</v>
      </c>
    </row>
    <row r="8" spans="1:25" x14ac:dyDescent="0.45">
      <c r="C8" s="4" t="s">
        <v>3</v>
      </c>
      <c r="D8" s="5"/>
      <c r="E8" s="4"/>
      <c r="F8" s="4"/>
      <c r="G8" s="12"/>
      <c r="H8" s="12">
        <f t="shared" ref="H8:O8" ca="1" si="1">+H7/D7-1</f>
        <v>0.23396952622807721</v>
      </c>
      <c r="I8" s="12">
        <f t="shared" ca="1" si="1"/>
        <v>0.30122588424437291</v>
      </c>
      <c r="J8" s="12">
        <f t="shared" ca="1" si="1"/>
        <v>0.28126649076517163</v>
      </c>
      <c r="K8" s="12">
        <f t="shared" ca="1" si="1"/>
        <v>0.10117745857900173</v>
      </c>
      <c r="L8" s="12">
        <f t="shared" ca="1" si="1"/>
        <v>5.2092544656494599E-3</v>
      </c>
      <c r="M8" s="12">
        <f t="shared" ca="1" si="1"/>
        <v>-5.6819410338383558E-2</v>
      </c>
      <c r="N8" s="12">
        <f t="shared" ca="1" si="1"/>
        <v>7.6669623621847816E-3</v>
      </c>
      <c r="O8" s="12">
        <f t="shared" ca="1" si="1"/>
        <v>4.9094375595805539E-2</v>
      </c>
      <c r="P8" s="3"/>
      <c r="Q8" s="24" t="str">
        <f ca="1"/>
        <v>AEP US EQUITY</v>
      </c>
      <c r="R8" s="24">
        <f ca="1"/>
        <v>45930</v>
      </c>
      <c r="S8" s="25" t="str">
        <f ca="1"/>
        <v>canonical</v>
      </c>
      <c r="T8" s="26" t="str">
        <f ca="1"/>
        <v>FFO_to_debt</v>
      </c>
      <c r="U8" s="30" t="str">
        <f ca="1"/>
        <v>13.2829</v>
      </c>
      <c r="V8" s="29" t="str">
        <f ca="1"/>
        <v>-99.2599999999999</v>
      </c>
      <c r="W8" s="29" t="str">
        <f ca="1"/>
        <v/>
      </c>
      <c r="X8" s="29" t="str">
        <f ca="1"/>
        <v/>
      </c>
      <c r="Y8" s="29" t="str">
        <f ca="1"/>
        <v>21.02</v>
      </c>
    </row>
    <row r="9" spans="1:25" x14ac:dyDescent="0.45">
      <c r="C9" s="4" t="s">
        <v>13</v>
      </c>
      <c r="D9" s="1"/>
      <c r="L9" s="7">
        <f ca="1">(L8-K8)*10000</f>
        <v>-959.68204113352272</v>
      </c>
      <c r="M9" s="7">
        <f ca="1">(M8-L8)*10000</f>
        <v>-620.28664804033019</v>
      </c>
      <c r="N9" s="7">
        <f ca="1">(N8-M8)*10000</f>
        <v>644.86372700568336</v>
      </c>
      <c r="O9" s="7">
        <f ca="1">(O8-N8)*10000</f>
        <v>414.27413233620757</v>
      </c>
      <c r="Q9" s="22" t="str">
        <f ca="1"/>
        <v>AEP US EQUITY</v>
      </c>
      <c r="R9" s="24">
        <f ca="1"/>
        <v>46022</v>
      </c>
      <c r="S9" s="25" t="str">
        <f ca="1"/>
        <v>canonical</v>
      </c>
      <c r="T9" s="26" t="str">
        <f ca="1"/>
        <v>FFO_to_debt</v>
      </c>
      <c r="U9" s="30" t="str">
        <f ca="1"/>
        <v>13.3372</v>
      </c>
      <c r="V9" s="29" t="str">
        <f ca="1"/>
        <v>-41.6300000000001</v>
      </c>
      <c r="W9" s="29" t="str">
        <f ca="1"/>
        <v/>
      </c>
      <c r="X9" s="29" t="str">
        <f ca="1"/>
        <v/>
      </c>
      <c r="Y9" s="29" t="str">
        <f ca="1"/>
        <v>5.42999999999996</v>
      </c>
    </row>
    <row r="10" spans="1:25" x14ac:dyDescent="0.45">
      <c r="C10" s="4" t="s">
        <v>17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-2287.6027176242774</v>
      </c>
      <c r="M10" s="7">
        <f ca="1">(M8-I8)*10000</f>
        <v>-3580.4529458275647</v>
      </c>
      <c r="N10" s="7">
        <f ca="1">(N8-J8)*10000</f>
        <v>-2735.9952840298683</v>
      </c>
      <c r="O10" s="7">
        <f ca="1">(O8-K8)*10000</f>
        <v>-520.83082983196198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AEP US EQUITY</v>
      </c>
      <c r="R10" s="24">
        <f ca="1"/>
        <v>45747</v>
      </c>
      <c r="S10" s="25" t="str">
        <f ca="1"/>
        <v>canonical</v>
      </c>
      <c r="T10" s="26" t="str">
        <f ca="1"/>
        <v>TTM_capex</v>
      </c>
      <c r="U10" s="30" t="str">
        <f ca="1"/>
        <v>8111.2</v>
      </c>
      <c r="V10" s="29" t="str">
        <f ca="1"/>
        <v>0.124977462171121</v>
      </c>
      <c r="W10" s="29" t="str">
        <f ca="1"/>
        <v>897.946206337867</v>
      </c>
      <c r="X10" s="29" t="str">
        <f ca="1"/>
        <v>1160.78000896371</v>
      </c>
      <c r="Y10" s="29" t="str">
        <f ca="1"/>
        <v>0.0438318791341723</v>
      </c>
    </row>
    <row r="11" spans="1:25" x14ac:dyDescent="0.45">
      <c r="C11" s="4" t="s">
        <v>4</v>
      </c>
      <c r="D11" s="1"/>
      <c r="L11" s="12">
        <f t="shared" ref="L11:O11" ca="1" si="2">L7/K7-1</f>
        <v>-6.6571337782014295E-3</v>
      </c>
      <c r="M11" s="12">
        <f t="shared" ca="1" si="2"/>
        <v>-2.3208202044113224E-2</v>
      </c>
      <c r="N11" s="12">
        <f t="shared" ca="1" si="2"/>
        <v>4.1624365482233472E-2</v>
      </c>
      <c r="O11" s="12">
        <f t="shared" ca="1" si="2"/>
        <v>3.8011695906432719E-2</v>
      </c>
      <c r="Q11" s="24" t="str">
        <f ca="1"/>
        <v>AEP US EQUITY</v>
      </c>
      <c r="R11" s="24">
        <f ca="1"/>
        <v>45838</v>
      </c>
      <c r="S11" s="25" t="str">
        <f ca="1"/>
        <v>canonical</v>
      </c>
      <c r="T11" s="26" t="str">
        <f ca="1"/>
        <v>TTM_capex</v>
      </c>
      <c r="U11" s="30" t="str">
        <f ca="1"/>
        <v>8448.3</v>
      </c>
      <c r="V11" s="29" t="str">
        <f ca="1"/>
        <v>0.247718210013292</v>
      </c>
      <c r="W11" s="29" t="str">
        <f ca="1"/>
        <v>1227.40747842171</v>
      </c>
      <c r="X11" s="29" t="str">
        <f ca="1"/>
        <v>3672.46960891032</v>
      </c>
      <c r="Y11" s="29" t="str">
        <f ca="1"/>
        <v>0.0415598185225368</v>
      </c>
    </row>
    <row r="12" spans="1:25" x14ac:dyDescent="0.45">
      <c r="Q12" s="24" t="str">
        <f ca="1"/>
        <v>AEP US EQUITY</v>
      </c>
      <c r="R12" s="24">
        <f ca="1"/>
        <v>45930</v>
      </c>
      <c r="S12" s="25" t="str">
        <f ca="1"/>
        <v>canonical</v>
      </c>
      <c r="T12" s="26" t="str">
        <f ca="1"/>
        <v>TTM_capex</v>
      </c>
      <c r="U12" s="30" t="str">
        <f ca="1"/>
        <v>8593.7</v>
      </c>
      <c r="V12" s="29" t="str">
        <f ca="1"/>
        <v>0.237304729681089</v>
      </c>
      <c r="W12" s="29" t="str">
        <f ca="1"/>
        <v>-104.134803322034</v>
      </c>
      <c r="X12" s="29" t="str">
        <f ca="1"/>
        <v>3422.66069887274</v>
      </c>
      <c r="Y12" s="29" t="str">
        <f ca="1"/>
        <v>0.0172105630718609</v>
      </c>
    </row>
    <row r="13" spans="1:25" x14ac:dyDescent="0.45">
      <c r="C13" s="13" t="s">
        <v>8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AEP US EQUITY</v>
      </c>
      <c r="R13" s="24">
        <f ca="1"/>
        <v>46022</v>
      </c>
      <c r="S13" s="25" t="str">
        <f ca="1"/>
        <v>canonical</v>
      </c>
      <c r="T13" s="26" t="str">
        <f ca="1"/>
        <v>TTM_capex</v>
      </c>
      <c r="U13" s="30" t="str">
        <f ca="1"/>
        <v>8583</v>
      </c>
      <c r="V13" s="29" t="str">
        <f ca="1"/>
        <v>0.104547911358196</v>
      </c>
      <c r="W13" s="29" t="str">
        <f ca="1"/>
        <v>-1327.56818322892</v>
      </c>
      <c r="X13" s="29" t="str">
        <f ca="1"/>
        <v>693.650698208619</v>
      </c>
      <c r="Y13" s="29" t="str">
        <f ca="1"/>
        <v>-0.00124509815329843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45922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AEP US EQUITY</v>
      </c>
      <c r="R14" s="24">
        <v>45747</v>
      </c>
      <c r="S14" s="25" t="str">
        <v>custom</v>
      </c>
      <c r="T14" s="26" t="str">
        <v>rate_base_in_billions</v>
      </c>
      <c r="U14" s="30" t="str">
        <v/>
      </c>
      <c r="V14" s="29" t="str">
        <v/>
      </c>
      <c r="W14" s="29" t="str">
        <v/>
      </c>
      <c r="X14" s="29" t="str">
        <v/>
      </c>
      <c r="Y14" s="29" t="str">
        <v/>
      </c>
    </row>
    <row r="15" spans="1:25" x14ac:dyDescent="0.45">
      <c r="A15" s="16" t="s">
        <v>5</v>
      </c>
      <c r="B15" s="16" t="s">
        <v>24</v>
      </c>
      <c r="C15" s="9" t="s">
        <v>23</v>
      </c>
      <c r="D15" s="3">
        <f ca="1"/>
        <v>11.6088</v>
      </c>
      <c r="E15" s="3">
        <f ca="1"/>
        <v>11.1419</v>
      </c>
      <c r="F15" s="3">
        <f ca="1"/>
        <v>11.4978</v>
      </c>
      <c r="G15" s="3">
        <f ca="1"/>
        <v>13.1068</v>
      </c>
      <c r="H15" s="3">
        <f ca="1"/>
        <v>14.0749</v>
      </c>
      <c r="I15" s="3">
        <f ca="1"/>
        <v>14.6028</v>
      </c>
      <c r="J15" s="3">
        <f ca="1"/>
        <v>14.275499999999999</v>
      </c>
      <c r="K15" s="3">
        <f ca="1"/>
        <v>13.753500000000001</v>
      </c>
      <c r="L15" s="3">
        <f ca="1"/>
        <v>13.322100000000001</v>
      </c>
      <c r="M15" s="3">
        <f ca="1"/>
        <v>13.072699999999999</v>
      </c>
      <c r="N15" s="3">
        <f ca="1"/>
        <v>13.2829</v>
      </c>
      <c r="O15">
        <f ca="1"/>
        <v>13.337199999999999</v>
      </c>
      <c r="Q15" s="24" t="str">
        <v>AEP US EQUITY</v>
      </c>
      <c r="R15" s="24">
        <v>45838</v>
      </c>
      <c r="S15" s="25" t="str">
        <v>custom</v>
      </c>
      <c r="T15" s="26" t="str">
        <v>rate_base_in_billions</v>
      </c>
      <c r="U15" s="30" t="str">
        <v/>
      </c>
      <c r="V15" s="29" t="str">
        <v/>
      </c>
      <c r="W15" s="29" t="str">
        <v/>
      </c>
      <c r="X15" s="29" t="str">
        <v/>
      </c>
      <c r="Y15" s="29" t="str">
        <v/>
      </c>
    </row>
    <row r="16" spans="1:25" x14ac:dyDescent="0.45">
      <c r="C16" s="4" t="s">
        <v>3</v>
      </c>
      <c r="D16" s="5"/>
      <c r="E16" s="4"/>
      <c r="F16" s="4"/>
      <c r="G16" s="4"/>
      <c r="H16" s="7">
        <f t="shared" ref="H16:O16" ca="1" si="4">(H15-D15)*100</f>
        <v>246.6099999999999</v>
      </c>
      <c r="I16" s="7">
        <f t="shared" ca="1" si="4"/>
        <v>346.09000000000003</v>
      </c>
      <c r="J16" s="7">
        <f t="shared" ca="1" si="4"/>
        <v>277.76999999999992</v>
      </c>
      <c r="K16" s="7">
        <f t="shared" ca="1" si="4"/>
        <v>64.670000000000101</v>
      </c>
      <c r="L16" s="7">
        <f t="shared" ca="1" si="4"/>
        <v>-75.279999999999887</v>
      </c>
      <c r="M16" s="7">
        <f t="shared" ca="1" si="4"/>
        <v>-153.0100000000001</v>
      </c>
      <c r="N16" s="7">
        <f t="shared" ca="1" si="4"/>
        <v>-99.259999999999948</v>
      </c>
      <c r="O16" s="7">
        <f t="shared" ca="1" si="4"/>
        <v>-41.630000000000145</v>
      </c>
      <c r="Q16" s="24" t="str">
        <v>AEP US EQUITY</v>
      </c>
      <c r="R16" s="24">
        <v>45930</v>
      </c>
      <c r="S16" s="25" t="str">
        <v>custom</v>
      </c>
      <c r="T16" s="26" t="str">
        <v>rate_base_in_billions</v>
      </c>
      <c r="U16" s="30" t="str">
        <v/>
      </c>
      <c r="V16" s="29" t="str">
        <v/>
      </c>
      <c r="W16" s="29" t="str">
        <v/>
      </c>
      <c r="X16" s="29" t="str">
        <v/>
      </c>
      <c r="Y16" s="29" t="str">
        <v/>
      </c>
    </row>
    <row r="17" spans="1:25" x14ac:dyDescent="0.45">
      <c r="C17" s="4" t="s">
        <v>13</v>
      </c>
      <c r="D17" s="1"/>
      <c r="K17" s="7"/>
      <c r="L17" s="7"/>
      <c r="M17" s="7"/>
      <c r="N17" s="7"/>
      <c r="O17" s="7"/>
      <c r="Q17" s="24" t="str">
        <v>AEP US EQUITY</v>
      </c>
      <c r="R17" s="24">
        <v>46022</v>
      </c>
      <c r="S17" s="25" t="str">
        <v>custom</v>
      </c>
      <c r="T17" s="26" t="str">
        <v>rate_base_in_billions</v>
      </c>
      <c r="U17" s="30" t="str">
        <v>80</v>
      </c>
      <c r="V17" s="29" t="str">
        <v/>
      </c>
      <c r="W17" s="29" t="str">
        <v/>
      </c>
      <c r="X17" s="29" t="str">
        <v/>
      </c>
      <c r="Y17" s="29" t="str">
        <v/>
      </c>
    </row>
    <row r="18" spans="1:25" x14ac:dyDescent="0.45">
      <c r="C18" s="4" t="s">
        <v>17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AEP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4</v>
      </c>
      <c r="D19" s="1"/>
      <c r="K19" s="7"/>
      <c r="L19" s="7">
        <f ca="1">(L15-K15)*100</f>
        <v>-43.14</v>
      </c>
      <c r="M19" s="7">
        <f t="shared" ref="M19:O19" ca="1" si="5">(M15-L15)*100</f>
        <v>-24.94000000000014</v>
      </c>
      <c r="N19" s="7">
        <f t="shared" ca="1" si="5"/>
        <v>21.020000000000039</v>
      </c>
      <c r="O19" s="7">
        <f t="shared" ca="1" si="5"/>
        <v>5.4299999999999571</v>
      </c>
      <c r="Q19" s="24" t="str">
        <v>AEP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AEP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8</v>
      </c>
      <c r="D21" s="14">
        <f>EOMONTH(DATE(YEAR(D22),ROUNDUP(MONTH(D22)/3,0)*3,1),0)</f>
        <v>45016</v>
      </c>
      <c r="E21" s="14">
        <f>EOMONTH(DATE(YEAR(E22),ROUNDUP(MONTH(E22)/3,0)*3,1),0)</f>
        <v>45107</v>
      </c>
      <c r="F21" s="14">
        <f>EOMONTH(DATE(YEAR(F22),ROUNDUP(MONTH(F22)/3,0)*3,1),0)</f>
        <v>45199</v>
      </c>
      <c r="G21" s="14">
        <f t="shared" ref="G21:K21" si="6">EOMONTH(DATE(YEAR(G22),ROUNDUP(MONTH(G22)/3,0)*3,1),0)</f>
        <v>45291</v>
      </c>
      <c r="H21" s="14">
        <f t="shared" si="6"/>
        <v>45382</v>
      </c>
      <c r="I21" s="14">
        <f t="shared" si="6"/>
        <v>45473</v>
      </c>
      <c r="J21" s="14">
        <f t="shared" si="6"/>
        <v>45565</v>
      </c>
      <c r="K21" s="14">
        <f t="shared" si="6"/>
        <v>45657</v>
      </c>
      <c r="L21" s="14">
        <f>EOMONTH(DATE(YEAR(L22),ROUNDUP(MONTH(L22)/3,0)*3,1),0)</f>
        <v>45747</v>
      </c>
      <c r="M21" s="14">
        <f>EOMONTH(DATE(YEAR(M22),ROUNDUP(MONTH(M22)/3,0)*3,1),0)</f>
        <v>45838</v>
      </c>
      <c r="N21" s="14">
        <f>EOMONTH(DATE(YEAR(N22),ROUNDUP(MONTH(N22)/3,0)*3,1),0)</f>
        <v>45930</v>
      </c>
      <c r="O21" s="14">
        <f>EOMONTH(DATE(YEAR(O22),ROUNDUP(MONTH(O22)/3,0)*3,1),0)</f>
        <v>46022</v>
      </c>
      <c r="Q21" s="24" t="str">
        <v>AEP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2">
        <v>45016</v>
      </c>
      <c r="E22" s="2">
        <v>45107</v>
      </c>
      <c r="F22" s="2">
        <v>45199</v>
      </c>
      <c r="G22" s="2">
        <v>45291</v>
      </c>
      <c r="H22" s="2">
        <v>45382</v>
      </c>
      <c r="I22" s="2">
        <v>45473</v>
      </c>
      <c r="J22" s="2">
        <v>45565</v>
      </c>
      <c r="K22" s="2">
        <v>45657</v>
      </c>
      <c r="L22" s="2">
        <v>45747</v>
      </c>
      <c r="M22" s="2">
        <v>45838</v>
      </c>
      <c r="N22" s="2">
        <v>45930</v>
      </c>
      <c r="O22" s="2"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AEP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5</v>
      </c>
      <c r="B23" s="16" t="s">
        <v>32</v>
      </c>
      <c r="C23" s="9" t="s">
        <v>31</v>
      </c>
      <c r="D23" s="3" cm="1">
        <f t="array" aca="1" ref="D23:O23" ca="1">-_xll.BDH($B$2,C23,$B$3,$B$4,"DIR=H","DATES=H")</f>
        <v>7146.5</v>
      </c>
      <c r="E23" s="3">
        <f ca="1"/>
        <v>7690.2</v>
      </c>
      <c r="F23" s="3">
        <f ca="1"/>
        <v>7760</v>
      </c>
      <c r="G23" s="3">
        <f ca="1"/>
        <v>7506.5</v>
      </c>
      <c r="H23" s="3">
        <f ca="1"/>
        <v>7210.1</v>
      </c>
      <c r="I23" s="3">
        <f ca="1"/>
        <v>6771</v>
      </c>
      <c r="J23" s="3">
        <f ca="1"/>
        <v>6945.5</v>
      </c>
      <c r="K23" s="3">
        <f ca="1"/>
        <v>7770.6</v>
      </c>
      <c r="L23" s="3">
        <f ca="1"/>
        <v>8111.2</v>
      </c>
      <c r="M23" s="3">
        <f ca="1"/>
        <v>8448.2999999999993</v>
      </c>
      <c r="N23" s="3">
        <f ca="1"/>
        <v>8593.7000000000007</v>
      </c>
      <c r="O23">
        <f ca="1"/>
        <v>8583</v>
      </c>
      <c r="Q23" s="24" t="str">
        <v>AEP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3</v>
      </c>
      <c r="D24" s="5"/>
      <c r="E24" s="4"/>
      <c r="F24" s="4"/>
      <c r="G24" s="4"/>
      <c r="H24" s="12">
        <f t="shared" ref="H24:O24" ca="1" si="7">+H23/D23-1</f>
        <v>8.8994612747499424E-3</v>
      </c>
      <c r="I24" s="12">
        <f t="shared" ca="1" si="7"/>
        <v>-0.11952875087774051</v>
      </c>
      <c r="J24" s="12">
        <f t="shared" ca="1" si="7"/>
        <v>-0.10496134020618553</v>
      </c>
      <c r="K24" s="12">
        <f t="shared" ca="1" si="7"/>
        <v>3.5182841537334308E-2</v>
      </c>
      <c r="L24" s="12">
        <f t="shared" ca="1" si="7"/>
        <v>0.12497746217112105</v>
      </c>
      <c r="M24" s="12">
        <f t="shared" ca="1" si="7"/>
        <v>0.24771821001329197</v>
      </c>
      <c r="N24" s="12">
        <f t="shared" ca="1" si="7"/>
        <v>0.23730472968108862</v>
      </c>
      <c r="O24" s="12">
        <f t="shared" ca="1" si="7"/>
        <v>0.10454791135819619</v>
      </c>
      <c r="Q24" s="24" t="str">
        <v>AEP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13</v>
      </c>
      <c r="D25" s="1"/>
      <c r="L25" s="7">
        <f ca="1">(L24-K24)*10000</f>
        <v>897.94620633786735</v>
      </c>
      <c r="M25" s="7">
        <f ca="1">(M24-L24)*10000</f>
        <v>1227.4074784217094</v>
      </c>
      <c r="N25" s="7">
        <f ca="1">(N24-M24)*10000</f>
        <v>-104.13480332203351</v>
      </c>
      <c r="O25" s="7">
        <f ca="1">(O24-N24)*10000</f>
        <v>-1327.5681832289242</v>
      </c>
      <c r="Q25" s="24" t="str">
        <v>AEP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17</v>
      </c>
      <c r="D26" s="1"/>
      <c r="E26" s="7"/>
      <c r="F26" s="7"/>
      <c r="G26" s="7"/>
      <c r="H26" s="6"/>
      <c r="I26" s="6"/>
      <c r="J26" s="6"/>
      <c r="K26" s="6"/>
      <c r="L26" s="7">
        <f ca="1">(L24-H24)*10000</f>
        <v>1160.780008963711</v>
      </c>
      <c r="M26" s="7">
        <f ca="1">(M24-I24)*10000</f>
        <v>3672.469608910325</v>
      </c>
      <c r="N26" s="7">
        <f ca="1">(N24-J24)*10000</f>
        <v>3422.6606988727417</v>
      </c>
      <c r="O26" s="7">
        <f ca="1">(O24-K24)*10000</f>
        <v>693.65069820861879</v>
      </c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AEP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4</v>
      </c>
      <c r="D27" s="1"/>
      <c r="L27" s="12">
        <f t="shared" ref="L27:O27" ca="1" si="8">L23/K23-1</f>
        <v>4.3831879134172302E-2</v>
      </c>
      <c r="M27" s="12">
        <f t="shared" ca="1" si="8"/>
        <v>4.1559818522536762E-2</v>
      </c>
      <c r="N27" s="12">
        <f t="shared" ca="1" si="8"/>
        <v>1.7210563071860863E-2</v>
      </c>
      <c r="O27" s="12">
        <f t="shared" ca="1" si="8"/>
        <v>-1.2450981532984295E-3</v>
      </c>
      <c r="Q27" s="24" t="str">
        <v>AEP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AEP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 t="s">
        <v>8</v>
      </c>
      <c r="D29" s="14">
        <f t="shared" ref="D29:L29" si="9">EOMONTH(DATE(YEAR(D30),ROUNDUP(MONTH(D30)/3,0)*3,1),0)</f>
        <v>45016</v>
      </c>
      <c r="E29" s="14">
        <f t="shared" si="9"/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AEP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AEP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15</v>
      </c>
      <c r="B31" s="16" t="s">
        <v>26</v>
      </c>
      <c r="C31" s="2" t="s">
        <v>25</v>
      </c>
      <c r="D31" s="10"/>
      <c r="E31" s="10"/>
      <c r="F31" s="10"/>
      <c r="G31" s="32"/>
      <c r="H31" s="8"/>
      <c r="I31" s="8"/>
      <c r="J31" s="8"/>
      <c r="K31" s="32"/>
      <c r="L31" s="8"/>
      <c r="M31" s="8"/>
      <c r="N31" s="8"/>
      <c r="O31" s="32">
        <v>80</v>
      </c>
      <c r="Q31" s="24" t="str">
        <v>AEP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3</v>
      </c>
      <c r="D32" s="5"/>
      <c r="E32" s="4"/>
      <c r="F32" s="4"/>
      <c r="G32" s="4"/>
      <c r="H32" s="7"/>
      <c r="I32" s="7"/>
      <c r="J32" s="7"/>
      <c r="K32" s="12"/>
      <c r="L32" s="12"/>
      <c r="M32" s="12"/>
      <c r="N32" s="12"/>
      <c r="O32" s="12"/>
      <c r="Q32" s="24" t="str">
        <v>AEP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13</v>
      </c>
      <c r="D33" s="1"/>
      <c r="L33" s="7"/>
      <c r="M33" s="7"/>
      <c r="N33" s="7"/>
      <c r="O33" s="7"/>
      <c r="Q33" s="24" t="str">
        <v>AEP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17</v>
      </c>
      <c r="D34" s="1"/>
      <c r="E34" s="7"/>
      <c r="F34" s="7"/>
      <c r="G34" s="7"/>
      <c r="H34" s="7"/>
      <c r="I34" s="7"/>
      <c r="J34" s="7"/>
      <c r="K34" s="6"/>
      <c r="L34" s="7"/>
      <c r="M34" s="7"/>
      <c r="N34" s="7"/>
      <c r="O34" s="7"/>
    </row>
    <row r="35" spans="1:25" x14ac:dyDescent="0.45">
      <c r="C35" s="4" t="s">
        <v>4</v>
      </c>
      <c r="D35" s="1"/>
      <c r="G35" s="7"/>
      <c r="H35" s="7"/>
      <c r="I35" s="7"/>
      <c r="J35" s="7"/>
      <c r="L35" s="12"/>
      <c r="M35" s="12"/>
      <c r="N35" s="12"/>
      <c r="O35" s="12"/>
    </row>
    <row r="36" spans="1:25" x14ac:dyDescent="0.45">
      <c r="C36" s="4"/>
      <c r="D36" s="1"/>
      <c r="K36" s="7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L44" s="7"/>
      <c r="M44" s="7"/>
      <c r="N44" s="7"/>
      <c r="O44" s="7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4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4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0" spans="1:15" x14ac:dyDescent="0.45">
      <c r="C60" s="4"/>
      <c r="D60" s="1"/>
      <c r="G60" s="1"/>
    </row>
    <row r="61" spans="1:15" x14ac:dyDescent="0.4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4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4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0AE9-CB25-4F79-A871-763ECA69582E}">
  <dimension ref="A1:Y67"/>
  <sheetViews>
    <sheetView tabSelected="1" topLeftCell="F1" zoomScale="85" zoomScaleNormal="85" workbookViewId="0">
      <selection activeCell="Q1" sqref="Q1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6" width="9.3984375" bestFit="1" customWidth="1"/>
    <col min="7" max="10" width="10.3984375" customWidth="1"/>
    <col min="11" max="11" width="10" bestFit="1" customWidth="1"/>
    <col min="12" max="13" width="9.3984375" bestFit="1" customWidth="1"/>
    <col min="14" max="14" width="11.265625" bestFit="1" customWidth="1"/>
    <col min="15" max="15" width="10.398437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16</v>
      </c>
      <c r="B1" s="22" t="s">
        <v>16</v>
      </c>
      <c r="C1" s="22" t="s">
        <v>16</v>
      </c>
      <c r="D1" s="22" t="s">
        <v>16</v>
      </c>
      <c r="E1" s="22" t="s">
        <v>16</v>
      </c>
      <c r="F1" s="22" t="s">
        <v>16</v>
      </c>
      <c r="G1" s="22" t="s">
        <v>16</v>
      </c>
      <c r="H1" s="22" t="s">
        <v>16</v>
      </c>
      <c r="I1" s="22" t="s">
        <v>16</v>
      </c>
      <c r="J1" s="22" t="s">
        <v>16</v>
      </c>
      <c r="K1" s="22" t="s">
        <v>16</v>
      </c>
      <c r="L1" s="22" t="s">
        <v>16</v>
      </c>
      <c r="M1" s="22" t="s">
        <v>16</v>
      </c>
      <c r="N1" s="22" t="s">
        <v>16</v>
      </c>
      <c r="O1" s="22" t="s">
        <v>16</v>
      </c>
      <c r="Q1" s="23" t="s">
        <v>9</v>
      </c>
      <c r="R1" s="23" t="s">
        <v>7</v>
      </c>
      <c r="S1" s="23" t="s">
        <v>12</v>
      </c>
      <c r="T1" s="23" t="s">
        <v>11</v>
      </c>
      <c r="U1" s="23" t="s">
        <v>6</v>
      </c>
      <c r="V1" s="23" t="s">
        <v>10</v>
      </c>
      <c r="W1" s="23" t="s">
        <v>14</v>
      </c>
      <c r="X1" s="23" t="s">
        <v>18</v>
      </c>
      <c r="Y1" s="23" t="s">
        <v>19</v>
      </c>
    </row>
    <row r="2" spans="1:25" x14ac:dyDescent="0.45">
      <c r="A2" s="17" t="s">
        <v>0</v>
      </c>
      <c r="B2" s="31" t="s">
        <v>28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ETR US EQUITY</v>
      </c>
      <c r="R2" s="24">
        <f ca="1"/>
        <v>45747</v>
      </c>
      <c r="S2" s="25" t="str">
        <f ca="1"/>
        <v>canonical</v>
      </c>
      <c r="T2" s="26" t="str">
        <f ca="1"/>
        <v>TTM_FFO</v>
      </c>
      <c r="U2" s="27" t="str">
        <f ca="1"/>
        <v>4330.636</v>
      </c>
      <c r="V2" s="28" t="str">
        <f ca="1"/>
        <v>0.143630215396072</v>
      </c>
      <c r="W2" s="29" t="str">
        <f ca="1"/>
        <v>1822.36328596523</v>
      </c>
      <c r="X2" s="28" t="str">
        <f ca="1"/>
        <v>4149.95401855059</v>
      </c>
      <c r="Y2" s="29" t="str">
        <f ca="1"/>
        <v>0.0511084045741017</v>
      </c>
    </row>
    <row r="3" spans="1:25" x14ac:dyDescent="0.45">
      <c r="A3" s="18" t="s">
        <v>2</v>
      </c>
      <c r="B3" s="19">
        <f ca="1">+B4-365*3</f>
        <v>45001</v>
      </c>
      <c r="Q3" s="24" t="str">
        <f ca="1"/>
        <v>ETR US EQUITY</v>
      </c>
      <c r="R3" s="24">
        <f ca="1"/>
        <v>45838</v>
      </c>
      <c r="S3" s="25" t="str">
        <f ca="1"/>
        <v>canonical</v>
      </c>
      <c r="T3" s="26" t="str">
        <f ca="1"/>
        <v>TTM_FFO</v>
      </c>
      <c r="U3" s="27" t="str">
        <f ca="1"/>
        <v>4424.87</v>
      </c>
      <c r="V3" s="28" t="str">
        <f ca="1"/>
        <v>0.126094761685899</v>
      </c>
      <c r="W3" s="29" t="str">
        <f ca="1"/>
        <v>-175.354537101737</v>
      </c>
      <c r="X3" s="29" t="str">
        <f ca="1"/>
        <v>-3225.7194602651</v>
      </c>
      <c r="Y3" s="29" t="str">
        <f ca="1"/>
        <v>0.0217598523634865</v>
      </c>
    </row>
    <row r="4" spans="1:25" x14ac:dyDescent="0.45">
      <c r="A4" s="20" t="s">
        <v>1</v>
      </c>
      <c r="B4" s="21">
        <f ca="1">TODAY()</f>
        <v>46096</v>
      </c>
      <c r="Q4" s="24" t="str">
        <f ca="1"/>
        <v>ETR US EQUITY</v>
      </c>
      <c r="R4" s="24">
        <f ca="1"/>
        <v>45930</v>
      </c>
      <c r="S4" s="25" t="str">
        <f ca="1"/>
        <v>canonical</v>
      </c>
      <c r="T4" s="26" t="str">
        <f ca="1"/>
        <v>TTM_FFO</v>
      </c>
      <c r="U4" s="27" t="str">
        <f ca="1"/>
        <v>4944.927</v>
      </c>
      <c r="V4" s="28" t="str">
        <f ca="1"/>
        <v>0.278124187429276</v>
      </c>
      <c r="W4" s="29" t="str">
        <f ca="1"/>
        <v>1520.29425743377</v>
      </c>
      <c r="X4" s="29" t="str">
        <f ca="1"/>
        <v>-434.884085772884</v>
      </c>
      <c r="Y4" s="29" t="str">
        <f ca="1"/>
        <v>0.117530458521945</v>
      </c>
    </row>
    <row r="5" spans="1:25" x14ac:dyDescent="0.45">
      <c r="C5" s="13" t="s">
        <v>8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ETR US EQUITY</v>
      </c>
      <c r="R5" s="24">
        <f ca="1"/>
        <v>46022</v>
      </c>
      <c r="S5" s="25" t="str">
        <f ca="1"/>
        <v>canonical</v>
      </c>
      <c r="T5" s="26" t="str">
        <f ca="1"/>
        <v>TTM_FFO</v>
      </c>
      <c r="U5" s="27" t="str">
        <f ca="1"/>
        <v>4998.011</v>
      </c>
      <c r="V5" s="28" t="str">
        <f ca="1"/>
        <v>0.213090033023743</v>
      </c>
      <c r="W5" s="29" t="str">
        <f ca="1"/>
        <v>-650.341544055326</v>
      </c>
      <c r="X5" s="29" t="str">
        <f ca="1"/>
        <v>2516.96146224193</v>
      </c>
      <c r="Y5" s="29" t="str">
        <f ca="1"/>
        <v>0.0107350421957697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ETR US EQUITY</v>
      </c>
      <c r="R6" s="24">
        <f ca="1"/>
        <v>45747</v>
      </c>
      <c r="S6" s="25" t="str">
        <f ca="1"/>
        <v>canonical</v>
      </c>
      <c r="T6" s="26" t="str">
        <f ca="1"/>
        <v>FFO_to_debt</v>
      </c>
      <c r="U6" s="30" t="str">
        <f ca="1"/>
        <v>14.0037</v>
      </c>
      <c r="V6" s="29" t="str">
        <f ca="1"/>
        <v>67.01</v>
      </c>
      <c r="W6" s="29" t="str">
        <f ca="1"/>
        <v/>
      </c>
      <c r="X6" s="29" t="str">
        <f ca="1"/>
        <v/>
      </c>
      <c r="Y6" s="29" t="str">
        <f ca="1"/>
        <v>-10.8000000000001</v>
      </c>
    </row>
    <row r="7" spans="1:25" x14ac:dyDescent="0.45">
      <c r="A7" s="16" t="s">
        <v>5</v>
      </c>
      <c r="B7" s="16" t="s">
        <v>20</v>
      </c>
      <c r="C7" s="9" t="s">
        <v>21</v>
      </c>
      <c r="D7" s="11">
        <f ca="1"/>
        <v>5197.0410000000002</v>
      </c>
      <c r="E7" s="11">
        <f ca="1"/>
        <v>2712.4209999999998</v>
      </c>
      <c r="F7" s="11">
        <f ca="1"/>
        <v>2927.404</v>
      </c>
      <c r="G7" s="11">
        <f ca="1"/>
        <v>4285.5129999999999</v>
      </c>
      <c r="H7" s="11">
        <f ca="1"/>
        <v>3786.7449999999999</v>
      </c>
      <c r="I7" s="11">
        <f ca="1"/>
        <v>3929.3939999999998</v>
      </c>
      <c r="J7" s="11">
        <f ca="1"/>
        <v>3868.8939999999998</v>
      </c>
      <c r="K7" s="11">
        <f ca="1"/>
        <v>4120.0659999999998</v>
      </c>
      <c r="L7" s="11">
        <f ca="1"/>
        <v>4330.6360000000004</v>
      </c>
      <c r="M7" s="11">
        <f ca="1"/>
        <v>4424.87</v>
      </c>
      <c r="N7" s="11">
        <f ca="1"/>
        <v>4944.9269999999997</v>
      </c>
      <c r="O7" s="3">
        <f ca="1"/>
        <v>4998.0110000000004</v>
      </c>
      <c r="P7" s="1"/>
      <c r="Q7" s="24" t="str">
        <f ca="1"/>
        <v>ETR US EQUITY</v>
      </c>
      <c r="R7" s="24">
        <f ca="1"/>
        <v>45838</v>
      </c>
      <c r="S7" s="25" t="str">
        <f ca="1"/>
        <v>canonical</v>
      </c>
      <c r="T7" s="26" t="str">
        <f ca="1"/>
        <v>FFO_to_debt</v>
      </c>
      <c r="U7" s="30" t="str">
        <f ca="1"/>
        <v>14.5529</v>
      </c>
      <c r="V7" s="29" t="str">
        <f ca="1"/>
        <v>88.57</v>
      </c>
      <c r="W7" s="29" t="str">
        <f ca="1"/>
        <v/>
      </c>
      <c r="X7" s="29" t="str">
        <f ca="1"/>
        <v/>
      </c>
      <c r="Y7" s="29" t="str">
        <f ca="1"/>
        <v>54.9199999999999</v>
      </c>
    </row>
    <row r="8" spans="1:25" x14ac:dyDescent="0.45">
      <c r="C8" s="4" t="s">
        <v>3</v>
      </c>
      <c r="D8" s="5"/>
      <c r="E8" s="4"/>
      <c r="F8" s="4"/>
      <c r="G8" s="12"/>
      <c r="H8" s="12">
        <f t="shared" ref="H8:O8" ca="1" si="1">+H7/D7-1</f>
        <v>-0.271365186458987</v>
      </c>
      <c r="I8" s="12">
        <f t="shared" ca="1" si="1"/>
        <v>0.44866670771240891</v>
      </c>
      <c r="J8" s="12">
        <f t="shared" ca="1" si="1"/>
        <v>0.32161259600656411</v>
      </c>
      <c r="K8" s="12">
        <f t="shared" ca="1" si="1"/>
        <v>-3.8606113200450043E-2</v>
      </c>
      <c r="L8" s="12">
        <f t="shared" ca="1" si="1"/>
        <v>0.14363021539607246</v>
      </c>
      <c r="M8" s="12">
        <f t="shared" ca="1" si="1"/>
        <v>0.12609476168589873</v>
      </c>
      <c r="N8" s="12">
        <f t="shared" ca="1" si="1"/>
        <v>0.27812418742927569</v>
      </c>
      <c r="O8" s="12">
        <f t="shared" ca="1" si="1"/>
        <v>0.21309003302374308</v>
      </c>
      <c r="P8" s="3"/>
      <c r="Q8" s="24" t="str">
        <f ca="1"/>
        <v>ETR US EQUITY</v>
      </c>
      <c r="R8" s="24">
        <f ca="1"/>
        <v>45930</v>
      </c>
      <c r="S8" s="25" t="str">
        <f ca="1"/>
        <v>canonical</v>
      </c>
      <c r="T8" s="26" t="str">
        <f ca="1"/>
        <v>FFO_to_debt</v>
      </c>
      <c r="U8" s="30" t="str">
        <f ca="1"/>
        <v>15.84</v>
      </c>
      <c r="V8" s="29" t="str">
        <f ca="1"/>
        <v>250.03</v>
      </c>
      <c r="W8" s="29" t="str">
        <f ca="1"/>
        <v/>
      </c>
      <c r="X8" s="29" t="str">
        <f ca="1"/>
        <v/>
      </c>
      <c r="Y8" s="29" t="str">
        <f ca="1"/>
        <v>128.71</v>
      </c>
    </row>
    <row r="9" spans="1:25" x14ac:dyDescent="0.45">
      <c r="C9" s="4" t="s">
        <v>13</v>
      </c>
      <c r="D9" s="1"/>
      <c r="L9" s="7">
        <f ca="1">(L8-K8)*10000</f>
        <v>1822.363285965225</v>
      </c>
      <c r="M9" s="7">
        <f ca="1">(M8-L8)*10000</f>
        <v>-175.35453710173732</v>
      </c>
      <c r="N9" s="7">
        <f ca="1">(N8-M8)*10000</f>
        <v>1520.2942574337696</v>
      </c>
      <c r="O9" s="7">
        <f ca="1">(O8-N8)*10000</f>
        <v>-650.34154405532615</v>
      </c>
      <c r="Q9" s="22" t="str">
        <f ca="1"/>
        <v>ETR US EQUITY</v>
      </c>
      <c r="R9" s="24">
        <f ca="1"/>
        <v>46022</v>
      </c>
      <c r="S9" s="25" t="str">
        <f ca="1"/>
        <v>canonical</v>
      </c>
      <c r="T9" s="26" t="str">
        <f ca="1"/>
        <v>FFO_to_debt</v>
      </c>
      <c r="U9" s="30" t="str">
        <f ca="1"/>
        <v>16.0124</v>
      </c>
      <c r="V9" s="29" t="str">
        <f ca="1"/>
        <v>190.07</v>
      </c>
      <c r="W9" s="29" t="str">
        <f ca="1"/>
        <v/>
      </c>
      <c r="X9" s="29" t="str">
        <f ca="1"/>
        <v/>
      </c>
      <c r="Y9" s="29" t="str">
        <f ca="1"/>
        <v>17.24</v>
      </c>
    </row>
    <row r="10" spans="1:25" x14ac:dyDescent="0.45">
      <c r="C10" s="4" t="s">
        <v>17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4149.9540185505948</v>
      </c>
      <c r="M10" s="7">
        <f ca="1">(M8-I8)*10000</f>
        <v>-3225.7194602651016</v>
      </c>
      <c r="N10" s="7">
        <f ca="1">(N8-J8)*10000</f>
        <v>-434.88408577288419</v>
      </c>
      <c r="O10" s="7">
        <f ca="1">(O8-K8)*10000</f>
        <v>2516.9614622419313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ETR US EQUITY</v>
      </c>
      <c r="R10" s="24">
        <f ca="1"/>
        <v>45747</v>
      </c>
      <c r="S10" s="25" t="str">
        <f ca="1"/>
        <v>canonical</v>
      </c>
      <c r="T10" s="26" t="str">
        <f ca="1"/>
        <v>TTM_capex</v>
      </c>
      <c r="U10" s="30" t="str">
        <f ca="1"/>
        <v>5901.455</v>
      </c>
      <c r="V10" s="29" t="str">
        <f ca="1"/>
        <v>0.260930264458717</v>
      </c>
      <c r="W10" s="29" t="str">
        <f ca="1"/>
        <v>1810.0247539483</v>
      </c>
      <c r="X10" s="29" t="str">
        <f ca="1"/>
        <v>3332.63562048314</v>
      </c>
      <c r="Y10" s="29" t="str">
        <f ca="1"/>
        <v>0.126940078946559</v>
      </c>
    </row>
    <row r="11" spans="1:25" x14ac:dyDescent="0.45">
      <c r="C11" s="4" t="s">
        <v>4</v>
      </c>
      <c r="D11" s="1"/>
      <c r="L11" s="12">
        <f t="shared" ref="L11:O11" ca="1" si="2">L7/K7-1</f>
        <v>5.1108404574101707E-2</v>
      </c>
      <c r="M11" s="12">
        <f t="shared" ca="1" si="2"/>
        <v>2.1759852363486543E-2</v>
      </c>
      <c r="N11" s="12">
        <f t="shared" ca="1" si="2"/>
        <v>0.11753045852194521</v>
      </c>
      <c r="O11" s="12">
        <f t="shared" ca="1" si="2"/>
        <v>1.0735042195769706E-2</v>
      </c>
      <c r="Q11" s="24" t="str">
        <f ca="1"/>
        <v>ETR US EQUITY</v>
      </c>
      <c r="R11" s="24">
        <f ca="1"/>
        <v>45838</v>
      </c>
      <c r="S11" s="25" t="str">
        <f ca="1"/>
        <v>canonical</v>
      </c>
      <c r="T11" s="26" t="str">
        <f ca="1"/>
        <v>TTM_capex</v>
      </c>
      <c r="U11" s="30" t="str">
        <f ca="1"/>
        <v>6766.953</v>
      </c>
      <c r="V11" s="29" t="str">
        <f ca="1"/>
        <v>0.453314705920253</v>
      </c>
      <c r="W11" s="29" t="str">
        <f ca="1"/>
        <v>1923.84441461536</v>
      </c>
      <c r="X11" s="29" t="str">
        <f ca="1"/>
        <v>5080.39033843952</v>
      </c>
      <c r="Y11" s="29" t="str">
        <f ca="1"/>
        <v>0.146658408816131</v>
      </c>
    </row>
    <row r="12" spans="1:25" x14ac:dyDescent="0.45">
      <c r="Q12" s="24" t="str">
        <f ca="1"/>
        <v>ETR US EQUITY</v>
      </c>
      <c r="R12" s="24">
        <f ca="1"/>
        <v>45930</v>
      </c>
      <c r="S12" s="25" t="str">
        <f ca="1"/>
        <v>canonical</v>
      </c>
      <c r="T12" s="26" t="str">
        <f ca="1"/>
        <v>TTM_capex</v>
      </c>
      <c r="U12" s="30" t="str">
        <f ca="1"/>
        <v>6979.859</v>
      </c>
      <c r="V12" s="29" t="str">
        <f ca="1"/>
        <v>0.328602107228351</v>
      </c>
      <c r="W12" s="29" t="str">
        <f ca="1"/>
        <v>-1247.12598691902</v>
      </c>
      <c r="X12" s="29" t="str">
        <f ca="1"/>
        <v>2590.29355198955</v>
      </c>
      <c r="Y12" s="29" t="str">
        <f ca="1"/>
        <v>0.0314626095378525</v>
      </c>
    </row>
    <row r="13" spans="1:25" x14ac:dyDescent="0.45">
      <c r="C13" s="13" t="s">
        <v>8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ETR US EQUITY</v>
      </c>
      <c r="R13" s="24">
        <f ca="1"/>
        <v>46022</v>
      </c>
      <c r="S13" s="25" t="str">
        <f ca="1"/>
        <v>canonical</v>
      </c>
      <c r="T13" s="26" t="str">
        <f ca="1"/>
        <v>TTM_capex</v>
      </c>
      <c r="U13" s="30" t="str">
        <f ca="1"/>
        <v>8070.245</v>
      </c>
      <c r="V13" s="29" t="str">
        <f ca="1"/>
        <v>0.541091567658836</v>
      </c>
      <c r="W13" s="29" t="str">
        <f ca="1"/>
        <v>2124.89460430485</v>
      </c>
      <c r="X13" s="29" t="str">
        <f ca="1"/>
        <v>4611.63778594949</v>
      </c>
      <c r="Y13" s="29" t="str">
        <f ca="1"/>
        <v>0.156218915023928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ETR US EQUITY</v>
      </c>
      <c r="R14" s="24">
        <v>0</v>
      </c>
      <c r="S14" s="25">
        <v>0</v>
      </c>
      <c r="T14" s="26">
        <v>0</v>
      </c>
      <c r="U14" s="30" t="str">
        <v/>
      </c>
      <c r="V14" s="29" t="str">
        <v/>
      </c>
      <c r="W14" s="29" t="str">
        <v/>
      </c>
      <c r="X14" s="29" t="str">
        <v/>
      </c>
      <c r="Y14" s="29" t="str">
        <v/>
      </c>
    </row>
    <row r="15" spans="1:25" x14ac:dyDescent="0.45">
      <c r="A15" s="16" t="s">
        <v>5</v>
      </c>
      <c r="B15" s="16" t="s">
        <v>24</v>
      </c>
      <c r="C15" s="9" t="s">
        <v>23</v>
      </c>
      <c r="D15" s="3">
        <f ca="1"/>
        <v>18.837399999999999</v>
      </c>
      <c r="E15" s="3">
        <f ca="1"/>
        <v>9.9431999999999992</v>
      </c>
      <c r="F15" s="3">
        <f ca="1"/>
        <v>10.6318</v>
      </c>
      <c r="G15" s="3">
        <f ca="1"/>
        <v>16.200199999999999</v>
      </c>
      <c r="H15" s="3">
        <f ca="1"/>
        <v>13.333600000000001</v>
      </c>
      <c r="I15" s="3">
        <f ca="1"/>
        <v>13.667199999999999</v>
      </c>
      <c r="J15" s="3">
        <f ca="1"/>
        <v>13.339700000000001</v>
      </c>
      <c r="K15" s="3">
        <f ca="1"/>
        <v>14.111700000000001</v>
      </c>
      <c r="L15" s="3">
        <f ca="1"/>
        <v>14.0037</v>
      </c>
      <c r="M15" s="3">
        <f ca="1"/>
        <v>14.552899999999999</v>
      </c>
      <c r="N15" s="3">
        <f ca="1"/>
        <v>15.84</v>
      </c>
      <c r="O15">
        <f ca="1"/>
        <v>16.0124</v>
      </c>
      <c r="Q15" s="24" t="str">
        <v>ETR US EQUITY</v>
      </c>
      <c r="R15" s="24">
        <v>0</v>
      </c>
      <c r="S15" s="25">
        <v>0</v>
      </c>
      <c r="T15" s="26">
        <v>0</v>
      </c>
      <c r="U15" s="30" t="str">
        <v/>
      </c>
      <c r="V15" s="29" t="str">
        <v/>
      </c>
      <c r="W15" s="29" t="str">
        <v/>
      </c>
      <c r="X15" s="29" t="str">
        <v/>
      </c>
      <c r="Y15" s="29" t="str">
        <v/>
      </c>
    </row>
    <row r="16" spans="1:25" x14ac:dyDescent="0.45">
      <c r="C16" s="4" t="s">
        <v>3</v>
      </c>
      <c r="D16" s="5"/>
      <c r="E16" s="4"/>
      <c r="F16" s="4"/>
      <c r="G16" s="4"/>
      <c r="H16" s="7">
        <f t="shared" ref="H16:O16" ca="1" si="4">(H15-D15)*100</f>
        <v>-550.37999999999988</v>
      </c>
      <c r="I16" s="7">
        <f t="shared" ca="1" si="4"/>
        <v>372.40000000000003</v>
      </c>
      <c r="J16" s="7">
        <f t="shared" ca="1" si="4"/>
        <v>270.79000000000002</v>
      </c>
      <c r="K16" s="7">
        <f t="shared" ca="1" si="4"/>
        <v>-208.8499999999998</v>
      </c>
      <c r="L16" s="7">
        <f t="shared" ca="1" si="4"/>
        <v>67.009999999999962</v>
      </c>
      <c r="M16" s="7">
        <f t="shared" ca="1" si="4"/>
        <v>88.57</v>
      </c>
      <c r="N16" s="7">
        <f t="shared" ca="1" si="4"/>
        <v>250.02999999999992</v>
      </c>
      <c r="O16" s="7">
        <f t="shared" ca="1" si="4"/>
        <v>190.06999999999988</v>
      </c>
      <c r="Q16" s="24" t="str">
        <v>ETR US EQUITY</v>
      </c>
      <c r="R16" s="24">
        <v>0</v>
      </c>
      <c r="S16" s="25">
        <v>0</v>
      </c>
      <c r="T16" s="26">
        <v>0</v>
      </c>
      <c r="U16" s="30" t="str">
        <v/>
      </c>
      <c r="V16" s="29" t="str">
        <v/>
      </c>
      <c r="W16" s="29" t="str">
        <v/>
      </c>
      <c r="X16" s="29" t="str">
        <v/>
      </c>
      <c r="Y16" s="29" t="str">
        <v/>
      </c>
    </row>
    <row r="17" spans="1:25" x14ac:dyDescent="0.45">
      <c r="C17" s="4" t="s">
        <v>13</v>
      </c>
      <c r="D17" s="1"/>
      <c r="K17" s="7"/>
      <c r="L17" s="7"/>
      <c r="M17" s="7"/>
      <c r="N17" s="7"/>
      <c r="O17" s="7"/>
      <c r="Q17" s="24" t="str">
        <v>ETR US EQUITY</v>
      </c>
      <c r="R17" s="24">
        <v>0</v>
      </c>
      <c r="S17" s="25">
        <v>0</v>
      </c>
      <c r="T17" s="26">
        <v>0</v>
      </c>
      <c r="U17" s="30" t="str">
        <v/>
      </c>
      <c r="V17" s="29" t="str">
        <v/>
      </c>
      <c r="W17" s="29" t="str">
        <v/>
      </c>
      <c r="X17" s="29" t="str">
        <v/>
      </c>
      <c r="Y17" s="29" t="str">
        <v/>
      </c>
    </row>
    <row r="18" spans="1:25" x14ac:dyDescent="0.45">
      <c r="C18" s="4" t="s">
        <v>17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ETR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4</v>
      </c>
      <c r="D19" s="1"/>
      <c r="K19" s="7"/>
      <c r="L19" s="7">
        <f ca="1">(L15-K15)*100</f>
        <v>-10.800000000000054</v>
      </c>
      <c r="M19" s="7">
        <f t="shared" ref="M19:O19" ca="1" si="5">(M15-L15)*100</f>
        <v>54.919999999999902</v>
      </c>
      <c r="N19" s="7">
        <f t="shared" ca="1" si="5"/>
        <v>128.71000000000006</v>
      </c>
      <c r="O19" s="7">
        <f t="shared" ca="1" si="5"/>
        <v>17.239999999999966</v>
      </c>
      <c r="Q19" s="24" t="str">
        <v>ETR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ETR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8</v>
      </c>
      <c r="D21" s="14">
        <f>EOMONTH(DATE(YEAR(D22),ROUNDUP(MONTH(D22)/3,0)*3,1),0)</f>
        <v>45016</v>
      </c>
      <c r="E21" s="14">
        <f>EOMONTH(DATE(YEAR(E22),ROUNDUP(MONTH(E22)/3,0)*3,1),0)</f>
        <v>45107</v>
      </c>
      <c r="F21" s="14">
        <f>EOMONTH(DATE(YEAR(F22),ROUNDUP(MONTH(F22)/3,0)*3,1),0)</f>
        <v>45199</v>
      </c>
      <c r="G21" s="14">
        <f t="shared" ref="G21:K21" si="6">EOMONTH(DATE(YEAR(G22),ROUNDUP(MONTH(G22)/3,0)*3,1),0)</f>
        <v>45291</v>
      </c>
      <c r="H21" s="14">
        <f t="shared" si="6"/>
        <v>45382</v>
      </c>
      <c r="I21" s="14">
        <f t="shared" si="6"/>
        <v>45473</v>
      </c>
      <c r="J21" s="14">
        <f t="shared" si="6"/>
        <v>45565</v>
      </c>
      <c r="K21" s="14">
        <f t="shared" si="6"/>
        <v>45657</v>
      </c>
      <c r="L21" s="14">
        <f>EOMONTH(DATE(YEAR(L22),ROUNDUP(MONTH(L22)/3,0)*3,1),0)</f>
        <v>45747</v>
      </c>
      <c r="M21" s="14">
        <f>EOMONTH(DATE(YEAR(M22),ROUNDUP(MONTH(M22)/3,0)*3,1),0)</f>
        <v>45838</v>
      </c>
      <c r="N21" s="14">
        <f>EOMONTH(DATE(YEAR(N22),ROUNDUP(MONTH(N22)/3,0)*3,1),0)</f>
        <v>45930</v>
      </c>
      <c r="O21" s="14">
        <f>EOMONTH(DATE(YEAR(O22),ROUNDUP(MONTH(O22)/3,0)*3,1),0)</f>
        <v>46022</v>
      </c>
      <c r="Q21" s="24" t="str">
        <v>ETR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2">
        <v>45016</v>
      </c>
      <c r="E22" s="2">
        <v>45107</v>
      </c>
      <c r="F22" s="2">
        <v>45199</v>
      </c>
      <c r="G22" s="2">
        <v>45291</v>
      </c>
      <c r="H22" s="2">
        <v>45382</v>
      </c>
      <c r="I22" s="2">
        <v>45473</v>
      </c>
      <c r="J22" s="2">
        <v>45565</v>
      </c>
      <c r="K22" s="2">
        <v>45657</v>
      </c>
      <c r="L22" s="2">
        <v>45747</v>
      </c>
      <c r="M22" s="2">
        <v>45838</v>
      </c>
      <c r="N22" s="2">
        <v>45930</v>
      </c>
      <c r="O22" s="2"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ETR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5</v>
      </c>
      <c r="B23" s="16" t="s">
        <v>32</v>
      </c>
      <c r="C23" s="9" t="s">
        <v>31</v>
      </c>
      <c r="D23" s="3" cm="1">
        <f t="array" aca="1" ref="D23:O23" ca="1">-_xll.BDH($B$2,C23,$B$3,$B$4,"DIR=H","DATES=H")</f>
        <v>5045.1729999999998</v>
      </c>
      <c r="E23" s="3">
        <f ca="1"/>
        <v>4925.78</v>
      </c>
      <c r="F23" s="3">
        <f ca="1"/>
        <v>4911.808</v>
      </c>
      <c r="G23" s="3">
        <f ca="1"/>
        <v>4849.1270000000004</v>
      </c>
      <c r="H23" s="3">
        <f ca="1"/>
        <v>4680.2389999999996</v>
      </c>
      <c r="I23" s="3">
        <f ca="1"/>
        <v>4656.22</v>
      </c>
      <c r="J23" s="3">
        <f ca="1"/>
        <v>5253.5360000000001</v>
      </c>
      <c r="K23" s="3">
        <f ca="1"/>
        <v>5236.7070000000003</v>
      </c>
      <c r="L23" s="3">
        <f ca="1"/>
        <v>5901.4549999999999</v>
      </c>
      <c r="M23" s="3">
        <f ca="1"/>
        <v>6766.9530000000004</v>
      </c>
      <c r="N23" s="3">
        <f ca="1"/>
        <v>6979.8590000000004</v>
      </c>
      <c r="O23">
        <f ca="1"/>
        <v>8070.2449999999999</v>
      </c>
      <c r="Q23" s="24" t="str">
        <v>ETR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3</v>
      </c>
      <c r="D24" s="5"/>
      <c r="E24" s="4"/>
      <c r="F24" s="4"/>
      <c r="G24" s="4"/>
      <c r="H24" s="12">
        <f t="shared" ref="H24:O24" ca="1" si="7">+H23/D23-1</f>
        <v>-7.2333297589597056E-2</v>
      </c>
      <c r="I24" s="12">
        <f t="shared" ca="1" si="7"/>
        <v>-5.4724327923699301E-2</v>
      </c>
      <c r="J24" s="12">
        <f t="shared" ca="1" si="7"/>
        <v>6.957275202939539E-2</v>
      </c>
      <c r="K24" s="12">
        <f t="shared" ca="1" si="7"/>
        <v>7.99277890638872E-2</v>
      </c>
      <c r="L24" s="12">
        <f t="shared" ca="1" si="7"/>
        <v>0.26093026445871681</v>
      </c>
      <c r="M24" s="12">
        <f t="shared" ca="1" si="7"/>
        <v>0.45331470592025291</v>
      </c>
      <c r="N24" s="12">
        <f t="shared" ca="1" si="7"/>
        <v>0.3286021072283507</v>
      </c>
      <c r="O24" s="12">
        <f t="shared" ca="1" si="7"/>
        <v>0.54109156765883593</v>
      </c>
      <c r="Q24" s="24" t="str">
        <v>ETR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13</v>
      </c>
      <c r="D25" s="1"/>
      <c r="L25" s="7">
        <f ca="1">(L24-K24)*10000</f>
        <v>1810.0247539482962</v>
      </c>
      <c r="M25" s="7">
        <f ca="1">(M24-L24)*10000</f>
        <v>1923.8444146153611</v>
      </c>
      <c r="N25" s="7">
        <f ca="1">(N24-M24)*10000</f>
        <v>-1247.1259869190221</v>
      </c>
      <c r="O25" s="7">
        <f ca="1">(O24-N24)*10000</f>
        <v>2124.8946043048522</v>
      </c>
      <c r="Q25" s="24" t="str">
        <v>ETR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17</v>
      </c>
      <c r="D26" s="1"/>
      <c r="E26" s="7"/>
      <c r="F26" s="7"/>
      <c r="G26" s="7"/>
      <c r="H26" s="6"/>
      <c r="I26" s="6"/>
      <c r="J26" s="6"/>
      <c r="K26" s="6"/>
      <c r="L26" s="7">
        <f ca="1">(L24-H24)*10000</f>
        <v>3332.6356204831386</v>
      </c>
      <c r="M26" s="7">
        <f ca="1">(M24-I24)*10000</f>
        <v>5080.3903384395226</v>
      </c>
      <c r="N26" s="7">
        <f ca="1">(N24-J24)*10000</f>
        <v>2590.2935519895532</v>
      </c>
      <c r="O26" s="7">
        <f ca="1">(O24-K24)*10000</f>
        <v>4611.6377859494869</v>
      </c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ETR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4</v>
      </c>
      <c r="D27" s="1"/>
      <c r="L27" s="12">
        <f ca="1">L23/K23-1</f>
        <v>0.12694007894655934</v>
      </c>
      <c r="M27" s="12">
        <f ca="1">M23/L23-1</f>
        <v>0.14665840881613113</v>
      </c>
      <c r="N27" s="12">
        <f ca="1">N23/M23-1</f>
        <v>3.1462609537852515E-2</v>
      </c>
      <c r="O27" s="12">
        <f ca="1">O23/N23-1</f>
        <v>0.15621891502392815</v>
      </c>
      <c r="Q27" s="24" t="str">
        <v>ETR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ETR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Q29" s="24" t="str">
        <v>ETR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24"/>
      <c r="R30" s="24"/>
      <c r="S30" s="25"/>
      <c r="T30" s="26"/>
      <c r="U30" s="27"/>
      <c r="V30" s="28"/>
      <c r="W30" s="29"/>
      <c r="X30" s="28"/>
      <c r="Y30" s="29"/>
    </row>
    <row r="31" spans="1:25" x14ac:dyDescent="0.45">
      <c r="A31" s="16"/>
      <c r="B31" s="16"/>
      <c r="C31" s="2"/>
      <c r="D31" s="10"/>
      <c r="E31" s="10"/>
      <c r="F31" s="10"/>
      <c r="G31" s="32"/>
      <c r="H31" s="8"/>
      <c r="I31" s="8"/>
      <c r="J31" s="8"/>
      <c r="K31" s="32"/>
      <c r="L31" s="8"/>
      <c r="M31" s="8"/>
      <c r="N31" s="8"/>
      <c r="O31" s="32"/>
      <c r="Q31" s="24"/>
      <c r="R31" s="24"/>
      <c r="S31" s="25"/>
      <c r="T31" s="26"/>
      <c r="U31" s="27"/>
      <c r="V31" s="28"/>
      <c r="W31" s="29"/>
      <c r="X31" s="28"/>
      <c r="Y31" s="29"/>
    </row>
    <row r="32" spans="1:25" x14ac:dyDescent="0.45">
      <c r="C32" s="4"/>
      <c r="D32" s="5"/>
      <c r="E32" s="4"/>
      <c r="F32" s="4"/>
      <c r="G32" s="4"/>
      <c r="H32" s="7"/>
      <c r="I32" s="7"/>
      <c r="J32" s="7"/>
      <c r="K32" s="12"/>
      <c r="L32" s="12"/>
      <c r="M32" s="12"/>
      <c r="N32" s="12"/>
      <c r="O32" s="12"/>
      <c r="Q32" s="24"/>
      <c r="R32" s="24"/>
      <c r="S32" s="25"/>
      <c r="T32" s="26"/>
      <c r="U32" s="27"/>
      <c r="V32" s="28"/>
      <c r="W32" s="29"/>
      <c r="X32" s="28"/>
      <c r="Y32" s="29"/>
    </row>
    <row r="33" spans="1:25" x14ac:dyDescent="0.45">
      <c r="C33" s="4"/>
      <c r="D33" s="1"/>
      <c r="L33" s="7"/>
      <c r="M33" s="7"/>
      <c r="N33" s="7"/>
      <c r="O33" s="7"/>
      <c r="Q33" s="24"/>
      <c r="R33" s="24"/>
      <c r="S33" s="25"/>
      <c r="T33" s="26"/>
      <c r="U33" s="27"/>
      <c r="V33" s="28"/>
      <c r="W33" s="29"/>
      <c r="X33" s="28"/>
      <c r="Y33" s="29"/>
    </row>
    <row r="34" spans="1:25" x14ac:dyDescent="0.45">
      <c r="C34" s="4"/>
      <c r="D34" s="1"/>
      <c r="E34" s="7"/>
      <c r="F34" s="7"/>
      <c r="G34" s="7"/>
      <c r="H34" s="7"/>
      <c r="I34" s="7"/>
      <c r="J34" s="7"/>
      <c r="K34" s="6"/>
      <c r="L34" s="7"/>
      <c r="M34" s="7"/>
      <c r="N34" s="7"/>
      <c r="O34" s="7"/>
    </row>
    <row r="35" spans="1:25" x14ac:dyDescent="0.45">
      <c r="C35" s="4"/>
      <c r="D35" s="1"/>
      <c r="G35" s="7"/>
      <c r="H35" s="7"/>
      <c r="I35" s="7"/>
      <c r="J35" s="7"/>
      <c r="L35" s="12"/>
      <c r="M35" s="12"/>
      <c r="N35" s="12"/>
      <c r="O35" s="12"/>
    </row>
    <row r="36" spans="1:25" x14ac:dyDescent="0.45">
      <c r="C36" s="4"/>
      <c r="D36" s="1"/>
      <c r="K36" s="7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L44" s="7"/>
      <c r="M44" s="7"/>
      <c r="N44" s="7"/>
      <c r="O44" s="7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4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4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0" spans="1:15" x14ac:dyDescent="0.45">
      <c r="C60" s="4"/>
      <c r="D60" s="1"/>
      <c r="G60" s="1"/>
    </row>
    <row r="61" spans="1:15" x14ac:dyDescent="0.4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4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4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E0A8-7496-4A66-AC7D-0C9F71727570}">
  <dimension ref="A1:Y67"/>
  <sheetViews>
    <sheetView topLeftCell="C1" zoomScale="85" zoomScaleNormal="85" workbookViewId="0">
      <selection activeCell="H28" sqref="H24:P28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6" width="9.3984375" bestFit="1" customWidth="1"/>
    <col min="7" max="10" width="10.3984375" customWidth="1"/>
    <col min="11" max="11" width="10" bestFit="1" customWidth="1"/>
    <col min="12" max="13" width="9.3984375" bestFit="1" customWidth="1"/>
    <col min="14" max="14" width="11.265625" bestFit="1" customWidth="1"/>
    <col min="15" max="15" width="10.398437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16</v>
      </c>
      <c r="B1" s="22" t="s">
        <v>16</v>
      </c>
      <c r="C1" s="22" t="s">
        <v>16</v>
      </c>
      <c r="D1" s="22" t="s">
        <v>16</v>
      </c>
      <c r="E1" s="22" t="s">
        <v>16</v>
      </c>
      <c r="F1" s="22" t="s">
        <v>16</v>
      </c>
      <c r="G1" s="22" t="s">
        <v>16</v>
      </c>
      <c r="H1" s="22" t="s">
        <v>16</v>
      </c>
      <c r="I1" s="22" t="s">
        <v>16</v>
      </c>
      <c r="J1" s="22" t="s">
        <v>16</v>
      </c>
      <c r="K1" s="22" t="s">
        <v>16</v>
      </c>
      <c r="L1" s="22" t="s">
        <v>16</v>
      </c>
      <c r="M1" s="22" t="s">
        <v>16</v>
      </c>
      <c r="N1" s="22" t="s">
        <v>16</v>
      </c>
      <c r="O1" s="22" t="s">
        <v>16</v>
      </c>
      <c r="Q1" s="23" t="s">
        <v>9</v>
      </c>
      <c r="R1" s="23" t="s">
        <v>7</v>
      </c>
      <c r="S1" s="23" t="s">
        <v>12</v>
      </c>
      <c r="T1" s="23" t="s">
        <v>11</v>
      </c>
      <c r="U1" s="23" t="s">
        <v>6</v>
      </c>
      <c r="V1" s="23" t="s">
        <v>10</v>
      </c>
      <c r="W1" s="23" t="s">
        <v>14</v>
      </c>
      <c r="X1" s="23" t="s">
        <v>18</v>
      </c>
      <c r="Y1" s="23" t="s">
        <v>19</v>
      </c>
    </row>
    <row r="2" spans="1:25" x14ac:dyDescent="0.45">
      <c r="A2" s="17" t="s">
        <v>0</v>
      </c>
      <c r="B2" s="31" t="s">
        <v>29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NI US EQUITY</v>
      </c>
      <c r="R2" s="24">
        <f ca="1"/>
        <v>45747</v>
      </c>
      <c r="S2" s="25" t="str">
        <f ca="1"/>
        <v>canonical</v>
      </c>
      <c r="T2" s="26" t="str">
        <f ca="1"/>
        <v>TTM_FFO</v>
      </c>
      <c r="U2" s="27" t="str">
        <f ca="1"/>
        <v>2174</v>
      </c>
      <c r="V2" s="28" t="str">
        <f ca="1"/>
        <v>0.273057328570592</v>
      </c>
      <c r="W2" s="29" t="str">
        <f ca="1"/>
        <v>611.575373388591</v>
      </c>
      <c r="X2" s="28" t="str">
        <f ca="1"/>
        <v>1978.82613466392</v>
      </c>
      <c r="Y2" s="29" t="str">
        <f ca="1"/>
        <v>0.101484521457162</v>
      </c>
    </row>
    <row r="3" spans="1:25" x14ac:dyDescent="0.45">
      <c r="A3" s="18" t="s">
        <v>2</v>
      </c>
      <c r="B3" s="19">
        <f ca="1">+B4-365*3</f>
        <v>45001</v>
      </c>
      <c r="Q3" s="24" t="str">
        <f ca="1"/>
        <v>NI US EQUITY</v>
      </c>
      <c r="R3" s="24">
        <f ca="1"/>
        <v>45838</v>
      </c>
      <c r="S3" s="25" t="str">
        <f ca="1"/>
        <v>canonical</v>
      </c>
      <c r="T3" s="26" t="str">
        <f ca="1"/>
        <v>TTM_FFO</v>
      </c>
      <c r="U3" s="27" t="str">
        <f ca="1"/>
        <v>2202.4</v>
      </c>
      <c r="V3" s="28" t="str">
        <f ca="1"/>
        <v>0.25414270257958</v>
      </c>
      <c r="W3" s="29" t="str">
        <f ca="1"/>
        <v>-189.14625991012</v>
      </c>
      <c r="X3" s="29" t="str">
        <f ca="1"/>
        <v>1453.5371407093</v>
      </c>
      <c r="Y3" s="29" t="str">
        <f ca="1"/>
        <v>0.0130634774609015</v>
      </c>
    </row>
    <row r="4" spans="1:25" x14ac:dyDescent="0.45">
      <c r="A4" s="20" t="s">
        <v>1</v>
      </c>
      <c r="B4" s="21">
        <f ca="1">TODAY()</f>
        <v>46096</v>
      </c>
      <c r="Q4" s="24" t="str">
        <f ca="1"/>
        <v>NI US EQUITY</v>
      </c>
      <c r="R4" s="24">
        <f ca="1"/>
        <v>45930</v>
      </c>
      <c r="S4" s="25" t="str">
        <f ca="1"/>
        <v>canonical</v>
      </c>
      <c r="T4" s="26" t="str">
        <f ca="1"/>
        <v>TTM_FFO</v>
      </c>
      <c r="U4" s="27" t="str">
        <f ca="1"/>
        <v>2321.9</v>
      </c>
      <c r="V4" s="28" t="str">
        <f ca="1"/>
        <v>0.331517375845854</v>
      </c>
      <c r="W4" s="29" t="str">
        <f ca="1"/>
        <v>773.746732662741</v>
      </c>
      <c r="X4" s="29" t="str">
        <f ca="1"/>
        <v>2804.65600787087</v>
      </c>
      <c r="Y4" s="29" t="str">
        <f ca="1"/>
        <v>0.0542589901925172</v>
      </c>
    </row>
    <row r="5" spans="1:25" x14ac:dyDescent="0.45">
      <c r="C5" s="13" t="s">
        <v>8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NI US EQUITY</v>
      </c>
      <c r="R5" s="24">
        <f ca="1"/>
        <v>46022</v>
      </c>
      <c r="S5" s="25" t="str">
        <f ca="1"/>
        <v>canonical</v>
      </c>
      <c r="T5" s="26" t="str">
        <f ca="1"/>
        <v>TTM_FFO</v>
      </c>
      <c r="U5" s="27" t="str">
        <f ca="1"/>
        <v>2443.9</v>
      </c>
      <c r="V5" s="28" t="str">
        <f ca="1"/>
        <v>0.23823276080458</v>
      </c>
      <c r="W5" s="29" t="str">
        <f ca="1"/>
        <v>-932.846150412738</v>
      </c>
      <c r="X5" s="29" t="str">
        <f ca="1"/>
        <v>263.329695728474</v>
      </c>
      <c r="Y5" s="29" t="str">
        <f ca="1"/>
        <v>0.0525431758473665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NI US EQUITY</v>
      </c>
      <c r="R6" s="24">
        <f ca="1"/>
        <v>45747</v>
      </c>
      <c r="S6" s="25" t="str">
        <f ca="1"/>
        <v>canonical</v>
      </c>
      <c r="T6" s="26" t="str">
        <f ca="1"/>
        <v>FFO_to_debt</v>
      </c>
      <c r="U6" s="30" t="str">
        <f ca="1"/>
        <v>14.6052</v>
      </c>
      <c r="V6" s="29" t="str">
        <f ca="1"/>
        <v>143.96</v>
      </c>
      <c r="W6" s="29" t="str">
        <f ca="1"/>
        <v/>
      </c>
      <c r="X6" s="29" t="str">
        <f ca="1"/>
        <v/>
      </c>
      <c r="Y6" s="29" t="str">
        <f ca="1"/>
        <v>49.48</v>
      </c>
    </row>
    <row r="7" spans="1:25" x14ac:dyDescent="0.45">
      <c r="A7" s="16" t="s">
        <v>5</v>
      </c>
      <c r="B7" s="16" t="s">
        <v>20</v>
      </c>
      <c r="C7" s="9" t="s">
        <v>21</v>
      </c>
      <c r="D7" s="11">
        <f ca="1"/>
        <v>1588.3</v>
      </c>
      <c r="E7" s="11">
        <f ca="1"/>
        <v>1583.8</v>
      </c>
      <c r="F7" s="11">
        <f ca="1"/>
        <v>1659.1</v>
      </c>
      <c r="G7" s="11">
        <f ca="1"/>
        <v>1628.6</v>
      </c>
      <c r="H7" s="11">
        <f ca="1"/>
        <v>1707.7</v>
      </c>
      <c r="I7" s="11">
        <f ca="1"/>
        <v>1756.1</v>
      </c>
      <c r="J7" s="11">
        <f ca="1"/>
        <v>1743.8</v>
      </c>
      <c r="K7" s="11">
        <f ca="1"/>
        <v>1973.7</v>
      </c>
      <c r="L7" s="11">
        <f ca="1"/>
        <v>2174</v>
      </c>
      <c r="M7" s="11">
        <f ca="1"/>
        <v>2202.4</v>
      </c>
      <c r="N7" s="11">
        <f ca="1"/>
        <v>2321.9</v>
      </c>
      <c r="O7" s="3">
        <f ca="1"/>
        <v>2443.9</v>
      </c>
      <c r="P7" s="1"/>
      <c r="Q7" s="24" t="str">
        <f ca="1"/>
        <v>NI US EQUITY</v>
      </c>
      <c r="R7" s="24">
        <f ca="1"/>
        <v>45838</v>
      </c>
      <c r="S7" s="25" t="str">
        <f ca="1"/>
        <v>canonical</v>
      </c>
      <c r="T7" s="26" t="str">
        <f ca="1"/>
        <v>FFO_to_debt</v>
      </c>
      <c r="U7" s="30" t="str">
        <f ca="1"/>
        <v>13.9782</v>
      </c>
      <c r="V7" s="29" t="str">
        <f ca="1"/>
        <v>94.7899999999999</v>
      </c>
      <c r="W7" s="29" t="str">
        <f ca="1"/>
        <v/>
      </c>
      <c r="X7" s="29" t="str">
        <f ca="1"/>
        <v/>
      </c>
      <c r="Y7" s="29" t="str">
        <f ca="1"/>
        <v>-62.7000000000001</v>
      </c>
    </row>
    <row r="8" spans="1:25" x14ac:dyDescent="0.45">
      <c r="C8" s="4" t="s">
        <v>3</v>
      </c>
      <c r="D8" s="5"/>
      <c r="E8" s="4"/>
      <c r="F8" s="4"/>
      <c r="G8" s="12"/>
      <c r="H8" s="12">
        <f t="shared" ref="H8:O8" ca="1" si="1">+H7/D7-1</f>
        <v>7.5174715104199485E-2</v>
      </c>
      <c r="I8" s="12">
        <f t="shared" ca="1" si="1"/>
        <v>0.10878898850865015</v>
      </c>
      <c r="J8" s="12">
        <f t="shared" ca="1" si="1"/>
        <v>5.1051775058766902E-2</v>
      </c>
      <c r="K8" s="12">
        <f t="shared" ca="1" si="1"/>
        <v>0.21189979123173286</v>
      </c>
      <c r="L8" s="12">
        <f t="shared" ca="1" si="1"/>
        <v>0.27305732857059195</v>
      </c>
      <c r="M8" s="12">
        <f t="shared" ca="1" si="1"/>
        <v>0.25414270257957994</v>
      </c>
      <c r="N8" s="12">
        <f t="shared" ca="1" si="1"/>
        <v>0.33151737584585406</v>
      </c>
      <c r="O8" s="12">
        <f t="shared" ca="1" si="1"/>
        <v>0.23823276080458022</v>
      </c>
      <c r="P8" s="3"/>
      <c r="Q8" s="24" t="str">
        <f ca="1"/>
        <v>NI US EQUITY</v>
      </c>
      <c r="R8" s="24">
        <f ca="1"/>
        <v>45930</v>
      </c>
      <c r="S8" s="25" t="str">
        <f ca="1"/>
        <v>canonical</v>
      </c>
      <c r="T8" s="26" t="str">
        <f ca="1"/>
        <v>FFO_to_debt</v>
      </c>
      <c r="U8" s="30" t="str">
        <f ca="1"/>
        <v>14.7297</v>
      </c>
      <c r="V8" s="29" t="str">
        <f ca="1"/>
        <v>192.13</v>
      </c>
      <c r="W8" s="29" t="str">
        <f ca="1"/>
        <v/>
      </c>
      <c r="X8" s="29" t="str">
        <f ca="1"/>
        <v/>
      </c>
      <c r="Y8" s="29" t="str">
        <f ca="1"/>
        <v>75.15</v>
      </c>
    </row>
    <row r="9" spans="1:25" x14ac:dyDescent="0.45">
      <c r="C9" s="4" t="s">
        <v>13</v>
      </c>
      <c r="D9" s="1"/>
      <c r="L9" s="7">
        <f ca="1">(L8-K8)*10000</f>
        <v>611.57537338859095</v>
      </c>
      <c r="M9" s="7">
        <f ca="1">(M8-L8)*10000</f>
        <v>-189.14625991012014</v>
      </c>
      <c r="N9" s="7">
        <f ca="1">(N8-M8)*10000</f>
        <v>773.74673266274124</v>
      </c>
      <c r="O9" s="7">
        <f ca="1">(O8-N8)*10000</f>
        <v>-932.84615041273833</v>
      </c>
      <c r="Q9" s="22" t="str">
        <f ca="1"/>
        <v>NI US EQUITY</v>
      </c>
      <c r="R9" s="24">
        <f ca="1"/>
        <v>46022</v>
      </c>
      <c r="S9" s="25" t="str">
        <f ca="1"/>
        <v>canonical</v>
      </c>
      <c r="T9" s="26" t="str">
        <f ca="1"/>
        <v>FFO_to_debt</v>
      </c>
      <c r="U9" s="30" t="str">
        <f ca="1"/>
        <v>15.0483</v>
      </c>
      <c r="V9" s="29" t="str">
        <f ca="1"/>
        <v>93.7899999999999</v>
      </c>
      <c r="W9" s="29" t="str">
        <f ca="1"/>
        <v/>
      </c>
      <c r="X9" s="29" t="str">
        <f ca="1"/>
        <v/>
      </c>
      <c r="Y9" s="29" t="str">
        <f ca="1"/>
        <v>31.86</v>
      </c>
    </row>
    <row r="10" spans="1:25" x14ac:dyDescent="0.45">
      <c r="C10" s="4" t="s">
        <v>17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1978.8261346639247</v>
      </c>
      <c r="M10" s="7">
        <f ca="1">(M8-I8)*10000</f>
        <v>1453.5371407092978</v>
      </c>
      <c r="N10" s="7">
        <f ca="1">(N8-J8)*10000</f>
        <v>2804.6560078708717</v>
      </c>
      <c r="O10" s="7">
        <f ca="1">(O8-K8)*10000</f>
        <v>263.32969572847367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NI US EQUITY</v>
      </c>
      <c r="R10" s="24">
        <f ca="1"/>
        <v>45747</v>
      </c>
      <c r="S10" s="25" t="str">
        <f ca="1"/>
        <v>canonical</v>
      </c>
      <c r="T10" s="26" t="str">
        <f ca="1"/>
        <v>TTM_capex</v>
      </c>
      <c r="U10" s="30" t="str">
        <f ca="1"/>
        <v>3138.9</v>
      </c>
      <c r="V10" s="29" t="str">
        <f ca="1"/>
        <v>-0.0802836297576841</v>
      </c>
      <c r="W10" s="29" t="str">
        <f ca="1"/>
        <v>-199.701758952751</v>
      </c>
      <c r="X10" s="29" t="str">
        <f ca="1"/>
        <v>-3117.99524824981</v>
      </c>
      <c r="Y10" s="29" t="str">
        <f ca="1"/>
        <v>-0.0196145797545053</v>
      </c>
    </row>
    <row r="11" spans="1:25" x14ac:dyDescent="0.45">
      <c r="C11" s="4" t="s">
        <v>4</v>
      </c>
      <c r="D11" s="1"/>
      <c r="L11" s="12">
        <f t="shared" ref="L11:O11" ca="1" si="2">L7/K7-1</f>
        <v>0.10148452145716158</v>
      </c>
      <c r="M11" s="12">
        <f t="shared" ca="1" si="2"/>
        <v>1.3063477460901529E-2</v>
      </c>
      <c r="N11" s="12">
        <f t="shared" ca="1" si="2"/>
        <v>5.4258990192517231E-2</v>
      </c>
      <c r="O11" s="12">
        <f t="shared" ca="1" si="2"/>
        <v>5.2543175847366452E-2</v>
      </c>
      <c r="Q11" s="24" t="str">
        <f ca="1"/>
        <v>NI US EQUITY</v>
      </c>
      <c r="R11" s="24">
        <f ca="1"/>
        <v>45838</v>
      </c>
      <c r="S11" s="25" t="str">
        <f ca="1"/>
        <v>canonical</v>
      </c>
      <c r="T11" s="26" t="str">
        <f ca="1"/>
        <v>TTM_capex</v>
      </c>
      <c r="U11" s="30" t="str">
        <f ca="1"/>
        <v>2957.1</v>
      </c>
      <c r="V11" s="29" t="str">
        <f ca="1"/>
        <v>-0.189391447368421</v>
      </c>
      <c r="W11" s="29" t="str">
        <f ca="1"/>
        <v>-1091.07817610737</v>
      </c>
      <c r="X11" s="29" t="str">
        <f ca="1"/>
        <v>-4783.00750269174</v>
      </c>
      <c r="Y11" s="29" t="str">
        <f ca="1"/>
        <v>-0.0579183790499858</v>
      </c>
    </row>
    <row r="12" spans="1:25" x14ac:dyDescent="0.45">
      <c r="Q12" s="24" t="str">
        <f ca="1"/>
        <v>NI US EQUITY</v>
      </c>
      <c r="R12" s="24">
        <f ca="1"/>
        <v>45930</v>
      </c>
      <c r="S12" s="25" t="str">
        <f ca="1"/>
        <v>canonical</v>
      </c>
      <c r="T12" s="26" t="str">
        <f ca="1"/>
        <v>TTM_capex</v>
      </c>
      <c r="U12" s="30" t="str">
        <f ca="1"/>
        <v>2696</v>
      </c>
      <c r="V12" s="29" t="str">
        <f ca="1"/>
        <v>-0.197117245897734</v>
      </c>
      <c r="W12" s="29" t="str">
        <f ca="1"/>
        <v>-77.2579852931266</v>
      </c>
      <c r="X12" s="29" t="str">
        <f ca="1"/>
        <v>-2123.86037093235</v>
      </c>
      <c r="Y12" s="29" t="str">
        <f ca="1"/>
        <v>-0.0882959656420141</v>
      </c>
    </row>
    <row r="13" spans="1:25" x14ac:dyDescent="0.45">
      <c r="C13" s="13" t="s">
        <v>8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NI US EQUITY</v>
      </c>
      <c r="R13" s="24">
        <f ca="1"/>
        <v>46022</v>
      </c>
      <c r="S13" s="25" t="str">
        <f ca="1"/>
        <v>canonical</v>
      </c>
      <c r="T13" s="26" t="str">
        <f ca="1"/>
        <v>TTM_capex</v>
      </c>
      <c r="U13" s="30" t="str">
        <f ca="1"/>
        <v>2782.3</v>
      </c>
      <c r="V13" s="29" t="str">
        <f ca="1"/>
        <v>-0.130992910016554</v>
      </c>
      <c r="W13" s="29" t="str">
        <f ca="1"/>
        <v>661.243358811802</v>
      </c>
      <c r="X13" s="29" t="str">
        <f ca="1"/>
        <v>-706.794561541445</v>
      </c>
      <c r="Y13" s="29" t="str">
        <f ca="1"/>
        <v>0.0320103857566767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NI US EQUITY</v>
      </c>
      <c r="R14" s="24">
        <v>0</v>
      </c>
      <c r="S14" s="25">
        <v>0</v>
      </c>
      <c r="T14" s="26">
        <v>0</v>
      </c>
      <c r="U14" s="30" t="str">
        <v/>
      </c>
      <c r="V14" s="29" t="str">
        <v/>
      </c>
      <c r="W14" s="29" t="str">
        <v/>
      </c>
      <c r="X14" s="29" t="str">
        <v/>
      </c>
      <c r="Y14" s="29" t="str">
        <v/>
      </c>
    </row>
    <row r="15" spans="1:25" x14ac:dyDescent="0.45">
      <c r="A15" s="16" t="s">
        <v>5</v>
      </c>
      <c r="B15" s="16" t="s">
        <v>24</v>
      </c>
      <c r="C15" s="9" t="s">
        <v>23</v>
      </c>
      <c r="D15" s="3">
        <f ca="1"/>
        <v>13.719900000000001</v>
      </c>
      <c r="E15" s="3">
        <f ca="1"/>
        <v>12.547800000000001</v>
      </c>
      <c r="F15" s="3">
        <f ca="1"/>
        <v>12.513999999999999</v>
      </c>
      <c r="G15" s="3">
        <f ca="1"/>
        <v>11.4998</v>
      </c>
      <c r="H15" s="3">
        <f ca="1"/>
        <v>13.1656</v>
      </c>
      <c r="I15" s="3">
        <f ca="1"/>
        <v>13.0303</v>
      </c>
      <c r="J15" s="3">
        <f ca="1"/>
        <v>12.808400000000001</v>
      </c>
      <c r="K15" s="3">
        <f ca="1"/>
        <v>14.1104</v>
      </c>
      <c r="L15" s="3">
        <f ca="1"/>
        <v>14.6052</v>
      </c>
      <c r="M15" s="3">
        <f ca="1"/>
        <v>13.978199999999999</v>
      </c>
      <c r="N15" s="3">
        <f ca="1"/>
        <v>14.729699999999999</v>
      </c>
      <c r="O15">
        <f ca="1"/>
        <v>15.048299999999999</v>
      </c>
      <c r="Q15" s="24" t="str">
        <v>NI US EQUITY</v>
      </c>
      <c r="R15" s="24">
        <v>0</v>
      </c>
      <c r="S15" s="25">
        <v>0</v>
      </c>
      <c r="T15" s="26">
        <v>0</v>
      </c>
      <c r="U15" s="30" t="str">
        <v/>
      </c>
      <c r="V15" s="29" t="str">
        <v/>
      </c>
      <c r="W15" s="29" t="str">
        <v/>
      </c>
      <c r="X15" s="29" t="str">
        <v/>
      </c>
      <c r="Y15" s="29" t="str">
        <v/>
      </c>
    </row>
    <row r="16" spans="1:25" x14ac:dyDescent="0.45">
      <c r="C16" s="4" t="s">
        <v>3</v>
      </c>
      <c r="D16" s="5"/>
      <c r="E16" s="4"/>
      <c r="F16" s="4"/>
      <c r="G16" s="4"/>
      <c r="H16" s="7">
        <f t="shared" ref="H16:O16" ca="1" si="4">(H15-D15)*100</f>
        <v>-55.430000000000135</v>
      </c>
      <c r="I16" s="7">
        <f t="shared" ca="1" si="4"/>
        <v>48.249999999999993</v>
      </c>
      <c r="J16" s="7">
        <f t="shared" ca="1" si="4"/>
        <v>29.440000000000133</v>
      </c>
      <c r="K16" s="7">
        <f t="shared" ca="1" si="4"/>
        <v>261.06</v>
      </c>
      <c r="L16" s="7">
        <f t="shared" ca="1" si="4"/>
        <v>143.96000000000004</v>
      </c>
      <c r="M16" s="7">
        <f t="shared" ca="1" si="4"/>
        <v>94.789999999999878</v>
      </c>
      <c r="N16" s="7">
        <f t="shared" ca="1" si="4"/>
        <v>192.12999999999988</v>
      </c>
      <c r="O16" s="7">
        <f t="shared" ca="1" si="4"/>
        <v>93.789999999999907</v>
      </c>
      <c r="Q16" s="24" t="str">
        <v>NI US EQUITY</v>
      </c>
      <c r="R16" s="24">
        <v>0</v>
      </c>
      <c r="S16" s="25">
        <v>0</v>
      </c>
      <c r="T16" s="26">
        <v>0</v>
      </c>
      <c r="U16" s="30" t="str">
        <v/>
      </c>
      <c r="V16" s="29" t="str">
        <v/>
      </c>
      <c r="W16" s="29" t="str">
        <v/>
      </c>
      <c r="X16" s="29" t="str">
        <v/>
      </c>
      <c r="Y16" s="29" t="str">
        <v/>
      </c>
    </row>
    <row r="17" spans="1:25" x14ac:dyDescent="0.45">
      <c r="C17" s="4" t="s">
        <v>13</v>
      </c>
      <c r="D17" s="1"/>
      <c r="K17" s="7"/>
      <c r="L17" s="7"/>
      <c r="M17" s="7"/>
      <c r="N17" s="7"/>
      <c r="O17" s="7"/>
      <c r="Q17" s="24" t="str">
        <v>NI US EQUITY</v>
      </c>
      <c r="R17" s="24">
        <v>0</v>
      </c>
      <c r="S17" s="25">
        <v>0</v>
      </c>
      <c r="T17" s="26">
        <v>0</v>
      </c>
      <c r="U17" s="30" t="str">
        <v/>
      </c>
      <c r="V17" s="29" t="str">
        <v/>
      </c>
      <c r="W17" s="29" t="str">
        <v/>
      </c>
      <c r="X17" s="29" t="str">
        <v/>
      </c>
      <c r="Y17" s="29" t="str">
        <v/>
      </c>
    </row>
    <row r="18" spans="1:25" x14ac:dyDescent="0.45">
      <c r="C18" s="4" t="s">
        <v>17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NI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4</v>
      </c>
      <c r="D19" s="1"/>
      <c r="K19" s="7"/>
      <c r="L19" s="7">
        <f ca="1">(L15-K15)*100</f>
        <v>49.479999999999968</v>
      </c>
      <c r="M19" s="7">
        <f t="shared" ref="M19:O19" ca="1" si="5">(M15-L15)*100</f>
        <v>-62.700000000000067</v>
      </c>
      <c r="N19" s="7">
        <f t="shared" ca="1" si="5"/>
        <v>75.150000000000006</v>
      </c>
      <c r="O19" s="7">
        <f t="shared" ca="1" si="5"/>
        <v>31.86</v>
      </c>
      <c r="Q19" s="24" t="str">
        <v>NI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NI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8</v>
      </c>
      <c r="D21" s="14">
        <f>EOMONTH(DATE(YEAR(D22),ROUNDUP(MONTH(D22)/3,0)*3,1),0)</f>
        <v>45016</v>
      </c>
      <c r="E21" s="14">
        <f>EOMONTH(DATE(YEAR(E22),ROUNDUP(MONTH(E22)/3,0)*3,1),0)</f>
        <v>45107</v>
      </c>
      <c r="F21" s="14">
        <f>EOMONTH(DATE(YEAR(F22),ROUNDUP(MONTH(F22)/3,0)*3,1),0)</f>
        <v>45199</v>
      </c>
      <c r="G21" s="14">
        <f t="shared" ref="G21:K21" si="6">EOMONTH(DATE(YEAR(G22),ROUNDUP(MONTH(G22)/3,0)*3,1),0)</f>
        <v>45291</v>
      </c>
      <c r="H21" s="14">
        <f t="shared" si="6"/>
        <v>45382</v>
      </c>
      <c r="I21" s="14">
        <f t="shared" si="6"/>
        <v>45473</v>
      </c>
      <c r="J21" s="14">
        <f t="shared" si="6"/>
        <v>45565</v>
      </c>
      <c r="K21" s="14">
        <f t="shared" si="6"/>
        <v>45657</v>
      </c>
      <c r="L21" s="14">
        <f>EOMONTH(DATE(YEAR(L22),ROUNDUP(MONTH(L22)/3,0)*3,1),0)</f>
        <v>45747</v>
      </c>
      <c r="M21" s="14">
        <f>EOMONTH(DATE(YEAR(M22),ROUNDUP(MONTH(M22)/3,0)*3,1),0)</f>
        <v>45838</v>
      </c>
      <c r="N21" s="14">
        <f>EOMONTH(DATE(YEAR(N22),ROUNDUP(MONTH(N22)/3,0)*3,1),0)</f>
        <v>45930</v>
      </c>
      <c r="O21" s="14">
        <f>EOMONTH(DATE(YEAR(O22),ROUNDUP(MONTH(O22)/3,0)*3,1),0)</f>
        <v>46022</v>
      </c>
      <c r="Q21" s="24" t="str">
        <v>NI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2">
        <v>45016</v>
      </c>
      <c r="E22" s="2">
        <v>45107</v>
      </c>
      <c r="F22" s="2">
        <v>45199</v>
      </c>
      <c r="G22" s="2">
        <v>45291</v>
      </c>
      <c r="H22" s="2">
        <v>45382</v>
      </c>
      <c r="I22" s="2">
        <v>45473</v>
      </c>
      <c r="J22" s="2">
        <v>45565</v>
      </c>
      <c r="K22" s="2">
        <v>45657</v>
      </c>
      <c r="L22" s="2">
        <v>45747</v>
      </c>
      <c r="M22" s="2">
        <v>45838</v>
      </c>
      <c r="N22" s="2">
        <v>45930</v>
      </c>
      <c r="O22" s="2"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NI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5</v>
      </c>
      <c r="B23" s="16" t="s">
        <v>32</v>
      </c>
      <c r="C23" s="9" t="s">
        <v>31</v>
      </c>
      <c r="D23" s="3" cm="1">
        <f t="array" aca="1" ref="D23:O23" ca="1">-_xll.BDH($B$2,C23,$B$3,$B$4,"DIR=H","DATES=H")</f>
        <v>2771.3</v>
      </c>
      <c r="E23" s="3">
        <f ca="1"/>
        <v>2830.3</v>
      </c>
      <c r="F23" s="3">
        <f ca="1"/>
        <v>3307.4</v>
      </c>
      <c r="G23" s="3">
        <f ca="1"/>
        <v>3407.2</v>
      </c>
      <c r="H23" s="3">
        <f ca="1"/>
        <v>3412.9</v>
      </c>
      <c r="I23" s="3">
        <f ca="1"/>
        <v>3648</v>
      </c>
      <c r="J23" s="3">
        <f ca="1"/>
        <v>3357.9</v>
      </c>
      <c r="K23" s="3">
        <f ca="1"/>
        <v>3201.7</v>
      </c>
      <c r="L23" s="3">
        <f ca="1"/>
        <v>3138.9</v>
      </c>
      <c r="M23" s="3">
        <f ca="1"/>
        <v>2957.1</v>
      </c>
      <c r="N23" s="3">
        <f ca="1"/>
        <v>2696</v>
      </c>
      <c r="O23">
        <f ca="1"/>
        <v>2782.3</v>
      </c>
      <c r="Q23" s="24" t="str">
        <v>NI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3</v>
      </c>
      <c r="D24" s="5"/>
      <c r="E24" s="4"/>
      <c r="F24" s="4"/>
      <c r="G24" s="4"/>
      <c r="H24" s="12">
        <f t="shared" ref="H24:O24" ca="1" si="7">+H23/D23-1</f>
        <v>0.23151589506729686</v>
      </c>
      <c r="I24" s="12">
        <f t="shared" ca="1" si="7"/>
        <v>0.28890930290075256</v>
      </c>
      <c r="J24" s="12">
        <f t="shared" ca="1" si="7"/>
        <v>1.5268791195500953E-2</v>
      </c>
      <c r="K24" s="12">
        <f t="shared" ca="1" si="7"/>
        <v>-6.031345386240905E-2</v>
      </c>
      <c r="L24" s="12">
        <f t="shared" ca="1" si="7"/>
        <v>-8.0283629757684105E-2</v>
      </c>
      <c r="M24" s="12">
        <f t="shared" ca="1" si="7"/>
        <v>-0.18939144736842106</v>
      </c>
      <c r="N24" s="12">
        <f t="shared" ca="1" si="7"/>
        <v>-0.19711724589773372</v>
      </c>
      <c r="O24" s="12">
        <f t="shared" ca="1" si="7"/>
        <v>-0.13099291001655355</v>
      </c>
      <c r="Q24" s="24" t="str">
        <v>NI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13</v>
      </c>
      <c r="D25" s="1"/>
      <c r="L25" s="7">
        <f ca="1">(L24-K24)*10000</f>
        <v>-199.70175895275054</v>
      </c>
      <c r="M25" s="7">
        <f ca="1">(M24-L24)*10000</f>
        <v>-1091.0781761073695</v>
      </c>
      <c r="N25" s="7">
        <f ca="1">(N24-M24)*10000</f>
        <v>-77.257985293126552</v>
      </c>
      <c r="O25" s="7">
        <f ca="1">(O24-N24)*10000</f>
        <v>661.24335881180161</v>
      </c>
      <c r="Q25" s="24" t="str">
        <v>NI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17</v>
      </c>
      <c r="D26" s="1"/>
      <c r="E26" s="7"/>
      <c r="F26" s="7"/>
      <c r="G26" s="7"/>
      <c r="H26" s="6"/>
      <c r="I26" s="6"/>
      <c r="J26" s="6"/>
      <c r="K26" s="6"/>
      <c r="L26" s="7">
        <f ca="1">(L24-H24)*10000</f>
        <v>-3117.9952482498097</v>
      </c>
      <c r="M26" s="7">
        <f ca="1">(M24-I24)*10000</f>
        <v>-4783.0075026917366</v>
      </c>
      <c r="N26" s="7">
        <f ca="1">(N24-J24)*10000</f>
        <v>-2123.8603709323465</v>
      </c>
      <c r="O26" s="7">
        <f ca="1">(O24-K24)*10000</f>
        <v>-706.79456154144509</v>
      </c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NI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4</v>
      </c>
      <c r="D27" s="1"/>
      <c r="L27" s="12">
        <f t="shared" ref="L27:O27" ca="1" si="8">L23/K23-1</f>
        <v>-1.9614579754505312E-2</v>
      </c>
      <c r="M27" s="12">
        <f t="shared" ca="1" si="8"/>
        <v>-5.7918379049985758E-2</v>
      </c>
      <c r="N27" s="12">
        <f t="shared" ca="1" si="8"/>
        <v>-8.829596564201414E-2</v>
      </c>
      <c r="O27" s="12">
        <f t="shared" ca="1" si="8"/>
        <v>3.2010385756676696E-2</v>
      </c>
      <c r="Q27" s="24" t="str">
        <v>NI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NI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Q29" s="24" t="str">
        <v>NI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24"/>
      <c r="R30" s="24"/>
      <c r="S30" s="25"/>
      <c r="T30" s="26"/>
      <c r="U30" s="27"/>
      <c r="V30" s="28"/>
      <c r="W30" s="29"/>
      <c r="X30" s="28"/>
      <c r="Y30" s="29"/>
    </row>
    <row r="31" spans="1:25" x14ac:dyDescent="0.45">
      <c r="A31" s="16"/>
      <c r="B31" s="16"/>
      <c r="C31" s="2"/>
      <c r="D31" s="10"/>
      <c r="E31" s="10"/>
      <c r="F31" s="10"/>
      <c r="G31" s="32"/>
      <c r="H31" s="8"/>
      <c r="I31" s="8"/>
      <c r="J31" s="8"/>
      <c r="K31" s="32"/>
      <c r="L31" s="8"/>
      <c r="M31" s="8"/>
      <c r="N31" s="8"/>
      <c r="O31" s="32"/>
      <c r="Q31" s="24"/>
      <c r="R31" s="24"/>
      <c r="S31" s="25"/>
      <c r="T31" s="26"/>
      <c r="U31" s="27"/>
      <c r="V31" s="28"/>
      <c r="W31" s="29"/>
      <c r="X31" s="28"/>
      <c r="Y31" s="29"/>
    </row>
    <row r="32" spans="1:25" x14ac:dyDescent="0.45">
      <c r="C32" s="4"/>
      <c r="D32" s="5"/>
      <c r="E32" s="4"/>
      <c r="F32" s="4"/>
      <c r="G32" s="4"/>
      <c r="H32" s="7"/>
      <c r="I32" s="7"/>
      <c r="J32" s="7"/>
      <c r="K32" s="12"/>
      <c r="L32" s="12"/>
      <c r="M32" s="12"/>
      <c r="N32" s="12"/>
      <c r="O32" s="12"/>
      <c r="Q32" s="24"/>
      <c r="R32" s="24"/>
      <c r="S32" s="25"/>
      <c r="T32" s="26"/>
      <c r="U32" s="27"/>
      <c r="V32" s="28"/>
      <c r="W32" s="29"/>
      <c r="X32" s="28"/>
      <c r="Y32" s="29"/>
    </row>
    <row r="33" spans="1:25" x14ac:dyDescent="0.45">
      <c r="C33" s="4"/>
      <c r="D33" s="1"/>
      <c r="L33" s="7"/>
      <c r="M33" s="7"/>
      <c r="N33" s="7"/>
      <c r="O33" s="7"/>
      <c r="Q33" s="24"/>
      <c r="R33" s="24"/>
      <c r="S33" s="25"/>
      <c r="T33" s="26"/>
      <c r="U33" s="27"/>
      <c r="V33" s="28"/>
      <c r="W33" s="29"/>
      <c r="X33" s="28"/>
      <c r="Y33" s="29"/>
    </row>
    <row r="34" spans="1:25" x14ac:dyDescent="0.45">
      <c r="C34" s="4"/>
      <c r="D34" s="1"/>
      <c r="E34" s="7"/>
      <c r="F34" s="7"/>
      <c r="G34" s="7"/>
      <c r="H34" s="7"/>
      <c r="I34" s="7"/>
      <c r="J34" s="7"/>
      <c r="K34" s="6"/>
      <c r="L34" s="7"/>
      <c r="M34" s="7"/>
      <c r="N34" s="7"/>
      <c r="O34" s="7"/>
    </row>
    <row r="35" spans="1:25" x14ac:dyDescent="0.45">
      <c r="C35" s="4"/>
      <c r="D35" s="1"/>
      <c r="G35" s="7"/>
      <c r="H35" s="7"/>
      <c r="I35" s="7"/>
      <c r="J35" s="7"/>
      <c r="L35" s="12"/>
      <c r="M35" s="12"/>
      <c r="N35" s="12"/>
      <c r="O35" s="12"/>
    </row>
    <row r="36" spans="1:25" x14ac:dyDescent="0.45">
      <c r="C36" s="4"/>
      <c r="D36" s="1"/>
      <c r="K36" s="7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L44" s="7"/>
      <c r="M44" s="7"/>
      <c r="N44" s="7"/>
      <c r="O44" s="7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4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4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0" spans="1:15" x14ac:dyDescent="0.45">
      <c r="C60" s="4"/>
      <c r="D60" s="1"/>
      <c r="G60" s="1"/>
    </row>
    <row r="61" spans="1:15" x14ac:dyDescent="0.4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4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4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1C16-7A89-4046-9D85-D3D302A3447C}">
  <dimension ref="A1:Y67"/>
  <sheetViews>
    <sheetView zoomScale="85" zoomScaleNormal="85" workbookViewId="0">
      <selection activeCell="D15" sqref="D15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6" width="9.3984375" bestFit="1" customWidth="1"/>
    <col min="7" max="10" width="10.3984375" customWidth="1"/>
    <col min="11" max="11" width="10" bestFit="1" customWidth="1"/>
    <col min="12" max="13" width="9.3984375" bestFit="1" customWidth="1"/>
    <col min="14" max="14" width="11.265625" bestFit="1" customWidth="1"/>
    <col min="15" max="15" width="10.398437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16</v>
      </c>
      <c r="B1" s="22" t="s">
        <v>16</v>
      </c>
      <c r="C1" s="22" t="s">
        <v>16</v>
      </c>
      <c r="D1" s="22" t="s">
        <v>16</v>
      </c>
      <c r="E1" s="22" t="s">
        <v>16</v>
      </c>
      <c r="F1" s="22" t="s">
        <v>16</v>
      </c>
      <c r="G1" s="22" t="s">
        <v>16</v>
      </c>
      <c r="H1" s="22" t="s">
        <v>16</v>
      </c>
      <c r="I1" s="22" t="s">
        <v>16</v>
      </c>
      <c r="J1" s="22" t="s">
        <v>16</v>
      </c>
      <c r="K1" s="22" t="s">
        <v>16</v>
      </c>
      <c r="L1" s="22" t="s">
        <v>16</v>
      </c>
      <c r="M1" s="22" t="s">
        <v>16</v>
      </c>
      <c r="N1" s="22" t="s">
        <v>16</v>
      </c>
      <c r="O1" s="22" t="s">
        <v>16</v>
      </c>
      <c r="Q1" s="23" t="s">
        <v>9</v>
      </c>
      <c r="R1" s="23" t="s">
        <v>7</v>
      </c>
      <c r="S1" s="23" t="s">
        <v>12</v>
      </c>
      <c r="T1" s="23" t="s">
        <v>11</v>
      </c>
      <c r="U1" s="23" t="s">
        <v>6</v>
      </c>
      <c r="V1" s="23" t="s">
        <v>10</v>
      </c>
      <c r="W1" s="23" t="s">
        <v>14</v>
      </c>
      <c r="X1" s="23" t="s">
        <v>18</v>
      </c>
      <c r="Y1" s="23" t="s">
        <v>19</v>
      </c>
    </row>
    <row r="2" spans="1:25" x14ac:dyDescent="0.45">
      <c r="A2" s="17" t="s">
        <v>0</v>
      </c>
      <c r="B2" s="31" t="s">
        <v>30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OGE US EQUITY</v>
      </c>
      <c r="R2" s="24">
        <f ca="1"/>
        <v>45747</v>
      </c>
      <c r="S2" s="25" t="str">
        <f ca="1"/>
        <v>canonical</v>
      </c>
      <c r="T2" s="26" t="str">
        <f ca="1"/>
        <v>TTM_FFO</v>
      </c>
      <c r="U2" s="27" t="str">
        <f ca="1"/>
        <v>998.2</v>
      </c>
      <c r="V2" s="28" t="str">
        <f ca="1"/>
        <v>0.0752989335344179</v>
      </c>
      <c r="W2" s="29" t="str">
        <f ca="1"/>
        <v>-136.706533925</v>
      </c>
      <c r="X2" s="28" t="str">
        <f ca="1"/>
        <v>3619.35374017012</v>
      </c>
      <c r="Y2" s="29" t="str">
        <f ca="1"/>
        <v>0.0402250937890789</v>
      </c>
    </row>
    <row r="3" spans="1:25" x14ac:dyDescent="0.45">
      <c r="A3" s="18" t="s">
        <v>2</v>
      </c>
      <c r="B3" s="19">
        <f ca="1">+B4-365*3</f>
        <v>45001</v>
      </c>
      <c r="Q3" s="24" t="str">
        <f ca="1"/>
        <v>OGE US EQUITY</v>
      </c>
      <c r="R3" s="24">
        <f ca="1"/>
        <v>45838</v>
      </c>
      <c r="S3" s="25" t="str">
        <f ca="1"/>
        <v>canonical</v>
      </c>
      <c r="T3" s="26" t="str">
        <f ca="1"/>
        <v>TTM_FFO</v>
      </c>
      <c r="U3" s="27" t="str">
        <f ca="1"/>
        <v>977.5</v>
      </c>
      <c r="V3" s="28" t="str">
        <f ca="1"/>
        <v>0.00359342915811078</v>
      </c>
      <c r="W3" s="29" t="str">
        <f ca="1"/>
        <v>-717.055043763071</v>
      </c>
      <c r="X3" s="29" t="str">
        <f ca="1"/>
        <v>2933.70299509576</v>
      </c>
      <c r="Y3" s="29" t="str">
        <f ca="1"/>
        <v>-0.0207373271889402</v>
      </c>
    </row>
    <row r="4" spans="1:25" x14ac:dyDescent="0.45">
      <c r="A4" s="20" t="s">
        <v>1</v>
      </c>
      <c r="B4" s="21">
        <f ca="1">TODAY()</f>
        <v>46096</v>
      </c>
      <c r="Q4" s="24" t="str">
        <f ca="1"/>
        <v>OGE US EQUITY</v>
      </c>
      <c r="R4" s="24">
        <f ca="1"/>
        <v>45930</v>
      </c>
      <c r="S4" s="25" t="str">
        <f ca="1"/>
        <v>canonical</v>
      </c>
      <c r="T4" s="26" t="str">
        <f ca="1"/>
        <v>TTM_FFO</v>
      </c>
      <c r="U4" s="27" t="str">
        <f ca="1"/>
        <v>1029.5</v>
      </c>
      <c r="V4" s="28" t="str">
        <f ca="1"/>
        <v>0.0561140746819861</v>
      </c>
      <c r="W4" s="29" t="str">
        <f ca="1"/>
        <v>525.206455238754</v>
      </c>
      <c r="X4" s="29" t="str">
        <f ca="1"/>
        <v>-1847.20955867912</v>
      </c>
      <c r="Y4" s="29" t="str">
        <f ca="1"/>
        <v>0.0531969309462916</v>
      </c>
    </row>
    <row r="5" spans="1:25" x14ac:dyDescent="0.45">
      <c r="C5" s="13" t="s">
        <v>8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OGE US EQUITY</v>
      </c>
      <c r="R5" s="24">
        <f ca="1"/>
        <v>46022</v>
      </c>
      <c r="S5" s="25" t="str">
        <f ca="1"/>
        <v>canonical</v>
      </c>
      <c r="T5" s="26" t="str">
        <f ca="1"/>
        <v>TTM_FFO</v>
      </c>
      <c r="U5" s="27" t="str">
        <f ca="1"/>
        <v>1009.8</v>
      </c>
      <c r="V5" s="28" t="str">
        <f ca="1"/>
        <v>0.0523134639433096</v>
      </c>
      <c r="W5" s="29" t="str">
        <f ca="1"/>
        <v>-38.0061073867655</v>
      </c>
      <c r="X5" s="29" t="str">
        <f ca="1"/>
        <v>-366.561229836082</v>
      </c>
      <c r="Y5" s="29" t="str">
        <f ca="1"/>
        <v>-0.0191355026711997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OGE US EQUITY</v>
      </c>
      <c r="R6" s="24">
        <f ca="1"/>
        <v>45747</v>
      </c>
      <c r="S6" s="25" t="str">
        <f ca="1"/>
        <v>canonical</v>
      </c>
      <c r="T6" s="26" t="str">
        <f ca="1"/>
        <v>FFO_to_debt</v>
      </c>
      <c r="U6" s="30" t="str">
        <f ca="1"/>
        <v>16.9517</v>
      </c>
      <c r="V6" s="29" t="str">
        <f ca="1"/>
        <v>-126.1</v>
      </c>
      <c r="W6" s="29" t="str">
        <f ca="1"/>
        <v/>
      </c>
      <c r="X6" s="29" t="str">
        <f ca="1"/>
        <v/>
      </c>
      <c r="Y6" s="29" t="str">
        <f ca="1"/>
        <v>-32.1899999999999</v>
      </c>
    </row>
    <row r="7" spans="1:25" x14ac:dyDescent="0.45">
      <c r="A7" s="16" t="s">
        <v>5</v>
      </c>
      <c r="B7" s="16" t="s">
        <v>20</v>
      </c>
      <c r="C7" s="9" t="s">
        <v>21</v>
      </c>
      <c r="D7" s="11">
        <f ca="1"/>
        <v>1301.3</v>
      </c>
      <c r="E7" s="11">
        <f ca="1"/>
        <v>1371.4</v>
      </c>
      <c r="F7" s="11">
        <f ca="1"/>
        <v>785.6</v>
      </c>
      <c r="G7" s="11">
        <f ca="1"/>
        <v>881.2</v>
      </c>
      <c r="H7" s="11">
        <f ca="1"/>
        <v>928.3</v>
      </c>
      <c r="I7" s="11">
        <f ca="1"/>
        <v>974</v>
      </c>
      <c r="J7" s="11">
        <f ca="1"/>
        <v>974.8</v>
      </c>
      <c r="K7" s="11">
        <f ca="1"/>
        <v>959.6</v>
      </c>
      <c r="L7" s="11">
        <f ca="1"/>
        <v>998.2</v>
      </c>
      <c r="M7" s="11">
        <f ca="1"/>
        <v>977.5</v>
      </c>
      <c r="N7" s="11">
        <f ca="1"/>
        <v>1029.5</v>
      </c>
      <c r="O7" s="3">
        <f ca="1"/>
        <v>1009.8</v>
      </c>
      <c r="P7" s="1"/>
      <c r="Q7" s="24" t="str">
        <f ca="1"/>
        <v>OGE US EQUITY</v>
      </c>
      <c r="R7" s="24">
        <f ca="1"/>
        <v>45838</v>
      </c>
      <c r="S7" s="25" t="str">
        <f ca="1"/>
        <v>canonical</v>
      </c>
      <c r="T7" s="26" t="str">
        <f ca="1"/>
        <v>FFO_to_debt</v>
      </c>
      <c r="U7" s="30" t="str">
        <f ca="1"/>
        <v>16.563</v>
      </c>
      <c r="V7" s="29" t="str">
        <f ca="1"/>
        <v>-194.53</v>
      </c>
      <c r="W7" s="29" t="str">
        <f ca="1"/>
        <v/>
      </c>
      <c r="X7" s="29" t="str">
        <f ca="1"/>
        <v/>
      </c>
      <c r="Y7" s="29" t="str">
        <f ca="1"/>
        <v>-38.87</v>
      </c>
    </row>
    <row r="8" spans="1:25" x14ac:dyDescent="0.45">
      <c r="C8" s="4" t="s">
        <v>3</v>
      </c>
      <c r="D8" s="5"/>
      <c r="E8" s="4"/>
      <c r="F8" s="4"/>
      <c r="G8" s="12"/>
      <c r="H8" s="12">
        <f t="shared" ref="H8:O8" ca="1" si="1">+H7/D7-1</f>
        <v>-0.28663644048259429</v>
      </c>
      <c r="I8" s="12">
        <f t="shared" ca="1" si="1"/>
        <v>-0.28977687035146571</v>
      </c>
      <c r="J8" s="12">
        <f t="shared" ca="1" si="1"/>
        <v>0.24083503054989808</v>
      </c>
      <c r="K8" s="12">
        <f t="shared" ca="1" si="1"/>
        <v>8.896958692691781E-2</v>
      </c>
      <c r="L8" s="12">
        <f t="shared" ca="1" si="1"/>
        <v>7.5298933534417856E-2</v>
      </c>
      <c r="M8" s="12">
        <f t="shared" ca="1" si="1"/>
        <v>3.5934291581107836E-3</v>
      </c>
      <c r="N8" s="12">
        <f t="shared" ca="1" si="1"/>
        <v>5.6114074681986148E-2</v>
      </c>
      <c r="O8" s="12">
        <f t="shared" ca="1" si="1"/>
        <v>5.2313463943309602E-2</v>
      </c>
      <c r="P8" s="3"/>
      <c r="Q8" s="24" t="str">
        <f ca="1"/>
        <v>OGE US EQUITY</v>
      </c>
      <c r="R8" s="24">
        <f ca="1"/>
        <v>45930</v>
      </c>
      <c r="S8" s="25" t="str">
        <f ca="1"/>
        <v>canonical</v>
      </c>
      <c r="T8" s="26" t="str">
        <f ca="1"/>
        <v>FFO_to_debt</v>
      </c>
      <c r="U8" s="30" t="str">
        <f ca="1"/>
        <v>17.645</v>
      </c>
      <c r="V8" s="29" t="str">
        <f ca="1"/>
        <v>-97.2300000000001</v>
      </c>
      <c r="W8" s="29" t="str">
        <f ca="1"/>
        <v/>
      </c>
      <c r="X8" s="29" t="str">
        <f ca="1"/>
        <v/>
      </c>
      <c r="Y8" s="29" t="str">
        <f ca="1"/>
        <v>108.2</v>
      </c>
    </row>
    <row r="9" spans="1:25" x14ac:dyDescent="0.45">
      <c r="C9" s="4" t="s">
        <v>13</v>
      </c>
      <c r="D9" s="1"/>
      <c r="L9" s="7">
        <f ca="1">(L8-K8)*10000</f>
        <v>-136.70653392499955</v>
      </c>
      <c r="M9" s="7">
        <f ca="1">(M8-L8)*10000</f>
        <v>-717.05504376307067</v>
      </c>
      <c r="N9" s="7">
        <f ca="1">(N8-M8)*10000</f>
        <v>525.20645523875362</v>
      </c>
      <c r="O9" s="7">
        <f ca="1">(O8-N8)*10000</f>
        <v>-38.006107386765464</v>
      </c>
      <c r="Q9" s="22" t="str">
        <f ca="1"/>
        <v>OGE US EQUITY</v>
      </c>
      <c r="R9" s="24">
        <f ca="1"/>
        <v>46022</v>
      </c>
      <c r="S9" s="25" t="str">
        <f ca="1"/>
        <v>canonical</v>
      </c>
      <c r="T9" s="26" t="str">
        <f ca="1"/>
        <v>FFO_to_debt</v>
      </c>
      <c r="U9" s="30" t="str">
        <f ca="1"/>
        <v>17.7457</v>
      </c>
      <c r="V9" s="29" t="str">
        <f ca="1"/>
        <v>47.2100000000001</v>
      </c>
      <c r="W9" s="29" t="str">
        <f ca="1"/>
        <v/>
      </c>
      <c r="X9" s="29" t="str">
        <f ca="1"/>
        <v/>
      </c>
      <c r="Y9" s="29" t="str">
        <f ca="1"/>
        <v>10.07</v>
      </c>
    </row>
    <row r="10" spans="1:25" x14ac:dyDescent="0.45">
      <c r="C10" s="4" t="s">
        <v>17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3619.3537401701215</v>
      </c>
      <c r="M10" s="7">
        <f ca="1">(M8-I8)*10000</f>
        <v>2933.7029950957649</v>
      </c>
      <c r="N10" s="7">
        <f ca="1">(N8-J8)*10000</f>
        <v>-1847.2095586791193</v>
      </c>
      <c r="O10" s="7">
        <f ca="1">(O8-K8)*10000</f>
        <v>-366.56122983608208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OGE US EQUITY</v>
      </c>
      <c r="R10" s="24">
        <f ca="1"/>
        <v>45747</v>
      </c>
      <c r="S10" s="25" t="str">
        <f ca="1"/>
        <v>canonical</v>
      </c>
      <c r="T10" s="26" t="str">
        <f ca="1"/>
        <v>TTM_capex</v>
      </c>
      <c r="U10" s="30" t="str">
        <f ca="1"/>
        <v>1113.5</v>
      </c>
      <c r="V10" s="29" t="str">
        <f ca="1"/>
        <v>-0.0050040210883745</v>
      </c>
      <c r="W10" s="29" t="str">
        <f ca="1"/>
        <v>690.92057675842</v>
      </c>
      <c r="X10" s="29" t="str">
        <f ca="1"/>
        <v>-70.6347667576701</v>
      </c>
      <c r="Y10" s="29" t="str">
        <f ca="1"/>
        <v>0.0207168393069941</v>
      </c>
    </row>
    <row r="11" spans="1:25" x14ac:dyDescent="0.45">
      <c r="C11" s="4" t="s">
        <v>4</v>
      </c>
      <c r="D11" s="1"/>
      <c r="L11" s="12">
        <f t="shared" ref="L11:O11" ca="1" si="2">L7/K7-1</f>
        <v>4.0225093789078903E-2</v>
      </c>
      <c r="M11" s="12">
        <f t="shared" ca="1" si="2"/>
        <v>-2.0737327188940169E-2</v>
      </c>
      <c r="N11" s="12">
        <f t="shared" ca="1" si="2"/>
        <v>5.3196930946291632E-2</v>
      </c>
      <c r="O11" s="12">
        <f t="shared" ca="1" si="2"/>
        <v>-1.9135502671199678E-2</v>
      </c>
      <c r="Q11" s="24" t="str">
        <f ca="1"/>
        <v>OGE US EQUITY</v>
      </c>
      <c r="R11" s="24">
        <f ca="1"/>
        <v>45838</v>
      </c>
      <c r="S11" s="25" t="str">
        <f ca="1"/>
        <v>canonical</v>
      </c>
      <c r="T11" s="26" t="str">
        <f ca="1"/>
        <v>TTM_capex</v>
      </c>
      <c r="U11" s="30" t="str">
        <f ca="1"/>
        <v>1063.9</v>
      </c>
      <c r="V11" s="29" t="str">
        <f ca="1"/>
        <v>-0.0730963582505662</v>
      </c>
      <c r="W11" s="29" t="str">
        <f ca="1"/>
        <v>-680.923371621917</v>
      </c>
      <c r="X11" s="29" t="str">
        <f ca="1"/>
        <v>-452.315322998589</v>
      </c>
      <c r="Y11" s="29" t="str">
        <f ca="1"/>
        <v>-0.0445442299057026</v>
      </c>
    </row>
    <row r="12" spans="1:25" x14ac:dyDescent="0.45">
      <c r="Q12" s="24" t="str">
        <f ca="1"/>
        <v>OGE US EQUITY</v>
      </c>
      <c r="R12" s="24">
        <f ca="1"/>
        <v>45930</v>
      </c>
      <c r="S12" s="25" t="str">
        <f ca="1"/>
        <v>canonical</v>
      </c>
      <c r="T12" s="26" t="str">
        <f ca="1"/>
        <v>TTM_capex</v>
      </c>
      <c r="U12" s="30" t="str">
        <f ca="1"/>
        <v>1049.3</v>
      </c>
      <c r="V12" s="29" t="str">
        <f ca="1"/>
        <v>-0.0398938603714888</v>
      </c>
      <c r="W12" s="29" t="str">
        <f ca="1"/>
        <v>332.024978790774</v>
      </c>
      <c r="X12" s="29" t="str">
        <f ca="1"/>
        <v>785.218853734495</v>
      </c>
      <c r="Y12" s="29" t="str">
        <f ca="1"/>
        <v>-0.0137230942757779</v>
      </c>
    </row>
    <row r="13" spans="1:25" x14ac:dyDescent="0.45">
      <c r="C13" s="13" t="s">
        <v>8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OGE US EQUITY</v>
      </c>
      <c r="R13" s="24">
        <f ca="1"/>
        <v>46022</v>
      </c>
      <c r="S13" s="25" t="str">
        <f ca="1"/>
        <v>canonical</v>
      </c>
      <c r="T13" s="26" t="str">
        <f ca="1"/>
        <v>TTM_capex</v>
      </c>
      <c r="U13" s="30" t="str">
        <f ca="1"/>
        <v>1054.4</v>
      </c>
      <c r="V13" s="29" t="str">
        <f ca="1"/>
        <v>-0.0334586121551013</v>
      </c>
      <c r="W13" s="29" t="str">
        <f ca="1"/>
        <v>64.3524821638752</v>
      </c>
      <c r="X13" s="29" t="str">
        <f ca="1"/>
        <v>406.374666091153</v>
      </c>
      <c r="Y13" s="29" t="str">
        <f ca="1"/>
        <v>0.00486038311255133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OGE US EQUITY</v>
      </c>
      <c r="R14" s="24">
        <v>0</v>
      </c>
      <c r="S14" s="25">
        <v>0</v>
      </c>
      <c r="T14" s="26">
        <v>0</v>
      </c>
      <c r="U14" s="30" t="str">
        <v/>
      </c>
      <c r="V14" s="29" t="str">
        <v/>
      </c>
      <c r="W14" s="29" t="str">
        <v/>
      </c>
      <c r="X14" s="29" t="str">
        <v/>
      </c>
      <c r="Y14" s="29" t="str">
        <v/>
      </c>
    </row>
    <row r="15" spans="1:25" x14ac:dyDescent="0.45">
      <c r="A15" s="16" t="s">
        <v>5</v>
      </c>
      <c r="B15" s="16" t="s">
        <v>24</v>
      </c>
      <c r="C15" s="9" t="s">
        <v>23</v>
      </c>
      <c r="D15" s="3">
        <f ca="1"/>
        <v>26.056699999999999</v>
      </c>
      <c r="E15" s="3">
        <f ca="1"/>
        <v>28.828499999999998</v>
      </c>
      <c r="F15" s="3">
        <f ca="1"/>
        <v>16.5351</v>
      </c>
      <c r="G15" s="3">
        <f ca="1"/>
        <v>18.093699999999998</v>
      </c>
      <c r="H15" s="3">
        <f ca="1"/>
        <v>18.212700000000002</v>
      </c>
      <c r="I15" s="3">
        <f ca="1"/>
        <v>18.508299999999998</v>
      </c>
      <c r="J15" s="3">
        <f ca="1"/>
        <v>18.6173</v>
      </c>
      <c r="K15" s="3">
        <f ca="1"/>
        <v>17.273599999999998</v>
      </c>
      <c r="L15" s="3">
        <f ca="1"/>
        <v>16.951699999999999</v>
      </c>
      <c r="M15" s="3">
        <f ca="1"/>
        <v>16.562999999999999</v>
      </c>
      <c r="N15" s="3">
        <f ca="1"/>
        <v>17.645</v>
      </c>
      <c r="O15">
        <f ca="1"/>
        <v>17.745699999999999</v>
      </c>
      <c r="Q15" s="24" t="str">
        <v>OGE US EQUITY</v>
      </c>
      <c r="R15" s="24">
        <v>0</v>
      </c>
      <c r="S15" s="25">
        <v>0</v>
      </c>
      <c r="T15" s="26">
        <v>0</v>
      </c>
      <c r="U15" s="30" t="str">
        <v/>
      </c>
      <c r="V15" s="29" t="str">
        <v/>
      </c>
      <c r="W15" s="29" t="str">
        <v/>
      </c>
      <c r="X15" s="29" t="str">
        <v/>
      </c>
      <c r="Y15" s="29" t="str">
        <v/>
      </c>
    </row>
    <row r="16" spans="1:25" x14ac:dyDescent="0.45">
      <c r="C16" s="4" t="s">
        <v>3</v>
      </c>
      <c r="D16" s="5"/>
      <c r="E16" s="4"/>
      <c r="F16" s="4"/>
      <c r="G16" s="4"/>
      <c r="H16" s="7">
        <f t="shared" ref="H16:O16" ca="1" si="4">(H15-D15)*100</f>
        <v>-784.39999999999975</v>
      </c>
      <c r="I16" s="7">
        <f t="shared" ca="1" si="4"/>
        <v>-1032.02</v>
      </c>
      <c r="J16" s="7">
        <f t="shared" ca="1" si="4"/>
        <v>208.22000000000003</v>
      </c>
      <c r="K16" s="7">
        <f t="shared" ca="1" si="4"/>
        <v>-82.01</v>
      </c>
      <c r="L16" s="7">
        <f t="shared" ca="1" si="4"/>
        <v>-126.10000000000028</v>
      </c>
      <c r="M16" s="7">
        <f t="shared" ca="1" si="4"/>
        <v>-194.52999999999997</v>
      </c>
      <c r="N16" s="7">
        <f t="shared" ca="1" si="4"/>
        <v>-97.230000000000061</v>
      </c>
      <c r="O16" s="7">
        <f t="shared" ca="1" si="4"/>
        <v>47.210000000000107</v>
      </c>
      <c r="Q16" s="24" t="str">
        <v>OGE US EQUITY</v>
      </c>
      <c r="R16" s="24">
        <v>0</v>
      </c>
      <c r="S16" s="25">
        <v>0</v>
      </c>
      <c r="T16" s="26">
        <v>0</v>
      </c>
      <c r="U16" s="30" t="str">
        <v/>
      </c>
      <c r="V16" s="29" t="str">
        <v/>
      </c>
      <c r="W16" s="29" t="str">
        <v/>
      </c>
      <c r="X16" s="29" t="str">
        <v/>
      </c>
      <c r="Y16" s="29" t="str">
        <v/>
      </c>
    </row>
    <row r="17" spans="1:25" x14ac:dyDescent="0.45">
      <c r="C17" s="4" t="s">
        <v>13</v>
      </c>
      <c r="D17" s="1"/>
      <c r="K17" s="7"/>
      <c r="L17" s="7"/>
      <c r="M17" s="7"/>
      <c r="N17" s="7"/>
      <c r="O17" s="7"/>
      <c r="Q17" s="24" t="str">
        <v>OGE US EQUITY</v>
      </c>
      <c r="R17" s="24">
        <v>0</v>
      </c>
      <c r="S17" s="25">
        <v>0</v>
      </c>
      <c r="T17" s="26">
        <v>0</v>
      </c>
      <c r="U17" s="30" t="str">
        <v/>
      </c>
      <c r="V17" s="29" t="str">
        <v/>
      </c>
      <c r="W17" s="29" t="str">
        <v/>
      </c>
      <c r="X17" s="29" t="str">
        <v/>
      </c>
      <c r="Y17" s="29" t="str">
        <v/>
      </c>
    </row>
    <row r="18" spans="1:25" x14ac:dyDescent="0.45">
      <c r="C18" s="4" t="s">
        <v>17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OGE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4</v>
      </c>
      <c r="D19" s="1"/>
      <c r="K19" s="7"/>
      <c r="L19" s="7">
        <f ca="1">(L15-K15)*100</f>
        <v>-32.189999999999941</v>
      </c>
      <c r="M19" s="7">
        <f t="shared" ref="M19:O19" ca="1" si="5">(M15-L15)*100</f>
        <v>-38.870000000000005</v>
      </c>
      <c r="N19" s="7">
        <f t="shared" ca="1" si="5"/>
        <v>108.20000000000007</v>
      </c>
      <c r="O19" s="7">
        <f t="shared" ca="1" si="5"/>
        <v>10.069999999999979</v>
      </c>
      <c r="Q19" s="24" t="str">
        <v>OGE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OGE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8</v>
      </c>
      <c r="D21" s="14">
        <f>EOMONTH(DATE(YEAR(D22),ROUNDUP(MONTH(D22)/3,0)*3,1),0)</f>
        <v>45016</v>
      </c>
      <c r="E21" s="14">
        <f>EOMONTH(DATE(YEAR(E22),ROUNDUP(MONTH(E22)/3,0)*3,1),0)</f>
        <v>45107</v>
      </c>
      <c r="F21" s="14">
        <f>EOMONTH(DATE(YEAR(F22),ROUNDUP(MONTH(F22)/3,0)*3,1),0)</f>
        <v>45199</v>
      </c>
      <c r="G21" s="14">
        <f t="shared" ref="G21:K21" si="6">EOMONTH(DATE(YEAR(G22),ROUNDUP(MONTH(G22)/3,0)*3,1),0)</f>
        <v>45291</v>
      </c>
      <c r="H21" s="14">
        <f t="shared" si="6"/>
        <v>45382</v>
      </c>
      <c r="I21" s="14">
        <f t="shared" si="6"/>
        <v>45473</v>
      </c>
      <c r="J21" s="14">
        <f t="shared" si="6"/>
        <v>45565</v>
      </c>
      <c r="K21" s="14">
        <f t="shared" si="6"/>
        <v>45657</v>
      </c>
      <c r="L21" s="14">
        <f>EOMONTH(DATE(YEAR(L22),ROUNDUP(MONTH(L22)/3,0)*3,1),0)</f>
        <v>45747</v>
      </c>
      <c r="M21" s="14">
        <f>EOMONTH(DATE(YEAR(M22),ROUNDUP(MONTH(M22)/3,0)*3,1),0)</f>
        <v>45838</v>
      </c>
      <c r="N21" s="14">
        <f>EOMONTH(DATE(YEAR(N22),ROUNDUP(MONTH(N22)/3,0)*3,1),0)</f>
        <v>45930</v>
      </c>
      <c r="O21" s="14">
        <f>EOMONTH(DATE(YEAR(O22),ROUNDUP(MONTH(O22)/3,0)*3,1),0)</f>
        <v>46022</v>
      </c>
      <c r="Q21" s="24" t="str">
        <v>OGE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2">
        <v>45016</v>
      </c>
      <c r="E22" s="2">
        <v>45107</v>
      </c>
      <c r="F22" s="2">
        <v>45199</v>
      </c>
      <c r="G22" s="2">
        <v>45291</v>
      </c>
      <c r="H22" s="2">
        <v>45382</v>
      </c>
      <c r="I22" s="2">
        <v>45473</v>
      </c>
      <c r="J22" s="2">
        <v>45565</v>
      </c>
      <c r="K22" s="2">
        <v>45657</v>
      </c>
      <c r="L22" s="2">
        <v>45747</v>
      </c>
      <c r="M22" s="2">
        <v>45838</v>
      </c>
      <c r="N22" s="2">
        <v>45930</v>
      </c>
      <c r="O22" s="2"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OGE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5</v>
      </c>
      <c r="B23" s="16" t="s">
        <v>32</v>
      </c>
      <c r="C23" s="9" t="s">
        <v>31</v>
      </c>
      <c r="D23" s="3" cm="1">
        <f t="array" aca="1" ref="D23:O23" ca="1">-_xll.BDH($B$2,C23,$B$3,$B$4,"DIR=H","DATES=H")</f>
        <v>1116.8</v>
      </c>
      <c r="E23" s="3">
        <f ca="1"/>
        <v>1180.7</v>
      </c>
      <c r="F23" s="3">
        <f ca="1"/>
        <v>1239.7</v>
      </c>
      <c r="G23" s="3">
        <f ca="1"/>
        <v>1178.2</v>
      </c>
      <c r="H23" s="3">
        <f ca="1"/>
        <v>1119.0999999999999</v>
      </c>
      <c r="I23" s="3">
        <f ca="1"/>
        <v>1147.8</v>
      </c>
      <c r="J23" s="3">
        <f ca="1"/>
        <v>1092.9000000000001</v>
      </c>
      <c r="K23" s="3">
        <f ca="1"/>
        <v>1090.9000000000001</v>
      </c>
      <c r="L23" s="3">
        <f ca="1"/>
        <v>1113.5</v>
      </c>
      <c r="M23" s="3">
        <f ca="1"/>
        <v>1063.9000000000001</v>
      </c>
      <c r="N23" s="3">
        <f ca="1"/>
        <v>1049.3</v>
      </c>
      <c r="O23">
        <f ca="1"/>
        <v>1054.4000000000001</v>
      </c>
      <c r="Q23" s="24" t="str">
        <v>OGE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3</v>
      </c>
      <c r="D24" s="5"/>
      <c r="E24" s="4"/>
      <c r="F24" s="4"/>
      <c r="G24" s="4"/>
      <c r="H24" s="12">
        <f t="shared" ref="H24:O24" ca="1" si="7">+H23/D23-1</f>
        <v>2.0594555873925113E-3</v>
      </c>
      <c r="I24" s="12">
        <f t="shared" ca="1" si="7"/>
        <v>-2.7864825950707273E-2</v>
      </c>
      <c r="J24" s="12">
        <f t="shared" ca="1" si="7"/>
        <v>-0.11841574574493829</v>
      </c>
      <c r="K24" s="12">
        <f t="shared" ca="1" si="7"/>
        <v>-7.4096078764216533E-2</v>
      </c>
      <c r="L24" s="12">
        <f t="shared" ca="1" si="7"/>
        <v>-5.0040210883744995E-3</v>
      </c>
      <c r="M24" s="12">
        <f t="shared" ca="1" si="7"/>
        <v>-7.3096358250566151E-2</v>
      </c>
      <c r="N24" s="12">
        <f t="shared" ca="1" si="7"/>
        <v>-3.9893860371488787E-2</v>
      </c>
      <c r="O24" s="12">
        <f t="shared" ca="1" si="7"/>
        <v>-3.3458612155101264E-2</v>
      </c>
      <c r="Q24" s="24" t="str">
        <v>OGE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13</v>
      </c>
      <c r="D25" s="1"/>
      <c r="L25" s="7">
        <f ca="1">(L24-K24)*10000</f>
        <v>690.92057675842034</v>
      </c>
      <c r="M25" s="7">
        <f ca="1">(M24-L24)*10000</f>
        <v>-680.92337162191654</v>
      </c>
      <c r="N25" s="7">
        <f ca="1">(N24-M24)*10000</f>
        <v>332.02497879077362</v>
      </c>
      <c r="O25" s="7">
        <f ca="1">(O24-N24)*10000</f>
        <v>64.352482163875237</v>
      </c>
      <c r="Q25" s="24" t="str">
        <v>OGE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17</v>
      </c>
      <c r="D26" s="1"/>
      <c r="E26" s="7"/>
      <c r="F26" s="7"/>
      <c r="G26" s="7"/>
      <c r="H26" s="6"/>
      <c r="I26" s="6"/>
      <c r="J26" s="6"/>
      <c r="K26" s="6"/>
      <c r="L26" s="7">
        <f ca="1">(L24-H24)*10000</f>
        <v>-70.634766757670107</v>
      </c>
      <c r="M26" s="7">
        <f ca="1">(M24-I24)*10000</f>
        <v>-452.31532299858878</v>
      </c>
      <c r="N26" s="7">
        <f ca="1">(N24-J24)*10000</f>
        <v>785.21885373449504</v>
      </c>
      <c r="O26" s="7">
        <f ca="1">(O24-K24)*10000</f>
        <v>406.37466609115268</v>
      </c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OGE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4</v>
      </c>
      <c r="D27" s="1"/>
      <c r="L27" s="12">
        <f t="shared" ref="L27:O27" ca="1" si="8">L23/K23-1</f>
        <v>2.0716839306994084E-2</v>
      </c>
      <c r="M27" s="12">
        <f t="shared" ca="1" si="8"/>
        <v>-4.4544229905702615E-2</v>
      </c>
      <c r="N27" s="12">
        <f t="shared" ca="1" si="8"/>
        <v>-1.3723094275777892E-2</v>
      </c>
      <c r="O27" s="12">
        <f t="shared" ca="1" si="8"/>
        <v>4.8603831125513253E-3</v>
      </c>
      <c r="Q27" s="24" t="str">
        <v>OGE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OGE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Q29" s="24" t="str">
        <v>OGE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24"/>
      <c r="R30" s="24"/>
      <c r="S30" s="25"/>
      <c r="T30" s="26"/>
      <c r="U30" s="27"/>
      <c r="V30" s="28"/>
      <c r="W30" s="29"/>
      <c r="X30" s="28"/>
      <c r="Y30" s="29"/>
    </row>
    <row r="31" spans="1:25" x14ac:dyDescent="0.45">
      <c r="A31" s="16"/>
      <c r="B31" s="16"/>
      <c r="C31" s="2"/>
      <c r="D31" s="10"/>
      <c r="E31" s="10"/>
      <c r="F31" s="10"/>
      <c r="G31" s="32"/>
      <c r="H31" s="8"/>
      <c r="I31" s="8"/>
      <c r="J31" s="8"/>
      <c r="K31" s="32"/>
      <c r="L31" s="8"/>
      <c r="M31" s="8"/>
      <c r="N31" s="8"/>
      <c r="O31" s="32"/>
      <c r="Q31" s="24"/>
      <c r="R31" s="24"/>
      <c r="S31" s="25"/>
      <c r="T31" s="26"/>
      <c r="U31" s="27"/>
      <c r="V31" s="28"/>
      <c r="W31" s="29"/>
      <c r="X31" s="28"/>
      <c r="Y31" s="29"/>
    </row>
    <row r="32" spans="1:25" x14ac:dyDescent="0.45">
      <c r="C32" s="4"/>
      <c r="D32" s="5"/>
      <c r="E32" s="4"/>
      <c r="F32" s="4"/>
      <c r="G32" s="4"/>
      <c r="H32" s="7"/>
      <c r="I32" s="7"/>
      <c r="J32" s="7"/>
      <c r="K32" s="12"/>
      <c r="L32" s="12"/>
      <c r="M32" s="12"/>
      <c r="N32" s="12"/>
      <c r="O32" s="12"/>
      <c r="Q32" s="24"/>
      <c r="R32" s="24"/>
      <c r="S32" s="25"/>
      <c r="T32" s="26"/>
      <c r="U32" s="27"/>
      <c r="V32" s="28"/>
      <c r="W32" s="29"/>
      <c r="X32" s="28"/>
      <c r="Y32" s="29"/>
    </row>
    <row r="33" spans="1:25" x14ac:dyDescent="0.45">
      <c r="C33" s="4"/>
      <c r="D33" s="1"/>
      <c r="L33" s="7"/>
      <c r="M33" s="7"/>
      <c r="N33" s="7"/>
      <c r="O33" s="7"/>
      <c r="Q33" s="24"/>
      <c r="R33" s="24"/>
      <c r="S33" s="25"/>
      <c r="T33" s="26"/>
      <c r="U33" s="27"/>
      <c r="V33" s="28"/>
      <c r="W33" s="29"/>
      <c r="X33" s="28"/>
      <c r="Y33" s="29"/>
    </row>
    <row r="34" spans="1:25" x14ac:dyDescent="0.45">
      <c r="C34" s="4"/>
      <c r="D34" s="1"/>
      <c r="E34" s="7"/>
      <c r="F34" s="7"/>
      <c r="G34" s="7"/>
      <c r="H34" s="7"/>
      <c r="I34" s="7"/>
      <c r="J34" s="7"/>
      <c r="K34" s="6"/>
      <c r="L34" s="7"/>
      <c r="M34" s="7"/>
      <c r="N34" s="7"/>
      <c r="O34" s="7"/>
    </row>
    <row r="35" spans="1:25" x14ac:dyDescent="0.45">
      <c r="C35" s="4"/>
      <c r="D35" s="1"/>
      <c r="G35" s="7"/>
      <c r="H35" s="7"/>
      <c r="I35" s="7"/>
      <c r="J35" s="7"/>
      <c r="L35" s="12"/>
      <c r="M35" s="12"/>
      <c r="N35" s="12"/>
      <c r="O35" s="12"/>
    </row>
    <row r="36" spans="1:25" x14ac:dyDescent="0.45">
      <c r="C36" s="4"/>
      <c r="D36" s="1"/>
      <c r="K36" s="7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L44" s="7"/>
      <c r="M44" s="7"/>
      <c r="N44" s="7"/>
      <c r="O44" s="7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4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4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0" spans="1:15" x14ac:dyDescent="0.45">
      <c r="C60" s="4"/>
      <c r="D60" s="1"/>
      <c r="G60" s="1"/>
    </row>
    <row r="61" spans="1:15" x14ac:dyDescent="0.4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4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4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AEE</vt:lpstr>
      <vt:lpstr>AEP</vt:lpstr>
      <vt:lpstr>ETR</vt:lpstr>
      <vt:lpstr>NI</vt:lpstr>
      <vt:lpstr>OGE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2026-03-15T23:40:14Z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