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DRIVE\"/>
    </mc:Choice>
  </mc:AlternateContent>
  <xr:revisionPtr revIDLastSave="0" documentId="13_ncr:1_{489C78D2-28CA-4AC9-9C20-91DBF97C7D78}" xr6:coauthVersionLast="47" xr6:coauthVersionMax="47" xr10:uidLastSave="{00000000-0000-0000-0000-000000000000}"/>
  <bookViews>
    <workbookView xWindow="28680" yWindow="-120" windowWidth="29040" windowHeight="15720" activeTab="2" xr2:uid="{30DE43AD-F492-43CF-BD64-FB4AD4D1959C}"/>
  </bookViews>
  <sheets>
    <sheet name="AZO" sheetId="1" r:id="rId1"/>
    <sheet name="CASY" sheetId="8" r:id="rId2"/>
    <sheet name="MUSA" sheetId="9" r:id="rId3"/>
    <sheet name="ORLY" sheetId="10" r:id="rId4"/>
    <sheet name="VVV" sheetId="11" r:id="rId5"/>
  </sheets>
  <definedNames>
    <definedName name="KPI_BLOCK" localSheetId="1">_xlfn.LET(   _xlpm.d, CASY!$L$5:$O$5,   _xlpm.v, CASY!$L$7:$O$7,   _xlpm.yy,CASY!$L$8:$O$8,   _xlpm.qq,CASY!$L$9:$O$9,   _xlpm.dyy,CASY!$L$10:$O$10,   _xlpm.dqq,CASY!$L$11:$O$11,   _xlpm.dd, TRANSPOSE(_xlpm.d),    _xlpm.block, _xlfn.HSTACK(     _xlfn.MAKEARRAY(ROWS(_xlpm.dd),1, _xlfn.LAMBDA(_xlpm.r,_xlpm.c,CASY!$B$2)),     _xlpm.dd,     _xlfn.MAKEARRAY(ROWS(_xlpm.dd),1, _xlfn.LAMBDA(_xlpm.r,_xlpm.c,CASY!$A$7)),     _xlfn.MAKEARRAY(ROWS(_xlpm.dd),1, _xlfn.LAMBDA(_xlpm.r,_xlpm.c,CASY!$B$7)),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MUSA!$L$5:$O$5,   _xlpm.v, MUSA!$L$7:$O$7,   _xlpm.yy,MUSA!$L$8:$O$8,   _xlpm.qq,MUSA!$L$9:$O$9,   _xlpm.dyy,MUSA!$L$10:$O$10,   _xlpm.dqq,MUSA!$L$11:$O$11,   _xlpm.dd, TRANSPOSE(_xlpm.d),    _xlpm.block, _xlfn.HSTACK(     _xlfn.MAKEARRAY(ROWS(_xlpm.dd),1, _xlfn.LAMBDA(_xlpm.r,_xlpm.c,MUSA!$B$2)),     _xlpm.dd,     _xlfn.MAKEARRAY(ROWS(_xlpm.dd),1, _xlfn.LAMBDA(_xlpm.r,_xlpm.c,MUSA!$A$7)),     _xlfn.MAKEARRAY(ROWS(_xlpm.dd),1, _xlfn.LAMBDA(_xlpm.r,_xlpm.c,MUSA!$B$7)),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ORLY!$L$5:$O$5,   _xlpm.v, ORLY!$L$7:$O$7,   _xlpm.yy,ORLY!$L$8:$O$8,   _xlpm.qq,ORLY!$L$9:$O$9,   _xlpm.dyy,ORLY!$L$10:$O$10,   _xlpm.dqq,ORLY!$L$11:$O$11,   _xlpm.dd, TRANSPOSE(_xlpm.d),    _xlpm.block, _xlfn.HSTACK(     _xlfn.MAKEARRAY(ROWS(_xlpm.dd),1, _xlfn.LAMBDA(_xlpm.r,_xlpm.c,ORLY!$B$2)),     _xlpm.dd,     _xlfn.MAKEARRAY(ROWS(_xlpm.dd),1, _xlfn.LAMBDA(_xlpm.r,_xlpm.c,ORLY!$A$7)),     _xlfn.MAKEARRAY(ROWS(_xlpm.dd),1, _xlfn.LAMBDA(_xlpm.r,_xlpm.c,ORLY!$B$7)),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VVV!$L$5:$O$5,   _xlpm.v, VVV!$L$7:$O$7,   _xlpm.yy,VVV!$L$8:$O$8,   _xlpm.qq,VVV!$L$9:$O$9,   _xlpm.dyy,VVV!$L$10:$O$10,   _xlpm.dqq,VVV!$L$11:$O$11,   _xlpm.dd, TRANSPOSE(_xlpm.d),    _xlpm.block, _xlfn.HSTACK(     _xlfn.MAKEARRAY(ROWS(_xlpm.dd),1, _xlfn.LAMBDA(_xlpm.r,_xlpm.c,VVV!$B$2)),     _xlpm.dd,     _xlfn.MAKEARRAY(ROWS(_xlpm.dd),1, _xlfn.LAMBDA(_xlpm.r,_xlpm.c,VVV!$A$7)),     _xlfn.MAKEARRAY(ROWS(_xlpm.dd),1, _xlfn.LAMBDA(_xlpm.r,_xlpm.c,VVV!$B$7)),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AZO!$L$5:$O$5,   _xlpm.v, AZO!$L$7:$O$7,   _xlpm.yy,AZO!$L$8:$O$8,   _xlpm.qq,AZO!$L$9:$O$9,   _xlpm.dyy,AZO!$L$10:$O$10,   _xlpm.dqq,AZO!$L$11:$O$11,   _xlpm.dd, TRANSPOSE(_xlpm.d),    _xlpm.block, _xlfn.HSTACK(     _xlfn.MAKEARRAY(ROWS(_xlpm.dd),1, _xlfn.LAMBDA(_xlpm.r,_xlpm.c,AZO!$B$2)),     _xlpm.dd,     _xlfn.MAKEARRAY(ROWS(_xlpm.dd),1, _xlfn.LAMBDA(_xlpm.r,_xlpm.c,AZO!$A$7)),     _xlfn.MAKEARRAY(ROWS(_xlpm.dd),1, _xlfn.LAMBDA(_xlpm.r,_xlpm.c,AZO!$B$7)),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1" l="1"/>
  <c r="N35" i="11"/>
  <c r="M35" i="11"/>
  <c r="L35" i="11"/>
  <c r="K35" i="11"/>
  <c r="J35" i="11"/>
  <c r="I35" i="11"/>
  <c r="H35" i="11"/>
  <c r="G35" i="11"/>
  <c r="O32" i="11"/>
  <c r="N32" i="11"/>
  <c r="M32" i="11"/>
  <c r="L32" i="11"/>
  <c r="K32" i="11"/>
  <c r="Q30" i="11" a="1"/>
  <c r="Q30" i="11" s="1"/>
  <c r="O29" i="11"/>
  <c r="N29" i="11"/>
  <c r="M29" i="11"/>
  <c r="L29" i="11"/>
  <c r="Q14" i="11" s="1" a="1"/>
  <c r="Q14" i="11" s="1"/>
  <c r="K29" i="11"/>
  <c r="J29" i="11"/>
  <c r="I29" i="11"/>
  <c r="H29" i="11"/>
  <c r="G29" i="11"/>
  <c r="F29" i="11"/>
  <c r="E29" i="11"/>
  <c r="D29" i="11"/>
  <c r="Q26" i="11" a="1"/>
  <c r="Q26" i="11" s="1"/>
  <c r="Q22" i="11" a="1"/>
  <c r="Q22" i="11" s="1"/>
  <c r="Q18" i="11" a="1"/>
  <c r="Q18" i="11" s="1"/>
  <c r="B4" i="11"/>
  <c r="B3" i="11" s="1"/>
  <c r="O35" i="10"/>
  <c r="N35" i="10"/>
  <c r="M35" i="10"/>
  <c r="L35" i="10"/>
  <c r="K35" i="10"/>
  <c r="J35" i="10"/>
  <c r="I35" i="10"/>
  <c r="H35" i="10"/>
  <c r="G35" i="10"/>
  <c r="O32" i="10"/>
  <c r="N32" i="10"/>
  <c r="M32" i="10"/>
  <c r="L32" i="10"/>
  <c r="K32" i="10"/>
  <c r="Q30" i="10" a="1"/>
  <c r="Q30" i="10" s="1"/>
  <c r="O29" i="10"/>
  <c r="N29" i="10"/>
  <c r="M29" i="10"/>
  <c r="L29" i="10"/>
  <c r="Q14" i="10" s="1" a="1"/>
  <c r="Q14" i="10" s="1"/>
  <c r="K29" i="10"/>
  <c r="J29" i="10"/>
  <c r="I29" i="10"/>
  <c r="H29" i="10"/>
  <c r="G29" i="10"/>
  <c r="F29" i="10"/>
  <c r="E29" i="10"/>
  <c r="D29" i="10"/>
  <c r="Q26" i="10" a="1"/>
  <c r="Q26" i="10" s="1"/>
  <c r="Q22" i="10" a="1"/>
  <c r="Q22" i="10" s="1"/>
  <c r="Q18" i="10" a="1"/>
  <c r="Q18" i="10" s="1"/>
  <c r="B4" i="10"/>
  <c r="B3" i="10" s="1"/>
  <c r="H40" i="9"/>
  <c r="I40" i="9"/>
  <c r="J40" i="9"/>
  <c r="K40" i="9"/>
  <c r="O42" i="9" s="1"/>
  <c r="O43" i="9"/>
  <c r="N43" i="9"/>
  <c r="M43" i="9"/>
  <c r="L43" i="9"/>
  <c r="O40" i="9"/>
  <c r="N40" i="9"/>
  <c r="N42" i="9" s="1"/>
  <c r="M40" i="9"/>
  <c r="M41" i="9" s="1"/>
  <c r="L40" i="9"/>
  <c r="L42" i="9" s="1"/>
  <c r="Q22" i="9" a="1"/>
  <c r="Q22" i="9" s="1"/>
  <c r="O37" i="9"/>
  <c r="N37" i="9"/>
  <c r="M37" i="9"/>
  <c r="L37" i="9"/>
  <c r="K37" i="9"/>
  <c r="J37" i="9"/>
  <c r="I37" i="9"/>
  <c r="H37" i="9"/>
  <c r="G37" i="9"/>
  <c r="F37" i="9"/>
  <c r="E37" i="9"/>
  <c r="D37" i="9"/>
  <c r="O35" i="9"/>
  <c r="N35" i="9"/>
  <c r="M35" i="9"/>
  <c r="L35" i="9"/>
  <c r="Q14" i="9" s="1" a="1"/>
  <c r="Q14" i="9" s="1"/>
  <c r="K35" i="9"/>
  <c r="J35" i="9"/>
  <c r="I35" i="9"/>
  <c r="H35" i="9"/>
  <c r="G35" i="9"/>
  <c r="O32" i="9"/>
  <c r="N32" i="9"/>
  <c r="M32" i="9"/>
  <c r="L32" i="9"/>
  <c r="K32" i="9"/>
  <c r="J32" i="9"/>
  <c r="Q30" i="9" a="1"/>
  <c r="Q30" i="9" s="1"/>
  <c r="O29" i="9"/>
  <c r="N29" i="9"/>
  <c r="M29" i="9"/>
  <c r="L29" i="9"/>
  <c r="K29" i="9"/>
  <c r="J29" i="9"/>
  <c r="I29" i="9"/>
  <c r="H29" i="9"/>
  <c r="G29" i="9"/>
  <c r="F29" i="9"/>
  <c r="E29" i="9"/>
  <c r="Q26" i="9" a="1"/>
  <c r="Q26" i="9" s="1"/>
  <c r="B4" i="9"/>
  <c r="B3" i="9" s="1"/>
  <c r="O32" i="1"/>
  <c r="O35" i="1"/>
  <c r="O29" i="1"/>
  <c r="O32" i="8"/>
  <c r="O35" i="8"/>
  <c r="O37" i="8"/>
  <c r="O40" i="8"/>
  <c r="O43" i="8"/>
  <c r="O48" i="8"/>
  <c r="O51" i="8"/>
  <c r="O45" i="8"/>
  <c r="Q22" i="8" s="1" a="1"/>
  <c r="Q22" i="8" s="1"/>
  <c r="O29" i="8"/>
  <c r="N51" i="8"/>
  <c r="M51" i="8"/>
  <c r="L51" i="8"/>
  <c r="K51" i="8"/>
  <c r="J51" i="8"/>
  <c r="I51" i="8"/>
  <c r="H51" i="8"/>
  <c r="G51" i="8"/>
  <c r="N48" i="8"/>
  <c r="M48" i="8"/>
  <c r="L48" i="8"/>
  <c r="K48" i="8"/>
  <c r="J48" i="8"/>
  <c r="N45" i="8"/>
  <c r="M45" i="8"/>
  <c r="L45" i="8"/>
  <c r="K45" i="8"/>
  <c r="J45" i="8"/>
  <c r="I45" i="8"/>
  <c r="H45" i="8"/>
  <c r="G45" i="8"/>
  <c r="F45" i="8"/>
  <c r="E45" i="8"/>
  <c r="N43" i="8"/>
  <c r="M43" i="8"/>
  <c r="L43" i="8"/>
  <c r="K43" i="8"/>
  <c r="J43" i="8"/>
  <c r="I43" i="8"/>
  <c r="H43" i="8"/>
  <c r="G43" i="8"/>
  <c r="N40" i="8"/>
  <c r="M40" i="8"/>
  <c r="L40" i="8"/>
  <c r="K40" i="8"/>
  <c r="J40" i="8"/>
  <c r="N37" i="8"/>
  <c r="M37" i="8"/>
  <c r="L37" i="8"/>
  <c r="K37" i="8"/>
  <c r="J37" i="8"/>
  <c r="I37" i="8"/>
  <c r="H37" i="8"/>
  <c r="G37" i="8"/>
  <c r="F37" i="8"/>
  <c r="E37" i="8"/>
  <c r="D37" i="8"/>
  <c r="N35" i="8"/>
  <c r="M35" i="8"/>
  <c r="L35" i="8"/>
  <c r="K35" i="8"/>
  <c r="J35" i="8"/>
  <c r="I35" i="8"/>
  <c r="H35" i="8"/>
  <c r="G35" i="8"/>
  <c r="N32" i="8"/>
  <c r="M32" i="8"/>
  <c r="L32" i="8"/>
  <c r="K32" i="8"/>
  <c r="J32" i="8"/>
  <c r="Q30" i="8" a="1"/>
  <c r="Q30" i="8" s="1"/>
  <c r="N29" i="8"/>
  <c r="M29" i="8"/>
  <c r="L29" i="8"/>
  <c r="K29" i="8"/>
  <c r="J29" i="8"/>
  <c r="I29" i="8"/>
  <c r="H29" i="8"/>
  <c r="G29" i="8"/>
  <c r="F29" i="8"/>
  <c r="E29" i="8"/>
  <c r="Q26" i="8" a="1"/>
  <c r="Q26" i="8" s="1"/>
  <c r="Q18" i="8" a="1"/>
  <c r="Q18" i="8" s="1"/>
  <c r="B4" i="8"/>
  <c r="B3" i="8" s="1"/>
  <c r="K35" i="1"/>
  <c r="J35" i="1"/>
  <c r="I35" i="1"/>
  <c r="H35" i="1"/>
  <c r="G35" i="1"/>
  <c r="K32" i="1"/>
  <c r="N35" i="1"/>
  <c r="M35" i="1"/>
  <c r="L35" i="1"/>
  <c r="N32" i="1"/>
  <c r="M32" i="1"/>
  <c r="L32" i="1"/>
  <c r="D22" i="10" a="1"/>
  <c r="D14" i="10" a="1"/>
  <c r="D6" i="10" a="1"/>
  <c r="D14" i="9" a="1"/>
  <c r="D22" i="9" a="1"/>
  <c r="D6" i="9" a="1"/>
  <c r="D14" i="11" a="1"/>
  <c r="D22" i="11" a="1"/>
  <c r="D6" i="11" a="1"/>
  <c r="D22" i="8" a="1"/>
  <c r="D6" i="8" a="1"/>
  <c r="D14" i="8" a="1"/>
  <c r="O19" i="11" l="1"/>
  <c r="N19" i="11"/>
  <c r="M19" i="11"/>
  <c r="L19" i="11"/>
  <c r="O27" i="11"/>
  <c r="N27" i="11"/>
  <c r="M27" i="11"/>
  <c r="L27" i="11"/>
  <c r="O27" i="10"/>
  <c r="N27" i="10"/>
  <c r="M27" i="10"/>
  <c r="L27" i="10"/>
  <c r="O19" i="10"/>
  <c r="N19" i="10"/>
  <c r="M19" i="10"/>
  <c r="L19" i="10"/>
  <c r="O27" i="8"/>
  <c r="N27" i="8"/>
  <c r="M27" i="8"/>
  <c r="L27" i="8"/>
  <c r="O19" i="8"/>
  <c r="N19" i="8"/>
  <c r="M19" i="8"/>
  <c r="L19" i="8"/>
  <c r="O27" i="9"/>
  <c r="N27" i="9"/>
  <c r="M27" i="9"/>
  <c r="L27" i="9"/>
  <c r="M19" i="9"/>
  <c r="N19" i="9"/>
  <c r="O19" i="9"/>
  <c r="L19" i="9"/>
  <c r="D6" i="11"/>
  <c r="D5" i="11" s="1"/>
  <c r="D22" i="11"/>
  <c r="D21" i="11" s="1"/>
  <c r="D14" i="11"/>
  <c r="D13" i="11" s="1"/>
  <c r="D6" i="9"/>
  <c r="D5" i="9" s="1"/>
  <c r="D22" i="9"/>
  <c r="D21" i="9" s="1"/>
  <c r="D14" i="9"/>
  <c r="D13" i="9" s="1"/>
  <c r="D6" i="10"/>
  <c r="D5" i="10" s="1"/>
  <c r="D14" i="10"/>
  <c r="D13" i="10" s="1"/>
  <c r="D22" i="10"/>
  <c r="D21" i="10" s="1"/>
  <c r="D14" i="8"/>
  <c r="D13" i="8" s="1"/>
  <c r="D6" i="8"/>
  <c r="D5" i="8" s="1"/>
  <c r="D22" i="8"/>
  <c r="D21" i="8" s="1"/>
  <c r="G13" i="11"/>
  <c r="F13" i="11"/>
  <c r="E13" i="11"/>
  <c r="N13" i="11"/>
  <c r="N16" i="11"/>
  <c r="L16" i="11"/>
  <c r="K16" i="11"/>
  <c r="I16" i="11"/>
  <c r="L13" i="11"/>
  <c r="J13" i="11"/>
  <c r="J16" i="11"/>
  <c r="O13" i="11"/>
  <c r="K13" i="11"/>
  <c r="I13" i="11"/>
  <c r="O16" i="11"/>
  <c r="M16" i="11"/>
  <c r="H16" i="11"/>
  <c r="M13" i="11"/>
  <c r="H13" i="11"/>
  <c r="E21" i="11"/>
  <c r="O24" i="11"/>
  <c r="N24" i="11"/>
  <c r="L24" i="11"/>
  <c r="H24" i="11"/>
  <c r="G21" i="11"/>
  <c r="F21" i="11"/>
  <c r="K24" i="11"/>
  <c r="I21" i="11"/>
  <c r="J21" i="11"/>
  <c r="H21" i="11"/>
  <c r="M24" i="11"/>
  <c r="J24" i="11"/>
  <c r="I24" i="11"/>
  <c r="O21" i="11"/>
  <c r="M21" i="11"/>
  <c r="K21" i="11"/>
  <c r="L21" i="11"/>
  <c r="N21" i="11"/>
  <c r="L5" i="11"/>
  <c r="O5" i="11"/>
  <c r="M5" i="11"/>
  <c r="K5" i="11"/>
  <c r="L11" i="11"/>
  <c r="H5" i="11"/>
  <c r="H8" i="11"/>
  <c r="N5" i="11"/>
  <c r="N11" i="11"/>
  <c r="E5" i="11"/>
  <c r="O11" i="11"/>
  <c r="M11" i="11"/>
  <c r="J5" i="11"/>
  <c r="O8" i="11"/>
  <c r="N8" i="11"/>
  <c r="M8" i="11"/>
  <c r="I5" i="11"/>
  <c r="G5" i="11"/>
  <c r="F5" i="11"/>
  <c r="L8" i="11"/>
  <c r="K8" i="11"/>
  <c r="J8" i="11"/>
  <c r="I8" i="11"/>
  <c r="E13" i="10"/>
  <c r="J16" i="10"/>
  <c r="I16" i="10"/>
  <c r="G13" i="10"/>
  <c r="F13" i="10"/>
  <c r="M16" i="10"/>
  <c r="K16" i="10"/>
  <c r="O16" i="10"/>
  <c r="N16" i="10"/>
  <c r="L16" i="10"/>
  <c r="O13" i="10"/>
  <c r="N13" i="10"/>
  <c r="M13" i="10"/>
  <c r="L13" i="10"/>
  <c r="J13" i="10"/>
  <c r="I13" i="10"/>
  <c r="H16" i="10"/>
  <c r="K13" i="10"/>
  <c r="H13" i="10"/>
  <c r="M24" i="10"/>
  <c r="L24" i="10"/>
  <c r="I24" i="10"/>
  <c r="K24" i="10"/>
  <c r="H24" i="10"/>
  <c r="O21" i="10"/>
  <c r="N21" i="10"/>
  <c r="M21" i="10"/>
  <c r="L21" i="10"/>
  <c r="K21" i="10"/>
  <c r="I21" i="10"/>
  <c r="G21" i="10"/>
  <c r="E21" i="10"/>
  <c r="O24" i="10"/>
  <c r="N24" i="10"/>
  <c r="J24" i="10"/>
  <c r="H21" i="10"/>
  <c r="J21" i="10"/>
  <c r="F21" i="10"/>
  <c r="O5" i="10"/>
  <c r="N11" i="10"/>
  <c r="L5" i="10"/>
  <c r="J5" i="10"/>
  <c r="N5" i="10"/>
  <c r="H5" i="10"/>
  <c r="G5" i="10"/>
  <c r="F5" i="10"/>
  <c r="E5" i="10"/>
  <c r="O11" i="10"/>
  <c r="M5" i="10"/>
  <c r="I5" i="10"/>
  <c r="N8" i="10"/>
  <c r="M8" i="10"/>
  <c r="L8" i="10"/>
  <c r="K8" i="10"/>
  <c r="I8" i="10"/>
  <c r="H8" i="10"/>
  <c r="M11" i="10"/>
  <c r="K5" i="10"/>
  <c r="L11" i="10"/>
  <c r="O8" i="10"/>
  <c r="J8" i="10"/>
  <c r="N41" i="9"/>
  <c r="M42" i="9"/>
  <c r="Q18" i="9" a="1"/>
  <c r="Q18" i="9" s="1"/>
  <c r="L41" i="9"/>
  <c r="O41" i="9"/>
  <c r="N5" i="9"/>
  <c r="M5" i="9"/>
  <c r="N11" i="9"/>
  <c r="L5" i="9"/>
  <c r="M11" i="9"/>
  <c r="K5" i="9"/>
  <c r="O11" i="9"/>
  <c r="O5" i="9"/>
  <c r="L11" i="9"/>
  <c r="J5" i="9"/>
  <c r="I5" i="9"/>
  <c r="H5" i="9"/>
  <c r="G5" i="9"/>
  <c r="M8" i="9"/>
  <c r="L8" i="9"/>
  <c r="K8" i="9"/>
  <c r="I8" i="9"/>
  <c r="H8" i="9"/>
  <c r="F5" i="9"/>
  <c r="E5" i="9"/>
  <c r="O8" i="9"/>
  <c r="N8" i="9"/>
  <c r="J8" i="9"/>
  <c r="N13" i="9"/>
  <c r="O16" i="9"/>
  <c r="N16" i="9"/>
  <c r="M16" i="9"/>
  <c r="I16" i="9"/>
  <c r="M13" i="9"/>
  <c r="K13" i="9"/>
  <c r="J13" i="9"/>
  <c r="E13" i="9"/>
  <c r="L16" i="9"/>
  <c r="K16" i="9"/>
  <c r="J16" i="9"/>
  <c r="H16" i="9"/>
  <c r="L13" i="9"/>
  <c r="I13" i="9"/>
  <c r="O13" i="9"/>
  <c r="H13" i="9"/>
  <c r="G13" i="9"/>
  <c r="F13" i="9"/>
  <c r="O24" i="9"/>
  <c r="N24" i="9"/>
  <c r="M24" i="9"/>
  <c r="L24" i="9"/>
  <c r="K24" i="9"/>
  <c r="N21" i="9"/>
  <c r="M21" i="9"/>
  <c r="K21" i="9"/>
  <c r="I21" i="9"/>
  <c r="H21" i="9"/>
  <c r="G21" i="9"/>
  <c r="E21" i="9"/>
  <c r="J24" i="9"/>
  <c r="I24" i="9"/>
  <c r="H24" i="9"/>
  <c r="O21" i="9"/>
  <c r="J21" i="9"/>
  <c r="L21" i="9"/>
  <c r="F21" i="9"/>
  <c r="O8" i="8"/>
  <c r="O11" i="8"/>
  <c r="O16" i="8"/>
  <c r="O24" i="8"/>
  <c r="Q14" i="8" a="1"/>
  <c r="Q14" i="8" s="1"/>
  <c r="O21" i="8"/>
  <c r="O13" i="8"/>
  <c r="O5" i="8"/>
  <c r="E21" i="8"/>
  <c r="N24" i="8"/>
  <c r="M24" i="8"/>
  <c r="N21" i="8"/>
  <c r="L21" i="8"/>
  <c r="K21" i="8"/>
  <c r="J21" i="8"/>
  <c r="I21" i="8"/>
  <c r="H21" i="8"/>
  <c r="G21" i="8"/>
  <c r="F21" i="8"/>
  <c r="L24" i="8"/>
  <c r="J24" i="8"/>
  <c r="K24" i="8"/>
  <c r="I24" i="8"/>
  <c r="H24" i="8"/>
  <c r="M21" i="8"/>
  <c r="N16" i="8"/>
  <c r="M16" i="8"/>
  <c r="L16" i="8"/>
  <c r="M13" i="8"/>
  <c r="K13" i="8"/>
  <c r="J13" i="8"/>
  <c r="I13" i="8"/>
  <c r="H13" i="8"/>
  <c r="G13" i="8"/>
  <c r="F13" i="8"/>
  <c r="E13" i="8"/>
  <c r="I16" i="8"/>
  <c r="N13" i="8"/>
  <c r="K16" i="8"/>
  <c r="J16" i="8"/>
  <c r="H16" i="8"/>
  <c r="L13" i="8"/>
  <c r="I5" i="8"/>
  <c r="H5" i="8"/>
  <c r="M11" i="8"/>
  <c r="G5" i="8"/>
  <c r="L11" i="8"/>
  <c r="F5" i="8"/>
  <c r="M8" i="8"/>
  <c r="N5" i="8"/>
  <c r="M5" i="8"/>
  <c r="L5" i="8"/>
  <c r="K5" i="8"/>
  <c r="J5" i="8"/>
  <c r="N11" i="8"/>
  <c r="E5" i="8"/>
  <c r="L8" i="8"/>
  <c r="J8" i="8"/>
  <c r="H8" i="8"/>
  <c r="N8" i="8"/>
  <c r="K8" i="8"/>
  <c r="I8" i="8"/>
  <c r="F29" i="1"/>
  <c r="E29" i="1"/>
  <c r="D29" i="1"/>
  <c r="J29" i="1"/>
  <c r="I29" i="1"/>
  <c r="H29" i="1"/>
  <c r="G29" i="1"/>
  <c r="L29" i="1"/>
  <c r="K29" i="1"/>
  <c r="N29" i="1"/>
  <c r="M29" i="1"/>
  <c r="Q10" i="11" l="1" a="1"/>
  <c r="Q10" i="11" s="1"/>
  <c r="L10" i="11"/>
  <c r="L9" i="11"/>
  <c r="M10" i="11"/>
  <c r="M9" i="11"/>
  <c r="O9" i="11"/>
  <c r="O10" i="11"/>
  <c r="Q6" i="11" a="1"/>
  <c r="Q6" i="11" s="1"/>
  <c r="N10" i="11"/>
  <c r="N9" i="11"/>
  <c r="Q6" i="10" a="1"/>
  <c r="Q6" i="10" s="1"/>
  <c r="Q10" i="10" a="1"/>
  <c r="Q10" i="10" s="1"/>
  <c r="O9" i="10"/>
  <c r="O10" i="10"/>
  <c r="M10" i="10"/>
  <c r="M9" i="10"/>
  <c r="L9" i="10"/>
  <c r="L10" i="10"/>
  <c r="N10" i="10"/>
  <c r="N9" i="10"/>
  <c r="Q6" i="9" a="1"/>
  <c r="Q6" i="9" s="1"/>
  <c r="M9" i="9"/>
  <c r="M10" i="9"/>
  <c r="O9" i="9"/>
  <c r="O10" i="9"/>
  <c r="Q10" i="9" a="1"/>
  <c r="Q10" i="9" s="1"/>
  <c r="N10" i="9"/>
  <c r="N9" i="9"/>
  <c r="L9" i="9"/>
  <c r="L10" i="9"/>
  <c r="O9" i="8"/>
  <c r="O10" i="8"/>
  <c r="M10" i="8"/>
  <c r="M9" i="8"/>
  <c r="Q10" i="8" a="1"/>
  <c r="Q10" i="8" s="1"/>
  <c r="N9" i="8"/>
  <c r="N10" i="8"/>
  <c r="Q6" i="8" a="1"/>
  <c r="Q6" i="8" s="1"/>
  <c r="L10" i="8"/>
  <c r="L9" i="8"/>
  <c r="Q26" i="1" a="1"/>
  <c r="Q26" i="1" s="1"/>
  <c r="Q30" i="1" a="1"/>
  <c r="Q30" i="1" s="1"/>
  <c r="Q22" i="1" a="1"/>
  <c r="Q22" i="1" s="1"/>
  <c r="Q18" i="1" a="1"/>
  <c r="Q18" i="1" s="1"/>
  <c r="Q2" i="11" l="1" a="1"/>
  <c r="Q2" i="11" s="1"/>
  <c r="Q2" i="10" a="1"/>
  <c r="Q2" i="10" s="1"/>
  <c r="Q2" i="8" a="1"/>
  <c r="Q2" i="8" s="1"/>
  <c r="Q2" i="9" a="1"/>
  <c r="Q2" i="9" s="1"/>
  <c r="Q14" i="1" a="1"/>
  <c r="Q14" i="1" s="1"/>
  <c r="B4" i="1" l="1"/>
  <c r="B3" i="1" s="1"/>
  <c r="D6" i="1" a="1"/>
  <c r="D14" i="1" a="1"/>
  <c r="D22" i="1" a="1"/>
  <c r="N27" i="1" l="1"/>
  <c r="M27" i="1"/>
  <c r="L27" i="1"/>
  <c r="O27" i="1"/>
  <c r="O19" i="1"/>
  <c r="L19" i="1"/>
  <c r="N19" i="1"/>
  <c r="M19" i="1"/>
  <c r="D22" i="1"/>
  <c r="D14" i="1"/>
  <c r="D6" i="1"/>
  <c r="O24" i="1"/>
  <c r="O21" i="1"/>
  <c r="O16" i="1"/>
  <c r="O13" i="1"/>
  <c r="O8" i="1"/>
  <c r="O11" i="1"/>
  <c r="O5" i="1"/>
  <c r="D13" i="1"/>
  <c r="D21" i="1"/>
  <c r="G21" i="1"/>
  <c r="H21" i="1"/>
  <c r="I21" i="1"/>
  <c r="J21" i="1"/>
  <c r="K21" i="1"/>
  <c r="K24" i="1"/>
  <c r="J24" i="1"/>
  <c r="I24" i="1"/>
  <c r="H24" i="1"/>
  <c r="M24" i="1"/>
  <c r="N24" i="1"/>
  <c r="L24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N8" i="1"/>
  <c r="M8" i="1"/>
  <c r="L8" i="1"/>
  <c r="K8" i="1"/>
  <c r="J8" i="1"/>
  <c r="I8" i="1"/>
  <c r="H8" i="1"/>
  <c r="G5" i="1"/>
  <c r="H5" i="1"/>
  <c r="I5" i="1"/>
  <c r="J5" i="1"/>
  <c r="K5" i="1"/>
  <c r="M21" i="1"/>
  <c r="F21" i="1"/>
  <c r="E21" i="1"/>
  <c r="N21" i="1"/>
  <c r="L21" i="1"/>
  <c r="N13" i="1"/>
  <c r="M13" i="1"/>
  <c r="L13" i="1"/>
  <c r="F13" i="1"/>
  <c r="E13" i="1"/>
  <c r="L5" i="1"/>
  <c r="M5" i="1"/>
  <c r="N5" i="1"/>
  <c r="F5" i="1"/>
  <c r="E5" i="1"/>
  <c r="O10" i="1" l="1"/>
  <c r="O9" i="1"/>
  <c r="N10" i="1"/>
  <c r="M10" i="1"/>
  <c r="L10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<sst xmlns="http://schemas.openxmlformats.org/spreadsheetml/2006/main" count="324" uniqueCount="43">
  <si>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</si>
  <si>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</si>
  <si>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</si>
  <si>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</si>
  <si>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</si>
  <si>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</si>
  <si>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</si>
  <si>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</si>
  <si>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</si>
  <si>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</si>
  <si>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</si>
  <si>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</si>
  <si>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</si>
  <si>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</si>
  <si>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</si>
  <si>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</si>
  <si>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</si>
  <si>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</si>
  <si>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</si>
  <si>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</si>
  <si>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</si>
  <si>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</si>
  <si>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</si>
  <si>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</si>
  <si>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</si>
  <si>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</si>
  <si>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AZO US EQUITY</t>
  </si>
  <si>
    <t>CASY US EQUITY</t>
  </si>
  <si>
    <t>MUSA US EQUITY</t>
  </si>
  <si>
    <t>ORLY US EQUITY</t>
  </si>
  <si>
    <t>VVV US EQUITY</t>
  </si>
  <si>
    <t>Same Store Sales Growth</t>
  </si>
  <si>
    <t>sss_growth</t>
  </si>
  <si>
    <t>prepared_foods_sss_growth</t>
  </si>
  <si>
    <t>Prepared Foods Same Store Sales</t>
  </si>
  <si>
    <t>grocery_sss_growth</t>
  </si>
  <si>
    <t>fuel_sss_growth</t>
  </si>
  <si>
    <t>Fuel Same Store Sales</t>
  </si>
  <si>
    <t>Grocery and General Merch Same Store Sales</t>
  </si>
  <si>
    <t>petroleum_sss_growth</t>
  </si>
  <si>
    <t>Petroleum SSS</t>
  </si>
  <si>
    <t>Merchandise SSS</t>
  </si>
  <si>
    <t>merchandise_sss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</si>
</sst>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  <numFmt numFmtId="168" formatCode="0.0_);\(0.0\)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3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0" fontId="1" fillId="2" borderId="1" xfId="1"/>
    <xf numFmtId="168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BDH|14449855029553743791</stp>
        <tr r="D14" s="9"/>
      </tp>
      <tp t="s">
        <v>#N/A N/A</v>
        <stp/>
        <stp>BDH|11867866048925923714</stp>
        <tr r="D22" s="10"/>
      </tp>
      <tp t="s">
        <v>#N/A N/A</v>
        <stp/>
        <stp>BDH|14894674954481602438</stp>
        <tr r="D22" s="1"/>
      </tp>
      <tp t="s">
        <v>#N/A N/A</v>
        <stp/>
        <stp>BDH|16478915098624305182</stp>
        <tr r="D22" s="8"/>
      </tp>
      <tp t="s">
        <v>#N/A N/A</v>
        <stp/>
        <stp>BDH|16174433343551522005</stp>
        <tr r="D14" s="10"/>
      </tp>
      <tp t="s">
        <v>#N/A N/A</v>
        <stp/>
        <stp>BDH|12535317999108244452</stp>
        <tr r="D22" s="11"/>
      </tp>
    </main>
    <main first="bofaddin.rtdserver">
      <tp t="s">
        <v>#N/A N/A</v>
        <stp/>
        <stp>BDH|7754220087291649293</stp>
        <tr r="D6" s="10"/>
      </tp>
      <tp t="s">
        <v>#N/A N/A</v>
        <stp/>
        <stp>BDH|9207647668339479831</stp>
        <tr r="D14" s="8"/>
      </tp>
      <tp t="s">
        <v>#N/A N/A</v>
        <stp/>
        <stp>BDH|1604824405051323035</stp>
        <tr r="D14" s="11"/>
      </tp>
      <tp t="s">
        <v>#N/A N/A</v>
        <stp/>
        <stp>BDH|2985665419248527715</stp>
        <tr r="D6" s="9"/>
      </tp>
      <tp t="s">
        <v>#N/A N/A</v>
        <stp/>
        <stp>BDH|1658762910182705186</stp>
        <tr r="D6" s="8"/>
      </tp>
      <tp t="s">
        <v>#N/A N/A</v>
        <stp/>
        <stp>BDH|8602706887036488504</stp>
        <tr r="D22" s="9"/>
      </tp>
      <tp t="s">
        <v>#N/A N/A</v>
        <stp/>
        <stp>BDH|2363790757722443737</stp>
        <tr r="D14" s="1"/>
      </tp>
    </main>
    <main first="bofaddin.rtdserver">
      <tp t="s">
        <v>#N/A N/A</v>
        <stp/>
        <stp>BDH|2128498851870082143</stp>
        <tr r="D6" s="1"/>
      </tp>
      <tp t="s">
        <v>#N/A N/A</v>
        <stp/>
        <stp>BDH|1333196925960429153</stp>
        <tr r="D6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A5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26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AZO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3952.012</v>
      </c>
      <c r="V2" s="28" t="str">
        <f ca="1"/>
        <v>0.0240691804310096</v>
      </c>
      <c r="W2" s="29" t="str">
        <f ca="1"/>
        <v>27.4266669456691</v>
      </c>
      <c r="X2" s="28" t="str">
        <f ca="1"/>
        <v>-214.861758400315</v>
      </c>
      <c r="Y2" s="29" t="str">
        <f ca="1"/>
        <v>-0.076555253115857</v>
      </c>
    </row>
    <row r="3" spans="1:25" x14ac:dyDescent="0.25">
      <c r="A3" s="18" t="s">
        <v>3</v>
      </c>
      <c r="B3" s="19">
        <f ca="1">+B4-365*3.25</f>
        <v>44897.75</v>
      </c>
      <c r="Q3" s="24" t="str">
        <f ca="1"/>
        <v>AZO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4464.339</v>
      </c>
      <c r="V3" s="28" t="str">
        <f ca="1"/>
        <v>0.0540325370057975</v>
      </c>
      <c r="W3" s="29" t="str">
        <f ca="1"/>
        <v>299.633565747879</v>
      </c>
      <c r="X3" s="29" t="str">
        <f ca="1"/>
        <v>185.985931827188</v>
      </c>
      <c r="Y3" s="29" t="str">
        <f ca="1"/>
        <v>0.129637005150794</v>
      </c>
    </row>
    <row r="4" spans="1:25" x14ac:dyDescent="0.25">
      <c r="A4" s="20" t="s">
        <v>2</v>
      </c>
      <c r="B4" s="21">
        <f ca="1">TODAY()</f>
        <v>46084</v>
      </c>
      <c r="Q4" s="24" t="str">
        <f ca="1"/>
        <v>AZO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6242.726</v>
      </c>
      <c r="V4" s="28" t="str">
        <f ca="1"/>
        <v>0.00601832603321628</v>
      </c>
      <c r="W4" s="29" t="str">
        <f ca="1"/>
        <v>-480.142109725812</v>
      </c>
      <c r="X4" s="29" t="str">
        <f ca="1"/>
        <v>-844.396874900952</v>
      </c>
      <c r="Y4" s="29" t="str">
        <f ca="1"/>
        <v>0.398353933247453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AZO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4628.63</v>
      </c>
      <c r="V5" s="28" t="str">
        <f ca="1"/>
        <v>0.0815463259651921</v>
      </c>
      <c r="W5" s="29" t="str">
        <f ca="1"/>
        <v>755.279999319758</v>
      </c>
      <c r="X5" s="29" t="str">
        <f ca="1"/>
        <v>602.198122287494</v>
      </c>
      <c r="Y5" s="29" t="str">
        <f ca="1"/>
        <v>-0.258556278138749</v>
      </c>
    </row>
    <row r="6" spans="1:25" x14ac:dyDescent="0.25">
      <c r="D6" s="15" cm="1">
        <f t="array" aca="1" ref="D6:P7" ca="1">+_xll.BDH($B$2,C7,$B$3,$B$4,"DIR=H")</f>
        <v>44968</v>
      </c>
      <c r="E6" s="1">
        <f ca="1"/>
        <v>45052</v>
      </c>
      <c r="F6" s="1">
        <f ca="1"/>
        <v>45164</v>
      </c>
      <c r="G6" s="1">
        <f ca="1"/>
        <v>45248</v>
      </c>
      <c r="H6" s="1">
        <f ca="1"/>
        <v>45332</v>
      </c>
      <c r="I6" s="1">
        <f ca="1"/>
        <v>45416</v>
      </c>
      <c r="J6" s="1">
        <f ca="1"/>
        <v>45535</v>
      </c>
      <c r="K6" s="1">
        <f ca="1"/>
        <v>45619</v>
      </c>
      <c r="L6" s="1">
        <f ca="1"/>
        <v>45703</v>
      </c>
      <c r="M6" s="1">
        <f ca="1"/>
        <v>45787</v>
      </c>
      <c r="N6" s="1">
        <f ca="1"/>
        <v>45899</v>
      </c>
      <c r="O6" s="1">
        <f ca="1"/>
        <v>45983</v>
      </c>
      <c r="P6" s="1">
        <f ca="1"/>
        <v>46067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AZO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53.8561</v>
      </c>
      <c r="V6" s="29" t="str">
        <f ca="1"/>
        <v>-3.31000000000046</v>
      </c>
      <c r="W6" s="29" t="str">
        <f ca="1"/>
        <v/>
      </c>
      <c r="X6" s="29" t="str">
        <f ca="1"/>
        <v/>
      </c>
      <c r="Y6" s="29" t="str">
        <f ca="1"/>
        <v>85.9699999999997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3690.982</v>
      </c>
      <c r="E7" s="11">
        <f ca="1"/>
        <v>4090.5410000000002</v>
      </c>
      <c r="F7" s="11">
        <f ca="1"/>
        <v>5690.6180000000004</v>
      </c>
      <c r="G7" s="11">
        <f ca="1"/>
        <v>4190.277</v>
      </c>
      <c r="H7" s="11">
        <f ca="1"/>
        <v>3859.1260000000002</v>
      </c>
      <c r="I7" s="11">
        <f ca="1"/>
        <v>4235.4849999999997</v>
      </c>
      <c r="J7" s="11">
        <f ca="1"/>
        <v>6205.38</v>
      </c>
      <c r="K7" s="11">
        <f ca="1"/>
        <v>4279.6409999999996</v>
      </c>
      <c r="L7" s="11">
        <f ca="1"/>
        <v>3952.0120000000002</v>
      </c>
      <c r="M7" s="11">
        <f ca="1"/>
        <v>4464.3389999999999</v>
      </c>
      <c r="N7" s="11">
        <f ca="1"/>
        <v>6242.7259999999997</v>
      </c>
      <c r="O7" s="3">
        <f ca="1"/>
        <v>4628.63</v>
      </c>
      <c r="P7" s="1">
        <f ca="1"/>
        <v>4274.098</v>
      </c>
      <c r="Q7" s="24" t="str">
        <f ca="1"/>
        <v>AZO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52.7183</v>
      </c>
      <c r="V7" s="29" t="str">
        <f ca="1"/>
        <v>-77.0800000000001</v>
      </c>
      <c r="W7" s="29" t="str">
        <f ca="1"/>
        <v/>
      </c>
      <c r="X7" s="29" t="str">
        <f ca="1"/>
        <v/>
      </c>
      <c r="Y7" s="29" t="str">
        <f ca="1"/>
        <v>-113.78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4.5555356271041125E-2</v>
      </c>
      <c r="I8" s="12">
        <f t="shared" ca="1" si="1"/>
        <v>3.5433943823078629E-2</v>
      </c>
      <c r="J8" s="12">
        <f t="shared" ca="1" si="1"/>
        <v>9.0458013523311509E-2</v>
      </c>
      <c r="K8" s="12">
        <f t="shared" ca="1" si="1"/>
        <v>2.1326513736442676E-2</v>
      </c>
      <c r="L8" s="12">
        <f t="shared" ca="1" si="1"/>
        <v>2.4069180431009585E-2</v>
      </c>
      <c r="M8" s="12">
        <f t="shared" ca="1" si="1"/>
        <v>5.4032537005797465E-2</v>
      </c>
      <c r="N8" s="12">
        <f t="shared" ca="1" si="1"/>
        <v>6.0183260332162813E-3</v>
      </c>
      <c r="O8" s="12">
        <f t="shared" ca="1" si="1"/>
        <v>8.1546325965192068E-2</v>
      </c>
      <c r="P8" s="3"/>
      <c r="Q8" s="24" t="str">
        <f ca="1"/>
        <v>AZO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51.5239</v>
      </c>
      <c r="V8" s="29" t="str">
        <f ca="1"/>
        <v>-97.6700000000001</v>
      </c>
      <c r="W8" s="29" t="str">
        <f ca="1"/>
        <v/>
      </c>
      <c r="X8" s="29" t="str">
        <f ca="1"/>
        <v/>
      </c>
      <c r="Y8" s="29" t="str">
        <f ca="1"/>
        <v>-119.44</v>
      </c>
    </row>
    <row r="9" spans="1:25" x14ac:dyDescent="0.25">
      <c r="C9" s="4" t="s">
        <v>19</v>
      </c>
      <c r="D9" s="1"/>
      <c r="L9" s="7">
        <f ca="1">(L8-K8)*10000</f>
        <v>27.426666945669087</v>
      </c>
      <c r="M9" s="7">
        <f ca="1">(M8-L8)*10000</f>
        <v>299.63356574787883</v>
      </c>
      <c r="N9" s="7">
        <f ca="1">(N8-M8)*10000</f>
        <v>-480.14210972581185</v>
      </c>
      <c r="O9" s="7">
        <f ca="1">(O8-N8)*10000</f>
        <v>755.27999931975785</v>
      </c>
      <c r="Q9" s="22" t="str">
        <f ca="1"/>
        <v>AZO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50.9722</v>
      </c>
      <c r="V9" s="29" t="str">
        <f ca="1"/>
        <v>-202.42</v>
      </c>
      <c r="W9" s="29" t="str">
        <f ca="1"/>
        <v/>
      </c>
      <c r="X9" s="29" t="str">
        <f ca="1"/>
        <v/>
      </c>
      <c r="Y9" s="29" t="str">
        <f ca="1"/>
        <v>-55.1699999999997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-214.86175840031541</v>
      </c>
      <c r="M10" s="7">
        <f ca="1">(M8-I8)*10000</f>
        <v>185.98593182718838</v>
      </c>
      <c r="N10" s="7">
        <f ca="1">(N8-J8)*10000</f>
        <v>-844.3968749009523</v>
      </c>
      <c r="O10" s="7">
        <f ca="1">(O8-K8)*10000</f>
        <v>602.1981222874939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AZO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17.8837</v>
      </c>
      <c r="V10" s="29" t="str">
        <f ca="1"/>
        <v>-137.56</v>
      </c>
      <c r="W10" s="29" t="str">
        <f ca="1"/>
        <v/>
      </c>
      <c r="X10" s="29" t="str">
        <f ca="1"/>
        <v/>
      </c>
      <c r="Y10" s="29" t="str">
        <f ca="1"/>
        <v>-177.1</v>
      </c>
    </row>
    <row r="11" spans="1:25" x14ac:dyDescent="0.25">
      <c r="C11" s="4" t="s">
        <v>5</v>
      </c>
      <c r="D11" s="1"/>
      <c r="L11" s="12">
        <f t="shared" ref="L11:O11" ca="1" si="2">L7/K7-1</f>
        <v>-7.655525311585698E-2</v>
      </c>
      <c r="M11" s="12">
        <f t="shared" ca="1" si="2"/>
        <v>0.12963700515079402</v>
      </c>
      <c r="N11" s="12">
        <f t="shared" ca="1" si="2"/>
        <v>0.39835393324745261</v>
      </c>
      <c r="O11" s="12">
        <f t="shared" ca="1" si="2"/>
        <v>-0.25855627813874893</v>
      </c>
      <c r="Q11" s="24" t="str">
        <f ca="1"/>
        <v>AZO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19.4021</v>
      </c>
      <c r="V11" s="29" t="str">
        <f ca="1"/>
        <v>-185.12</v>
      </c>
      <c r="W11" s="29" t="str">
        <f ca="1"/>
        <v/>
      </c>
      <c r="X11" s="29" t="str">
        <f ca="1"/>
        <v/>
      </c>
      <c r="Y11" s="29" t="str">
        <f ca="1"/>
        <v>151.84</v>
      </c>
    </row>
    <row r="12" spans="1:25" x14ac:dyDescent="0.25">
      <c r="Q12" s="24" t="str">
        <f ca="1"/>
        <v>AZO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19.1593</v>
      </c>
      <c r="V12" s="29" t="str">
        <f ca="1"/>
        <v>-173.68</v>
      </c>
      <c r="W12" s="29" t="str">
        <f ca="1"/>
        <v/>
      </c>
      <c r="X12" s="29" t="str">
        <f ca="1"/>
        <v/>
      </c>
      <c r="Y12" s="29" t="str">
        <f ca="1"/>
        <v>-24.2799999999999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AZO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16.9425</v>
      </c>
      <c r="V13" s="29" t="str">
        <f ca="1"/>
        <v>-271.22</v>
      </c>
      <c r="W13" s="29" t="str">
        <f ca="1"/>
        <v/>
      </c>
      <c r="X13" s="29" t="str">
        <f ca="1"/>
        <v/>
      </c>
      <c r="Y13" s="29" t="str">
        <f ca="1"/>
        <v>-221.68</v>
      </c>
    </row>
    <row r="14" spans="1:25" x14ac:dyDescent="0.25">
      <c r="D14" s="1" cm="1">
        <f t="array" aca="1" ref="D14:P15" ca="1">+_xll.BDH($B$2,C15,$B$3,$B$4,"DIR=H")</f>
        <v>44968</v>
      </c>
      <c r="E14" s="1">
        <f ca="1"/>
        <v>45052</v>
      </c>
      <c r="F14" s="1">
        <f ca="1"/>
        <v>45164</v>
      </c>
      <c r="G14" s="1">
        <f ca="1"/>
        <v>45248</v>
      </c>
      <c r="H14" s="1">
        <f ca="1"/>
        <v>45332</v>
      </c>
      <c r="I14" s="1">
        <f ca="1"/>
        <v>45416</v>
      </c>
      <c r="J14" s="1">
        <f ca="1"/>
        <v>45535</v>
      </c>
      <c r="K14" s="1">
        <f ca="1"/>
        <v>45619</v>
      </c>
      <c r="L14" s="1">
        <f ca="1"/>
        <v>45703</v>
      </c>
      <c r="M14" s="1">
        <f ca="1"/>
        <v>45787</v>
      </c>
      <c r="N14" s="1">
        <f ca="1"/>
        <v>45899</v>
      </c>
      <c r="O14" s="1">
        <f ca="1"/>
        <v>45983</v>
      </c>
      <c r="P14" s="1">
        <f ca="1"/>
        <v>46067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AZO US EQUITY</v>
      </c>
      <c r="R14" s="24">
        <v>45747</v>
      </c>
      <c r="S14" s="25" t="str">
        <v>custom</v>
      </c>
      <c r="T14" s="26" t="str">
        <v>sss_growth</v>
      </c>
      <c r="U14" s="30" t="str">
        <v>0.019</v>
      </c>
      <c r="V14" s="29" t="str">
        <v>160</v>
      </c>
      <c r="W14" s="29" t="str">
        <v/>
      </c>
      <c r="X14" s="29" t="str">
        <v/>
      </c>
      <c r="Y14" s="29" t="str">
        <v>160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52.289700000000003</v>
      </c>
      <c r="E15" s="3">
        <f ca="1"/>
        <v>52.465600000000002</v>
      </c>
      <c r="F15" s="3">
        <f ca="1"/>
        <v>52.712600000000002</v>
      </c>
      <c r="G15" s="3">
        <f ca="1"/>
        <v>52.837000000000003</v>
      </c>
      <c r="H15" s="3">
        <f ca="1"/>
        <v>53.889200000000002</v>
      </c>
      <c r="I15" s="3">
        <f ca="1"/>
        <v>53.489100000000001</v>
      </c>
      <c r="J15" s="3">
        <f ca="1"/>
        <v>52.500599999999999</v>
      </c>
      <c r="K15" s="3">
        <f ca="1"/>
        <v>52.996400000000001</v>
      </c>
      <c r="L15" s="3">
        <f ca="1"/>
        <v>53.856099999999998</v>
      </c>
      <c r="M15" s="3">
        <f ca="1"/>
        <v>52.718299999999999</v>
      </c>
      <c r="N15" s="3">
        <f ca="1"/>
        <v>51.523899999999998</v>
      </c>
      <c r="O15">
        <f ca="1"/>
        <v>50.972200000000001</v>
      </c>
      <c r="P15">
        <f ca="1"/>
        <v>52.487299999999998</v>
      </c>
      <c r="Q15" s="24" t="str">
        <v>AZO US EQUITY</v>
      </c>
      <c r="R15" s="24">
        <v>45838</v>
      </c>
      <c r="S15" s="25" t="str">
        <v>custom</v>
      </c>
      <c r="T15" s="26" t="str">
        <v>sss_growth</v>
      </c>
      <c r="U15" s="30" t="str">
        <v>0.05</v>
      </c>
      <c r="V15" s="29" t="str">
        <v>450</v>
      </c>
      <c r="W15" s="29" t="str">
        <v/>
      </c>
      <c r="X15" s="29" t="str">
        <v/>
      </c>
      <c r="Y15" s="29" t="str">
        <v>310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" ca="1" si="4">(H15-D15)*100</f>
        <v>159.9499999999999</v>
      </c>
      <c r="I16" s="7">
        <f t="shared" ref="I16" ca="1" si="5">(I15-E15)*100</f>
        <v>102.34999999999985</v>
      </c>
      <c r="J16" s="7">
        <f t="shared" ref="J16" ca="1" si="6">(J15-F15)*100</f>
        <v>-21.20000000000033</v>
      </c>
      <c r="K16" s="7">
        <f t="shared" ref="K16:O16" ca="1" si="7">(K15-G15)*100</f>
        <v>15.939999999999799</v>
      </c>
      <c r="L16" s="7">
        <f t="shared" ca="1" si="7"/>
        <v>-3.310000000000457</v>
      </c>
      <c r="M16" s="7">
        <f t="shared" ca="1" si="7"/>
        <v>-77.080000000000126</v>
      </c>
      <c r="N16" s="7">
        <f t="shared" ca="1" si="7"/>
        <v>-97.670000000000101</v>
      </c>
      <c r="O16" s="7">
        <f t="shared" ca="1" si="7"/>
        <v>-202.42000000000004</v>
      </c>
      <c r="Q16" s="24" t="str">
        <v>AZO US EQUITY</v>
      </c>
      <c r="R16" s="24">
        <v>45930</v>
      </c>
      <c r="S16" s="25" t="str">
        <v>custom</v>
      </c>
      <c r="T16" s="26" t="str">
        <v>sss_growth</v>
      </c>
      <c r="U16" s="30" t="str">
        <v>0.048</v>
      </c>
      <c r="V16" s="29" t="str">
        <v>460</v>
      </c>
      <c r="W16" s="29" t="str">
        <v/>
      </c>
      <c r="X16" s="29" t="str">
        <v/>
      </c>
      <c r="Y16" s="29" t="str">
        <v>-20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AZO US EQUITY</v>
      </c>
      <c r="R17" s="24">
        <v>46022</v>
      </c>
      <c r="S17" s="25" t="str">
        <v>custom</v>
      </c>
      <c r="T17" s="26" t="str">
        <v>sss_growth</v>
      </c>
      <c r="U17" s="30" t="str">
        <v>0.048</v>
      </c>
      <c r="V17" s="29" t="str">
        <v>450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AZO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85.969999999999658</v>
      </c>
      <c r="M19" s="7">
        <f t="shared" ref="M19:O19" ca="1" si="8">(M15-L15)*100</f>
        <v>-113.77999999999986</v>
      </c>
      <c r="N19" s="7">
        <f t="shared" ca="1" si="8"/>
        <v>-119.44000000000017</v>
      </c>
      <c r="O19" s="7">
        <f t="shared" ca="1" si="8"/>
        <v>-55.169999999999675</v>
      </c>
      <c r="Q19" s="24" t="str">
        <v>AZO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AZO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9">EOMONTH(DATE(YEAR(G22),ROUNDUP(MONTH(G22)/3,0)*3,1),0)</f>
        <v>45291</v>
      </c>
      <c r="H21" s="14">
        <f t="shared" ca="1" si="9"/>
        <v>45382</v>
      </c>
      <c r="I21" s="14">
        <f t="shared" ca="1" si="9"/>
        <v>45473</v>
      </c>
      <c r="J21" s="14">
        <f t="shared" ca="1" si="9"/>
        <v>45565</v>
      </c>
      <c r="K21" s="14">
        <f t="shared" ca="1" si="9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AZO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P23" ca="1">+_xll.BDH($B$2,C23,$B$3,$B$4,"DIR=H")</f>
        <v>44968</v>
      </c>
      <c r="E22" s="1">
        <f ca="1"/>
        <v>45052</v>
      </c>
      <c r="F22" s="1">
        <f ca="1"/>
        <v>45164</v>
      </c>
      <c r="G22" s="1">
        <f ca="1"/>
        <v>45248</v>
      </c>
      <c r="H22" s="1">
        <f ca="1"/>
        <v>45332</v>
      </c>
      <c r="I22" s="1">
        <f ca="1"/>
        <v>45416</v>
      </c>
      <c r="J22" s="1">
        <f ca="1"/>
        <v>45535</v>
      </c>
      <c r="K22" s="1">
        <f ca="1"/>
        <v>45619</v>
      </c>
      <c r="L22" s="1">
        <f ca="1"/>
        <v>45703</v>
      </c>
      <c r="M22" s="1">
        <f ca="1"/>
        <v>45787</v>
      </c>
      <c r="N22" s="1">
        <f ca="1"/>
        <v>45899</v>
      </c>
      <c r="O22" s="1">
        <f ca="1"/>
        <v>45983</v>
      </c>
      <c r="P22" s="1">
        <f ca="1"/>
        <v>46067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AZO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18.151700000000002</v>
      </c>
      <c r="E23" s="3">
        <f ca="1"/>
        <v>20.986999999999998</v>
      </c>
      <c r="F23" s="3">
        <f ca="1"/>
        <v>21.482700000000001</v>
      </c>
      <c r="G23" s="3">
        <f ca="1"/>
        <v>20.2517</v>
      </c>
      <c r="H23" s="3">
        <f ca="1"/>
        <v>19.2593</v>
      </c>
      <c r="I23" s="3">
        <f ca="1"/>
        <v>21.253299999999999</v>
      </c>
      <c r="J23" s="3">
        <f ca="1"/>
        <v>20.896100000000001</v>
      </c>
      <c r="K23" s="3">
        <f ca="1"/>
        <v>19.654699999999998</v>
      </c>
      <c r="L23" s="3">
        <f ca="1"/>
        <v>17.883700000000001</v>
      </c>
      <c r="M23" s="3">
        <f ca="1"/>
        <v>19.402100000000001</v>
      </c>
      <c r="N23" s="3">
        <f ca="1"/>
        <v>19.159300000000002</v>
      </c>
      <c r="O23">
        <f ca="1"/>
        <v>16.942499999999999</v>
      </c>
      <c r="P23">
        <f ca="1"/>
        <v>16.3416</v>
      </c>
      <c r="Q23" s="24" t="str">
        <v>AZO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" ca="1" si="10">(H23-D23)*100</f>
        <v>110.75999999999979</v>
      </c>
      <c r="I24" s="7">
        <f t="shared" ref="I24" ca="1" si="11">(I23-E23)*100</f>
        <v>26.630000000000109</v>
      </c>
      <c r="J24" s="7">
        <f t="shared" ref="J24" ca="1" si="12">(J23-F23)*100</f>
        <v>-58.660000000000068</v>
      </c>
      <c r="K24" s="7">
        <f t="shared" ref="K24" ca="1" si="13">(K23-G23)*100</f>
        <v>-59.700000000000131</v>
      </c>
      <c r="L24" s="7">
        <f t="shared" ref="L24" ca="1" si="14">(L23-H23)*100</f>
        <v>-137.55999999999986</v>
      </c>
      <c r="M24" s="7">
        <f t="shared" ref="M24" ca="1" si="15">(M23-I23)*100</f>
        <v>-185.11999999999986</v>
      </c>
      <c r="N24" s="7">
        <f t="shared" ref="N24:O24" ca="1" si="16">(N23-J23)*100</f>
        <v>-173.67999999999989</v>
      </c>
      <c r="O24" s="7">
        <f t="shared" ca="1" si="16"/>
        <v>-271.21999999999991</v>
      </c>
      <c r="Q24" s="24" t="str">
        <v>AZO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AZO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AZO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-177.09999999999974</v>
      </c>
      <c r="M27" s="7">
        <f t="shared" ref="M27:O27" ca="1" si="17">(M23-L23)*100</f>
        <v>151.83999999999997</v>
      </c>
      <c r="N27" s="7">
        <f t="shared" ca="1" si="17"/>
        <v>-24.279999999999902</v>
      </c>
      <c r="O27" s="7">
        <f t="shared" ca="1" si="17"/>
        <v>-221.68000000000029</v>
      </c>
      <c r="Q27" s="24" t="str">
        <v>AZO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AZO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" si="18">EOMONTH(DATE(YEAR(D30),ROUNDUP(MONTH(D30)/3,0)*3,1),0)</f>
        <v>91</v>
      </c>
      <c r="E29" s="14">
        <f t="shared" ref="E29" si="19">EOMONTH(DATE(YEAR(E30),ROUNDUP(MONTH(E30)/3,0)*3,1),0)</f>
        <v>45107</v>
      </c>
      <c r="F29" s="14">
        <f t="shared" ref="F29" si="20">EOMONTH(DATE(YEAR(F30),ROUNDUP(MONTH(F30)/3,0)*3,1),0)</f>
        <v>45199</v>
      </c>
      <c r="G29" s="14">
        <f t="shared" ref="G29" si="21">EOMONTH(DATE(YEAR(G30),ROUNDUP(MONTH(G30)/3,0)*3,1),0)</f>
        <v>45291</v>
      </c>
      <c r="H29" s="14">
        <f t="shared" ref="H29" si="22">EOMONTH(DATE(YEAR(H30),ROUNDUP(MONTH(H30)/3,0)*3,1),0)</f>
        <v>45382</v>
      </c>
      <c r="I29" s="14">
        <f t="shared" ref="I29:J29" si="23">EOMONTH(DATE(YEAR(I30),ROUNDUP(MONTH(I30)/3,0)*3,1),0)</f>
        <v>45473</v>
      </c>
      <c r="J29" s="14">
        <f t="shared" si="23"/>
        <v>45565</v>
      </c>
      <c r="K29" s="14">
        <f t="shared" ref="K29:L29" si="24">EOMONTH(DATE(YEAR(K30),ROUNDUP(MONTH(K30)/3,0)*3,1),0)</f>
        <v>45657</v>
      </c>
      <c r="L29" s="14">
        <f t="shared" si="24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AZO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45052</v>
      </c>
      <c r="F30" s="2">
        <v>45164</v>
      </c>
      <c r="G30" s="2">
        <v>45248</v>
      </c>
      <c r="H30" s="2">
        <v>45332</v>
      </c>
      <c r="I30" s="2">
        <v>45416</v>
      </c>
      <c r="J30" s="2">
        <v>45535</v>
      </c>
      <c r="K30" s="2">
        <v>45619</v>
      </c>
      <c r="L30" s="2">
        <v>45703</v>
      </c>
      <c r="M30" s="2">
        <v>45787</v>
      </c>
      <c r="N30" s="2">
        <v>45899</v>
      </c>
      <c r="O30" s="2">
        <v>45983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AZO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31</v>
      </c>
      <c r="D31" s="10"/>
      <c r="E31" s="10"/>
      <c r="F31" s="10"/>
      <c r="G31" s="8">
        <v>1.2E-2</v>
      </c>
      <c r="H31" s="8">
        <v>3.0000000000000001E-3</v>
      </c>
      <c r="I31" s="8">
        <v>5.0000000000000001E-3</v>
      </c>
      <c r="J31" s="8">
        <v>2E-3</v>
      </c>
      <c r="K31" s="8">
        <v>3.0000000000000001E-3</v>
      </c>
      <c r="L31" s="8">
        <v>1.9E-2</v>
      </c>
      <c r="M31" s="8">
        <v>0.05</v>
      </c>
      <c r="N31" s="8">
        <v>4.8000000000000001E-2</v>
      </c>
      <c r="O31" s="8">
        <v>4.8000000000000001E-2</v>
      </c>
      <c r="Q31" s="24" t="str">
        <v>AZO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L32" si="25">(K31-G31)*10000</f>
        <v>-90.000000000000014</v>
      </c>
      <c r="L32" s="7">
        <f t="shared" si="25"/>
        <v>160</v>
      </c>
      <c r="M32" s="7">
        <f t="shared" ref="M32" si="26">(M31-I31)*10000</f>
        <v>450.00000000000006</v>
      </c>
      <c r="N32" s="7">
        <f t="shared" ref="N32:O32" si="27">(N31-J31)*10000</f>
        <v>460</v>
      </c>
      <c r="O32" s="7">
        <f t="shared" si="27"/>
        <v>450</v>
      </c>
      <c r="Q32" s="24" t="str">
        <v>AZO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AZO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28">(G31-F31)*10000</f>
        <v>120</v>
      </c>
      <c r="H35" s="7">
        <f t="shared" si="28"/>
        <v>-90.000000000000014</v>
      </c>
      <c r="I35" s="7">
        <f t="shared" si="28"/>
        <v>20</v>
      </c>
      <c r="J35" s="7">
        <f t="shared" si="28"/>
        <v>-30</v>
      </c>
      <c r="K35" s="7">
        <f t="shared" si="28"/>
        <v>10</v>
      </c>
      <c r="L35" s="7">
        <f>(L31-K31)*10000</f>
        <v>160</v>
      </c>
      <c r="M35" s="7">
        <f t="shared" ref="M35" si="29">(M31-L31)*10000</f>
        <v>310.00000000000006</v>
      </c>
      <c r="N35" s="7">
        <f t="shared" ref="N35:O35" si="30">(N31-M31)*10000</f>
        <v>-20.000000000000018</v>
      </c>
      <c r="O35" s="7">
        <f t="shared" si="30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Y67"/>
  <sheetViews>
    <sheetView topLeftCell="A8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CASY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3903.633</v>
      </c>
      <c r="V2" s="28" t="str">
        <f ca="1"/>
        <v>0.172527301218564</v>
      </c>
      <c r="W2" s="29" t="str">
        <f ca="1"/>
        <v>2014.68596366679</v>
      </c>
      <c r="X2" s="28" t="str">
        <f ca="1"/>
        <v>1735.19932998084</v>
      </c>
      <c r="Y2" s="29" t="str">
        <f ca="1"/>
        <v>-0.0109299475444611</v>
      </c>
    </row>
    <row r="3" spans="1:25" x14ac:dyDescent="0.25">
      <c r="A3" s="18" t="s">
        <v>3</v>
      </c>
      <c r="B3" s="19">
        <f ca="1">+B4-365*3.25</f>
        <v>44897.75</v>
      </c>
      <c r="Q3" s="24" t="str">
        <f ca="1"/>
        <v>CASY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3992.758</v>
      </c>
      <c r="V3" s="28" t="str">
        <f ca="1"/>
        <v>0.109094823216014</v>
      </c>
      <c r="W3" s="29" t="str">
        <f ca="1"/>
        <v>-634.324780025495</v>
      </c>
      <c r="X3" s="29" t="str">
        <f ca="1"/>
        <v>275.873522836596</v>
      </c>
      <c r="Y3" s="29" t="str">
        <f ca="1"/>
        <v>0.0228312958723322</v>
      </c>
    </row>
    <row r="4" spans="1:25" x14ac:dyDescent="0.25">
      <c r="A4" s="20" t="s">
        <v>2</v>
      </c>
      <c r="B4" s="21">
        <f ca="1">TODAY()</f>
        <v>46084</v>
      </c>
      <c r="Q4" s="24" t="str">
        <f ca="1"/>
        <v>CASY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4567.106</v>
      </c>
      <c r="V4" s="28" t="str">
        <f ca="1"/>
        <v>0.114543466308355</v>
      </c>
      <c r="W4" s="29" t="str">
        <f ca="1"/>
        <v>54.4864309234083</v>
      </c>
      <c r="X4" s="29" t="str">
        <f ca="1"/>
        <v>554.917273542268</v>
      </c>
      <c r="Y4" s="29" t="str">
        <f ca="1"/>
        <v>0.143847435782484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CASY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4506.084</v>
      </c>
      <c r="V5" s="28" t="str">
        <f ca="1"/>
        <v>0.14171407461948</v>
      </c>
      <c r="W5" s="29" t="str">
        <f ca="1"/>
        <v>271.706083111249</v>
      </c>
      <c r="X5" s="29" t="str">
        <f ca="1"/>
        <v>1706.55369767595</v>
      </c>
      <c r="Y5" s="29" t="str">
        <f ca="1"/>
        <v>-0.0133611963462201</v>
      </c>
    </row>
    <row r="6" spans="1:25" x14ac:dyDescent="0.25">
      <c r="D6" s="15" cm="1">
        <f t="array" aca="1" ref="D6:O7" ca="1">+_xll.BDH($B$2,C7,$B$3,$B$4,"DIR=H")</f>
        <v>44957</v>
      </c>
      <c r="E6" s="1">
        <f ca="1"/>
        <v>45046</v>
      </c>
      <c r="F6" s="1">
        <f ca="1"/>
        <v>45138</v>
      </c>
      <c r="G6" s="1">
        <f ca="1"/>
        <v>45230</v>
      </c>
      <c r="H6" s="1">
        <f ca="1"/>
        <v>45322</v>
      </c>
      <c r="I6" s="1">
        <f ca="1"/>
        <v>45412</v>
      </c>
      <c r="J6" s="1">
        <f ca="1"/>
        <v>45504</v>
      </c>
      <c r="K6" s="1">
        <f ca="1"/>
        <v>45596</v>
      </c>
      <c r="L6" s="1">
        <f ca="1"/>
        <v>45688</v>
      </c>
      <c r="M6" s="1">
        <f ca="1"/>
        <v>45777</v>
      </c>
      <c r="N6" s="1">
        <f ca="1"/>
        <v>45869</v>
      </c>
      <c r="O6" s="1">
        <f ca="1"/>
        <v>45961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CASY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23.3774</v>
      </c>
      <c r="V6" s="29" t="str">
        <f ca="1"/>
        <v>-24.7299999999999</v>
      </c>
      <c r="W6" s="29" t="str">
        <f ca="1"/>
        <v/>
      </c>
      <c r="X6" s="29" t="str">
        <f ca="1"/>
        <v/>
      </c>
      <c r="Y6" s="29" t="str">
        <f ca="1"/>
        <v>-90.9799999999997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3332.5549999999998</v>
      </c>
      <c r="E7" s="11">
        <f ca="1"/>
        <v>3328.701</v>
      </c>
      <c r="F7" s="11">
        <f ca="1"/>
        <v>3869.2510000000002</v>
      </c>
      <c r="G7" s="11">
        <f ca="1"/>
        <v>4064.4</v>
      </c>
      <c r="H7" s="11">
        <f ca="1"/>
        <v>3329.2469999999998</v>
      </c>
      <c r="I7" s="11">
        <f ca="1"/>
        <v>3600.0149999999999</v>
      </c>
      <c r="J7" s="11">
        <f ca="1"/>
        <v>4097.7370000000001</v>
      </c>
      <c r="K7" s="11">
        <f ca="1"/>
        <v>3946.7710000000002</v>
      </c>
      <c r="L7" s="11">
        <f ca="1"/>
        <v>3903.6329999999998</v>
      </c>
      <c r="M7" s="11">
        <f ca="1"/>
        <v>3992.7579999999998</v>
      </c>
      <c r="N7" s="11">
        <f ca="1"/>
        <v>4567.1059999999998</v>
      </c>
      <c r="O7" s="3">
        <f ca="1"/>
        <v>4506.0839999999998</v>
      </c>
      <c r="P7" s="1"/>
      <c r="Q7" s="24" t="str">
        <f ca="1"/>
        <v>CASY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23.1925</v>
      </c>
      <c r="V7" s="29" t="str">
        <f ca="1"/>
        <v>102.39</v>
      </c>
      <c r="W7" s="29" t="str">
        <f ca="1"/>
        <v/>
      </c>
      <c r="X7" s="29" t="str">
        <f ca="1"/>
        <v/>
      </c>
      <c r="Y7" s="29" t="str">
        <f ca="1"/>
        <v>-18.4900000000003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-9.9263177952046977E-4</v>
      </c>
      <c r="I8" s="12">
        <f t="shared" ca="1" si="1"/>
        <v>8.1507470932354664E-2</v>
      </c>
      <c r="J8" s="12">
        <f t="shared" ca="1" si="1"/>
        <v>5.9051738954128297E-2</v>
      </c>
      <c r="K8" s="12">
        <f t="shared" ca="1" si="1"/>
        <v>-2.8941295148115276E-2</v>
      </c>
      <c r="L8" s="12">
        <f t="shared" ca="1" si="1"/>
        <v>0.17252730121856374</v>
      </c>
      <c r="M8" s="12">
        <f t="shared" ca="1" si="1"/>
        <v>0.10909482321601427</v>
      </c>
      <c r="N8" s="12">
        <f t="shared" ca="1" si="1"/>
        <v>0.1145434663083551</v>
      </c>
      <c r="O8" s="12">
        <f t="shared" ca="1" si="1"/>
        <v>0.14171407461948005</v>
      </c>
      <c r="P8" s="3"/>
      <c r="Q8" s="24" t="str">
        <f ca="1"/>
        <v>CASY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24.3578</v>
      </c>
      <c r="V8" s="29" t="str">
        <f ca="1"/>
        <v>104.6</v>
      </c>
      <c r="W8" s="29" t="str">
        <f ca="1"/>
        <v/>
      </c>
      <c r="X8" s="29" t="str">
        <f ca="1"/>
        <v/>
      </c>
      <c r="Y8" s="29" t="str">
        <f ca="1"/>
        <v>116.53</v>
      </c>
    </row>
    <row r="9" spans="1:25" x14ac:dyDescent="0.25">
      <c r="C9" s="4" t="s">
        <v>19</v>
      </c>
      <c r="D9" s="1"/>
      <c r="L9" s="7">
        <f ca="1">(L8-K8)*10000</f>
        <v>2014.6859636667903</v>
      </c>
      <c r="M9" s="7">
        <f ca="1">(M8-L8)*10000</f>
        <v>-634.32478002549476</v>
      </c>
      <c r="N9" s="7">
        <f ca="1">(N8-M8)*10000</f>
        <v>54.486430923408321</v>
      </c>
      <c r="O9" s="7">
        <f ca="1">(O8-N8)*10000</f>
        <v>271.70608311124943</v>
      </c>
      <c r="Q9" s="22" t="str">
        <f ca="1"/>
        <v>CASY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24.8927</v>
      </c>
      <c r="V9" s="29" t="str">
        <f ca="1"/>
        <v>60.5500000000003</v>
      </c>
      <c r="W9" s="29" t="str">
        <f ca="1"/>
        <v/>
      </c>
      <c r="X9" s="29" t="str">
        <f ca="1"/>
        <v/>
      </c>
      <c r="Y9" s="29" t="str">
        <f ca="1"/>
        <v>53.49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1735.1993299808421</v>
      </c>
      <c r="M10" s="7">
        <f ca="1">(M8-I8)*10000</f>
        <v>275.87352283659607</v>
      </c>
      <c r="N10" s="7">
        <f ca="1">(N8-J8)*10000</f>
        <v>554.91727354226805</v>
      </c>
      <c r="O10" s="7">
        <f ca="1">(O8-K8)*10000</f>
        <v>1706.5536976759531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CASY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3.5138</v>
      </c>
      <c r="V10" s="29" t="str">
        <f ca="1"/>
        <v>-35.09</v>
      </c>
      <c r="W10" s="29" t="str">
        <f ca="1"/>
        <v/>
      </c>
      <c r="X10" s="29" t="str">
        <f ca="1"/>
        <v/>
      </c>
      <c r="Y10" s="29" t="str">
        <f ca="1"/>
        <v>-287.85</v>
      </c>
    </row>
    <row r="11" spans="1:25" x14ac:dyDescent="0.25">
      <c r="C11" s="4" t="s">
        <v>5</v>
      </c>
      <c r="D11" s="1"/>
      <c r="L11" s="12">
        <f t="shared" ref="L11:O11" ca="1" si="2">L7/K7-1</f>
        <v>-1.0929947544461083E-2</v>
      </c>
      <c r="M11" s="12">
        <f t="shared" ca="1" si="2"/>
        <v>2.2831295872332236E-2</v>
      </c>
      <c r="N11" s="12">
        <f t="shared" ca="1" si="2"/>
        <v>0.14384743578248416</v>
      </c>
      <c r="O11" s="12">
        <f t="shared" ca="1" si="2"/>
        <v>-1.3361196346220128E-2</v>
      </c>
      <c r="Q11" s="24" t="str">
        <f ca="1"/>
        <v>CASY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3.8964</v>
      </c>
      <c r="V11" s="29" t="str">
        <f ca="1"/>
        <v>37.75</v>
      </c>
      <c r="W11" s="29" t="str">
        <f ca="1"/>
        <v/>
      </c>
      <c r="X11" s="29" t="str">
        <f ca="1"/>
        <v/>
      </c>
      <c r="Y11" s="29" t="str">
        <f ca="1"/>
        <v>38.26</v>
      </c>
    </row>
    <row r="12" spans="1:25" x14ac:dyDescent="0.25">
      <c r="Q12" s="24" t="str">
        <f ca="1"/>
        <v>CASY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6.6849</v>
      </c>
      <c r="V12" s="29" t="str">
        <f ca="1"/>
        <v>55.05</v>
      </c>
      <c r="W12" s="29" t="str">
        <f ca="1"/>
        <v/>
      </c>
      <c r="X12" s="29" t="str">
        <f ca="1"/>
        <v/>
      </c>
      <c r="Y12" s="29" t="str">
        <f ca="1"/>
        <v>278.85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CASY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6.6284</v>
      </c>
      <c r="V13" s="29" t="str">
        <f ca="1"/>
        <v>23.61</v>
      </c>
      <c r="W13" s="29" t="str">
        <f ca="1"/>
        <v/>
      </c>
      <c r="X13" s="29" t="str">
        <f ca="1"/>
        <v/>
      </c>
      <c r="Y13" s="29" t="str">
        <f ca="1"/>
        <v>-5.64999999999998</v>
      </c>
    </row>
    <row r="14" spans="1:25" x14ac:dyDescent="0.25">
      <c r="D14" s="1" cm="1">
        <f t="array" aca="1" ref="D14:O15" ca="1">+_xll.BDH($B$2,C15,$B$3,$B$4,"DIR=H")</f>
        <v>44957</v>
      </c>
      <c r="E14" s="1">
        <f ca="1"/>
        <v>45046</v>
      </c>
      <c r="F14" s="1">
        <f ca="1"/>
        <v>45138</v>
      </c>
      <c r="G14" s="1">
        <f ca="1"/>
        <v>45230</v>
      </c>
      <c r="H14" s="1">
        <f ca="1"/>
        <v>45322</v>
      </c>
      <c r="I14" s="1">
        <f ca="1"/>
        <v>45412</v>
      </c>
      <c r="J14" s="1">
        <f ca="1"/>
        <v>45504</v>
      </c>
      <c r="K14" s="1">
        <f ca="1"/>
        <v>45596</v>
      </c>
      <c r="L14" s="1">
        <f ca="1"/>
        <v>45688</v>
      </c>
      <c r="M14" s="1">
        <f ca="1"/>
        <v>45777</v>
      </c>
      <c r="N14" s="1">
        <f ca="1"/>
        <v>45869</v>
      </c>
      <c r="O14" s="1">
        <f ca="1"/>
        <v>45961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CASY US EQUITY</v>
      </c>
      <c r="R14" s="24">
        <v>45747</v>
      </c>
      <c r="S14" s="25" t="str">
        <v>custom</v>
      </c>
      <c r="T14" s="26" t="str">
        <v>prepared_foods_sss_growth</v>
      </c>
      <c r="U14" s="30" t="str">
        <v>0.047</v>
      </c>
      <c r="V14" s="29" t="str">
        <v>-280</v>
      </c>
      <c r="W14" s="29" t="str">
        <v/>
      </c>
      <c r="X14" s="29" t="str">
        <v/>
      </c>
      <c r="Y14" s="29" t="str">
        <v>-50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22.129000000000001</v>
      </c>
      <c r="E15" s="3">
        <f ca="1"/>
        <v>20.661300000000001</v>
      </c>
      <c r="F15" s="3">
        <f ca="1"/>
        <v>22.685400000000001</v>
      </c>
      <c r="G15" s="3">
        <f ca="1"/>
        <v>21.7882</v>
      </c>
      <c r="H15" s="3">
        <f ca="1"/>
        <v>23.624700000000001</v>
      </c>
      <c r="I15" s="3">
        <f ca="1"/>
        <v>22.168600000000001</v>
      </c>
      <c r="J15" s="3">
        <f ca="1"/>
        <v>23.311800000000002</v>
      </c>
      <c r="K15" s="3">
        <f ca="1"/>
        <v>24.287199999999999</v>
      </c>
      <c r="L15" s="3">
        <f ca="1"/>
        <v>23.377400000000002</v>
      </c>
      <c r="M15" s="3">
        <f ca="1"/>
        <v>23.192499999999999</v>
      </c>
      <c r="N15" s="3">
        <f ca="1"/>
        <v>24.357800000000001</v>
      </c>
      <c r="O15">
        <f ca="1"/>
        <v>24.892700000000001</v>
      </c>
      <c r="Q15" s="24" t="str">
        <v>CASY US EQUITY</v>
      </c>
      <c r="R15" s="24">
        <v>45838</v>
      </c>
      <c r="S15" s="25" t="str">
        <v>custom</v>
      </c>
      <c r="T15" s="26" t="str">
        <v>prepared_foods_sss_growth</v>
      </c>
      <c r="U15" s="30" t="str">
        <v>0.015</v>
      </c>
      <c r="V15" s="29" t="str">
        <v>-730</v>
      </c>
      <c r="W15" s="29" t="str">
        <v/>
      </c>
      <c r="X15" s="29" t="str">
        <v/>
      </c>
      <c r="Y15" s="29" t="str">
        <v>-320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149.56999999999994</v>
      </c>
      <c r="I16" s="7">
        <f t="shared" ca="1" si="4"/>
        <v>150.73000000000008</v>
      </c>
      <c r="J16" s="7">
        <f t="shared" ca="1" si="4"/>
        <v>62.640000000000029</v>
      </c>
      <c r="K16" s="7">
        <f t="shared" ca="1" si="4"/>
        <v>249.89999999999986</v>
      </c>
      <c r="L16" s="7">
        <f t="shared" ca="1" si="4"/>
        <v>-24.729999999999919</v>
      </c>
      <c r="M16" s="7">
        <f t="shared" ca="1" si="4"/>
        <v>102.38999999999976</v>
      </c>
      <c r="N16" s="7">
        <f t="shared" ca="1" si="4"/>
        <v>104.59999999999994</v>
      </c>
      <c r="O16" s="7">
        <f t="shared" ca="1" si="4"/>
        <v>60.550000000000281</v>
      </c>
      <c r="Q16" s="24" t="str">
        <v>CASY US EQUITY</v>
      </c>
      <c r="R16" s="24">
        <v>45930</v>
      </c>
      <c r="S16" s="25" t="str">
        <v>custom</v>
      </c>
      <c r="T16" s="26" t="str">
        <v>prepared_foods_sss_growth</v>
      </c>
      <c r="U16" s="30" t="str">
        <v>0.056</v>
      </c>
      <c r="V16" s="29" t="str">
        <v>120</v>
      </c>
      <c r="W16" s="29" t="str">
        <v/>
      </c>
      <c r="X16" s="29" t="str">
        <v/>
      </c>
      <c r="Y16" s="29" t="str">
        <v>410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CASY US EQUITY</v>
      </c>
      <c r="R17" s="24">
        <v>46022</v>
      </c>
      <c r="S17" s="25" t="str">
        <v>custom</v>
      </c>
      <c r="T17" s="26" t="str">
        <v>prepared_foods_sss_growth</v>
      </c>
      <c r="U17" s="30" t="str">
        <v>0.048</v>
      </c>
      <c r="V17" s="29" t="str">
        <v>-40</v>
      </c>
      <c r="W17" s="29" t="str">
        <v/>
      </c>
      <c r="X17" s="29" t="str">
        <v/>
      </c>
      <c r="Y17" s="29" t="str">
        <v>-80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CASY US EQUITY</v>
      </c>
      <c r="R18" s="24">
        <v>45747</v>
      </c>
      <c r="S18" s="25" t="str">
        <v>custom</v>
      </c>
      <c r="T18" s="26" t="str">
        <v>grocery_sss_growth</v>
      </c>
      <c r="U18" s="30" t="str">
        <v>0.033</v>
      </c>
      <c r="V18" s="29" t="str">
        <v>50</v>
      </c>
      <c r="W18" s="29" t="str">
        <v/>
      </c>
      <c r="X18" s="29" t="str">
        <v/>
      </c>
      <c r="Y18" s="29" t="str">
        <v>-30</v>
      </c>
    </row>
    <row r="19" spans="1:25" x14ac:dyDescent="0.25">
      <c r="C19" s="4" t="s">
        <v>5</v>
      </c>
      <c r="D19" s="1"/>
      <c r="K19" s="7"/>
      <c r="L19" s="7">
        <f ca="1">(L15-K15)*100</f>
        <v>-90.979999999999706</v>
      </c>
      <c r="M19" s="7">
        <f t="shared" ref="M19:O19" ca="1" si="5">(M15-L15)*100</f>
        <v>-18.490000000000251</v>
      </c>
      <c r="N19" s="7">
        <f t="shared" ca="1" si="5"/>
        <v>116.5300000000002</v>
      </c>
      <c r="O19" s="7">
        <f t="shared" ca="1" si="5"/>
        <v>53.490000000000038</v>
      </c>
      <c r="Q19" s="24" t="str">
        <v>CASY US EQUITY</v>
      </c>
      <c r="R19" s="24">
        <v>45838</v>
      </c>
      <c r="S19" s="25" t="str">
        <v>custom</v>
      </c>
      <c r="T19" s="26" t="str">
        <v>grocery_sss_growth</v>
      </c>
      <c r="U19" s="30" t="str">
        <v>0.018</v>
      </c>
      <c r="V19" s="29" t="str">
        <v>-250</v>
      </c>
      <c r="W19" s="29" t="str">
        <v/>
      </c>
      <c r="X19" s="29" t="str">
        <v/>
      </c>
      <c r="Y19" s="29" t="str">
        <v>-150</v>
      </c>
    </row>
    <row r="20" spans="1:25" x14ac:dyDescent="0.25">
      <c r="Q20" s="24" t="str">
        <v>CASY US EQUITY</v>
      </c>
      <c r="R20" s="24">
        <v>45930</v>
      </c>
      <c r="S20" s="25" t="str">
        <v>custom</v>
      </c>
      <c r="T20" s="26" t="str">
        <v>grocery_sss_growth</v>
      </c>
      <c r="U20" s="30" t="str">
        <v>0.038</v>
      </c>
      <c r="V20" s="29" t="str">
        <v>220</v>
      </c>
      <c r="W20" s="29" t="str">
        <v/>
      </c>
      <c r="X20" s="29" t="str">
        <v/>
      </c>
      <c r="Y20" s="29" t="str">
        <v>200</v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CASY US EQUITY</v>
      </c>
      <c r="R21" s="24">
        <v>46022</v>
      </c>
      <c r="S21" s="25" t="str">
        <v>custom</v>
      </c>
      <c r="T21" s="26" t="str">
        <v>grocery_sss_growth</v>
      </c>
      <c r="U21" s="30" t="str">
        <v>0.027</v>
      </c>
      <c r="V21" s="29" t="str">
        <v>-90</v>
      </c>
      <c r="W21" s="29" t="str">
        <v/>
      </c>
      <c r="X21" s="29" t="str">
        <v/>
      </c>
      <c r="Y21" s="29" t="str">
        <v>-110</v>
      </c>
    </row>
    <row r="22" spans="1:25" x14ac:dyDescent="0.25">
      <c r="D22" s="1" cm="1">
        <f t="array" aca="1" ref="D22:O23" ca="1">+_xll.BDH($B$2,C23,$B$3,$B$4,"DIR=H")</f>
        <v>44957</v>
      </c>
      <c r="E22" s="1">
        <f ca="1"/>
        <v>45046</v>
      </c>
      <c r="F22" s="1">
        <f ca="1"/>
        <v>45138</v>
      </c>
      <c r="G22" s="1">
        <f ca="1"/>
        <v>45230</v>
      </c>
      <c r="H22" s="1">
        <f ca="1"/>
        <v>45322</v>
      </c>
      <c r="I22" s="1">
        <f ca="1"/>
        <v>45412</v>
      </c>
      <c r="J22" s="1">
        <f ca="1"/>
        <v>45504</v>
      </c>
      <c r="K22" s="1">
        <f ca="1"/>
        <v>45596</v>
      </c>
      <c r="L22" s="1">
        <f ca="1"/>
        <v>45688</v>
      </c>
      <c r="M22" s="1">
        <f ca="1"/>
        <v>45777</v>
      </c>
      <c r="N22" s="1">
        <f ca="1"/>
        <v>45869</v>
      </c>
      <c r="O22" s="1">
        <f ca="1"/>
        <v>45961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CASY US EQUITY</v>
      </c>
      <c r="R22" s="24">
        <v>45747</v>
      </c>
      <c r="S22" s="25" t="str">
        <v>custom</v>
      </c>
      <c r="T22" s="26" t="str">
        <v>fuel_sss_growth</v>
      </c>
      <c r="U22" s="27" t="str">
        <v>0.018</v>
      </c>
      <c r="V22" s="28" t="str">
        <v>220</v>
      </c>
      <c r="W22" s="29" t="str">
        <v/>
      </c>
      <c r="X22" s="28" t="str">
        <v/>
      </c>
      <c r="Y22" s="29" t="str">
        <v>240</v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4.3102</v>
      </c>
      <c r="E23" s="3">
        <f ca="1"/>
        <v>2.5653000000000001</v>
      </c>
      <c r="F23" s="3">
        <f ca="1"/>
        <v>6.0475000000000003</v>
      </c>
      <c r="G23" s="3">
        <f ca="1"/>
        <v>5.4192999999999998</v>
      </c>
      <c r="H23" s="3">
        <f ca="1"/>
        <v>3.8647</v>
      </c>
      <c r="I23" s="3">
        <f ca="1"/>
        <v>3.5188999999999999</v>
      </c>
      <c r="J23" s="3">
        <f ca="1"/>
        <v>6.1344000000000003</v>
      </c>
      <c r="K23" s="3">
        <f ca="1"/>
        <v>6.3922999999999996</v>
      </c>
      <c r="L23" s="3">
        <f ca="1"/>
        <v>3.5137999999999998</v>
      </c>
      <c r="M23" s="3">
        <f ca="1"/>
        <v>3.8963999999999999</v>
      </c>
      <c r="N23" s="3">
        <f ca="1"/>
        <v>6.6848999999999998</v>
      </c>
      <c r="O23">
        <f ca="1"/>
        <v>6.6284000000000001</v>
      </c>
      <c r="Q23" s="24" t="str">
        <v>CASY US EQUITY</v>
      </c>
      <c r="R23" s="24">
        <v>45838</v>
      </c>
      <c r="S23" s="25" t="str">
        <v>custom</v>
      </c>
      <c r="T23" s="26" t="str">
        <v>fuel_sss_growth</v>
      </c>
      <c r="U23" s="27" t="str">
        <v>0.001</v>
      </c>
      <c r="V23" s="28" t="str">
        <v>-80</v>
      </c>
      <c r="W23" s="29" t="str">
        <v/>
      </c>
      <c r="X23" s="28" t="str">
        <v/>
      </c>
      <c r="Y23" s="29" t="str">
        <v>-170</v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-44.55</v>
      </c>
      <c r="I24" s="7">
        <f t="shared" ca="1" si="7"/>
        <v>95.359999999999985</v>
      </c>
      <c r="J24" s="7">
        <f t="shared" ca="1" si="7"/>
        <v>8.6899999999999977</v>
      </c>
      <c r="K24" s="7">
        <f t="shared" ca="1" si="7"/>
        <v>97.299999999999983</v>
      </c>
      <c r="L24" s="7">
        <f t="shared" ca="1" si="7"/>
        <v>-35.090000000000018</v>
      </c>
      <c r="M24" s="7">
        <f t="shared" ca="1" si="7"/>
        <v>37.749999999999993</v>
      </c>
      <c r="N24" s="7">
        <f t="shared" ca="1" si="7"/>
        <v>55.049999999999955</v>
      </c>
      <c r="O24" s="7">
        <f t="shared" ca="1" si="7"/>
        <v>23.610000000000042</v>
      </c>
      <c r="Q24" s="24" t="str">
        <v>CASY US EQUITY</v>
      </c>
      <c r="R24" s="24">
        <v>45930</v>
      </c>
      <c r="S24" s="25" t="str">
        <v>custom</v>
      </c>
      <c r="T24" s="26" t="str">
        <v>fuel_sss_growth</v>
      </c>
      <c r="U24" s="27" t="str">
        <v>0.017</v>
      </c>
      <c r="V24" s="28" t="str">
        <v>100</v>
      </c>
      <c r="W24" s="29" t="str">
        <v/>
      </c>
      <c r="X24" s="28" t="str">
        <v/>
      </c>
      <c r="Y24" s="29" t="str">
        <v>160</v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CASY US EQUITY</v>
      </c>
      <c r="R25" s="24">
        <v>46022</v>
      </c>
      <c r="S25" s="25" t="str">
        <v>custom</v>
      </c>
      <c r="T25" s="26" t="str">
        <v>fuel_sss_growth</v>
      </c>
      <c r="U25" s="27" t="str">
        <v>0.008</v>
      </c>
      <c r="V25" s="28" t="str">
        <v>140</v>
      </c>
      <c r="W25" s="29" t="str">
        <v/>
      </c>
      <c r="X25" s="28" t="str">
        <v/>
      </c>
      <c r="Y25" s="29" t="str">
        <v>-90</v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CASY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-287.84999999999997</v>
      </c>
      <c r="M27" s="7">
        <f t="shared" ref="M27:O27" ca="1" si="8">(M23-L23)*100</f>
        <v>38.260000000000005</v>
      </c>
      <c r="N27" s="7">
        <f t="shared" ca="1" si="8"/>
        <v>278.85000000000002</v>
      </c>
      <c r="O27" s="7">
        <f t="shared" ca="1" si="8"/>
        <v>-5.6499999999999773</v>
      </c>
      <c r="Q27" s="24" t="str">
        <v>CASY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CASY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CASY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45046</v>
      </c>
      <c r="F30" s="2">
        <v>45138</v>
      </c>
      <c r="G30" s="2">
        <v>45230</v>
      </c>
      <c r="H30" s="2">
        <v>45322</v>
      </c>
      <c r="I30" s="2">
        <v>45412</v>
      </c>
      <c r="J30" s="2">
        <v>45504</v>
      </c>
      <c r="K30" s="2">
        <v>45596</v>
      </c>
      <c r="L30" s="2">
        <v>45688</v>
      </c>
      <c r="M30" s="2">
        <v>45777</v>
      </c>
      <c r="N30" s="2">
        <v>45869</v>
      </c>
      <c r="O30" s="2">
        <v>45961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CASY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33</v>
      </c>
      <c r="C31" s="2" t="s">
        <v>34</v>
      </c>
      <c r="D31" s="10"/>
      <c r="E31" s="10"/>
      <c r="F31" s="10"/>
      <c r="G31" s="8">
        <v>6.0999999999999999E-2</v>
      </c>
      <c r="H31" s="8">
        <v>7.4999999999999997E-2</v>
      </c>
      <c r="I31" s="8">
        <v>8.7999999999999995E-2</v>
      </c>
      <c r="J31" s="8">
        <v>4.3999999999999997E-2</v>
      </c>
      <c r="K31" s="8">
        <v>5.1999999999999998E-2</v>
      </c>
      <c r="L31" s="8">
        <v>4.7E-2</v>
      </c>
      <c r="M31" s="8">
        <v>1.4999999999999999E-2</v>
      </c>
      <c r="N31" s="8">
        <v>5.6000000000000001E-2</v>
      </c>
      <c r="O31" s="8">
        <v>4.8000000000000001E-2</v>
      </c>
      <c r="Q31" s="24" t="str">
        <v>CASY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440</v>
      </c>
      <c r="K32" s="7">
        <f t="shared" si="10"/>
        <v>-90.000000000000014</v>
      </c>
      <c r="L32" s="7">
        <f t="shared" si="10"/>
        <v>-279.99999999999994</v>
      </c>
      <c r="M32" s="7">
        <f t="shared" si="10"/>
        <v>-730</v>
      </c>
      <c r="N32" s="7">
        <f t="shared" si="10"/>
        <v>120.00000000000004</v>
      </c>
      <c r="O32" s="7">
        <f t="shared" si="10"/>
        <v>-39.999999999999964</v>
      </c>
      <c r="Q32" s="24" t="str">
        <v>CASY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CASY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610</v>
      </c>
      <c r="H35" s="7">
        <f t="shared" si="11"/>
        <v>139.99999999999997</v>
      </c>
      <c r="I35" s="7">
        <f t="shared" si="11"/>
        <v>129.99999999999997</v>
      </c>
      <c r="J35" s="7">
        <f t="shared" si="11"/>
        <v>-440</v>
      </c>
      <c r="K35" s="7">
        <f t="shared" si="11"/>
        <v>80</v>
      </c>
      <c r="L35" s="7">
        <f>(L31-K31)*10000</f>
        <v>-49.999999999999972</v>
      </c>
      <c r="M35" s="7">
        <f t="shared" ref="M35:O35" si="12">(M31-L31)*10000</f>
        <v>-320</v>
      </c>
      <c r="N35" s="7">
        <f t="shared" si="12"/>
        <v>410</v>
      </c>
      <c r="O35" s="7">
        <f t="shared" si="12"/>
        <v>-80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91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/>
      <c r="E38" s="2">
        <v>45046</v>
      </c>
      <c r="F38" s="2">
        <v>45138</v>
      </c>
      <c r="G38" s="2">
        <v>45230</v>
      </c>
      <c r="H38" s="2">
        <v>45322</v>
      </c>
      <c r="I38" s="2">
        <v>45412</v>
      </c>
      <c r="J38" s="2">
        <v>45504</v>
      </c>
      <c r="K38" s="2">
        <v>45596</v>
      </c>
      <c r="L38" s="2">
        <v>45688</v>
      </c>
      <c r="M38" s="2">
        <v>45777</v>
      </c>
      <c r="N38" s="2">
        <v>45869</v>
      </c>
      <c r="O38" s="2">
        <v>45961</v>
      </c>
    </row>
    <row r="39" spans="1:25" x14ac:dyDescent="0.25">
      <c r="A39" s="16" t="s">
        <v>21</v>
      </c>
      <c r="B39" s="16" t="s">
        <v>35</v>
      </c>
      <c r="C39" s="2" t="s">
        <v>38</v>
      </c>
      <c r="D39" s="10"/>
      <c r="E39" s="10"/>
      <c r="F39" s="10"/>
      <c r="G39" s="8">
        <v>1.7000000000000001E-2</v>
      </c>
      <c r="H39" s="8">
        <v>2.8000000000000001E-2</v>
      </c>
      <c r="I39" s="8">
        <v>4.2999999999999997E-2</v>
      </c>
      <c r="J39" s="8">
        <v>1.6E-2</v>
      </c>
      <c r="K39" s="8">
        <v>3.5999999999999997E-2</v>
      </c>
      <c r="L39" s="8">
        <v>3.3000000000000002E-2</v>
      </c>
      <c r="M39" s="8">
        <v>1.7999999999999999E-2</v>
      </c>
      <c r="N39" s="8">
        <v>3.7999999999999999E-2</v>
      </c>
      <c r="O39" s="8">
        <v>2.7E-2</v>
      </c>
    </row>
    <row r="40" spans="1:25" x14ac:dyDescent="0.25">
      <c r="C40" s="4" t="s">
        <v>4</v>
      </c>
      <c r="D40" s="5"/>
      <c r="E40" s="4"/>
      <c r="F40" s="4"/>
      <c r="G40" s="4"/>
      <c r="H40" s="7"/>
      <c r="I40" s="7"/>
      <c r="J40" s="7">
        <f t="shared" ref="J40" si="14">(J39-F39)*10000</f>
        <v>160</v>
      </c>
      <c r="K40" s="7">
        <f t="shared" ref="K40" si="15">(K39-G39)*10000</f>
        <v>189.99999999999997</v>
      </c>
      <c r="L40" s="7">
        <f t="shared" ref="L40" si="16">(L39-H39)*10000</f>
        <v>50.000000000000007</v>
      </c>
      <c r="M40" s="7">
        <f t="shared" ref="M40" si="17">(M39-I39)*10000</f>
        <v>-249.99999999999997</v>
      </c>
      <c r="N40" s="7">
        <f t="shared" ref="N40:O40" si="18">(N39-J39)*10000</f>
        <v>220</v>
      </c>
      <c r="O40" s="7">
        <f t="shared" si="18"/>
        <v>-89.999999999999972</v>
      </c>
    </row>
    <row r="41" spans="1:25" x14ac:dyDescent="0.25">
      <c r="C41" s="4" t="s">
        <v>19</v>
      </c>
      <c r="D41" s="1"/>
      <c r="K41" s="7"/>
      <c r="L41" s="7"/>
      <c r="M41" s="7"/>
      <c r="N41" s="7"/>
      <c r="O41" s="7"/>
    </row>
    <row r="42" spans="1:25" x14ac:dyDescent="0.25">
      <c r="C42" s="4" t="s">
        <v>23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25">
      <c r="C43" s="4" t="s">
        <v>5</v>
      </c>
      <c r="D43" s="1"/>
      <c r="G43" s="7">
        <f t="shared" ref="G43:K43" si="19">(G39-F39)*10000</f>
        <v>170</v>
      </c>
      <c r="H43" s="7">
        <f t="shared" si="19"/>
        <v>110</v>
      </c>
      <c r="I43" s="7">
        <f t="shared" si="19"/>
        <v>149.99999999999997</v>
      </c>
      <c r="J43" s="7">
        <f t="shared" si="19"/>
        <v>-269.99999999999994</v>
      </c>
      <c r="K43" s="7">
        <f t="shared" si="19"/>
        <v>199.99999999999997</v>
      </c>
      <c r="L43" s="7">
        <f>(L39-K39)*10000</f>
        <v>-29.999999999999957</v>
      </c>
      <c r="M43" s="7">
        <f t="shared" ref="M43" si="20">(M39-L39)*10000</f>
        <v>-150.00000000000003</v>
      </c>
      <c r="N43" s="7">
        <f t="shared" ref="N43:O43" si="21">(N39-M39)*10000</f>
        <v>200</v>
      </c>
      <c r="O43" s="7">
        <f t="shared" si="21"/>
        <v>-110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 t="s">
        <v>12</v>
      </c>
      <c r="D45" s="14"/>
      <c r="E45" s="14">
        <f t="shared" ref="E45:L45" si="22">EOMONTH(DATE(YEAR(E46),ROUNDUP(MONTH(E46)/3,0)*3,1),0)</f>
        <v>45107</v>
      </c>
      <c r="F45" s="14">
        <f t="shared" si="22"/>
        <v>45199</v>
      </c>
      <c r="G45" s="14">
        <f t="shared" si="22"/>
        <v>45291</v>
      </c>
      <c r="H45" s="14">
        <f t="shared" si="22"/>
        <v>45382</v>
      </c>
      <c r="I45" s="14">
        <f t="shared" si="22"/>
        <v>45473</v>
      </c>
      <c r="J45" s="14">
        <f t="shared" si="22"/>
        <v>45565</v>
      </c>
      <c r="K45" s="14">
        <f t="shared" si="22"/>
        <v>45657</v>
      </c>
      <c r="L45" s="14">
        <f t="shared" si="22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  <c r="Q45" s="1"/>
      <c r="T45" s="11"/>
      <c r="U45" s="12"/>
      <c r="V45" s="7"/>
      <c r="W45" s="12"/>
      <c r="X45" s="7"/>
    </row>
    <row r="46" spans="1:25" x14ac:dyDescent="0.25">
      <c r="D46" s="2"/>
      <c r="E46" s="2">
        <v>45046</v>
      </c>
      <c r="F46" s="2">
        <v>45138</v>
      </c>
      <c r="G46" s="2">
        <v>45230</v>
      </c>
      <c r="H46" s="2">
        <v>45322</v>
      </c>
      <c r="I46" s="2">
        <v>45412</v>
      </c>
      <c r="J46" s="2">
        <v>45504</v>
      </c>
      <c r="K46" s="2">
        <v>45596</v>
      </c>
      <c r="L46" s="2">
        <v>45688</v>
      </c>
      <c r="M46" s="2">
        <v>45777</v>
      </c>
      <c r="N46" s="2">
        <v>45869</v>
      </c>
      <c r="O46" s="2">
        <v>45961</v>
      </c>
      <c r="Q46" s="1"/>
      <c r="T46" s="11"/>
      <c r="U46" s="12"/>
      <c r="V46" s="7"/>
      <c r="W46" s="12"/>
      <c r="X46" s="7"/>
    </row>
    <row r="47" spans="1:25" x14ac:dyDescent="0.25">
      <c r="A47" s="16" t="s">
        <v>21</v>
      </c>
      <c r="B47" s="16" t="s">
        <v>36</v>
      </c>
      <c r="C47" s="2" t="s">
        <v>37</v>
      </c>
      <c r="D47" s="10"/>
      <c r="E47" s="10"/>
      <c r="F47" s="10"/>
      <c r="G47" s="8">
        <v>0</v>
      </c>
      <c r="H47" s="8">
        <v>-4.0000000000000001E-3</v>
      </c>
      <c r="I47" s="8">
        <v>8.9999999999999993E-3</v>
      </c>
      <c r="J47" s="8">
        <v>7.0000000000000001E-3</v>
      </c>
      <c r="K47" s="8">
        <v>-6.0000000000000001E-3</v>
      </c>
      <c r="L47" s="8">
        <v>1.7999999999999999E-2</v>
      </c>
      <c r="M47" s="8">
        <v>1E-3</v>
      </c>
      <c r="N47" s="8">
        <v>1.7000000000000001E-2</v>
      </c>
      <c r="O47" s="8">
        <v>8.0000000000000002E-3</v>
      </c>
      <c r="Q47" s="1"/>
      <c r="T47" s="11"/>
      <c r="U47" s="12"/>
      <c r="V47" s="7"/>
      <c r="W47" s="12"/>
      <c r="X47" s="7"/>
    </row>
    <row r="48" spans="1:25" x14ac:dyDescent="0.25">
      <c r="C48" s="4" t="s">
        <v>4</v>
      </c>
      <c r="D48" s="5"/>
      <c r="E48" s="4"/>
      <c r="F48" s="4"/>
      <c r="G48" s="4"/>
      <c r="H48" s="7"/>
      <c r="I48" s="7"/>
      <c r="J48" s="7">
        <f t="shared" ref="J48" si="23">(J47-F47)*10000</f>
        <v>70</v>
      </c>
      <c r="K48" s="7">
        <f t="shared" ref="K48" si="24">(K47-G47)*10000</f>
        <v>-60</v>
      </c>
      <c r="L48" s="7">
        <f t="shared" ref="L48" si="25">(L47-H47)*10000</f>
        <v>220</v>
      </c>
      <c r="M48" s="7">
        <f t="shared" ref="M48" si="26">(M47-I47)*10000</f>
        <v>-80</v>
      </c>
      <c r="N48" s="7">
        <f t="shared" ref="N48:O48" si="27">(N47-J47)*10000</f>
        <v>100.00000000000001</v>
      </c>
      <c r="O48" s="7">
        <f t="shared" si="27"/>
        <v>140</v>
      </c>
    </row>
    <row r="49" spans="1:15" x14ac:dyDescent="0.25">
      <c r="C49" s="4" t="s">
        <v>19</v>
      </c>
      <c r="D49" s="1"/>
      <c r="K49" s="7"/>
      <c r="L49" s="7"/>
      <c r="M49" s="7"/>
      <c r="N49" s="7"/>
      <c r="O49" s="7"/>
    </row>
    <row r="50" spans="1:15" x14ac:dyDescent="0.25">
      <c r="C50" s="4" t="s">
        <v>23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 t="s">
        <v>5</v>
      </c>
      <c r="D51" s="1"/>
      <c r="G51" s="7">
        <f t="shared" ref="G51:K51" si="28">(G47-F47)*10000</f>
        <v>0</v>
      </c>
      <c r="H51" s="7">
        <f t="shared" si="28"/>
        <v>-40</v>
      </c>
      <c r="I51" s="7">
        <f t="shared" si="28"/>
        <v>130</v>
      </c>
      <c r="J51" s="7">
        <f t="shared" si="28"/>
        <v>-19.999999999999993</v>
      </c>
      <c r="K51" s="7">
        <f t="shared" si="28"/>
        <v>-130</v>
      </c>
      <c r="L51" s="7">
        <f>(L47-K47)*10000</f>
        <v>240</v>
      </c>
      <c r="M51" s="7">
        <f t="shared" ref="M51" si="29">(M47-L47)*10000</f>
        <v>-169.99999999999997</v>
      </c>
      <c r="N51" s="7">
        <f t="shared" ref="N51:O51" si="30">(N47-M47)*10000</f>
        <v>160</v>
      </c>
      <c r="O51" s="7">
        <f t="shared" si="30"/>
        <v>-90.000000000000014</v>
      </c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62D5-3841-4742-B946-E020C3465AE8}">
  <dimension ref="A1:Y67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28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MUSA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4525.4</v>
      </c>
      <c r="V2" s="28" t="str">
        <f ca="1"/>
        <v>-0.0657142267275017</v>
      </c>
      <c r="W2" s="29" t="str">
        <f ca="1"/>
        <v>50.1117720629063</v>
      </c>
      <c r="X2" s="28" t="str">
        <f ca="1"/>
        <v>-197.431014788361</v>
      </c>
      <c r="Y2" s="29" t="str">
        <f ca="1"/>
        <v>-0.0392747961956522</v>
      </c>
    </row>
    <row r="3" spans="1:25" x14ac:dyDescent="0.25">
      <c r="A3" s="18" t="s">
        <v>3</v>
      </c>
      <c r="B3" s="19">
        <f ca="1">+B4-365*3</f>
        <v>44989</v>
      </c>
      <c r="Q3" s="24" t="str">
        <f ca="1"/>
        <v>MUSA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5005</v>
      </c>
      <c r="V3" s="28" t="str">
        <f ca="1"/>
        <v>-0.0819377441898856</v>
      </c>
      <c r="W3" s="29" t="str">
        <f ca="1"/>
        <v>-162.235174623839</v>
      </c>
      <c r="X3" s="29" t="str">
        <f ca="1"/>
        <v>-580.003359469666</v>
      </c>
      <c r="Y3" s="29" t="str">
        <f ca="1"/>
        <v>0.105979581915411</v>
      </c>
    </row>
    <row r="4" spans="1:25" x14ac:dyDescent="0.25">
      <c r="A4" s="20" t="s">
        <v>2</v>
      </c>
      <c r="B4" s="21">
        <f ca="1">TODAY()</f>
        <v>46084</v>
      </c>
      <c r="Q4" s="24" t="str">
        <f ca="1"/>
        <v>MUSA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5110</v>
      </c>
      <c r="V4" s="28" t="str">
        <f ca="1"/>
        <v>-0.0245299226877923</v>
      </c>
      <c r="W4" s="29" t="str">
        <f ca="1"/>
        <v>574.078215020933</v>
      </c>
      <c r="X4" s="29" t="str">
        <f ca="1"/>
        <v>719.532867501076</v>
      </c>
      <c r="Y4" s="29" t="str">
        <f ca="1"/>
        <v>0.020979020979021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MUSA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4743.6</v>
      </c>
      <c r="V5" s="28" t="str">
        <f ca="1"/>
        <v>0.00704823369565233</v>
      </c>
      <c r="W5" s="29" t="str">
        <f ca="1"/>
        <v>315.781563834446</v>
      </c>
      <c r="X5" s="29" t="str">
        <f ca="1"/>
        <v>777.736376294447</v>
      </c>
      <c r="Y5" s="29" t="str">
        <f ca="1"/>
        <v>-0.071702544031311</v>
      </c>
    </row>
    <row r="6" spans="1:25" x14ac:dyDescent="0.2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MUSA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12.1703</v>
      </c>
      <c r="V6" s="29" t="str">
        <f ca="1"/>
        <v>100.32</v>
      </c>
      <c r="W6" s="29" t="str">
        <f ca="1"/>
        <v/>
      </c>
      <c r="X6" s="29" t="str">
        <f ca="1"/>
        <v/>
      </c>
      <c r="Y6" s="29" t="str">
        <f ca="1"/>
        <v>-232.32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5077.1000000000004</v>
      </c>
      <c r="E7" s="11">
        <f ca="1"/>
        <v>5585.4</v>
      </c>
      <c r="F7" s="11">
        <f ca="1"/>
        <v>5797.9</v>
      </c>
      <c r="G7" s="11">
        <f ca="1"/>
        <v>5068.8999999999996</v>
      </c>
      <c r="H7" s="11">
        <f ca="1"/>
        <v>4843.7</v>
      </c>
      <c r="I7" s="11">
        <f ca="1"/>
        <v>5451.7</v>
      </c>
      <c r="J7" s="11">
        <f ca="1"/>
        <v>5238.5</v>
      </c>
      <c r="K7" s="11">
        <f ca="1"/>
        <v>4710.3999999999996</v>
      </c>
      <c r="L7" s="11">
        <f ca="1"/>
        <v>4525.3999999999996</v>
      </c>
      <c r="M7" s="11">
        <f ca="1"/>
        <v>5005</v>
      </c>
      <c r="N7" s="11">
        <f ca="1"/>
        <v>5110</v>
      </c>
      <c r="O7" s="3">
        <f ca="1"/>
        <v>4743.6000000000004</v>
      </c>
      <c r="P7" s="1"/>
      <c r="Q7" s="24" t="str">
        <f ca="1"/>
        <v>MUSA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13.894</v>
      </c>
      <c r="V7" s="29" t="str">
        <f ca="1"/>
        <v>137.7</v>
      </c>
      <c r="W7" s="29" t="str">
        <f ca="1"/>
        <v/>
      </c>
      <c r="X7" s="29" t="str">
        <f ca="1"/>
        <v/>
      </c>
      <c r="Y7" s="29" t="str">
        <f ca="1"/>
        <v>172.37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-4.5971125248665645E-2</v>
      </c>
      <c r="I8" s="12">
        <f t="shared" ca="1" si="1"/>
        <v>-2.3937408242919012E-2</v>
      </c>
      <c r="J8" s="12">
        <f t="shared" ca="1" si="1"/>
        <v>-9.6483209437899897E-2</v>
      </c>
      <c r="K8" s="12">
        <f t="shared" ca="1" si="1"/>
        <v>-7.0725403933792341E-2</v>
      </c>
      <c r="L8" s="12">
        <f t="shared" ca="1" si="1"/>
        <v>-6.5714226727501712E-2</v>
      </c>
      <c r="M8" s="12">
        <f t="shared" ca="1" si="1"/>
        <v>-8.1937744189885642E-2</v>
      </c>
      <c r="N8" s="12">
        <f t="shared" ca="1" si="1"/>
        <v>-2.4529922687792305E-2</v>
      </c>
      <c r="O8" s="12">
        <f t="shared" ca="1" si="1"/>
        <v>7.0482336956523284E-3</v>
      </c>
      <c r="P8" s="3"/>
      <c r="Q8" s="24" t="str">
        <f ca="1"/>
        <v>MUSA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13.9299</v>
      </c>
      <c r="V8" s="29" t="str">
        <f ca="1"/>
        <v>52.37</v>
      </c>
      <c r="W8" s="29" t="str">
        <f ca="1"/>
        <v/>
      </c>
      <c r="X8" s="29" t="str">
        <f ca="1"/>
        <v/>
      </c>
      <c r="Y8" s="29" t="str">
        <f ca="1"/>
        <v>3.58999999999998</v>
      </c>
    </row>
    <row r="9" spans="1:25" x14ac:dyDescent="0.25">
      <c r="C9" s="4" t="s">
        <v>19</v>
      </c>
      <c r="D9" s="1"/>
      <c r="L9" s="7">
        <f ca="1">(L8-K8)*10000</f>
        <v>50.11177206290629</v>
      </c>
      <c r="M9" s="7">
        <f ca="1">(M8-L8)*10000</f>
        <v>-162.2351746238393</v>
      </c>
      <c r="N9" s="7">
        <f ca="1">(N8-M8)*10000</f>
        <v>574.07821502093338</v>
      </c>
      <c r="O9" s="7">
        <f ca="1">(O8-N8)*10000</f>
        <v>315.78156383444633</v>
      </c>
      <c r="Q9" s="22" t="str">
        <f ca="1"/>
        <v>MUSA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15.3861</v>
      </c>
      <c r="V9" s="29" t="str">
        <f ca="1"/>
        <v>89.2600000000002</v>
      </c>
      <c r="W9" s="29" t="str">
        <f ca="1"/>
        <v/>
      </c>
      <c r="X9" s="29" t="str">
        <f ca="1"/>
        <v/>
      </c>
      <c r="Y9" s="29" t="str">
        <f ca="1"/>
        <v>145.62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-197.43101478836067</v>
      </c>
      <c r="M10" s="7">
        <f ca="1">(M8-I8)*10000</f>
        <v>-580.00335946966629</v>
      </c>
      <c r="N10" s="7">
        <f ca="1">(N8-J8)*10000</f>
        <v>719.53286750107588</v>
      </c>
      <c r="O10" s="7">
        <f ca="1">(O8-K8)*10000</f>
        <v>777.7363762944467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MUSA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2.2146</v>
      </c>
      <c r="V10" s="29" t="str">
        <f ca="1"/>
        <v>-24.05</v>
      </c>
      <c r="W10" s="29" t="str">
        <f ca="1"/>
        <v/>
      </c>
      <c r="X10" s="29" t="str">
        <f ca="1"/>
        <v/>
      </c>
      <c r="Y10" s="29" t="str">
        <f ca="1"/>
        <v>-260.04</v>
      </c>
    </row>
    <row r="11" spans="1:25" x14ac:dyDescent="0.25">
      <c r="C11" s="4" t="s">
        <v>5</v>
      </c>
      <c r="D11" s="1"/>
      <c r="L11" s="12">
        <f t="shared" ref="L11:O11" ca="1" si="2">L7/K7-1</f>
        <v>-3.9274796195652217E-2</v>
      </c>
      <c r="M11" s="12">
        <f t="shared" ca="1" si="2"/>
        <v>0.10597958191541079</v>
      </c>
      <c r="N11" s="12">
        <f t="shared" ca="1" si="2"/>
        <v>2.0979020979021046E-2</v>
      </c>
      <c r="O11" s="12">
        <f t="shared" ca="1" si="2"/>
        <v>-7.1702544031311044E-2</v>
      </c>
      <c r="Q11" s="24" t="str">
        <f ca="1"/>
        <v>MUSA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4.9756</v>
      </c>
      <c r="V11" s="29" t="str">
        <f ca="1"/>
        <v>50.32</v>
      </c>
      <c r="W11" s="29" t="str">
        <f ca="1"/>
        <v/>
      </c>
      <c r="X11" s="29" t="str">
        <f ca="1"/>
        <v/>
      </c>
      <c r="Y11" s="29" t="str">
        <f ca="1"/>
        <v>276.1</v>
      </c>
    </row>
    <row r="12" spans="1:25" x14ac:dyDescent="0.25">
      <c r="Q12" s="24" t="str">
        <f ca="1"/>
        <v>MUSA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4.4883</v>
      </c>
      <c r="V12" s="29" t="str">
        <f ca="1"/>
        <v>-29.02</v>
      </c>
      <c r="W12" s="29" t="str">
        <f ca="1"/>
        <v/>
      </c>
      <c r="X12" s="29" t="str">
        <f ca="1"/>
        <v/>
      </c>
      <c r="Y12" s="29" t="str">
        <f ca="1"/>
        <v>-48.73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MUSA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5.0571</v>
      </c>
      <c r="V13" s="29" t="str">
        <f ca="1"/>
        <v>24.21</v>
      </c>
      <c r="W13" s="29" t="str">
        <f ca="1"/>
        <v/>
      </c>
      <c r="X13" s="29" t="str">
        <f ca="1"/>
        <v/>
      </c>
      <c r="Y13" s="29" t="str">
        <f ca="1"/>
        <v>56.88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MUSA US EQUITY</v>
      </c>
      <c r="R14" s="24">
        <v>45747</v>
      </c>
      <c r="S14" s="25" t="str">
        <v>custom</v>
      </c>
      <c r="T14" s="26" t="str">
        <v>petroleum_sss_growth</v>
      </c>
      <c r="U14" s="30" t="str">
        <v>-0.018</v>
      </c>
      <c r="V14" s="29" t="str">
        <v>-90</v>
      </c>
      <c r="W14" s="29" t="str">
        <v/>
      </c>
      <c r="X14" s="29" t="str">
        <v/>
      </c>
      <c r="Y14" s="29" t="str">
        <v>100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11.4178</v>
      </c>
      <c r="E15" s="3">
        <f ca="1"/>
        <v>11.4842</v>
      </c>
      <c r="F15" s="3">
        <f ca="1"/>
        <v>12.109400000000001</v>
      </c>
      <c r="G15" s="3">
        <f ca="1"/>
        <v>13.148</v>
      </c>
      <c r="H15" s="3">
        <f ca="1"/>
        <v>11.1671</v>
      </c>
      <c r="I15" s="3">
        <f ca="1"/>
        <v>12.516999999999999</v>
      </c>
      <c r="J15" s="3">
        <f ca="1"/>
        <v>13.4062</v>
      </c>
      <c r="K15" s="3">
        <f ca="1"/>
        <v>14.493499999999999</v>
      </c>
      <c r="L15" s="3">
        <f ca="1"/>
        <v>12.170299999999999</v>
      </c>
      <c r="M15" s="3">
        <f ca="1"/>
        <v>13.894</v>
      </c>
      <c r="N15" s="3">
        <f ca="1"/>
        <v>13.9299</v>
      </c>
      <c r="O15">
        <f ca="1"/>
        <v>15.386100000000001</v>
      </c>
      <c r="Q15" s="24" t="str">
        <v>MUSA US EQUITY</v>
      </c>
      <c r="R15" s="24">
        <v>45838</v>
      </c>
      <c r="S15" s="25" t="str">
        <v>custom</v>
      </c>
      <c r="T15" s="26" t="str">
        <v>petroleum_sss_growth</v>
      </c>
      <c r="U15" s="30" t="str">
        <v>-0.032</v>
      </c>
      <c r="V15" s="29" t="str">
        <v>-190</v>
      </c>
      <c r="W15" s="29" t="str">
        <v/>
      </c>
      <c r="X15" s="29" t="str">
        <v/>
      </c>
      <c r="Y15" s="29" t="str">
        <v>-140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-25.070000000000014</v>
      </c>
      <c r="I16" s="7">
        <f t="shared" ca="1" si="4"/>
        <v>103.28</v>
      </c>
      <c r="J16" s="7">
        <f t="shared" ca="1" si="4"/>
        <v>129.67999999999992</v>
      </c>
      <c r="K16" s="7">
        <f t="shared" ca="1" si="4"/>
        <v>134.54999999999995</v>
      </c>
      <c r="L16" s="7">
        <f t="shared" ca="1" si="4"/>
        <v>100.31999999999996</v>
      </c>
      <c r="M16" s="7">
        <f t="shared" ca="1" si="4"/>
        <v>137.70000000000007</v>
      </c>
      <c r="N16" s="7">
        <f t="shared" ca="1" si="4"/>
        <v>52.369999999999983</v>
      </c>
      <c r="O16" s="7">
        <f t="shared" ca="1" si="4"/>
        <v>89.260000000000161</v>
      </c>
      <c r="Q16" s="24" t="str">
        <v>MUSA US EQUITY</v>
      </c>
      <c r="R16" s="24">
        <v>45930</v>
      </c>
      <c r="S16" s="25" t="str">
        <v>custom</v>
      </c>
      <c r="T16" s="26" t="str">
        <v>petroleum_sss_growth</v>
      </c>
      <c r="U16" s="30" t="str">
        <v>-0.026</v>
      </c>
      <c r="V16" s="29" t="str">
        <v>-310</v>
      </c>
      <c r="W16" s="29" t="str">
        <v/>
      </c>
      <c r="X16" s="29" t="str">
        <v/>
      </c>
      <c r="Y16" s="29" t="str">
        <v>60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MUSA US EQUITY</v>
      </c>
      <c r="R17" s="24">
        <v>46022</v>
      </c>
      <c r="S17" s="25" t="str">
        <v>custom</v>
      </c>
      <c r="T17" s="26" t="str">
        <v>petroleum_sss_growth</v>
      </c>
      <c r="U17" s="30" t="str">
        <v>-0.006</v>
      </c>
      <c r="V17" s="29" t="str">
        <v>220</v>
      </c>
      <c r="W17" s="29" t="str">
        <v/>
      </c>
      <c r="X17" s="29" t="str">
        <v/>
      </c>
      <c r="Y17" s="29" t="str">
        <v>200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MUSA US EQUITY</v>
      </c>
      <c r="R18" s="24">
        <v>45747</v>
      </c>
      <c r="S18" s="25" t="str">
        <v>custom</v>
      </c>
      <c r="T18" s="26" t="str">
        <v>merchandise_sss</v>
      </c>
      <c r="U18" s="30" t="str">
        <v>38.4</v>
      </c>
      <c r="V18" s="29" t="str">
        <v>0.0158730158730158</v>
      </c>
      <c r="W18" s="29" t="str">
        <v>-147.392290249433</v>
      </c>
      <c r="X18" s="29" t="str">
        <v>-57.4860574860581</v>
      </c>
      <c r="Y18" s="29" t="str">
        <v>-0.0495049504950495</v>
      </c>
    </row>
    <row r="19" spans="1:25" x14ac:dyDescent="0.25">
      <c r="C19" s="4" t="s">
        <v>5</v>
      </c>
      <c r="D19" s="1"/>
      <c r="K19" s="7"/>
      <c r="L19" s="7">
        <f ca="1">(L15-K15)*100</f>
        <v>-232.32</v>
      </c>
      <c r="M19" s="7">
        <f t="shared" ref="M19:O19" ca="1" si="5">(M15-L15)*100</f>
        <v>172.37000000000009</v>
      </c>
      <c r="N19" s="7">
        <f t="shared" ca="1" si="5"/>
        <v>3.5899999999999821</v>
      </c>
      <c r="O19" s="7">
        <f t="shared" ca="1" si="5"/>
        <v>145.62000000000009</v>
      </c>
      <c r="Q19" s="24" t="str">
        <v>MUSA US EQUITY</v>
      </c>
      <c r="R19" s="24">
        <v>45838</v>
      </c>
      <c r="S19" s="25" t="str">
        <v>custom</v>
      </c>
      <c r="T19" s="26" t="str">
        <v>merchandise_sss</v>
      </c>
      <c r="U19" s="30" t="str">
        <v>42.8</v>
      </c>
      <c r="V19" s="29" t="str">
        <v>0</v>
      </c>
      <c r="W19" s="29" t="str">
        <v>-158.730158730158</v>
      </c>
      <c r="X19" s="29" t="str">
        <v>-515.970515970514</v>
      </c>
      <c r="Y19" s="29" t="str">
        <v>0.114583333333333</v>
      </c>
    </row>
    <row r="20" spans="1:25" x14ac:dyDescent="0.25">
      <c r="Q20" s="24" t="str">
        <v>MUSA US EQUITY</v>
      </c>
      <c r="R20" s="24">
        <v>45930</v>
      </c>
      <c r="S20" s="25" t="str">
        <v>custom</v>
      </c>
      <c r="T20" s="26" t="str">
        <v>merchandise_sss</v>
      </c>
      <c r="U20" s="30" t="str">
        <v>46.5</v>
      </c>
      <c r="V20" s="29" t="str">
        <v>0.0889929742388758</v>
      </c>
      <c r="W20" s="29" t="str">
        <v>889.929742388758</v>
      </c>
      <c r="X20" s="29" t="str">
        <v>698.998954799257</v>
      </c>
      <c r="Y20" s="29" t="str">
        <v>0.0864485981308412</v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MUSA US EQUITY</v>
      </c>
      <c r="R21" s="24">
        <v>46022</v>
      </c>
      <c r="S21" s="25" t="str">
        <v>custom</v>
      </c>
      <c r="T21" s="26" t="str">
        <v>merchandise_sss</v>
      </c>
      <c r="U21" s="30" t="str">
        <v>40.7</v>
      </c>
      <c r="V21" s="29" t="str">
        <v>0.00742574257425743</v>
      </c>
      <c r="W21" s="29" t="str">
        <v>-815.672316646183</v>
      </c>
      <c r="X21" s="29" t="str">
        <v>-231.865023237017</v>
      </c>
      <c r="Y21" s="29" t="str">
        <v>-0.124731182795699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MUSA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3.5918999999999999</v>
      </c>
      <c r="E23" s="3">
        <f ca="1"/>
        <v>3.9809999999999999</v>
      </c>
      <c r="F23" s="3">
        <f ca="1"/>
        <v>4.7413999999999996</v>
      </c>
      <c r="G23" s="3">
        <f ca="1"/>
        <v>4.8280000000000003</v>
      </c>
      <c r="H23" s="3">
        <f ca="1"/>
        <v>2.4550999999999998</v>
      </c>
      <c r="I23" s="3">
        <f ca="1"/>
        <v>4.4724000000000004</v>
      </c>
      <c r="J23" s="3">
        <f ca="1"/>
        <v>4.7785000000000002</v>
      </c>
      <c r="K23" s="3">
        <f ca="1"/>
        <v>4.8150000000000004</v>
      </c>
      <c r="L23" s="3">
        <f ca="1"/>
        <v>2.2145999999999999</v>
      </c>
      <c r="M23" s="3">
        <f ca="1"/>
        <v>4.9756</v>
      </c>
      <c r="N23" s="3">
        <f ca="1"/>
        <v>4.4882999999999997</v>
      </c>
      <c r="O23">
        <f ca="1"/>
        <v>5.0571000000000002</v>
      </c>
      <c r="Q23" s="24" t="str">
        <v>MUSA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-113.68</v>
      </c>
      <c r="I24" s="7">
        <f t="shared" ca="1" si="7"/>
        <v>49.14000000000005</v>
      </c>
      <c r="J24" s="7">
        <f t="shared" ca="1" si="7"/>
        <v>3.7100000000000577</v>
      </c>
      <c r="K24" s="7">
        <f t="shared" ca="1" si="7"/>
        <v>-1.2999999999999901</v>
      </c>
      <c r="L24" s="7">
        <f t="shared" ca="1" si="7"/>
        <v>-24.049999999999994</v>
      </c>
      <c r="M24" s="7">
        <f t="shared" ca="1" si="7"/>
        <v>50.319999999999965</v>
      </c>
      <c r="N24" s="7">
        <f t="shared" ca="1" si="7"/>
        <v>-29.020000000000046</v>
      </c>
      <c r="O24" s="7">
        <f t="shared" ca="1" si="7"/>
        <v>24.209999999999976</v>
      </c>
      <c r="Q24" s="24" t="str">
        <v>MUSA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MUSA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MUSA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-260.04000000000008</v>
      </c>
      <c r="M27" s="7">
        <f t="shared" ref="M27:O27" ca="1" si="8">(M23-L23)*100</f>
        <v>276.10000000000002</v>
      </c>
      <c r="N27" s="7">
        <f t="shared" ca="1" si="8"/>
        <v>-48.730000000000032</v>
      </c>
      <c r="O27" s="7">
        <f t="shared" ca="1" si="8"/>
        <v>56.880000000000038</v>
      </c>
      <c r="Q27" s="24" t="str">
        <v>MUSA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MUSA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MUSA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MUSA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39</v>
      </c>
      <c r="C31" s="2" t="s">
        <v>40</v>
      </c>
      <c r="D31" s="10"/>
      <c r="E31" s="10"/>
      <c r="F31" s="10"/>
      <c r="G31" s="8">
        <v>-0.02</v>
      </c>
      <c r="H31" s="8">
        <v>-8.9999999999999993E-3</v>
      </c>
      <c r="I31" s="8">
        <v>-1.2999999999999999E-2</v>
      </c>
      <c r="J31" s="8">
        <v>5.0000000000000001E-3</v>
      </c>
      <c r="K31" s="8">
        <v>-2.8000000000000001E-2</v>
      </c>
      <c r="L31" s="8">
        <v>-1.7999999999999999E-2</v>
      </c>
      <c r="M31" s="8">
        <v>-3.2000000000000001E-2</v>
      </c>
      <c r="N31" s="8">
        <v>-2.5999999999999999E-2</v>
      </c>
      <c r="O31" s="8">
        <v>-6.0000000000000001E-3</v>
      </c>
      <c r="Q31" s="24" t="str">
        <v>MUSA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50</v>
      </c>
      <c r="K32" s="7">
        <f t="shared" si="10"/>
        <v>-80</v>
      </c>
      <c r="L32" s="7">
        <f t="shared" si="10"/>
        <v>-90</v>
      </c>
      <c r="M32" s="7">
        <f t="shared" si="10"/>
        <v>-190.00000000000003</v>
      </c>
      <c r="N32" s="7">
        <f t="shared" si="10"/>
        <v>-310</v>
      </c>
      <c r="O32" s="7">
        <f t="shared" si="10"/>
        <v>220</v>
      </c>
      <c r="Q32" s="24" t="str">
        <v>MUSA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MUSA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-200</v>
      </c>
      <c r="H35" s="7">
        <f t="shared" si="11"/>
        <v>110.00000000000001</v>
      </c>
      <c r="I35" s="7">
        <f t="shared" si="11"/>
        <v>-40</v>
      </c>
      <c r="J35" s="7">
        <f t="shared" si="11"/>
        <v>180</v>
      </c>
      <c r="K35" s="7">
        <f t="shared" si="11"/>
        <v>-330</v>
      </c>
      <c r="L35" s="7">
        <f>(L31-K31)*10000</f>
        <v>100.00000000000001</v>
      </c>
      <c r="M35" s="7">
        <f t="shared" ref="M35:O35" si="12">(M31-L31)*10000</f>
        <v>-140.00000000000003</v>
      </c>
      <c r="N35" s="7">
        <f t="shared" si="12"/>
        <v>60.000000000000021</v>
      </c>
      <c r="O35" s="7">
        <f t="shared" si="12"/>
        <v>199.99999999999997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45016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25">
      <c r="A39" s="16" t="s">
        <v>21</v>
      </c>
      <c r="B39" s="16" t="s">
        <v>42</v>
      </c>
      <c r="C39" s="2" t="s">
        <v>41</v>
      </c>
      <c r="D39" s="32">
        <v>37</v>
      </c>
      <c r="E39" s="32">
        <v>40.700000000000003</v>
      </c>
      <c r="F39" s="32">
        <v>41.9</v>
      </c>
      <c r="G39" s="32">
        <v>39.200000000000003</v>
      </c>
      <c r="H39" s="32">
        <v>37.799999999999997</v>
      </c>
      <c r="I39" s="32">
        <v>42.8</v>
      </c>
      <c r="J39" s="32">
        <v>42.7</v>
      </c>
      <c r="K39" s="32">
        <v>40.4</v>
      </c>
      <c r="L39" s="32">
        <v>38.4</v>
      </c>
      <c r="M39" s="32">
        <v>42.8</v>
      </c>
      <c r="N39" s="32">
        <v>46.5</v>
      </c>
      <c r="O39" s="32">
        <v>40.700000000000003</v>
      </c>
    </row>
    <row r="40" spans="1:25" x14ac:dyDescent="0.25">
      <c r="C40" s="4" t="s">
        <v>4</v>
      </c>
      <c r="D40" s="5"/>
      <c r="E40" s="4"/>
      <c r="F40" s="4"/>
      <c r="G40" s="12"/>
      <c r="H40" s="12">
        <f t="shared" ref="H40" si="14">+H39/D39-1</f>
        <v>2.1621621621621623E-2</v>
      </c>
      <c r="I40" s="12">
        <f t="shared" ref="I40" si="15">+I39/E39-1</f>
        <v>5.1597051597051413E-2</v>
      </c>
      <c r="J40" s="12">
        <f t="shared" ref="J40" si="16">+J39/F39-1</f>
        <v>1.9093078758950055E-2</v>
      </c>
      <c r="K40" s="12">
        <f t="shared" ref="K40" si="17">+K39/G39-1</f>
        <v>3.0612244897959107E-2</v>
      </c>
      <c r="L40" s="12">
        <f t="shared" ref="L40" si="18">+L39/H39-1</f>
        <v>1.5873015873015817E-2</v>
      </c>
      <c r="M40" s="12">
        <f t="shared" ref="M40" si="19">+M39/I39-1</f>
        <v>0</v>
      </c>
      <c r="N40" s="12">
        <f t="shared" ref="N40" si="20">+N39/J39-1</f>
        <v>8.8992974238875755E-2</v>
      </c>
      <c r="O40" s="12">
        <f t="shared" ref="O40" si="21">+O39/K39-1</f>
        <v>7.4257425742574323E-3</v>
      </c>
    </row>
    <row r="41" spans="1:25" x14ac:dyDescent="0.25">
      <c r="C41" s="4" t="s">
        <v>19</v>
      </c>
      <c r="D41" s="1"/>
      <c r="L41" s="7">
        <f>(L40-K40)*10000</f>
        <v>-147.3922902494329</v>
      </c>
      <c r="M41" s="7">
        <f>(M40-L40)*10000</f>
        <v>-158.73015873015817</v>
      </c>
      <c r="N41" s="7">
        <f>(N40-M40)*10000</f>
        <v>889.92974238875752</v>
      </c>
      <c r="O41" s="7">
        <f>(O40-N40)*10000</f>
        <v>-815.67231664618328</v>
      </c>
    </row>
    <row r="42" spans="1:25" x14ac:dyDescent="0.2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-57.486057486058058</v>
      </c>
      <c r="M42" s="7">
        <f>(M40-I40)*10000</f>
        <v>-515.97051597051416</v>
      </c>
      <c r="N42" s="7">
        <f>(N40-J40)*10000</f>
        <v>698.99895479925704</v>
      </c>
      <c r="O42" s="7">
        <f>(O40-K40)*10000</f>
        <v>-231.86502323701674</v>
      </c>
    </row>
    <row r="43" spans="1:25" x14ac:dyDescent="0.25">
      <c r="C43" s="4" t="s">
        <v>5</v>
      </c>
      <c r="D43" s="1"/>
      <c r="L43" s="12">
        <f t="shared" ref="L43" si="22">L39/K39-1</f>
        <v>-4.9504950495049549E-2</v>
      </c>
      <c r="M43" s="12">
        <f t="shared" ref="M43" si="23">M39/L39-1</f>
        <v>0.11458333333333326</v>
      </c>
      <c r="N43" s="12">
        <f t="shared" ref="N43" si="24">N39/M39-1</f>
        <v>8.6448598130841159E-2</v>
      </c>
      <c r="O43" s="12">
        <f t="shared" ref="O43" si="25">O39/N39-1</f>
        <v>-0.12473118279569884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2"/>
      <c r="D47" s="10"/>
      <c r="E47" s="10"/>
      <c r="F47" s="10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1EA-7083-45F0-96BB-C177BEA6A2E2}">
  <dimension ref="A1:Y67"/>
  <sheetViews>
    <sheetView zoomScale="85" zoomScaleNormal="85" workbookViewId="0">
      <selection activeCell="L24" sqref="L2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ORLY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4136.924</v>
      </c>
      <c r="V2" s="28" t="str">
        <f ca="1"/>
        <v>0.0404110415870269</v>
      </c>
      <c r="W2" s="29" t="str">
        <f ca="1"/>
        <v>-283.74179765186</v>
      </c>
      <c r="X2" s="28" t="str">
        <f ca="1"/>
        <v>-319.691751631019</v>
      </c>
      <c r="Y2" s="29" t="str">
        <f ca="1"/>
        <v>0.0100896058966682</v>
      </c>
    </row>
    <row r="3" spans="1:25" x14ac:dyDescent="0.25">
      <c r="A3" s="18" t="s">
        <v>3</v>
      </c>
      <c r="B3" s="19">
        <f ca="1">+B4-365*3</f>
        <v>44989</v>
      </c>
      <c r="Q3" s="24" t="str">
        <f ca="1"/>
        <v>ORLY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4525.058</v>
      </c>
      <c r="V3" s="28" t="str">
        <f ca="1"/>
        <v>0.0591865878969646</v>
      </c>
      <c r="W3" s="29" t="str">
        <f ca="1"/>
        <v>187.755463099377</v>
      </c>
      <c r="X3" s="29" t="str">
        <f ca="1"/>
        <v>92.4545998589288</v>
      </c>
      <c r="Y3" s="29" t="str">
        <f ca="1"/>
        <v>0.093821883118955</v>
      </c>
    </row>
    <row r="4" spans="1:25" x14ac:dyDescent="0.25">
      <c r="A4" s="20" t="s">
        <v>2</v>
      </c>
      <c r="B4" s="21">
        <f ca="1">TODAY()</f>
        <v>46084</v>
      </c>
      <c r="Q4" s="24" t="str">
        <f ca="1"/>
        <v>ORLY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4705.696</v>
      </c>
      <c r="V4" s="28" t="str">
        <f ca="1"/>
        <v>0.0781908411096321</v>
      </c>
      <c r="W4" s="29" t="str">
        <f ca="1"/>
        <v>190.042532126675</v>
      </c>
      <c r="X4" s="29" t="str">
        <f ca="1"/>
        <v>398.747716607601</v>
      </c>
      <c r="Y4" s="29" t="str">
        <f ca="1"/>
        <v>0.0399194883247904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ORLY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4414.314</v>
      </c>
      <c r="V5" s="28" t="str">
        <f ca="1"/>
        <v>0.0778183714673377</v>
      </c>
      <c r="W5" s="29" t="str">
        <f ca="1"/>
        <v>-3.72469642294426</v>
      </c>
      <c r="X5" s="29" t="str">
        <f ca="1"/>
        <v>90.3315011512484</v>
      </c>
      <c r="Y5" s="29" t="str">
        <f ca="1"/>
        <v>-0.0619211270766321</v>
      </c>
    </row>
    <row r="6" spans="1:25" x14ac:dyDescent="0.2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ORLY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51.2817</v>
      </c>
      <c r="V6" s="29" t="str">
        <f ca="1"/>
        <v>12.35</v>
      </c>
      <c r="W6" s="29" t="str">
        <f ca="1"/>
        <v/>
      </c>
      <c r="X6" s="29" t="str">
        <f ca="1"/>
        <v/>
      </c>
      <c r="Y6" s="29" t="str">
        <f ca="1"/>
        <v>-1.80000000000007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3707.864</v>
      </c>
      <c r="E7" s="11">
        <f ca="1"/>
        <v>4068.991</v>
      </c>
      <c r="F7" s="11">
        <f ca="1"/>
        <v>4203.38</v>
      </c>
      <c r="G7" s="11">
        <f ca="1"/>
        <v>3832.0149999999999</v>
      </c>
      <c r="H7" s="11">
        <f ca="1"/>
        <v>3976.24</v>
      </c>
      <c r="I7" s="11">
        <f ca="1"/>
        <v>4272.201</v>
      </c>
      <c r="J7" s="11">
        <f ca="1"/>
        <v>4364.4369999999999</v>
      </c>
      <c r="K7" s="11">
        <f ca="1"/>
        <v>4095.6010000000001</v>
      </c>
      <c r="L7" s="11">
        <f ca="1"/>
        <v>4136.924</v>
      </c>
      <c r="M7" s="11">
        <f ca="1"/>
        <v>4525.058</v>
      </c>
      <c r="N7" s="11">
        <f ca="1"/>
        <v>4705.6959999999999</v>
      </c>
      <c r="O7" s="3">
        <f ca="1"/>
        <v>4414.3140000000003</v>
      </c>
      <c r="P7" s="1"/>
      <c r="Q7" s="24" t="str">
        <f ca="1"/>
        <v>ORLY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51.4145</v>
      </c>
      <c r="V7" s="29" t="str">
        <f ca="1"/>
        <v>66.6399999999996</v>
      </c>
      <c r="W7" s="29" t="str">
        <f ca="1"/>
        <v/>
      </c>
      <c r="X7" s="29" t="str">
        <f ca="1"/>
        <v/>
      </c>
      <c r="Y7" s="29" t="str">
        <f ca="1"/>
        <v>13.2799999999996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7.2380216750128845E-2</v>
      </c>
      <c r="I8" s="12">
        <f t="shared" ca="1" si="1"/>
        <v>4.9941127911071748E-2</v>
      </c>
      <c r="J8" s="12">
        <f t="shared" ca="1" si="1"/>
        <v>3.8316069448872003E-2</v>
      </c>
      <c r="K8" s="12">
        <f t="shared" ca="1" si="1"/>
        <v>6.8785221352212877E-2</v>
      </c>
      <c r="L8" s="12">
        <f t="shared" ca="1" si="1"/>
        <v>4.0411041587026908E-2</v>
      </c>
      <c r="M8" s="12">
        <f t="shared" ca="1" si="1"/>
        <v>5.9186587896964626E-2</v>
      </c>
      <c r="N8" s="12">
        <f t="shared" ca="1" si="1"/>
        <v>7.8190841109632148E-2</v>
      </c>
      <c r="O8" s="12">
        <f t="shared" ca="1" si="1"/>
        <v>7.7818371467337721E-2</v>
      </c>
      <c r="P8" s="3"/>
      <c r="Q8" s="24" t="str">
        <f ca="1"/>
        <v>ORLY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51.8509</v>
      </c>
      <c r="V8" s="29" t="str">
        <f ca="1"/>
        <v>26.9800000000004</v>
      </c>
      <c r="W8" s="29" t="str">
        <f ca="1"/>
        <v/>
      </c>
      <c r="X8" s="29" t="str">
        <f ca="1"/>
        <v/>
      </c>
      <c r="Y8" s="29" t="str">
        <f ca="1"/>
        <v>43.6400000000006</v>
      </c>
    </row>
    <row r="9" spans="1:25" x14ac:dyDescent="0.25">
      <c r="C9" s="4" t="s">
        <v>19</v>
      </c>
      <c r="D9" s="1"/>
      <c r="L9" s="7">
        <f ca="1">(L8-K8)*10000</f>
        <v>-283.74179765185971</v>
      </c>
      <c r="M9" s="7">
        <f ca="1">(M8-L8)*10000</f>
        <v>187.75546309937718</v>
      </c>
      <c r="N9" s="7">
        <f ca="1">(N8-M8)*10000</f>
        <v>190.04253212667521</v>
      </c>
      <c r="O9" s="7">
        <f ca="1">(O8-N8)*10000</f>
        <v>-3.7246964229442625</v>
      </c>
      <c r="Q9" s="22" t="str">
        <f ca="1"/>
        <v>ORLY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51.79</v>
      </c>
      <c r="V9" s="29" t="str">
        <f ca="1"/>
        <v>49.0299999999998</v>
      </c>
      <c r="W9" s="29" t="str">
        <f ca="1"/>
        <v/>
      </c>
      <c r="X9" s="29" t="str">
        <f ca="1"/>
        <v/>
      </c>
      <c r="Y9" s="29" t="str">
        <f ca="1"/>
        <v>-6.09000000000037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-319.69175163101937</v>
      </c>
      <c r="M10" s="7">
        <f ca="1">(M8-I8)*10000</f>
        <v>92.454599858928788</v>
      </c>
      <c r="N10" s="7">
        <f ca="1">(N8-J8)*10000</f>
        <v>398.74771660760143</v>
      </c>
      <c r="O10" s="7">
        <f ca="1">(O8-K8)*10000</f>
        <v>90.331501151248432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ORLY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17.9231</v>
      </c>
      <c r="V10" s="29" t="str">
        <f ca="1"/>
        <v>-100.13</v>
      </c>
      <c r="W10" s="29" t="str">
        <f ca="1"/>
        <v/>
      </c>
      <c r="X10" s="29" t="str">
        <f ca="1"/>
        <v/>
      </c>
      <c r="Y10" s="29" t="str">
        <f ca="1"/>
        <v>-11.2099999999998</v>
      </c>
    </row>
    <row r="11" spans="1:25" x14ac:dyDescent="0.25">
      <c r="C11" s="4" t="s">
        <v>5</v>
      </c>
      <c r="D11" s="1"/>
      <c r="L11" s="12">
        <f t="shared" ref="L11:O11" ca="1" si="2">L7/K7-1</f>
        <v>1.0089605896668186E-2</v>
      </c>
      <c r="M11" s="12">
        <f t="shared" ca="1" si="2"/>
        <v>9.3821883118955007E-2</v>
      </c>
      <c r="N11" s="12">
        <f t="shared" ca="1" si="2"/>
        <v>3.991948832479042E-2</v>
      </c>
      <c r="O11" s="12">
        <f t="shared" ca="1" si="2"/>
        <v>-6.192112707663211E-2</v>
      </c>
      <c r="Q11" s="24" t="str">
        <f ca="1"/>
        <v>ORLY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20.209</v>
      </c>
      <c r="V11" s="29" t="str">
        <f ca="1"/>
        <v>0.169999999999959</v>
      </c>
      <c r="W11" s="29" t="str">
        <f ca="1"/>
        <v/>
      </c>
      <c r="X11" s="29" t="str">
        <f ca="1"/>
        <v/>
      </c>
      <c r="Y11" s="29" t="str">
        <f ca="1"/>
        <v>228.59</v>
      </c>
    </row>
    <row r="12" spans="1:25" x14ac:dyDescent="0.25">
      <c r="Q12" s="24" t="str">
        <f ca="1"/>
        <v>ORLY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20.7422</v>
      </c>
      <c r="V12" s="29" t="str">
        <f ca="1"/>
        <v>19.6000000000002</v>
      </c>
      <c r="W12" s="29" t="str">
        <f ca="1"/>
        <v/>
      </c>
      <c r="X12" s="29" t="str">
        <f ca="1"/>
        <v/>
      </c>
      <c r="Y12" s="29" t="str">
        <f ca="1"/>
        <v>53.3200000000001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ORLY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18.771</v>
      </c>
      <c r="V13" s="29" t="str">
        <f ca="1"/>
        <v>73.5800000000001</v>
      </c>
      <c r="W13" s="29" t="str">
        <f ca="1"/>
        <v/>
      </c>
      <c r="X13" s="29" t="str">
        <f ca="1"/>
        <v/>
      </c>
      <c r="Y13" s="29" t="str">
        <f ca="1"/>
        <v>-197.12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ORLY US EQUITY</v>
      </c>
      <c r="R14" s="24">
        <v>45747</v>
      </c>
      <c r="S14" s="25" t="str">
        <v>custom</v>
      </c>
      <c r="T14" s="26" t="str">
        <v>sss_growth</v>
      </c>
      <c r="U14" s="30" t="str">
        <v>0.036</v>
      </c>
      <c r="V14" s="29" t="str">
        <v>19.9999999999999</v>
      </c>
      <c r="W14" s="29" t="str">
        <v/>
      </c>
      <c r="X14" s="29" t="str">
        <v/>
      </c>
      <c r="Y14" s="29" t="str">
        <v>-80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50.9816</v>
      </c>
      <c r="E15" s="3">
        <f ca="1"/>
        <v>51.280099999999997</v>
      </c>
      <c r="F15" s="3">
        <f ca="1"/>
        <v>51.398200000000003</v>
      </c>
      <c r="G15" s="3">
        <f ca="1"/>
        <v>51.341900000000003</v>
      </c>
      <c r="H15" s="3">
        <f ca="1"/>
        <v>51.158200000000001</v>
      </c>
      <c r="I15" s="3">
        <f ca="1"/>
        <v>50.748100000000001</v>
      </c>
      <c r="J15" s="3">
        <f ca="1"/>
        <v>51.581099999999999</v>
      </c>
      <c r="K15" s="3">
        <f ca="1"/>
        <v>51.299700000000001</v>
      </c>
      <c r="L15" s="3">
        <f ca="1"/>
        <v>51.281700000000001</v>
      </c>
      <c r="M15" s="3">
        <f ca="1"/>
        <v>51.414499999999997</v>
      </c>
      <c r="N15" s="3">
        <f ca="1"/>
        <v>51.850900000000003</v>
      </c>
      <c r="O15">
        <f ca="1"/>
        <v>51.79</v>
      </c>
      <c r="Q15" s="24" t="str">
        <v>ORLY US EQUITY</v>
      </c>
      <c r="R15" s="24">
        <v>45838</v>
      </c>
      <c r="S15" s="25" t="str">
        <v>custom</v>
      </c>
      <c r="T15" s="26" t="str">
        <v>sss_growth</v>
      </c>
      <c r="U15" s="30" t="str">
        <v>0.041</v>
      </c>
      <c r="V15" s="29" t="str">
        <v>180</v>
      </c>
      <c r="W15" s="29" t="str">
        <v/>
      </c>
      <c r="X15" s="29" t="str">
        <v/>
      </c>
      <c r="Y15" s="29" t="str">
        <v>50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17.660000000000053</v>
      </c>
      <c r="I16" s="7">
        <f t="shared" ca="1" si="4"/>
        <v>-53.199999999999648</v>
      </c>
      <c r="J16" s="7">
        <f t="shared" ca="1" si="4"/>
        <v>18.289999999999651</v>
      </c>
      <c r="K16" s="7">
        <f t="shared" ca="1" si="4"/>
        <v>-4.2200000000001125</v>
      </c>
      <c r="L16" s="7">
        <f t="shared" ca="1" si="4"/>
        <v>12.349999999999994</v>
      </c>
      <c r="M16" s="7">
        <f t="shared" ca="1" si="4"/>
        <v>66.639999999999588</v>
      </c>
      <c r="N16" s="7">
        <f t="shared" ca="1" si="4"/>
        <v>26.980000000000359</v>
      </c>
      <c r="O16" s="7">
        <f t="shared" ca="1" si="4"/>
        <v>49.029999999999774</v>
      </c>
      <c r="Q16" s="24" t="str">
        <v>ORLY US EQUITY</v>
      </c>
      <c r="R16" s="24">
        <v>45930</v>
      </c>
      <c r="S16" s="25" t="str">
        <v>custom</v>
      </c>
      <c r="T16" s="26" t="str">
        <v>sss_growth</v>
      </c>
      <c r="U16" s="30" t="str">
        <v>0.056</v>
      </c>
      <c r="V16" s="29" t="str">
        <v>410</v>
      </c>
      <c r="W16" s="29" t="str">
        <v/>
      </c>
      <c r="X16" s="29" t="str">
        <v/>
      </c>
      <c r="Y16" s="29" t="str">
        <v>150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ORLY US EQUITY</v>
      </c>
      <c r="R17" s="24">
        <v>46022</v>
      </c>
      <c r="S17" s="25" t="str">
        <v>custom</v>
      </c>
      <c r="T17" s="26" t="str">
        <v>sss_growth</v>
      </c>
      <c r="U17" s="30" t="str">
        <v>0.056</v>
      </c>
      <c r="V17" s="29" t="str">
        <v>120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ORLY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-1.8000000000000682</v>
      </c>
      <c r="M19" s="7">
        <f t="shared" ref="M19:O19" ca="1" si="5">(M15-L15)*100</f>
        <v>13.279999999999603</v>
      </c>
      <c r="N19" s="7">
        <f t="shared" ca="1" si="5"/>
        <v>43.640000000000612</v>
      </c>
      <c r="O19" s="7">
        <f t="shared" ca="1" si="5"/>
        <v>-6.0900000000003729</v>
      </c>
      <c r="Q19" s="24" t="str">
        <v>ORLY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ORLY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ORLY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ORLY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19.3277</v>
      </c>
      <c r="E23" s="3">
        <f ca="1"/>
        <v>20.982399999999998</v>
      </c>
      <c r="F23" s="3">
        <f ca="1"/>
        <v>21.345300000000002</v>
      </c>
      <c r="G23" s="3">
        <f ca="1"/>
        <v>18.7561</v>
      </c>
      <c r="H23" s="3">
        <f ca="1"/>
        <v>18.924399999999999</v>
      </c>
      <c r="I23" s="3">
        <f ca="1"/>
        <v>20.2073</v>
      </c>
      <c r="J23" s="3">
        <f ca="1"/>
        <v>20.546199999999999</v>
      </c>
      <c r="K23" s="3">
        <f ca="1"/>
        <v>18.0352</v>
      </c>
      <c r="L23" s="3">
        <f ca="1"/>
        <v>17.923100000000002</v>
      </c>
      <c r="M23" s="3">
        <f ca="1"/>
        <v>20.209</v>
      </c>
      <c r="N23" s="3">
        <f ca="1"/>
        <v>20.7422</v>
      </c>
      <c r="O23">
        <f ca="1"/>
        <v>18.771000000000001</v>
      </c>
      <c r="Q23" s="24" t="str">
        <v>ORLY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-40.330000000000155</v>
      </c>
      <c r="I24" s="7">
        <f t="shared" ca="1" si="7"/>
        <v>-77.509999999999835</v>
      </c>
      <c r="J24" s="7">
        <f t="shared" ca="1" si="7"/>
        <v>-79.910000000000281</v>
      </c>
      <c r="K24" s="7">
        <f t="shared" ca="1" si="7"/>
        <v>-72.090000000000032</v>
      </c>
      <c r="L24" s="7">
        <f t="shared" ca="1" si="7"/>
        <v>-100.1299999999997</v>
      </c>
      <c r="M24" s="7">
        <f t="shared" ca="1" si="7"/>
        <v>0.16999999999995907</v>
      </c>
      <c r="N24" s="7">
        <f t="shared" ca="1" si="7"/>
        <v>19.600000000000151</v>
      </c>
      <c r="O24" s="7">
        <f t="shared" ca="1" si="7"/>
        <v>73.580000000000112</v>
      </c>
      <c r="Q24" s="24" t="str">
        <v>ORLY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ORLY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ORLY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-11.209999999999809</v>
      </c>
      <c r="M27" s="7">
        <f t="shared" ref="M27:O27" ca="1" si="8">(M23-L23)*100</f>
        <v>228.5899999999998</v>
      </c>
      <c r="N27" s="7">
        <f t="shared" ca="1" si="8"/>
        <v>53.320000000000078</v>
      </c>
      <c r="O27" s="7">
        <f t="shared" ca="1" si="8"/>
        <v>-197.11999999999995</v>
      </c>
      <c r="Q27" s="24" t="str">
        <v>ORLY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ORLY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:L29" si="9">EOMONTH(DATE(YEAR(D30),ROUNDUP(MONTH(D30)/3,0)*3,1),0)</f>
        <v>45016</v>
      </c>
      <c r="E29" s="14">
        <f t="shared" si="9"/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ORLY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ORLY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31</v>
      </c>
      <c r="D31" s="10"/>
      <c r="E31" s="10"/>
      <c r="F31" s="10"/>
      <c r="G31" s="8">
        <v>3.4000000000000002E-2</v>
      </c>
      <c r="H31" s="8">
        <v>3.4000000000000002E-2</v>
      </c>
      <c r="I31" s="8">
        <v>2.3E-2</v>
      </c>
      <c r="J31" s="8">
        <v>1.4999999999999999E-2</v>
      </c>
      <c r="K31" s="8">
        <v>4.3999999999999997E-2</v>
      </c>
      <c r="L31" s="8">
        <v>3.5999999999999997E-2</v>
      </c>
      <c r="M31" s="8">
        <v>4.1000000000000002E-2</v>
      </c>
      <c r="N31" s="8">
        <v>5.6000000000000001E-2</v>
      </c>
      <c r="O31" s="8">
        <v>5.6000000000000001E-2</v>
      </c>
      <c r="Q31" s="24" t="str">
        <v>ORLY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O32" si="10">(K31-G31)*10000</f>
        <v>99.999999999999943</v>
      </c>
      <c r="L32" s="7">
        <f t="shared" si="10"/>
        <v>19.999999999999947</v>
      </c>
      <c r="M32" s="7">
        <f t="shared" si="10"/>
        <v>180.00000000000003</v>
      </c>
      <c r="N32" s="7">
        <f t="shared" si="10"/>
        <v>410</v>
      </c>
      <c r="O32" s="7">
        <f t="shared" si="10"/>
        <v>120.00000000000004</v>
      </c>
      <c r="Q32" s="24" t="str">
        <v>ORLY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ORLY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340</v>
      </c>
      <c r="H35" s="7">
        <f t="shared" si="11"/>
        <v>0</v>
      </c>
      <c r="I35" s="7">
        <f t="shared" si="11"/>
        <v>-110.00000000000003</v>
      </c>
      <c r="J35" s="7">
        <f t="shared" si="11"/>
        <v>-80</v>
      </c>
      <c r="K35" s="7">
        <f t="shared" si="11"/>
        <v>290</v>
      </c>
      <c r="L35" s="7">
        <f>(L31-K31)*10000</f>
        <v>-80</v>
      </c>
      <c r="M35" s="7">
        <f t="shared" ref="M35:O35" si="12">(M31-L31)*10000</f>
        <v>50.000000000000043</v>
      </c>
      <c r="N35" s="7">
        <f t="shared" si="12"/>
        <v>150</v>
      </c>
      <c r="O35" s="7">
        <f t="shared" si="12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3F62-2E38-4AB1-8975-1D019FF47852}">
  <dimension ref="A1:Y67"/>
  <sheetViews>
    <sheetView zoomScale="85" zoomScaleNormal="85" workbookViewId="0">
      <selection activeCell="M19" sqref="M19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30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VVV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403.2</v>
      </c>
      <c r="V2" s="28" t="str">
        <f ca="1"/>
        <v>0.0373038332904554</v>
      </c>
      <c r="W2" s="29" t="str">
        <f ca="1"/>
        <v>-722.301784931547</v>
      </c>
      <c r="X2" s="28" t="str">
        <f ca="1"/>
        <v>-909.980535019974</v>
      </c>
      <c r="Y2" s="29" t="str">
        <f ca="1"/>
        <v>-0.0267921795800146</v>
      </c>
    </row>
    <row r="3" spans="1:25" x14ac:dyDescent="0.25">
      <c r="A3" s="18" t="s">
        <v>3</v>
      </c>
      <c r="B3" s="19">
        <f ca="1">+B4-365*3</f>
        <v>44989</v>
      </c>
      <c r="Q3" s="24" t="str">
        <f ca="1"/>
        <v>VVV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439</v>
      </c>
      <c r="V3" s="28" t="str">
        <f ca="1"/>
        <v>0.041765543426673</v>
      </c>
      <c r="W3" s="29" t="str">
        <f ca="1"/>
        <v>44.6171013621766</v>
      </c>
      <c r="X3" s="29" t="str">
        <f ca="1"/>
        <v>-783.833135642893</v>
      </c>
      <c r="Y3" s="29" t="str">
        <f ca="1"/>
        <v>0.0887896825396826</v>
      </c>
    </row>
    <row r="4" spans="1:25" x14ac:dyDescent="0.25">
      <c r="A4" s="20" t="s">
        <v>2</v>
      </c>
      <c r="B4" s="21">
        <f ca="1">TODAY()</f>
        <v>46084</v>
      </c>
      <c r="Q4" s="24" t="str">
        <f ca="1"/>
        <v>VVV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453.8</v>
      </c>
      <c r="V4" s="28" t="str">
        <f ca="1"/>
        <v>0.042020665901263</v>
      </c>
      <c r="W4" s="29" t="str">
        <f ca="1"/>
        <v>2.55122474589919</v>
      </c>
      <c r="X4" s="29" t="str">
        <f ca="1"/>
        <v>-746.460007654037</v>
      </c>
      <c r="Y4" s="29" t="str">
        <f ca="1"/>
        <v>0.0337129840546697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VVV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461.8</v>
      </c>
      <c r="V5" s="28" t="str">
        <f ca="1"/>
        <v>0.114651218923485</v>
      </c>
      <c r="W5" s="29" t="str">
        <f ca="1"/>
        <v>726.305530222224</v>
      </c>
      <c r="X5" s="29" t="str">
        <f ca="1"/>
        <v>51.1720713987529</v>
      </c>
      <c r="Y5" s="29" t="str">
        <f ca="1"/>
        <v>0.0176289114147201</v>
      </c>
    </row>
    <row r="6" spans="1:25" x14ac:dyDescent="0.2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VVV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37.3264</v>
      </c>
      <c r="V6" s="29" t="str">
        <f ca="1"/>
        <v>-28.6200000000001</v>
      </c>
      <c r="W6" s="29" t="str">
        <f ca="1"/>
        <v/>
      </c>
      <c r="X6" s="29" t="str">
        <f ca="1"/>
        <v/>
      </c>
      <c r="Y6" s="29" t="str">
        <f ca="1"/>
        <v>42.08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344.5</v>
      </c>
      <c r="E7" s="11">
        <f ca="1"/>
        <v>376.2</v>
      </c>
      <c r="F7" s="11">
        <f ca="1"/>
        <v>390</v>
      </c>
      <c r="G7" s="11">
        <f ca="1"/>
        <v>373.4</v>
      </c>
      <c r="H7" s="11">
        <f ca="1"/>
        <v>388.7</v>
      </c>
      <c r="I7" s="11">
        <f ca="1"/>
        <v>421.4</v>
      </c>
      <c r="J7" s="11">
        <f ca="1"/>
        <v>435.5</v>
      </c>
      <c r="K7" s="11">
        <f ca="1"/>
        <v>414.3</v>
      </c>
      <c r="L7" s="11">
        <f ca="1"/>
        <v>403.2</v>
      </c>
      <c r="M7" s="11">
        <f ca="1"/>
        <v>439</v>
      </c>
      <c r="N7" s="11">
        <f ca="1"/>
        <v>453.8</v>
      </c>
      <c r="O7" s="3">
        <f ca="1"/>
        <v>461.8</v>
      </c>
      <c r="P7" s="1"/>
      <c r="Q7" s="24" t="str">
        <f ca="1"/>
        <v>VVV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40.4556</v>
      </c>
      <c r="V7" s="29" t="str">
        <f ca="1"/>
        <v>70.7099999999997</v>
      </c>
      <c r="W7" s="29" t="str">
        <f ca="1"/>
        <v/>
      </c>
      <c r="X7" s="29" t="str">
        <f ca="1"/>
        <v/>
      </c>
      <c r="Y7" s="29" t="str">
        <f ca="1"/>
        <v>312.92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0.1283018867924528</v>
      </c>
      <c r="I8" s="12">
        <f t="shared" ca="1" si="1"/>
        <v>0.12014885699096234</v>
      </c>
      <c r="J8" s="12">
        <f t="shared" ca="1" si="1"/>
        <v>0.1166666666666667</v>
      </c>
      <c r="K8" s="12">
        <f t="shared" ca="1" si="1"/>
        <v>0.10953401178361011</v>
      </c>
      <c r="L8" s="12">
        <f t="shared" ca="1" si="1"/>
        <v>3.730383329045539E-2</v>
      </c>
      <c r="M8" s="12">
        <f t="shared" ca="1" si="1"/>
        <v>4.1765543426673046E-2</v>
      </c>
      <c r="N8" s="12">
        <f t="shared" ca="1" si="1"/>
        <v>4.2020665901262966E-2</v>
      </c>
      <c r="O8" s="12">
        <f t="shared" ca="1" si="1"/>
        <v>0.1146512189234854</v>
      </c>
      <c r="P8" s="3"/>
      <c r="Q8" s="24" t="str">
        <f ca="1"/>
        <v>VVV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39.1141</v>
      </c>
      <c r="V8" s="29" t="str">
        <f ca="1"/>
        <v>0.959999999999894</v>
      </c>
      <c r="W8" s="29" t="str">
        <f ca="1"/>
        <v/>
      </c>
      <c r="X8" s="29" t="str">
        <f ca="1"/>
        <v/>
      </c>
      <c r="Y8" s="29" t="str">
        <f ca="1"/>
        <v>-134.15</v>
      </c>
    </row>
    <row r="9" spans="1:25" x14ac:dyDescent="0.25">
      <c r="C9" s="4" t="s">
        <v>19</v>
      </c>
      <c r="D9" s="1"/>
      <c r="L9" s="7">
        <f ca="1">(L8-K8)*10000</f>
        <v>-722.30178493154722</v>
      </c>
      <c r="M9" s="7">
        <f ca="1">(M8-L8)*10000</f>
        <v>44.617101362176555</v>
      </c>
      <c r="N9" s="7">
        <f ca="1">(N8-M8)*10000</f>
        <v>2.5512247458991943</v>
      </c>
      <c r="O9" s="7">
        <f ca="1">(O8-N8)*10000</f>
        <v>726.30553022222432</v>
      </c>
      <c r="Q9" s="22" t="str">
        <f ca="1"/>
        <v>VVV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37.3538</v>
      </c>
      <c r="V9" s="29" t="str">
        <f ca="1"/>
        <v>44.82</v>
      </c>
      <c r="W9" s="29" t="str">
        <f ca="1"/>
        <v/>
      </c>
      <c r="X9" s="29" t="str">
        <f ca="1"/>
        <v/>
      </c>
      <c r="Y9" s="29" t="str">
        <f ca="1"/>
        <v>-176.03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-909.98053501997413</v>
      </c>
      <c r="M10" s="7">
        <f ca="1">(M8-I8)*10000</f>
        <v>-783.8331356428929</v>
      </c>
      <c r="N10" s="7">
        <f ca="1">(N8-J8)*10000</f>
        <v>-746.46000765403733</v>
      </c>
      <c r="O10" s="7">
        <f ca="1">(O8-K8)*10000</f>
        <v>51.172071398752905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VVV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16.5923</v>
      </c>
      <c r="V10" s="29" t="str">
        <f ca="1"/>
        <v>-306.3</v>
      </c>
      <c r="W10" s="29" t="str">
        <f ca="1"/>
        <v/>
      </c>
      <c r="X10" s="29" t="str">
        <f ca="1"/>
        <v/>
      </c>
      <c r="Y10" s="29" t="str">
        <f ca="1"/>
        <v>-1811.68</v>
      </c>
    </row>
    <row r="11" spans="1:25" x14ac:dyDescent="0.25">
      <c r="C11" s="4" t="s">
        <v>5</v>
      </c>
      <c r="D11" s="1"/>
      <c r="L11" s="12">
        <f t="shared" ref="L11:O11" ca="1" si="2">L7/K7-1</f>
        <v>-2.6792179580014563E-2</v>
      </c>
      <c r="M11" s="12">
        <f t="shared" ca="1" si="2"/>
        <v>8.8789682539682557E-2</v>
      </c>
      <c r="N11" s="12">
        <f t="shared" ca="1" si="2"/>
        <v>3.3712984054669715E-2</v>
      </c>
      <c r="O11" s="12">
        <f t="shared" ca="1" si="2"/>
        <v>1.7628911414720116E-2</v>
      </c>
      <c r="Q11" s="24" t="str">
        <f ca="1"/>
        <v>VVV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21.5718</v>
      </c>
      <c r="V11" s="29" t="str">
        <f ca="1"/>
        <v>-59.2400000000001</v>
      </c>
      <c r="W11" s="29" t="str">
        <f ca="1"/>
        <v/>
      </c>
      <c r="X11" s="29" t="str">
        <f ca="1"/>
        <v/>
      </c>
      <c r="Y11" s="29" t="str">
        <f ca="1"/>
        <v>497.95</v>
      </c>
    </row>
    <row r="12" spans="1:25" x14ac:dyDescent="0.25">
      <c r="Q12" s="24" t="str">
        <f ca="1"/>
        <v>VVV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18.6205</v>
      </c>
      <c r="V12" s="29" t="str">
        <f ca="1"/>
        <v>-1228.65</v>
      </c>
      <c r="W12" s="29" t="str">
        <f ca="1"/>
        <v/>
      </c>
      <c r="X12" s="29" t="str">
        <f ca="1"/>
        <v/>
      </c>
      <c r="Y12" s="29" t="str">
        <f ca="1"/>
        <v>-295.13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VVV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3.9628</v>
      </c>
      <c r="V13" s="29" t="str">
        <f ca="1"/>
        <v>-3074.63</v>
      </c>
      <c r="W13" s="29" t="str">
        <f ca="1"/>
        <v/>
      </c>
      <c r="X13" s="29" t="str">
        <f ca="1"/>
        <v/>
      </c>
      <c r="Y13" s="29" t="str">
        <f ca="1"/>
        <v>-1465.77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VVV US EQUITY</v>
      </c>
      <c r="R14" s="24">
        <v>45747</v>
      </c>
      <c r="S14" s="25" t="str">
        <v>custom</v>
      </c>
      <c r="T14" s="26" t="str">
        <v>sss_growth</v>
      </c>
      <c r="U14" s="30" t="str">
        <v>0.058</v>
      </c>
      <c r="V14" s="29" t="str">
        <v>-190</v>
      </c>
      <c r="W14" s="29" t="str">
        <v/>
      </c>
      <c r="X14" s="29" t="str">
        <v/>
      </c>
      <c r="Y14" s="29" t="str">
        <v>-220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36.777900000000002</v>
      </c>
      <c r="E15" s="3">
        <f ca="1"/>
        <v>40.058500000000002</v>
      </c>
      <c r="F15" s="3">
        <f ca="1"/>
        <v>38.025599999999997</v>
      </c>
      <c r="G15" s="3">
        <f ca="1"/>
        <v>36.100700000000003</v>
      </c>
      <c r="H15" s="3">
        <f ca="1"/>
        <v>37.6126</v>
      </c>
      <c r="I15" s="3">
        <f ca="1"/>
        <v>39.7485</v>
      </c>
      <c r="J15" s="3">
        <f ca="1"/>
        <v>39.104500000000002</v>
      </c>
      <c r="K15" s="3">
        <f ca="1"/>
        <v>36.9056</v>
      </c>
      <c r="L15" s="3">
        <f ca="1"/>
        <v>37.3264</v>
      </c>
      <c r="M15" s="3">
        <f ca="1"/>
        <v>40.455599999999997</v>
      </c>
      <c r="N15" s="3">
        <f ca="1"/>
        <v>39.114100000000001</v>
      </c>
      <c r="O15">
        <f ca="1"/>
        <v>37.3538</v>
      </c>
      <c r="Q15" s="24" t="str">
        <v>VVV US EQUITY</v>
      </c>
      <c r="R15" s="24">
        <v>45838</v>
      </c>
      <c r="S15" s="25" t="str">
        <v>custom</v>
      </c>
      <c r="T15" s="26" t="str">
        <v>sss_growth</v>
      </c>
      <c r="U15" s="30" t="str">
        <v>0.049</v>
      </c>
      <c r="V15" s="29" t="str">
        <v>-160</v>
      </c>
      <c r="W15" s="29" t="str">
        <v/>
      </c>
      <c r="X15" s="29" t="str">
        <v/>
      </c>
      <c r="Y15" s="29" t="str">
        <v>-90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83.4699999999998</v>
      </c>
      <c r="I16" s="7">
        <f t="shared" ca="1" si="4"/>
        <v>-31.000000000000227</v>
      </c>
      <c r="J16" s="7">
        <f t="shared" ca="1" si="4"/>
        <v>107.89000000000044</v>
      </c>
      <c r="K16" s="7">
        <f t="shared" ca="1" si="4"/>
        <v>80.48999999999964</v>
      </c>
      <c r="L16" s="7">
        <f t="shared" ca="1" si="4"/>
        <v>-28.62000000000009</v>
      </c>
      <c r="M16" s="7">
        <f t="shared" ca="1" si="4"/>
        <v>70.709999999999695</v>
      </c>
      <c r="N16" s="7">
        <f t="shared" ca="1" si="4"/>
        <v>0.95999999999989427</v>
      </c>
      <c r="O16" s="7">
        <f t="shared" ca="1" si="4"/>
        <v>44.819999999999993</v>
      </c>
      <c r="Q16" s="24" t="str">
        <v>VVV US EQUITY</v>
      </c>
      <c r="R16" s="24">
        <v>45930</v>
      </c>
      <c r="S16" s="25" t="str">
        <v>custom</v>
      </c>
      <c r="T16" s="26" t="str">
        <v>sss_growth</v>
      </c>
      <c r="U16" s="30" t="str">
        <v>0.06</v>
      </c>
      <c r="V16" s="29" t="str">
        <v>60</v>
      </c>
      <c r="W16" s="29" t="str">
        <v/>
      </c>
      <c r="X16" s="29" t="str">
        <v/>
      </c>
      <c r="Y16" s="29" t="str">
        <v>110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VVV US EQUITY</v>
      </c>
      <c r="R17" s="24">
        <v>46022</v>
      </c>
      <c r="S17" s="25" t="str">
        <v>custom</v>
      </c>
      <c r="T17" s="26" t="str">
        <v>sss_growth</v>
      </c>
      <c r="U17" s="30" t="str">
        <v>0.058</v>
      </c>
      <c r="V17" s="29" t="str">
        <v>-220</v>
      </c>
      <c r="W17" s="29" t="str">
        <v/>
      </c>
      <c r="X17" s="29" t="str">
        <v/>
      </c>
      <c r="Y17" s="29" t="str">
        <v>-19.9999999999999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VVV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42.079999999999984</v>
      </c>
      <c r="M19" s="7">
        <f t="shared" ref="M19:O19" ca="1" si="5">(M15-L15)*100</f>
        <v>312.91999999999973</v>
      </c>
      <c r="N19" s="7">
        <f t="shared" ca="1" si="5"/>
        <v>-134.14999999999964</v>
      </c>
      <c r="O19" s="7">
        <f t="shared" ca="1" si="5"/>
        <v>-176.03000000000009</v>
      </c>
      <c r="Q19" s="24" t="str">
        <v>VVV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VVV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VVV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VVV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17.764900000000001</v>
      </c>
      <c r="E23" s="3">
        <f ca="1"/>
        <v>22.993099999999998</v>
      </c>
      <c r="F23" s="3">
        <f ca="1"/>
        <v>18</v>
      </c>
      <c r="G23" s="3">
        <f ca="1"/>
        <v>16.8184</v>
      </c>
      <c r="H23" s="3">
        <f ca="1"/>
        <v>19.6553</v>
      </c>
      <c r="I23" s="3">
        <f ca="1"/>
        <v>22.164200000000001</v>
      </c>
      <c r="J23" s="3">
        <f ca="1"/>
        <v>30.907</v>
      </c>
      <c r="K23" s="3">
        <f ca="1"/>
        <v>34.709099999999999</v>
      </c>
      <c r="L23" s="3">
        <f ca="1"/>
        <v>16.592300000000002</v>
      </c>
      <c r="M23" s="3">
        <f ca="1"/>
        <v>21.5718</v>
      </c>
      <c r="N23" s="3">
        <f ca="1"/>
        <v>18.6205</v>
      </c>
      <c r="O23">
        <f ca="1"/>
        <v>3.9628000000000001</v>
      </c>
      <c r="Q23" s="24" t="str">
        <v>VVV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189.03999999999996</v>
      </c>
      <c r="I24" s="7">
        <f t="shared" ca="1" si="7"/>
        <v>-82.889999999999731</v>
      </c>
      <c r="J24" s="7">
        <f t="shared" ca="1" si="7"/>
        <v>1290.7</v>
      </c>
      <c r="K24" s="7">
        <f t="shared" ca="1" si="7"/>
        <v>1789.07</v>
      </c>
      <c r="L24" s="7">
        <f t="shared" ca="1" si="7"/>
        <v>-306.2999999999999</v>
      </c>
      <c r="M24" s="7">
        <f t="shared" ca="1" si="7"/>
        <v>-59.240000000000137</v>
      </c>
      <c r="N24" s="7">
        <f t="shared" ca="1" si="7"/>
        <v>-1228.6500000000001</v>
      </c>
      <c r="O24" s="7">
        <f t="shared" ca="1" si="7"/>
        <v>-3074.6299999999997</v>
      </c>
      <c r="Q24" s="24" t="str">
        <v>VVV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VVV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VVV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-1811.6799999999998</v>
      </c>
      <c r="M27" s="7">
        <f t="shared" ref="M27:O27" ca="1" si="8">(M23-L23)*100</f>
        <v>497.94999999999982</v>
      </c>
      <c r="N27" s="7">
        <f t="shared" ca="1" si="8"/>
        <v>-295.13</v>
      </c>
      <c r="O27" s="7">
        <f t="shared" ca="1" si="8"/>
        <v>-1465.77</v>
      </c>
      <c r="Q27" s="24" t="str">
        <v>VVV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VVV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:L29" si="9">EOMONTH(DATE(YEAR(D30),ROUNDUP(MONTH(D30)/3,0)*3,1),0)</f>
        <v>45016</v>
      </c>
      <c r="E29" s="14">
        <f t="shared" si="9"/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VVV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VVV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31</v>
      </c>
      <c r="D31" s="10"/>
      <c r="E31" s="10"/>
      <c r="F31" s="10"/>
      <c r="G31" s="8">
        <v>7.0999999999999994E-2</v>
      </c>
      <c r="H31" s="8">
        <v>7.6999999999999999E-2</v>
      </c>
      <c r="I31" s="8">
        <v>6.5000000000000002E-2</v>
      </c>
      <c r="J31" s="8">
        <v>5.3999999999999999E-2</v>
      </c>
      <c r="K31" s="8">
        <v>0.08</v>
      </c>
      <c r="L31" s="8">
        <v>5.8000000000000003E-2</v>
      </c>
      <c r="M31" s="8">
        <v>4.9000000000000002E-2</v>
      </c>
      <c r="N31" s="8">
        <v>0.06</v>
      </c>
      <c r="O31" s="8">
        <v>5.8000000000000003E-2</v>
      </c>
      <c r="Q31" s="24" t="str">
        <v>VVV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O32" si="10">(K31-G31)*10000</f>
        <v>90.000000000000085</v>
      </c>
      <c r="L32" s="7">
        <f t="shared" si="10"/>
        <v>-189.99999999999997</v>
      </c>
      <c r="M32" s="7">
        <f t="shared" si="10"/>
        <v>-160</v>
      </c>
      <c r="N32" s="7">
        <f t="shared" si="10"/>
        <v>59.999999999999986</v>
      </c>
      <c r="O32" s="7">
        <f t="shared" si="10"/>
        <v>-220</v>
      </c>
      <c r="Q32" s="24" t="str">
        <v>VVV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VVV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709.99999999999989</v>
      </c>
      <c r="H35" s="7">
        <f t="shared" si="11"/>
        <v>60.000000000000057</v>
      </c>
      <c r="I35" s="7">
        <f t="shared" si="11"/>
        <v>-119.99999999999997</v>
      </c>
      <c r="J35" s="7">
        <f t="shared" si="11"/>
        <v>-110.00000000000003</v>
      </c>
      <c r="K35" s="7">
        <f t="shared" si="11"/>
        <v>260</v>
      </c>
      <c r="L35" s="7">
        <f>(L31-K31)*10000</f>
        <v>-220</v>
      </c>
      <c r="M35" s="7">
        <f t="shared" ref="M35:O35" si="12">(M31-L31)*10000</f>
        <v>-90.000000000000014</v>
      </c>
      <c r="N35" s="7">
        <f t="shared" si="12"/>
        <v>109.99999999999996</v>
      </c>
      <c r="O35" s="7">
        <f t="shared" si="12"/>
        <v>-19.999999999999947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AZO</vt:lpstr>
      <vt:lpstr>CASY</vt:lpstr>
      <vt:lpstr>MUSA</vt:lpstr>
      <vt:lpstr>ORLY</vt:lpstr>
      <vt:lpstr>VVV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2026-03-03T20:59:33Z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